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Dashboard" sheetId="2" r:id="rId6"/>
    <sheet state="visible" name="Assumptions" sheetId="3" r:id="rId7"/>
    <sheet state="visible" name="Rulebook" sheetId="4" r:id="rId8"/>
    <sheet state="visible" name="Country Profile" sheetId="5" r:id="rId9"/>
    <sheet state="visible" name="Inputs" sheetId="6" r:id="rId10"/>
    <sheet state="visible" name="Stress Inputs" sheetId="7" r:id="rId11"/>
    <sheet state="visible" name="Base Scores" sheetId="8" r:id="rId12"/>
    <sheet state="visible" name="Stress Scores" sheetId="9" r:id="rId13"/>
    <sheet state="visible" name="Indicator Scores" sheetId="10" r:id="rId14"/>
    <sheet state="visible" name="Adjustments" sheetId="11" r:id="rId15"/>
    <sheet state="visible" name="Pillar Scores" sheetId="12" r:id="rId16"/>
    <sheet state="visible" name="Risk Engine" sheetId="13" r:id="rId17"/>
    <sheet state="visible" name="Signals" sheetId="14" r:id="rId18"/>
    <sheet state="visible" name="Playbook" sheetId="15" r:id="rId19"/>
    <sheet state="visible" name="Trade Activation" sheetId="16" r:id="rId20"/>
    <sheet state="visible" name="Portfolio VaR" sheetId="17" r:id="rId21"/>
    <sheet state="visible" name="MC" sheetId="18" r:id="rId22"/>
    <sheet state="visible" name="Data Sources" sheetId="19" r:id="rId2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Source: Randori Geopolitical Risk VaR Methodology (1).docx, draft of October 15, 2026, uploaded to the project; thresholds and weights per pillar tables.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Source: seed estimates by Claude (ratings, spreads, FX, reserves, flags, instruments) as known to mid-2026, entered 2026-10-19. Market rows need a live feed.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Source: IMF WEO Oct 2026, GGXWDG_NGDP, 2026, https://www.imf.org/external/datamapper/api/v1/GGXWDG_NGDP, pulled 2026-10-19</t>
      </text>
    </comment>
    <comment authorId="0" ref="K11">
      <text>
        <t xml:space="preserve">Source: IMF WEO Oct 2026, GGXWDG_NGDP, 2026 minus 2020, https://www.imf.org/external/datamapper/api/v1/GGXWDG_NGDP, pulled 2026-10-19</t>
      </text>
    </comment>
    <comment authorId="0" ref="H7">
      <text>
        <t xml:space="preserve">Source: IMF WEO Oct 2026, GGXWDG_NGDP, 2026, https://www.imf.org/external/datamapper/api/v1/GGXWDG_NGDP, pulled 2026-10-19</t>
      </text>
    </comment>
    <comment authorId="0" ref="L11">
      <text>
        <t xml:space="preserve">Source: IMF WEO Oct 2026, GGXWDG_NGDP, 2026 minus 2020, https://www.imf.org/external/datamapper/api/v1/GGXWDG_NGDP, pulled 2026-10-19</t>
      </text>
    </comment>
    <comment authorId="0" ref="J7">
      <text>
        <t xml:space="preserve">Source: IMF WEO Oct 2026, GGXWDG_NGDP, 2026, https://www.imf.org/external/datamapper/api/v1/GGXWDG_NGDP, pulled 2026-10-19</t>
      </text>
    </comment>
    <comment authorId="0" ref="N11">
      <text>
        <t xml:space="preserve">Source: IMF WEO Oct 2026, GGXWDG_NGDP, 2026 minus 2020, https://www.imf.org/external/datamapper/api/v1/GGXWDG_NGDP, pulled 2026-10-19</t>
      </text>
    </comment>
    <comment authorId="0" ref="K7">
      <text>
        <t xml:space="preserve">Source: IMF WEO Oct 2026, GGXWDG_NGDP, 2026, https://www.imf.org/external/datamapper/api/v1/GGXWDG_NGDP, pulled 2026-10-19</t>
      </text>
    </comment>
    <comment authorId="0" ref="O11">
      <text>
        <t xml:space="preserve">Source: IMF WEO Oct 2026, GGXWDG_NGDP, 2026 minus 2020, https://www.imf.org/external/datamapper/api/v1/GGXWDG_NGDP, pulled 2026-10-19</t>
      </text>
    </comment>
    <comment authorId="0" ref="L7">
      <text>
        <t xml:space="preserve">Source: IMF WEO Oct 2026, GGXWDG_NGDP, 2026, https://www.imf.org/external/datamapper/api/v1/GGXWDG_NGDP, pulled 2026-10-19</t>
      </text>
    </comment>
    <comment authorId="0" ref="P11">
      <text>
        <t xml:space="preserve">Source: IMF WEO Oct 2026, GGXWDG_NGDP, 2026 minus 2020, https://www.imf.org/external/datamapper/api/v1/GGXWDG_NGDP, pulled 2026-10-19</t>
      </text>
    </comment>
    <comment authorId="0" ref="Q11">
      <text>
        <t xml:space="preserve">Source: IMF WEO Oct 2026, GGXWDG_NGDP, 2026 minus 2020, https://www.imf.org/external/datamapper/api/v1/GGXWDG_NGDP, pulled 2026-10-19</t>
      </text>
    </comment>
    <comment authorId="0" ref="N7">
      <text>
        <t xml:space="preserve">Source: IMF WEO Oct 2026, GGXWDG_NGDP, 2026, https://www.imf.org/external/datamapper/api/v1/GGXWDG_NGDP, pulled 2026-10-19</t>
      </text>
    </comment>
    <comment authorId="0" ref="O7">
      <text>
        <t xml:space="preserve">Source: IMF WEO Oct 2026, GGXWDG_NGDP, 2026, https://www.imf.org/external/datamapper/api/v1/GGXWDG_NGDP, pulled 2026-10-19</t>
      </text>
    </comment>
    <comment authorId="0" ref="P7">
      <text>
        <t xml:space="preserve">Source: IMF WEO Oct 2026, GGXWDG_NGDP, 2026, https://www.imf.org/external/datamapper/api/v1/GGXWDG_NGDP, pulled 2026-10-19</t>
      </text>
    </comment>
    <comment authorId="0" ref="Q7">
      <text>
        <t xml:space="preserve">Source: IMF WEO Oct 2026, GGXWDG_NGDP, 2026, https://www.imf.org/external/datamapper/api/v1/GGXWDG_NGDP, pulled 2026-10-19</t>
      </text>
    </comment>
    <comment authorId="0" ref="G51">
      <text>
        <t xml:space="preserve">Source: IMF WEO Oct 2026, PCPIPCH, 2026, https://www.imf.org/external/datamapper/api/v1/PCPIPCH, pulled 2026-10-19</t>
      </text>
    </comment>
    <comment authorId="0" ref="N51">
      <text>
        <t xml:space="preserve">Source: IMF WEO Oct 2026, PCPIPCH, 2026, https://www.imf.org/external/datamapper/api/v1/PCPIPCH, pulled 2026-10-19</t>
      </text>
    </comment>
    <comment authorId="0" ref="O51">
      <text>
        <t xml:space="preserve">Source: IMF WEO Oct 2026, PCPIPCH, 2026, https://www.imf.org/external/datamapper/api/v1/PCPIPCH, pulled 2026-10-19</t>
      </text>
    </comment>
    <comment authorId="0" ref="P51">
      <text>
        <t xml:space="preserve">Source: IMF WEO Oct 2026, PCPIPCH, 2026, https://www.imf.org/external/datamapper/api/v1/PCPIPCH, pulled 2026-10-19</t>
      </text>
    </comment>
    <comment authorId="0" ref="Q51">
      <text>
        <t xml:space="preserve">Source: IMF WEO Oct 2026, PCPIPCH, 2026, https://www.imf.org/external/datamapper/api/v1/PCPIPCH, pulled 2026-10-19</t>
      </text>
    </comment>
    <comment authorId="0" ref="E4">
      <text>
        <t xml:space="preserve">Source: seed estimates by Claude from the public sources in Rulebook column O, as known to mid-2026, entered 2026-10-19; IMF WEO October 2026 values are shaded green and noted per cell. Replace with the APIs in Rulebook column P.</t>
      </text>
    </comment>
    <comment authorId="0" ref="G60">
      <text>
        <t xml:space="preserve">Source: IMF WEO Oct 2026, NGDPDPC, 2026, https://www.imf.org/external/datamapper/api/v1/NGDPDPC, pulled 2026-10-19</t>
      </text>
    </comment>
    <comment authorId="0" ref="G21">
      <text>
        <t xml:space="preserve">Source: IMF WEO Oct 2026, BCA_NGDPD, 2026, https://www.imf.org/external/datamapper/api/v1/BCA_NGDPD, pulled 2026-10-19</t>
      </text>
    </comment>
    <comment authorId="0" ref="N60">
      <text>
        <t xml:space="preserve">Source: IMF WEO Oct 2026, NGDPDPC, 2026, https://www.imf.org/external/datamapper/api/v1/NGDPDPC, pulled 2026-10-19</t>
      </text>
    </comment>
    <comment authorId="0" ref="G52">
      <text>
        <t xml:space="preserve">Source: IMF WEO Oct 2026, NGDP_RPCH, 2027, https://www.imf.org/external/datamapper/api/v1/NGDP_RPCH, pulled 2026-10-19</t>
      </text>
    </comment>
    <comment authorId="0" ref="O60">
      <text>
        <t xml:space="preserve">Source: IMF WEO Oct 2026, NGDPDPC, 2026, https://www.imf.org/external/datamapper/api/v1/NGDPDPC, pulled 2026-10-19</t>
      </text>
    </comment>
    <comment authorId="0" ref="P60">
      <text>
        <t xml:space="preserve">Source: IMF WEO Oct 2026, NGDPDPC, 2026, https://www.imf.org/external/datamapper/api/v1/NGDPDPC, pulled 2026-10-19</t>
      </text>
    </comment>
    <comment authorId="0" ref="Q60">
      <text>
        <t xml:space="preserve">Source: IMF WEO Oct 2026, NGDPDPC, 2026, https://www.imf.org/external/datamapper/api/v1/NGDPDPC, pulled 2026-10-19</t>
      </text>
    </comment>
    <comment authorId="0" ref="N21">
      <text>
        <t xml:space="preserve">Source: IMF WEO Oct 2026, BCA_NGDPD, 2026, https://www.imf.org/external/datamapper/api/v1/BCA_NGDPD, pulled 2026-10-19</t>
      </text>
    </comment>
    <comment authorId="0" ref="O21">
      <text>
        <t xml:space="preserve">Source: IMF WEO Oct 2026, BCA_NGDPD, 2026, https://www.imf.org/external/datamapper/api/v1/BCA_NGDPD, pulled 2026-10-19</t>
      </text>
    </comment>
    <comment authorId="0" ref="N52">
      <text>
        <t xml:space="preserve">Source: IMF WEO Oct 2026, NGDP_RPCH, 2027, https://www.imf.org/external/datamapper/api/v1/NGDP_RPCH, pulled 2026-10-19</t>
      </text>
    </comment>
    <comment authorId="0" ref="P21">
      <text>
        <t xml:space="preserve">Source: IMF WEO Oct 2026, BCA_NGDPD, 2026, https://www.imf.org/external/datamapper/api/v1/BCA_NGDPD, pulled 2026-10-19</t>
      </text>
    </comment>
    <comment authorId="0" ref="O52">
      <text>
        <t xml:space="preserve">Source: IMF WEO Oct 2026, NGDP_RPCH, 2027, https://www.imf.org/external/datamapper/api/v1/NGDP_RPCH, pulled 2026-10-19</t>
      </text>
    </comment>
    <comment authorId="0" ref="G11">
      <text>
        <t xml:space="preserve">Source: IMF WEO Oct 2026, GGXWDG_NGDP, 2026 minus 2020, https://www.imf.org/external/datamapper/api/v1/GGXWDG_NGDP, pulled 2026-10-19</t>
      </text>
    </comment>
    <comment authorId="0" ref="Q21">
      <text>
        <t xml:space="preserve">Source: IMF WEO Oct 2026, BCA_NGDPD, 2026, https://www.imf.org/external/datamapper/api/v1/BCA_NGDPD, pulled 2026-10-19</t>
      </text>
    </comment>
    <comment authorId="0" ref="P52">
      <text>
        <t xml:space="preserve">Source: IMF WEO Oct 2026, NGDP_RPCH, 2027, https://www.imf.org/external/datamapper/api/v1/NGDP_RPCH, pulled 2026-10-19</t>
      </text>
    </comment>
    <comment authorId="0" ref="H11">
      <text>
        <t xml:space="preserve">Source: IMF WEO Oct 2026, GGXWDG_NGDP, 2026 minus 2020, https://www.imf.org/external/datamapper/api/v1/GGXWDG_NGDP, pulled 2026-10-19</t>
      </text>
    </comment>
    <comment authorId="0" ref="Q52">
      <text>
        <t xml:space="preserve">Source: IMF WEO Oct 2026, NGDP_RPCH, 2027, https://www.imf.org/external/datamapper/api/v1/NGDP_RPCH, pulled 2026-10-19</t>
      </text>
    </comment>
    <comment authorId="0" ref="J11">
      <text>
        <t xml:space="preserve">Source: IMF WEO Oct 2026, GGXWDG_NGDP, 2026 minus 2020, https://www.imf.org/external/datamapper/api/v1/GGXWDG_NGDP, pulled 2026-10-19</t>
      </text>
    </comment>
  </commentList>
</comments>
</file>

<file path=xl/sharedStrings.xml><?xml version="1.0" encoding="utf-8"?>
<sst xmlns="http://schemas.openxmlformats.org/spreadsheetml/2006/main" count="3628" uniqueCount="1288">
  <si>
    <t>Randori Geopolitical-Macro Risk Desk</t>
  </si>
  <si>
    <t>Assumptions</t>
  </si>
  <si>
    <t>Rulebook: indicator thresholds and weights</t>
  </si>
  <si>
    <t>A spreadsheet build of the Randori Geopolitical Risk VaR methodology (draft of October 15, 2026) for 18 countries. It scores macro, political and event risk, turns the scores into probabilities and signals, maps each signal to trades, and runs a sample book through a Monte Carlo loss model.</t>
  </si>
  <si>
    <t>Blue cells are inputs. Values marked 'starting value' are first guesses to be fitted in the backtest.</t>
  </si>
  <si>
    <t>Each indicator is scored 0 to 100 by straight-line interpolation between its five threshold points. Level indicators take values 0 to 4, so each level maps to 0, 25, 50, 75 or 100. Thresholds are the methodology's first draft, to be fitted on the backtest.</t>
  </si>
  <si>
    <t>Status: the methodology is an untested draft and most inputs are seed estimates. No figure here should be quoted to a client or traded on before the data feeds are connected and the thresholds are fitted on the backtest.</t>
  </si>
  <si>
    <t>Scorecard aggregation</t>
  </si>
  <si>
    <t>Value</t>
  </si>
  <si>
    <t>Unit</t>
  </si>
  <si>
    <t>Source</t>
  </si>
  <si>
    <t>How the engine flows</t>
  </si>
  <si>
    <t>Worst-indicator blend weight</t>
  </si>
  <si>
    <t>1. Inputs and Country Profile</t>
  </si>
  <si>
    <t>83 indicators across the seven pillars, plus market data, flags and tradable instruments for each country.</t>
  </si>
  <si>
    <t>share</t>
  </si>
  <si>
    <t>Methodology fix 1 (base rule is 0.3)</t>
  </si>
  <si>
    <t>Minimum indicator weight for the worst-indicator term</t>
  </si>
  <si>
    <t>weight in pillar</t>
  </si>
  <si>
    <t>Methodology fix 1 (base rule is 0)</t>
  </si>
  <si>
    <t>Maximum analyst adjustment</t>
  </si>
  <si>
    <t>points</t>
  </si>
  <si>
    <t>2. Stress Inputs</t>
  </si>
  <si>
    <t>Methodology rulebook</t>
  </si>
  <si>
    <t>Randori combined shock (depreciation, growth, rates, commodity or tourism export shock) applied to the eight stress-path indicators.</t>
  </si>
  <si>
    <t>Trigger add-on cap, pillars 3 and 4</t>
  </si>
  <si>
    <t>3. Base, Stress and Indicator Scores</t>
  </si>
  <si>
    <t>Trigger add-on cap, pillar 7</t>
  </si>
  <si>
    <t>Each indicator scored 0-100 by straight-line interpolation between Rulebook thresholds; the worse of baseline and stress is kept.</t>
  </si>
  <si>
    <t>4. Adjustments and Pillar Scores</t>
  </si>
  <si>
    <t>Weighted average blended with the worst indicator, plus trigger add-ons, capped analyst adjustments and override floors. Composite uses standard or small-state weights; grade = MIN(10, INT(score/10)+1).</t>
  </si>
  <si>
    <t>Small-state test: population below</t>
  </si>
  <si>
    <t>5. Risk Engine</t>
  </si>
  <si>
    <t>millions</t>
  </si>
  <si>
    <t>Rule-based regime state (calm, stressed, crisis), 12-month default PD from rating prior + scorecard + market spread + text index in log-odds, and PDs for transfer and convertibility, expropriation, political violence and sanctions.</t>
  </si>
  <si>
    <t>Small-state test: 1-in-100-year loss at or above</t>
  </si>
  <si>
    <t>6. Signals</t>
  </si>
  <si>
    <t>% of GDP</t>
  </si>
  <si>
    <t>21 macro and event signals scored 0-100 per country.</t>
  </si>
  <si>
    <t>Small-state climate pillar weight</t>
  </si>
  <si>
    <t>7. Playbook and Trade Activation</t>
  </si>
  <si>
    <t>weight</t>
  </si>
  <si>
    <t>22 strategies, each tied to a signal, a minimum strength, an optional second condition and the instrument it needs. A trade fires where all three hold; its conviction is the signal strength.</t>
  </si>
  <si>
    <t>Pillar</t>
  </si>
  <si>
    <t>Name</t>
  </si>
  <si>
    <t>8. Portfolio VaR and MC</t>
  </si>
  <si>
    <t>Standard weight</t>
  </si>
  <si>
    <t>Sample book through a Student-t copula with global and regional factors (loadings rise with the regime), 2,000 scenarios with a fixed seed. Expected loss, VaR 95/99, expected shortfall and each country's share of the tail.</t>
  </si>
  <si>
    <t>Small-state weight</t>
  </si>
  <si>
    <t>9. Dashboard</t>
  </si>
  <si>
    <t>One row per country: score, grade, regime, PDs, top signals, the highest-conviction trade and a suggested size.</t>
  </si>
  <si>
    <t>Fiscal and debt</t>
  </si>
  <si>
    <t>Cell colors</t>
  </si>
  <si>
    <t>Blue text</t>
  </si>
  <si>
    <t>Inputs you can change (data, flags, weights, thresholds, book).</t>
  </si>
  <si>
    <t>Green fill</t>
  </si>
  <si>
    <t>IMF WEO October 2026 values pulled on October 19, 2026 (each carries a source note).</t>
  </si>
  <si>
    <t>Black text</t>
  </si>
  <si>
    <t>Formulas. Do not overwrite; change the inputs that feed them.</t>
  </si>
  <si>
    <t>ID</t>
  </si>
  <si>
    <t>Connecting the data feeds</t>
  </si>
  <si>
    <t>Where each indicator comes from</t>
  </si>
  <si>
    <t>Rulebook column P names the API or dataset for every indicator (IMF DataMapper codes, World Bank WDI/IDS codes, V-Dem, WGI, ACLED, UCDP and so on). Write pulls into the matching Inputs row; nothing else needs to change.</t>
  </si>
  <si>
    <t>Market data</t>
  </si>
  <si>
    <t>Country Profile rows P10-P13 (rating, spread, FX and reserve changes) should come from a market data feed; they drive the regime state and the market-implied PD.</t>
  </si>
  <si>
    <t>Scenario selector</t>
  </si>
  <si>
    <t>Assumptions B74: Model, All stressed or All crisis. It moves every country's regime, PD and LGD multipliers and copula loadings.</t>
  </si>
  <si>
    <t>Known limits of this version</t>
  </si>
  <si>
    <t>Indicator</t>
  </si>
  <si>
    <t>Regime state</t>
  </si>
  <si>
    <t>A threshold rule on spreads, FX and reserves stands in for the layer 3 hidden Markov model.</t>
  </si>
  <si>
    <t>Weight in pillar</t>
  </si>
  <si>
    <t>Type</t>
  </si>
  <si>
    <t>Default PD</t>
  </si>
  <si>
    <t>Rating priors and the scorecard weight are starting values; layer 1 hazard model and layer 2 weights are not fitted yet.</t>
  </si>
  <si>
    <t>Scores 0 at</t>
  </si>
  <si>
    <t>Scores 25 at</t>
  </si>
  <si>
    <t>Scores 50 at</t>
  </si>
  <si>
    <t>Monte Carlo</t>
  </si>
  <si>
    <t>Scores 75 at</t>
  </si>
  <si>
    <t>2,000 scenarios in-sheet (the methodology targets 100,000+ in code). The pseudo-random draws come from a deterministic hash of the seed, so results repeat exactly.</t>
  </si>
  <si>
    <t>Scores 100 at</t>
  </si>
  <si>
    <t>Direction</t>
  </si>
  <si>
    <t>Methodology fixes applied</t>
  </si>
  <si>
    <t>Stress path</t>
  </si>
  <si>
    <t>Worst-indicator blend 0.2 on indicators weighted 10%+ (fix 1), reserve stress only for pegs and dollarized economies (fix 2), both conditions for the boom trigger (fix 5), peg break kept out of the scorecard stress (fix 8). Change them on Assumptions.</t>
  </si>
  <si>
    <t>Level guide</t>
  </si>
  <si>
    <t>API or dataset for hookup</t>
  </si>
  <si>
    <t>Advanced economies</t>
  </si>
  <si>
    <t>Low side 0</t>
  </si>
  <si>
    <t>Thresholds are set for emerging and frontier sovereigns, so Japan and Singapore score high on debt ratios that their asset positions offset.</t>
  </si>
  <si>
    <t>Low side 25</t>
  </si>
  <si>
    <t>Low side 50</t>
  </si>
  <si>
    <t>Momentum</t>
  </si>
  <si>
    <t>Low side 75</t>
  </si>
  <si>
    <t>The momentum signal stays at 0 until a prior composite is pasted into Country Profile row P27.</t>
  </si>
  <si>
    <t>Low side 100</t>
  </si>
  <si>
    <t>Text stress index</t>
  </si>
  <si>
    <t>Placeholder zeros until the layer 2 language-model index is built.</t>
  </si>
  <si>
    <t>External</t>
  </si>
  <si>
    <t>1.1</t>
  </si>
  <si>
    <t>Institutions and governance</t>
  </si>
  <si>
    <t>Political and policy</t>
  </si>
  <si>
    <t>Macro and financial</t>
  </si>
  <si>
    <t>Debt service (interest plus principal)</t>
  </si>
  <si>
    <t>% of revenue</t>
  </si>
  <si>
    <t>Security and social</t>
  </si>
  <si>
    <t>Numeric</t>
  </si>
  <si>
    <t>Climate and disaster</t>
  </si>
  <si>
    <t>Total</t>
  </si>
  <si>
    <t>Stress depreciation, floating currency</t>
  </si>
  <si>
    <t>N</t>
  </si>
  <si>
    <t>%</t>
  </si>
  <si>
    <t>Starting value</t>
  </si>
  <si>
    <t>Stress depreciation, managed float</t>
  </si>
  <si>
    <t>Stress depreciation, peg or dollarized</t>
  </si>
  <si>
    <t>% (peg break sits in the Monte Carlo, per methodology fix)</t>
  </si>
  <si>
    <t>Methodology fix</t>
  </si>
  <si>
    <t>IMF Article IV DSA, budget documents</t>
  </si>
  <si>
    <t>Growth shock</t>
  </si>
  <si>
    <t>pp</t>
  </si>
  <si>
    <t>Interest rate shock</t>
  </si>
  <si>
    <t>Manual: IMF Article IV DSA tables</t>
  </si>
  <si>
    <t>Share of debt repricing within a year</t>
  </si>
  <si>
    <t>Primary balance loss per 1pp of growth shock</t>
  </si>
  <si>
    <t>pp of GDP</t>
  </si>
  <si>
    <t>Commodity export price shock</t>
  </si>
  <si>
    <t>Methodology (pillar 2 stress path)</t>
  </si>
  <si>
    <t>Tourism receipts shock</t>
  </si>
  <si>
    <t>1.2</t>
  </si>
  <si>
    <t>Manufacturing and services export shock</t>
  </si>
  <si>
    <t>Inflation pass-through from depreciation</t>
  </si>
  <si>
    <t>Methodology (pillar 5 stress path)</t>
  </si>
  <si>
    <t>FX debt service due in next 24 months</t>
  </si>
  <si>
    <t>% of FX reserves</t>
  </si>
  <si>
    <t>Probability layer</t>
  </si>
  <si>
    <t>Scorecard centre (universe average composite)</t>
  </si>
  <si>
    <t>World Bank IDS projected debt service, Eurobond schedules, IMF reserves</t>
  </si>
  <si>
    <t>World Bank IDS API (DT.TDS.DPPG.CD) + IMF IRFCL</t>
  </si>
  <si>
    <t>Country Profile: market data, flags and tradable instruments</t>
  </si>
  <si>
    <t>1.3</t>
  </si>
  <si>
    <t>Blue values are inputs (seed estimates as of October 2026; replace with live feeds). Yes/No flags drive the override floors and the regime state. Instrument rows decide which trades in the Playbook can be expressed.</t>
  </si>
  <si>
    <t>Gross government debt</t>
  </si>
  <si>
    <t>Key</t>
  </si>
  <si>
    <t>Field</t>
  </si>
  <si>
    <t>Unit or source</t>
  </si>
  <si>
    <t>Y</t>
  </si>
  <si>
    <t>IMF WEO; Randori stress path</t>
  </si>
  <si>
    <t>IMF DataMapper GGXWDG_NGDP</t>
  </si>
  <si>
    <t>1.4</t>
  </si>
  <si>
    <t>Vietnam</t>
  </si>
  <si>
    <t>Gross financing need</t>
  </si>
  <si>
    <t>Philippines</t>
  </si>
  <si>
    <t>China</t>
  </si>
  <si>
    <t>Malaysia</t>
  </si>
  <si>
    <t>Singapore</t>
  </si>
  <si>
    <t>Japan</t>
  </si>
  <si>
    <t>South Korea</t>
  </si>
  <si>
    <t>India</t>
  </si>
  <si>
    <t>Pakistan</t>
  </si>
  <si>
    <t>Belize</t>
  </si>
  <si>
    <t>Brazil</t>
  </si>
  <si>
    <t>Argentina</t>
  </si>
  <si>
    <t>Colombia</t>
  </si>
  <si>
    <t>Venezuela</t>
  </si>
  <si>
    <t>Calculated</t>
  </si>
  <si>
    <t>Nigeria</t>
  </si>
  <si>
    <t>Senegal</t>
  </si>
  <si>
    <t>Zambia</t>
  </si>
  <si>
    <t>Scorecard weight w_s</t>
  </si>
  <si>
    <t>Zimbabwe</t>
  </si>
  <si>
    <t>IMF Article IV DSA / Fiscal Monitor; Randori stress path</t>
  </si>
  <si>
    <t>Manual: IMF Fiscal Monitor GFN table</t>
  </si>
  <si>
    <t>P1</t>
  </si>
  <si>
    <t>log-odds per point</t>
  </si>
  <si>
    <t>iso</t>
  </si>
  <si>
    <t>1.5</t>
  </si>
  <si>
    <t>Starting value; fit on history (layer 2)</t>
  </si>
  <si>
    <t>ISO code</t>
  </si>
  <si>
    <t>Foreign-currency share of government debt</t>
  </si>
  <si>
    <t>Market signal weight w_m</t>
  </si>
  <si>
    <t>VNM</t>
  </si>
  <si>
    <t>% of debt</t>
  </si>
  <si>
    <t>PHL</t>
  </si>
  <si>
    <t>CHN</t>
  </si>
  <si>
    <t>MYS</t>
  </si>
  <si>
    <t>SGP</t>
  </si>
  <si>
    <t>share of market vs rating log-odds gap</t>
  </si>
  <si>
    <t>JPN</t>
  </si>
  <si>
    <t>KOR</t>
  </si>
  <si>
    <t>IND</t>
  </si>
  <si>
    <t>PAK</t>
  </si>
  <si>
    <t>Text stress weight w_t</t>
  </si>
  <si>
    <t>BLZ</t>
  </si>
  <si>
    <t>BRA</t>
  </si>
  <si>
    <t>ARG</t>
  </si>
  <si>
    <t>log-odds per z</t>
  </si>
  <si>
    <t>Article IV DSA, World Bank IDS</t>
  </si>
  <si>
    <t>COL</t>
  </si>
  <si>
    <t>World Bank IDS API</t>
  </si>
  <si>
    <t>VEN</t>
  </si>
  <si>
    <t>Loss given default used to back out market-implied PD</t>
  </si>
  <si>
    <t>1.6</t>
  </si>
  <si>
    <t>NGA</t>
  </si>
  <si>
    <t>SEN</t>
  </si>
  <si>
    <t>Primary balance gap (actual minus debt-stabilizing)</t>
  </si>
  <si>
    <t>ZMB</t>
  </si>
  <si>
    <t>Distress threshold: rating-implied PD at or above</t>
  </si>
  <si>
    <t>ZWE</t>
  </si>
  <si>
    <t>P2</t>
  </si>
  <si>
    <t>probability</t>
  </si>
  <si>
    <t>region</t>
  </si>
  <si>
    <t>Starting value (CCC+ and below)</t>
  </si>
  <si>
    <t>Region block (copula factor)</t>
  </si>
  <si>
    <t>Minimum market-implied PD for mispricing signals</t>
  </si>
  <si>
    <t>Asia / LatAm / Africa</t>
  </si>
  <si>
    <t>Starting value: below this, spreads are mostly risk and liquidity premium</t>
  </si>
  <si>
    <t>Computed from WEO growth, rates and debt</t>
  </si>
  <si>
    <t>Regime state rules (proxy for layer 3 hidden Markov model)</t>
  </si>
  <si>
    <t>IMF DataMapper GGXONLB_G01_GDP_PT, NGDP_RPCH</t>
  </si>
  <si>
    <t>1.7</t>
  </si>
  <si>
    <t>Change in debt/GDP over five years</t>
  </si>
  <si>
    <t>Asia</t>
  </si>
  <si>
    <t>Stressed: spread at or above</t>
  </si>
  <si>
    <t>bps</t>
  </si>
  <si>
    <t>Crisis: spread at or above</t>
  </si>
  <si>
    <t>Methodology market flag (1,000 bps)</t>
  </si>
  <si>
    <t>LatAm</t>
  </si>
  <si>
    <t>Stressed: 3-month depreciation at or above</t>
  </si>
  <si>
    <t>IMF DataMapper GGXWDG_NGDP (t minus t-5)</t>
  </si>
  <si>
    <t>Africa</t>
  </si>
  <si>
    <t>Crisis: 3-month depreciation at or above</t>
  </si>
  <si>
    <t>1.8</t>
  </si>
  <si>
    <t>Default record: restructurings or defaults, past 20 years</t>
  </si>
  <si>
    <t>P3</t>
  </si>
  <si>
    <t>count</t>
  </si>
  <si>
    <t>pop</t>
  </si>
  <si>
    <t>Population</t>
  </si>
  <si>
    <t>Stressed: 3-month reserve change at or below</t>
  </si>
  <si>
    <t>millions; World Bank SP.POP.TOTL</t>
  </si>
  <si>
    <t>Regime</t>
  </si>
  <si>
    <t>PD multiplier</t>
  </si>
  <si>
    <t>LGD multiplier</t>
  </si>
  <si>
    <t>Global factor loading</t>
  </si>
  <si>
    <t>Position size scalar</t>
  </si>
  <si>
    <t>BoC-BoE sovereign default database</t>
  </si>
  <si>
    <t>Bank of Canada CRAG database (annual file)</t>
  </si>
  <si>
    <t>P4</t>
  </si>
  <si>
    <t>Calm</t>
  </si>
  <si>
    <t>exports</t>
  </si>
  <si>
    <t>1.9</t>
  </si>
  <si>
    <t>Exports of goods and services</t>
  </si>
  <si>
    <t>% of GDP; World Bank NE.EXP.GNFS.ZS</t>
  </si>
  <si>
    <t>Contingent liabilities and arrears</t>
  </si>
  <si>
    <t>level</t>
  </si>
  <si>
    <t>Stressed</t>
  </si>
  <si>
    <t>Level 0-4</t>
  </si>
  <si>
    <t>Crisis</t>
  </si>
  <si>
    <t>P5</t>
  </si>
  <si>
    <t>Regional factor loading</t>
  </si>
  <si>
    <t>reserves</t>
  </si>
  <si>
    <t>Gross FX reserves</t>
  </si>
  <si>
    <t>% of GDP; IMF IRFCL</t>
  </si>
  <si>
    <t>Peril</t>
  </si>
  <si>
    <t>0 none known | 1 small, disclosed | 2 guarantees &gt;10% GDP or minor arrears | 3 arrears building or large SOE losses | 4 arrears &gt;5% GDP or bank/SOE bailout under way</t>
  </si>
  <si>
    <t>Driver</t>
  </si>
  <si>
    <t>Article IV, budget documents</t>
  </si>
  <si>
    <t>Base 12m probability at driver score 50</t>
  </si>
  <si>
    <t>Manual: analyst</t>
  </si>
  <si>
    <t>Log-odds slope per 10 points</t>
  </si>
  <si>
    <t>Loss given event</t>
  </si>
  <si>
    <t>2.1</t>
  </si>
  <si>
    <t>Sovereign default</t>
  </si>
  <si>
    <t>Net usable reserves</t>
  </si>
  <si>
    <t>P6</t>
  </si>
  <si>
    <t>Rating prior + scorecard + market + text</t>
  </si>
  <si>
    <t>mainexp</t>
  </si>
  <si>
    <t>% of IMF ARA metric</t>
  </si>
  <si>
    <t>Main export</t>
  </si>
  <si>
    <t>Transfer and convertibility</t>
  </si>
  <si>
    <t>UN Comtrade</t>
  </si>
  <si>
    <t>Pillar 2</t>
  </si>
  <si>
    <t>Electronics</t>
  </si>
  <si>
    <t>Manufactures</t>
  </si>
  <si>
    <t>Electrical and electronics</t>
  </si>
  <si>
    <t>Expropriation</t>
  </si>
  <si>
    <t>Electronics and refined fuels</t>
  </si>
  <si>
    <t>Pillar 3</t>
  </si>
  <si>
    <t>Vehicles</t>
  </si>
  <si>
    <t>Semiconductors</t>
  </si>
  <si>
    <t>Refined fuels and IT services</t>
  </si>
  <si>
    <t>Textiles</t>
  </si>
  <si>
    <t>Political violence</t>
  </si>
  <si>
    <t>Tourism</t>
  </si>
  <si>
    <t>Average of pillars 4 and 6</t>
  </si>
  <si>
    <t>Soybeans, iron ore, oil</t>
  </si>
  <si>
    <t>IMF reserves template, IMF ARA data, central bank</t>
  </si>
  <si>
    <t>Soy complex</t>
  </si>
  <si>
    <t>Crude oil</t>
  </si>
  <si>
    <t>IMF ARA dataset (annual) + IMF IRFCL</t>
  </si>
  <si>
    <t>Gold and oil</t>
  </si>
  <si>
    <t>2.2</t>
  </si>
  <si>
    <t>Sanctions</t>
  </si>
  <si>
    <t>Copper</t>
  </si>
  <si>
    <t>Average of indicators 2.7 and 4.10</t>
  </si>
  <si>
    <t>External financing need (CA deficit + external debt due in 12m)</t>
  </si>
  <si>
    <t>Gold</t>
  </si>
  <si>
    <t>% of net reserves</t>
  </si>
  <si>
    <t>P7</t>
  </si>
  <si>
    <t>exptype</t>
  </si>
  <si>
    <t>Signals and sizing</t>
  </si>
  <si>
    <t>Main export type</t>
  </si>
  <si>
    <t>Commodity / Tourism / Manufacturing / Services</t>
  </si>
  <si>
    <t>Signal threshold (default minimum strength)</t>
  </si>
  <si>
    <t>Election window</t>
  </si>
  <si>
    <t>Manufacturing</t>
  </si>
  <si>
    <t>months</t>
  </si>
  <si>
    <t>Methodology (pillar 4 election scenarios)</t>
  </si>
  <si>
    <t>IMF BoP, World Bank IDS, BIS</t>
  </si>
  <si>
    <t>Momentum scale</t>
  </si>
  <si>
    <t>IMF BOP API + World Bank IDS API</t>
  </si>
  <si>
    <t>strength points per score point</t>
  </si>
  <si>
    <t>2.3</t>
  </si>
  <si>
    <t>Risk budget per trade at full conviction</t>
  </si>
  <si>
    <t>Hot money (non-resident local debt + portfolio due in 1y)</t>
  </si>
  <si>
    <t>Services</t>
  </si>
  <si>
    <t>$mm notional</t>
  </si>
  <si>
    <t>User to set</t>
  </si>
  <si>
    <t>Minimum real policy rate for carry</t>
  </si>
  <si>
    <t>Commodity</t>
  </si>
  <si>
    <t>P8</t>
  </si>
  <si>
    <t>Scenarios</t>
  </si>
  <si>
    <t>commgap</t>
  </si>
  <si>
    <t>fixed by the MC tab layout</t>
  </si>
  <si>
    <t>Central bank, IMF sovereign investor base (Arslanalp-Tsuda)</t>
  </si>
  <si>
    <t>Main export price vs 10-year real average</t>
  </si>
  <si>
    <t>Methodology targets 100,000+ in code</t>
  </si>
  <si>
    <t>IMF Sovereign Investor Base dataset</t>
  </si>
  <si>
    <t>%; World Bank Pink Sheet</t>
  </si>
  <si>
    <t>Random seed</t>
  </si>
  <si>
    <t>2.4</t>
  </si>
  <si>
    <t>integer</t>
  </si>
  <si>
    <t>Dollarized banks: FX deposits</t>
  </si>
  <si>
    <t>Fixed for repeatability</t>
  </si>
  <si>
    <t>% of deposits</t>
  </si>
  <si>
    <t>Student-t degrees of freedom</t>
  </si>
  <si>
    <t>df</t>
  </si>
  <si>
    <t>Starting value (layer 5)</t>
  </si>
  <si>
    <t>Scenario override</t>
  </si>
  <si>
    <t>P9</t>
  </si>
  <si>
    <t>fxregime</t>
  </si>
  <si>
    <t>Exchange regime type</t>
  </si>
  <si>
    <t>Float / Managed / Peg / Dollarized</t>
  </si>
  <si>
    <t>IMF Financial Soundness Indicators, central bank</t>
  </si>
  <si>
    <t>IMF FSI API</t>
  </si>
  <si>
    <t>Managed</t>
  </si>
  <si>
    <t>Model</t>
  </si>
  <si>
    <t>Float</t>
  </si>
  <si>
    <t>2.5</t>
  </si>
  <si>
    <t>Model / All stressed / All crisis</t>
  </si>
  <si>
    <t>Stress selector</t>
  </si>
  <si>
    <t>Exchange regime and convertibility</t>
  </si>
  <si>
    <t>Rating</t>
  </si>
  <si>
    <t>Rating-implied 1-year PD</t>
  </si>
  <si>
    <t>Peg</t>
  </si>
  <si>
    <t>AAA</t>
  </si>
  <si>
    <t>P10</t>
  </si>
  <si>
    <t>rating</t>
  </si>
  <si>
    <t>0 free float, no controls | 1 managed float | 2 peg/dollarized with ample reserves, or parallel premium &lt;10% | 3 peg below adequacy, multiple rates, or premium 10-50% | 4 premium &gt;50%, FX rationing or active capital controls</t>
  </si>
  <si>
    <t>S&amp;P long-term FX rating</t>
  </si>
  <si>
    <t>IMF AREAER, central bank, market reports</t>
  </si>
  <si>
    <t>S&amp;P; estimate</t>
  </si>
  <si>
    <t>Manual: IMF AREAER annual</t>
  </si>
  <si>
    <t>BB+</t>
  </si>
  <si>
    <t>BBB+</t>
  </si>
  <si>
    <t>Smoothed starting values, to be fitted to agency 17g-7 histories</t>
  </si>
  <si>
    <t>A+</t>
  </si>
  <si>
    <t>2.6</t>
  </si>
  <si>
    <t>A-</t>
  </si>
  <si>
    <t>AA+</t>
  </si>
  <si>
    <t>Official backstop: support available vs reliance</t>
  </si>
  <si>
    <t>AA</t>
  </si>
  <si>
    <t>BBB</t>
  </si>
  <si>
    <t>B-</t>
  </si>
  <si>
    <t>BB</t>
  </si>
  <si>
    <t>AA-</t>
  </si>
  <si>
    <t>SD</t>
  </si>
  <si>
    <t>B</t>
  </si>
  <si>
    <t>CCC+</t>
  </si>
  <si>
    <t>0 large precautionary line or major swap line unused | 1 IMF program on track or swaps undrawn | 2 no program, ordinary access | 3 program off track or drawn swaps/rolled deposits &gt;25% reserves | 4 program suspended and drawn swaps/deposits &gt;50% reserves</t>
  </si>
  <si>
    <t>IMF country pages, central bank, press</t>
  </si>
  <si>
    <t>A</t>
  </si>
  <si>
    <t>P11</t>
  </si>
  <si>
    <t>Manual: IMF lending arrangements (MONA)</t>
  </si>
  <si>
    <t>spread</t>
  </si>
  <si>
    <t>5Y CDS or EMBI spread</t>
  </si>
  <si>
    <t>2.7</t>
  </si>
  <si>
    <t>bps; Bloomberg/LSEG or JPM EMBI</t>
  </si>
  <si>
    <t>Access to the dollar banking system</t>
  </si>
  <si>
    <t>BBB-</t>
  </si>
  <si>
    <t>0 no issues | 1 some loss of correspondents | 2 FATF grey list | 3 grey list plus loss of major USD correspondents, or targeted sanctions | 4 FATF black list or sanctions blocking USD clearing</t>
  </si>
  <si>
    <t>FATF lists (Feb/Jun/Oct), World Bank/IMF correspondent banking reports</t>
  </si>
  <si>
    <t>P12</t>
  </si>
  <si>
    <t>Manual: FATF plenary lists</t>
  </si>
  <si>
    <t>fx3m</t>
  </si>
  <si>
    <t>FX change vs USD, past 3 months</t>
  </si>
  <si>
    <t>BB-</t>
  </si>
  <si>
    <t>2.8</t>
  </si>
  <si>
    <t>% depreciation (+); FRED or central bank</t>
  </si>
  <si>
    <t>Current account balance</t>
  </si>
  <si>
    <t>B+</t>
  </si>
  <si>
    <t>CCC</t>
  </si>
  <si>
    <t>P13</t>
  </si>
  <si>
    <t>res3m</t>
  </si>
  <si>
    <t>Reserves change, past 3 months</t>
  </si>
  <si>
    <t>CCC-</t>
  </si>
  <si>
    <t>%; IMF IRFCL</t>
  </si>
  <si>
    <t>IMF DataMapper BCA_NGDPD</t>
  </si>
  <si>
    <t>CC</t>
  </si>
  <si>
    <t>2.9</t>
  </si>
  <si>
    <t>Short-term external debt</t>
  </si>
  <si>
    <t>D</t>
  </si>
  <si>
    <t>P14</t>
  </si>
  <si>
    <t>Override floors</t>
  </si>
  <si>
    <t>policy</t>
  </si>
  <si>
    <t>Policy rate</t>
  </si>
  <si>
    <t>%; BIS CBPOL</t>
  </si>
  <si>
    <t>Pillar 1 floor: in default or distressed exchange</t>
  </si>
  <si>
    <t>World Bank IDS, BIS</t>
  </si>
  <si>
    <t>World Bank IDS API (DT.DOD.DSTC.IR.ZS)</t>
  </si>
  <si>
    <t>2.10</t>
  </si>
  <si>
    <t>Pillar 2 floor: external arrears, premium above threshold, or black list</t>
  </si>
  <si>
    <t>External debt</t>
  </si>
  <si>
    <t>% of exports of goods and services</t>
  </si>
  <si>
    <t>Pillar 2: parallel premium threshold</t>
  </si>
  <si>
    <t>Pillar 3 floor: expropriation without compensation, past 3 years</t>
  </si>
  <si>
    <t>Pillar 4 floor: coup within 12 months</t>
  </si>
  <si>
    <t>World Bank IDS</t>
  </si>
  <si>
    <t>Pillar 4 floor: stated intent not to pay</t>
  </si>
  <si>
    <t>World Bank IDS API (DT.DOD.DECT.EX.ZS)</t>
  </si>
  <si>
    <t>P15</t>
  </si>
  <si>
    <t>2.11</t>
  </si>
  <si>
    <t>election</t>
  </si>
  <si>
    <t>Pillar 5: hyperinflation threshold</t>
  </si>
  <si>
    <t>Next national election</t>
  </si>
  <si>
    <t>Export concentration: largest commodity or sector</t>
  </si>
  <si>
    <t>IFES ElectionGuide</t>
  </si>
  <si>
    <t>% of exports</t>
  </si>
  <si>
    <t>2031 (National Assembly)</t>
  </si>
  <si>
    <t>Pillar 5 floor: hyperinflation</t>
  </si>
  <si>
    <t>May 2028 (general)</t>
  </si>
  <si>
    <t>None (NPC)</t>
  </si>
  <si>
    <t>By early 2028 (general)</t>
  </si>
  <si>
    <t>2030 (general)</t>
  </si>
  <si>
    <t>Pillar 5 floor: banking crisis under way</t>
  </si>
  <si>
    <t>2028 (upper house)</t>
  </si>
  <si>
    <t>Apr 2028 (legislative)</t>
  </si>
  <si>
    <t>2029 (general)</t>
  </si>
  <si>
    <t>UN Comtrade, IMF BoP</t>
  </si>
  <si>
    <t>Pillar 6 floor: war on national territory</t>
  </si>
  <si>
    <t>UN Comtrade API</t>
  </si>
  <si>
    <t>Oct 2026 runoff</t>
  </si>
  <si>
    <t>Oct 2027 (presidential)</t>
  </si>
  <si>
    <t>2.12</t>
  </si>
  <si>
    <t>2030 (presidential)</t>
  </si>
  <si>
    <t>Pillar 6 floor: nationwide state of emergency</t>
  </si>
  <si>
    <t>Disputed 2024 result</t>
  </si>
  <si>
    <t>Feb 2027 (general)</t>
  </si>
  <si>
    <t>Real exchange rate vs 10-year average</t>
  </si>
  <si>
    <t>2029 (presidential)</t>
  </si>
  <si>
    <t>% above average</t>
  </si>
  <si>
    <t>2031 (general)</t>
  </si>
  <si>
    <t>2028 (general)</t>
  </si>
  <si>
    <t>Pillar 7 floor: disaster loss of 10% of GDP or more</t>
  </si>
  <si>
    <t>P16</t>
  </si>
  <si>
    <t>elmonths</t>
  </si>
  <si>
    <t>Months to next national election</t>
  </si>
  <si>
    <t>Boom trigger: main export price above 10-year average by at least</t>
  </si>
  <si>
    <t>BIS or IMF REER</t>
  </si>
  <si>
    <t>BIS REER API (broad)</t>
  </si>
  <si>
    <t>Methodology (pillar 3 trigger, both conditions per fix 5)</t>
  </si>
  <si>
    <t>3.1</t>
  </si>
  <si>
    <t>Boom trigger: aggregated pillar 1 at or above</t>
  </si>
  <si>
    <t>Record on investor treatment, past 20 years</t>
  </si>
  <si>
    <t>Methodology</t>
  </si>
  <si>
    <t>Boom trigger points</t>
  </si>
  <si>
    <t>P17</t>
  </si>
  <si>
    <t>default</t>
  </si>
  <si>
    <t>In default or arrears to creditors</t>
  </si>
  <si>
    <t>Yes / No</t>
  </si>
  <si>
    <t>0 none | 1 one case, negotiated and compensated | 2 one contested case or sector-wide renegotiation | 3 several cases or one without fair compensation | 4 nationalization program under way</t>
  </si>
  <si>
    <t>UNCTAD investment dispute database, Randori notes, press</t>
  </si>
  <si>
    <t>UNCTAD ISDS Navigator (manual)</t>
  </si>
  <si>
    <t>3.2</t>
  </si>
  <si>
    <t>Arbitration award compliance</t>
  </si>
  <si>
    <t>No</t>
  </si>
  <si>
    <t>0 no awards or paid promptly | 1 paid within two years | 2 paid only after enforcement, or partly | 3 unpaid for over two years | 4 open refusal, asset seizures, or ICSID exit</t>
  </si>
  <si>
    <t>ICSID and UNCTAD case records, court filings</t>
  </si>
  <si>
    <t>ICSID case database (manual)</t>
  </si>
  <si>
    <t>3.3</t>
  </si>
  <si>
    <t>Treaty protection</t>
  </si>
  <si>
    <t>Yes</t>
  </si>
  <si>
    <t>P18</t>
  </si>
  <si>
    <t>extarrears</t>
  </si>
  <si>
    <t>External arrears to commercial creditors</t>
  </si>
  <si>
    <t>0 ICSID member, BITs in force with major investors | 1 ICSID member, few treaties | 2 not ICSID member, thin cover, or treaties under review | 3 treaties ended or consent withdrawn in past 10 years | 4 left ICSID or ended all BITs</t>
  </si>
  <si>
    <t>UNCTAD IIA Navigator, ICSID member list</t>
  </si>
  <si>
    <t>UNCTAD IIA Navigator (manual)</t>
  </si>
  <si>
    <t>3.4</t>
  </si>
  <si>
    <t>Direction of change: 3-year change in WGI composite</t>
  </si>
  <si>
    <t>percentile points</t>
  </si>
  <si>
    <t>P19</t>
  </si>
  <si>
    <t>parallel</t>
  </si>
  <si>
    <t>World Bank WGI</t>
  </si>
  <si>
    <t>Parallel market premium</t>
  </si>
  <si>
    <t>World Bank WGI API (RL/CC/RQ .PER.RNK)</t>
  </si>
  <si>
    <t>Inputs: indicator values by country (baseline)</t>
  </si>
  <si>
    <t>3.5</t>
  </si>
  <si>
    <t>WGI composite (rule of law, corruption, regulatory quality)</t>
  </si>
  <si>
    <t>Blue values are inputs. Green-shaded cells are IMF WEO October 2026 values; all other values are seed estimates to be replaced by the API in Rulebook column P. Level indicators use 0-4 (see Rulebook column N).</t>
  </si>
  <si>
    <t>percentile</t>
  </si>
  <si>
    <t>P20</t>
  </si>
  <si>
    <t>exprop</t>
  </si>
  <si>
    <t>Expropriation without compensation or asset seizure, past 3 years</t>
  </si>
  <si>
    <t>3.6</t>
  </si>
  <si>
    <t>Courts and legislature constrain the executive (V-Dem)</t>
  </si>
  <si>
    <t>index 0-1</t>
  </si>
  <si>
    <t>V-Dem</t>
  </si>
  <si>
    <t>V-Dem dataset (v2x_jucon, v2xlg_legcon)</t>
  </si>
  <si>
    <t>3.7</t>
  </si>
  <si>
    <t>Civil justice and contract enforcement (WJP)</t>
  </si>
  <si>
    <t>P21</t>
  </si>
  <si>
    <t>coup</t>
  </si>
  <si>
    <t>Coup or unconstitutional change, past 12 months</t>
  </si>
  <si>
    <t>World Justice Project Rule of Law Index</t>
  </si>
  <si>
    <t>WJP Rule of Law Index (factor 7)</t>
  </si>
  <si>
    <t>3.8</t>
  </si>
  <si>
    <t>Budget and data credibility</t>
  </si>
  <si>
    <t>P22</t>
  </si>
  <si>
    <t>nopay</t>
  </si>
  <si>
    <t>Stated intent not to pay debt</t>
  </si>
  <si>
    <t>0 meets SDDS, no misreporting | 1 SDDS with gaps or e-GDDS met | 2 e-GDDS with gaps or weak open budget | 3 misreporting within 10 years or large unexplained revisions | 4 data suppressed, falsification, or hidden debt found</t>
  </si>
  <si>
    <t>IMF data standards, Open Budget Survey, PEFA, Article IV</t>
  </si>
  <si>
    <t>Manual: IMF DSBB</t>
  </si>
  <si>
    <t>3.9</t>
  </si>
  <si>
    <t>P23</t>
  </si>
  <si>
    <t>bankcrisis</t>
  </si>
  <si>
    <t>Banking crisis under way</t>
  </si>
  <si>
    <t>State's growing role in strategic sectors</t>
  </si>
  <si>
    <t>P24</t>
  </si>
  <si>
    <t>emergency</t>
  </si>
  <si>
    <t>0 privatizing or stable private role | 1 state role stable | 2 larger stake in one sector, negotiated | 3 control in several sectors or local ownership mandates | 4 sector-wide nationalization policy</t>
  </si>
  <si>
    <t>Nationwide state of emergency for armed violence</t>
  </si>
  <si>
    <t>Randori notes, press, OECD SOE data</t>
  </si>
  <si>
    <t>3.10</t>
  </si>
  <si>
    <t>Central bank independence in practice</t>
  </si>
  <si>
    <t>P25</t>
  </si>
  <si>
    <t>disaster</t>
  </si>
  <si>
    <t>Disaster loss of 10% of GDP or more, past 12 months</t>
  </si>
  <si>
    <t>0 independent, no monetary financing | 1 minor lapses | 2 governor replaced early or occasional monetary financing | 3 regular monetary financing | 4 financing the budget at scale or quasi-fiscal losses</t>
  </si>
  <si>
    <t>Article IV, central bank law and accounts, Garriga CBI index</t>
  </si>
  <si>
    <t>4.1</t>
  </si>
  <si>
    <t>Street pressure against promised adjustment</t>
  </si>
  <si>
    <t>P26</t>
  </si>
  <si>
    <t>0 little adjustment or normal protests | 1 adjustment &lt;1.5% GDP, protests slightly above normal | 2 adjustment &gt;=1.5% GDP with protests above normal | 3 protests forced a reversal or turned deadly | 4 government fell or dropped IMF measures under street pressure</t>
  </si>
  <si>
    <t>textz</t>
  </si>
  <si>
    <t>Pillar 1 gap, ACLED/GDELT protest counts vs 5-year average</t>
  </si>
  <si>
    <t>ACLED API (protests) + analyst</t>
  </si>
  <si>
    <t>z-score; layer 2 language-model index (not built yet)</t>
  </si>
  <si>
    <t>4.2</t>
  </si>
  <si>
    <t>Military and elite cohesion</t>
  </si>
  <si>
    <t>P27</t>
  </si>
  <si>
    <t>prior</t>
  </si>
  <si>
    <t>Prior composite score (last run)</t>
  </si>
  <si>
    <t>0 professional, paid, no purges | 1 minor grievances | 2 pay arrears or top commanders reshuffled | 3 purges, mutinies or rival armed units | 4 open split or mutiny</t>
  </si>
  <si>
    <t>points; paste last run's composite here</t>
  </si>
  <si>
    <t>Press, ACLED, Crisis Group, IISS</t>
  </si>
  <si>
    <t>4.3</t>
  </si>
  <si>
    <t>Regime type and factionalism</t>
  </si>
  <si>
    <t>P28</t>
  </si>
  <si>
    <t>CDS</t>
  </si>
  <si>
    <t>Liquid sovereign CDS</t>
  </si>
  <si>
    <t>0 full democracy | 1 stable full autocracy | 2 partial autocracy | 3 partial democracy | 4 partial democracy with polarized, exclusionary factions</t>
  </si>
  <si>
    <t>V-Dem regime classification and polarization</t>
  </si>
  <si>
    <t>V-Dem dataset (v2x_regime, v2cacamps)</t>
  </si>
  <si>
    <t>4.4</t>
  </si>
  <si>
    <t>Coup and irregular transfer of power</t>
  </si>
  <si>
    <t>0 no attempt in 50 years | 1 last attempt &gt;20 years ago | 2 attempt within 20 years or military active in politics | 3 attempt within 5 years or coup in a neighbor within 3 years | 4 successful coup within 5 years or military government</t>
  </si>
  <si>
    <t>P29</t>
  </si>
  <si>
    <t>Powell-Thyne coup data, Cline Center</t>
  </si>
  <si>
    <t>Eurobond</t>
  </si>
  <si>
    <t>Powell-Thyne dataset (monthly file)</t>
  </si>
  <si>
    <t>Hard-currency sovereign bonds outstanding</t>
  </si>
  <si>
    <t>4.5</t>
  </si>
  <si>
    <t>Election timing and contestation</t>
  </si>
  <si>
    <t>0 no national election within 24m, results accepted | 1 election within 24m, competitive | 2 election within 12m, polarized or strong anti-establishment challenger | 3 last result disputed or term-limit evasion | 4 election postponed/cancelled or results rejected with unrest</t>
  </si>
  <si>
    <t>IFES ElectionGuide, NELDA, V-Dem</t>
  </si>
  <si>
    <t>IFES ElectionGuide (manual)</t>
  </si>
  <si>
    <t>4.6</t>
  </si>
  <si>
    <t>Policy predictability: abrupt changes by decree, past 5 years</t>
  </si>
  <si>
    <t>P30</t>
  </si>
  <si>
    <t>FX</t>
  </si>
  <si>
    <t>Tradable FX (deliverable or NDF)</t>
  </si>
  <si>
    <t>0 none | 1 one, consulted and phased | 2 two or three, or one sudden and large | 3 frequent reversals | 4 rule by decree is routine</t>
  </si>
  <si>
    <t>Randori event log, Article IV, press</t>
  </si>
  <si>
    <t>Manual: analyst event log</t>
  </si>
  <si>
    <t>4.7</t>
  </si>
  <si>
    <t>Government's ability to pass what it needs</t>
  </si>
  <si>
    <t>0 stable majority | 1 working majority with friction | 2 minority or fragile coalition | 3 repeated failure to pass budgets or program measures | 4 deadlock, or president removed in past 2 years</t>
  </si>
  <si>
    <t>IDB Database of Political Institutions, legislative records</t>
  </si>
  <si>
    <t>P31</t>
  </si>
  <si>
    <t>FX options</t>
  </si>
  <si>
    <t>FX options market</t>
  </si>
  <si>
    <t>4.8</t>
  </si>
  <si>
    <t>Stance toward creditors and investors</t>
  </si>
  <si>
    <t>0 committed to paying and contracts | 1 mild criticism | 2 calls for debt audits or contract reviews | 3 official plan to renegotiate on state's terms | 4 intent not to pay 'illegitimate' debt or nationalization pledges</t>
  </si>
  <si>
    <t>Platforms, speeches, press</t>
  </si>
  <si>
    <t>4.9</t>
  </si>
  <si>
    <t>Outside patrons</t>
  </si>
  <si>
    <t>P32</t>
  </si>
  <si>
    <t>Local rates</t>
  </si>
  <si>
    <t>Local bonds or rates swaps accessible</t>
  </si>
  <si>
    <t>0 diverse partners | 1 one major partner, stable | 2 relies on one patron's money or security | 3 patron wavering or under pressure | 4 survival depends on foreign forces or patron withdrawing</t>
  </si>
  <si>
    <t>Press, SIPRI, AidData, central bank</t>
  </si>
  <si>
    <t>4.10</t>
  </si>
  <si>
    <t>Geopolitical position and outside pressure</t>
  </si>
  <si>
    <t>0 stable ties | 1 minor disputes | 2 active border/legal dispute or tariff/sanctions threats | 3 targeted sanctions or major power pressing for policy change | 4 comprehensive sanctions or armed conflict with a neighbor</t>
  </si>
  <si>
    <t>OFAC, ICJ docket, press</t>
  </si>
  <si>
    <t>OFAC SDN API + analyst</t>
  </si>
  <si>
    <t>4.11</t>
  </si>
  <si>
    <t>Leader and succession risk</t>
  </si>
  <si>
    <t>P33</t>
  </si>
  <si>
    <t>Equity</t>
  </si>
  <si>
    <t>Country equity ETF or liquid index</t>
  </si>
  <si>
    <t>0 institutionalized succession | 1 clear succession, some personal rule | 2 personalist leader, unclear successor | 3 past term limits or poor health, contested succession | 4 succession crisis under way</t>
  </si>
  <si>
    <t>V-Dem, Geddes-Wright-Frantz, press</t>
  </si>
  <si>
    <t>5.1</t>
  </si>
  <si>
    <t>Banks' claims on government</t>
  </si>
  <si>
    <t>% of bank assets</t>
  </si>
  <si>
    <t>IMF monetary and financial statistics, central bank</t>
  </si>
  <si>
    <t>P34</t>
  </si>
  <si>
    <t>IMF MFS API</t>
  </si>
  <si>
    <t>etf</t>
  </si>
  <si>
    <t>5.2</t>
  </si>
  <si>
    <t>Equity vehicle</t>
  </si>
  <si>
    <t>ticker</t>
  </si>
  <si>
    <t>Currency mismatch: FX loans</t>
  </si>
  <si>
    <t>EPHE</t>
  </si>
  <si>
    <t>% of loans</t>
  </si>
  <si>
    <t>MCHI</t>
  </si>
  <si>
    <t>EWM</t>
  </si>
  <si>
    <t>EWS</t>
  </si>
  <si>
    <t>EWJ</t>
  </si>
  <si>
    <t>EWY</t>
  </si>
  <si>
    <t>INDA</t>
  </si>
  <si>
    <t>EWZ</t>
  </si>
  <si>
    <t>ARGT</t>
  </si>
  <si>
    <t>IMF FSI, BIS, central bank</t>
  </si>
  <si>
    <t>5.3</t>
  </si>
  <si>
    <t>Concentration and the weakest large bank</t>
  </si>
  <si>
    <t>0 top-3 &lt;50% of assets, all large banks sound | 1 top-3 50-70%, all sound | 2 one large bank with weak capital or NPLs 8-12% | 3 one large bank below minimum capital, NPLs &gt;12%, or under watch | 4 large bank failed or rescued in past year</t>
  </si>
  <si>
    <t>Bank reports, central bank FSRs, ratings</t>
  </si>
  <si>
    <t>5.4</t>
  </si>
  <si>
    <t>Commodity link: real credit growth vs main export price</t>
  </si>
  <si>
    <t>correlation</t>
  </si>
  <si>
    <t>World Bank Pink Sheet, IMF credit data</t>
  </si>
  <si>
    <t>Computed: WB Pink Sheet + IMF IFS credit</t>
  </si>
  <si>
    <t>5.5</t>
  </si>
  <si>
    <t>Inflation, 12 months</t>
  </si>
  <si>
    <t>National statistics, IMF WEO; Randori stress path</t>
  </si>
  <si>
    <t>IMF DataMapper PCPIPCH</t>
  </si>
  <si>
    <t>5.6</t>
  </si>
  <si>
    <t>Real GDP growth next year</t>
  </si>
  <si>
    <t>IMF DataMapper NGDP_RPCH</t>
  </si>
  <si>
    <t>5.7</t>
  </si>
  <si>
    <t>State-owned banks</t>
  </si>
  <si>
    <t>World Bank regulation and supervision survey, central bank</t>
  </si>
  <si>
    <t>World Bank BRSS (manual)</t>
  </si>
  <si>
    <t>5.8</t>
  </si>
  <si>
    <t>Lenders outside the banks</t>
  </si>
  <si>
    <t>0 small and supervised | 1 growing, supervised | 2 &gt;10% of credit or &gt;20% growth with light supervision | 3 large and unsupervised or recent failures | 4 non-bank collapse spreading to banks</t>
  </si>
  <si>
    <t>Central bank FSRs, IMF FSAP, GSMA</t>
  </si>
  <si>
    <t>5.9</t>
  </si>
  <si>
    <t>Credit-to-GDP gap</t>
  </si>
  <si>
    <t>BIS credit gaps, or computed from IMF data</t>
  </si>
  <si>
    <t>BIS credit-to-GDP gaps API</t>
  </si>
  <si>
    <t>5.10</t>
  </si>
  <si>
    <t>Non-performing loans, system-wide</t>
  </si>
  <si>
    <t>IMF FSI</t>
  </si>
  <si>
    <t>World Bank WDI FB.AST.NPER.ZS / IMF FSI</t>
  </si>
  <si>
    <t>5.11</t>
  </si>
  <si>
    <t>Real deposit growth, 12 months</t>
  </si>
  <si>
    <t>Central bank monthly monetary data</t>
  </si>
  <si>
    <t>IMF IFS API (deposits) deflated by CPI</t>
  </si>
  <si>
    <t>5.12</t>
  </si>
  <si>
    <t>Growth volatility: SD of real GDP growth, 15y (ex 2020-21)</t>
  </si>
  <si>
    <t>IMF WEO</t>
  </si>
  <si>
    <t>Computed: IMF DataMapper NGDP_RPCH history</t>
  </si>
  <si>
    <t>5.13</t>
  </si>
  <si>
    <t>Real policy rate (two-sided: 0 to +4 scores 0)</t>
  </si>
  <si>
    <t>High side in G:K; low side thresholds in Q:U. Score is the higher of the two.</t>
  </si>
  <si>
    <t>Central bank, CPI</t>
  </si>
  <si>
    <t>Central bank policy rate (BIS CBPOL API) less CPI</t>
  </si>
  <si>
    <t>5.14</t>
  </si>
  <si>
    <t>GDP per person</t>
  </si>
  <si>
    <t>US$</t>
  </si>
  <si>
    <t>IMF DataMapper NGDPDPC</t>
  </si>
  <si>
    <t>6.1</t>
  </si>
  <si>
    <t>Armed conflict on national territory, past 12 months</t>
  </si>
  <si>
    <t>0 none | 1 &lt;25 battle deaths | 2 25-999 battle deaths | 3 1,000+ contained to a region | 4 1,000+ and spreading, or territory lost</t>
  </si>
  <si>
    <t>UCDP</t>
  </si>
  <si>
    <t>UCDP API (GED)</t>
  </si>
  <si>
    <t>6.2</t>
  </si>
  <si>
    <t>Homicide rate</t>
  </si>
  <si>
    <t>per 100,000</t>
  </si>
  <si>
    <t>UNODC, national police, InSight Crime</t>
  </si>
  <si>
    <t>World Bank WDI VC.IHR.PSRC.P5</t>
  </si>
  <si>
    <t>6.3</t>
  </si>
  <si>
    <t>Gang control and extortion</t>
  </si>
  <si>
    <t>0 none | 1 petty extortion | 2 systematic extortion in major cities | 3 gangs control prisons/neighborhoods and tax businesses | 4 gangs openly challenge the state</t>
  </si>
  <si>
    <t>InSight Crime, Global Organized Crime Index, press</t>
  </si>
  <si>
    <t>6.4</t>
  </si>
  <si>
    <t>Attacks on business and staff</t>
  </si>
  <si>
    <t>0 rare | 1 isolated | 2 regular kidnappings or infrastructure attacks in some regions | 3 frequent attacks on mines, pipelines, power lines or staff | 4 attacks forcing major sites to shut or staff to leave</t>
  </si>
  <si>
    <t>ACLED, press</t>
  </si>
  <si>
    <t>ACLED API (strategic developments, abductions)</t>
  </si>
  <si>
    <t>6.5</t>
  </si>
  <si>
    <t>State control of territory</t>
  </si>
  <si>
    <t>0 full control | 1 isolated pockets | 2 regions with frequent armed incursions | 3 large areas contested or run by armed groups | 4 capital or key zones threatened</t>
  </si>
  <si>
    <t>ACLED, Crisis Group, press</t>
  </si>
  <si>
    <t>6.6</t>
  </si>
  <si>
    <t>Youth unemployment (15-24)</t>
  </si>
  <si>
    <t>ILOSTAT modeled estimates</t>
  </si>
  <si>
    <t>World Bank WDI SL.UEM.1524.ZS</t>
  </si>
  <si>
    <t>6.7</t>
  </si>
  <si>
    <t>Illegal economy: criminal markets score (GOCI)</t>
  </si>
  <si>
    <t>score 1-10</t>
  </si>
  <si>
    <t>Global Initiative Against Transnational Organized Crime</t>
  </si>
  <si>
    <t>GOCI dataset (biennial)</t>
  </si>
  <si>
    <t>6.8</t>
  </si>
  <si>
    <t>Cyber attacks on state systems</t>
  </si>
  <si>
    <t>0 none known, strong capacity | 1 minor incidents | 2 significant breach in 3 years or weak capacity | 3 attack disrupted tax, customs or payments | 4 prolonged shutdown of state finances</t>
  </si>
  <si>
    <t>ITU GCI, CSIS cyber incidents, press</t>
  </si>
  <si>
    <t>6.9</t>
  </si>
  <si>
    <t>Political violence trend (ACLED, 12m vs 5y average)</t>
  </si>
  <si>
    <t>ratio</t>
  </si>
  <si>
    <t>ACLED</t>
  </si>
  <si>
    <t>ACLED API</t>
  </si>
  <si>
    <t>6.10</t>
  </si>
  <si>
    <t>Inequality and excluded groups</t>
  </si>
  <si>
    <t>0 Gini &lt;35, no excluded groups | 1 Gini 35-40 | 2 Gini ~45 or large group excluded | 3 Gini ~50 or excluded groups with active grievances | 4 Gini &gt;=55 or excluded groups &gt;20% in open conflict</t>
  </si>
  <si>
    <t>World Bank Gini, ETH Ethnic Power Relations</t>
  </si>
  <si>
    <t>World Bank WDI SI.POV.GINI + EPR</t>
  </si>
  <si>
    <t>6.11</t>
  </si>
  <si>
    <t>Food insecurity: population in IPC phase 3+</t>
  </si>
  <si>
    <t>IPC, FEWS NET, WFP</t>
  </si>
  <si>
    <t>IPC API</t>
  </si>
  <si>
    <t>6.12</t>
  </si>
  <si>
    <t>Spillover from neighbors</t>
  </si>
  <si>
    <t>0 no neighbor in conflict | 1 neighbor in minor conflict | 2 neighbor at war or refugees &gt;1% of population | 3 cross-border attacks | 4 active cross-border war</t>
  </si>
  <si>
    <t>UCDP, UNHCR</t>
  </si>
  <si>
    <t>UCDP API + UNHCR API</t>
  </si>
  <si>
    <t>6.13</t>
  </si>
  <si>
    <t>Terrorism (Global Terrorism Index)</t>
  </si>
  <si>
    <t>score 0-10</t>
  </si>
  <si>
    <t>Institute for Economics and Peace</t>
  </si>
  <si>
    <t>GTI dataset (annual)</t>
  </si>
  <si>
    <t>6.14</t>
  </si>
  <si>
    <t>Security forces: capacity and conduct</t>
  </si>
  <si>
    <t>0 capable and rule-bound | 1 some gaps | 2 repeated emergencies or military in routine policing | 3 widespread abuses or mass detention | 4 collapse or mass atrocities</t>
  </si>
  <si>
    <t>US State Dept human rights reports, HRW, Amnesty</t>
  </si>
  <si>
    <t>7.1</t>
  </si>
  <si>
    <t>Expected annual disaster loss</t>
  </si>
  <si>
    <t>UNDRR GAR, EM-DAT, World Bank risk profiles</t>
  </si>
  <si>
    <t>UNDRR GAR risk data (manual)</t>
  </si>
  <si>
    <t>7.2</t>
  </si>
  <si>
    <t>Tail loss: 1-in-100-year disaster</t>
  </si>
  <si>
    <t>UNDRR PML, CCRIF, World Bank</t>
  </si>
  <si>
    <t>UNDRR GAR PML (manual)</t>
  </si>
  <si>
    <t>7.3</t>
  </si>
  <si>
    <t>Back-to-back disasters: chance of major disaster within 3 years</t>
  </si>
  <si>
    <t>EM-DAT, UNDRR, cat models</t>
  </si>
  <si>
    <t>EM-DAT (licensed) + analyst</t>
  </si>
  <si>
    <t>7.4</t>
  </si>
  <si>
    <t>Loss to the main earner: exports from most hazard-exposed sector</t>
  </si>
  <si>
    <t>National accounts, WTTC, FAO, ports</t>
  </si>
  <si>
    <t>7.5</t>
  </si>
  <si>
    <t>Insurance protection gap: uninsured share of expected losses</t>
  </si>
  <si>
    <t>Swiss Re, Munich Re, regulators</t>
  </si>
  <si>
    <t>Swiss Re sigma (annual, manual)</t>
  </si>
  <si>
    <t>7.6</t>
  </si>
  <si>
    <t>Financial protection</t>
  </si>
  <si>
    <t>0 layered: reserve fund, contingent credit, parametric cover, disaster clauses | 1 two of these | 2 one of these | 3 none, but emergency IMF/WB financing likely | 4 none and no fiscal room</t>
  </si>
  <si>
    <t>CCRIF, ARC, World Bank Cat DDO, bond documents</t>
  </si>
  <si>
    <t>7.7</t>
  </si>
  <si>
    <t>Basis risk in parametric cover (blank if no cover)</t>
  </si>
  <si>
    <t>0 triggers well matched | 1 minor gaps | 2 known gaps | 3 past event with large loss and small payout | 4 cover dropped after missed payout</t>
  </si>
  <si>
    <t>CCRIF and ARC payout histories</t>
  </si>
  <si>
    <t>7.8</t>
  </si>
  <si>
    <t>Exposure concentration: low-lying coast or single hazard zone</t>
  </si>
  <si>
    <t>CIESIN LECZ, World Bank</t>
  </si>
  <si>
    <t>CIESIN LECZ dataset</t>
  </si>
  <si>
    <t>7.9</t>
  </si>
  <si>
    <t>Climate-driven conflict</t>
  </si>
  <si>
    <t>0 none | 1 occasional land or water disputes | 2 recurring herder-farmer or water conflict in drought years | 3 deadly climate-linked conflict in several regions | 4 drought-driven conflict displacing large populations</t>
  </si>
  <si>
    <t>ACLED communal violence, SPEI, FEWS NET</t>
  </si>
  <si>
    <t>ACLED API + SPEI</t>
  </si>
  <si>
    <t>7.10</t>
  </si>
  <si>
    <t>Transition risk: fossil fuels, % of exports or revenue</t>
  </si>
  <si>
    <t>UN Comtrade, Article IV, EITI</t>
  </si>
  <si>
    <t>UN Comtrade API (HS 27)</t>
  </si>
  <si>
    <t>7.11</t>
  </si>
  <si>
    <t>Climate vulnerability (ND-GAIN)</t>
  </si>
  <si>
    <t>score 0-1</t>
  </si>
  <si>
    <t>Notre Dame Global Adaptation Initiative</t>
  </si>
  <si>
    <t>ND-GAIN dataset (annual)</t>
  </si>
  <si>
    <t>7.12</t>
  </si>
  <si>
    <t>Water stress (WRI Aqueduct)</t>
  </si>
  <si>
    <t>0 low | 1 low-medium | 2 medium-high | 3 high | 4 extremely high</t>
  </si>
  <si>
    <t>WRI Aqueduct</t>
  </si>
  <si>
    <t>WRI Aqueduct country rankings</t>
  </si>
  <si>
    <t>7.13</t>
  </si>
  <si>
    <t>Recovery speed: years for GDP to regain level after last major disaster</t>
  </si>
  <si>
    <t>years</t>
  </si>
  <si>
    <t>IMF post-disaster reviews, PDNAs, WEO</t>
  </si>
  <si>
    <t>Stress Scores: indicator scores on stress-path inputs</t>
  </si>
  <si>
    <t>Base Scores: indicator scores on baseline inputs (0 = lowest risk, 100 = highest)</t>
  </si>
  <si>
    <t>Stress Inputs: Randori combined shock on the eight stress-path indicators</t>
  </si>
  <si>
    <t>Same interpolation as Base Scores, applied to Stress Inputs. Blank where the indicator has no stress path.</t>
  </si>
  <si>
    <t>All cells are formulas built from Inputs, Country Profile and the stress parameters on Assumptions. Blank rows are not stress-path indicators. The scorecard uses the worse of the baseline and stress scores.</t>
  </si>
  <si>
    <t>Straight-line interpolation between the Rulebook threshold points; values beyond the ends score 0 or 100.</t>
  </si>
  <si>
    <t>Geopolitical-Macro Risk Desk</t>
  </si>
  <si>
    <t>Country</t>
  </si>
  <si>
    <t>Column (helper)</t>
  </si>
  <si>
    <t>Region</t>
  </si>
  <si>
    <t>Composite score</t>
  </si>
  <si>
    <t>Grade</t>
  </si>
  <si>
    <t>Default PD (12m)</t>
  </si>
  <si>
    <t>Market-implied PD</t>
  </si>
  <si>
    <t>Any loss event PD</t>
  </si>
  <si>
    <t>Top three risk signals</t>
  </si>
  <si>
    <t>Trades firing</t>
  </si>
  <si>
    <t>Highest-conviction trade</t>
  </si>
  <si>
    <t>Conviction</t>
  </si>
  <si>
    <t>Suggested notional ($mm)</t>
  </si>
  <si>
    <t>All trades firing</t>
  </si>
  <si>
    <t>Stress helpers</t>
  </si>
  <si>
    <t>Stress depreciation</t>
  </si>
  <si>
    <t>Export shock</t>
  </si>
  <si>
    <t>Indicator Scores: the worse of baseline and stress score for each indicator</t>
  </si>
  <si>
    <t>These scores feed the pillar aggregation, the signals and the trade activation.</t>
  </si>
  <si>
    <t>Adjustments: trigger add-ons, analyst adjustments and override floors</t>
  </si>
  <si>
    <t>Blue cells are inputs. Analyst adjustments are capped at the Assumptions maximum and need a written reason in column D. Floors come from the Country Profile flags.</t>
  </si>
  <si>
    <t>Block</t>
  </si>
  <si>
    <t>Item</t>
  </si>
  <si>
    <t>Reason or rule</t>
  </si>
  <si>
    <t>Trigger add-ons (capped)</t>
  </si>
  <si>
    <t>Capped at Assumptions B7 (B8 for pillar 7)</t>
  </si>
  <si>
    <t>Analyst adjustment</t>
  </si>
  <si>
    <t>Override floor</t>
  </si>
  <si>
    <t>In default or arrears</t>
  </si>
  <si>
    <t>External arrears, premium above threshold, or black list / blocked clearing</t>
  </si>
  <si>
    <t>Expropriation without compensation, past 3 years</t>
  </si>
  <si>
    <t>Stated intent not to pay, or coup within 12 months</t>
  </si>
  <si>
    <t>Hyperinflation, or banking crisis</t>
  </si>
  <si>
    <t>War on national territory (armed conflict level 3+), or nationwide emergency</t>
  </si>
  <si>
    <t>Disaster of 10% of GDP or more, past 12 months</t>
  </si>
  <si>
    <t>Trigger inputs (before cap)</t>
  </si>
  <si>
    <t>Regional contagion: +5 one case, +10 two or more</t>
  </si>
  <si>
    <t>Food or fuel shock +10/+5; term cycle +5; early mandate -5</t>
  </si>
  <si>
    <t>Seasonal: above-normal storm forecast +5; El Nino or La Nina +5</t>
  </si>
  <si>
    <t>Computed trigger</t>
  </si>
  <si>
    <t>Commodity boom and cash squeeze</t>
  </si>
  <si>
    <t>Both conditions required (methodology fix 5)</t>
  </si>
  <si>
    <t>Pillar Scores: aggregation, adjustments and the country composite</t>
  </si>
  <si>
    <t>Aggregated = (1 - blend) x weighted average + blend x worst indicator (indicators weighted at least the Assumptions minimum). Final = aggregated + capped triggers + analyst adjustment, never below the override floor, clamped to 0-100.</t>
  </si>
  <si>
    <t>Measure</t>
  </si>
  <si>
    <t>Note</t>
  </si>
  <si>
    <t>Weighted average</t>
  </si>
  <si>
    <t>Risk Engine: regime state, 12-month default probability and peril probabilities</t>
  </si>
  <si>
    <t>Default PD follows layer 2 of the methodology: logit(posterior) = logit(rating prior) + w_s x (score - universe centre) + w_m x (market log-odds gap) + w_t x text z. Other perils use a logistic curve on their driver pillar. Regime is a rule-based proxy for the layer 3 hidden Markov model.</t>
  </si>
  <si>
    <t>R1</t>
  </si>
  <si>
    <t>score</t>
  </si>
  <si>
    <t>R2</t>
  </si>
  <si>
    <t>grade</t>
  </si>
  <si>
    <t>R3</t>
  </si>
  <si>
    <t>regime_model</t>
  </si>
  <si>
    <t>Regime state (model)</t>
  </si>
  <si>
    <t>Calm / Stressed / Crisis</t>
  </si>
  <si>
    <t>R4</t>
  </si>
  <si>
    <t>regime</t>
  </si>
  <si>
    <t>Regime state used</t>
  </si>
  <si>
    <t>after scenario override</t>
  </si>
  <si>
    <t>R5</t>
  </si>
  <si>
    <t>pdmult</t>
  </si>
  <si>
    <t>Regime PD multiplier</t>
  </si>
  <si>
    <t>x</t>
  </si>
  <si>
    <t>R6</t>
  </si>
  <si>
    <t>lgdmult</t>
  </si>
  <si>
    <t>Regime LGD multiplier</t>
  </si>
  <si>
    <t>R7</t>
  </si>
  <si>
    <t>S&amp;P rating</t>
  </si>
  <si>
    <t>R8</t>
  </si>
  <si>
    <t>pd_rating</t>
  </si>
  <si>
    <t>Rating-implied PD (prior)</t>
  </si>
  <si>
    <t>R9</t>
  </si>
  <si>
    <t>Market spread</t>
  </si>
  <si>
    <t>R10</t>
  </si>
  <si>
    <t>pd_market</t>
  </si>
  <si>
    <t>R11</t>
  </si>
  <si>
    <t>z</t>
  </si>
  <si>
    <t>R12</t>
  </si>
  <si>
    <t>dev</t>
  </si>
  <si>
    <t>Score minus universe centre</t>
  </si>
  <si>
    <t>R13</t>
  </si>
  <si>
    <t>logodds</t>
  </si>
  <si>
    <t>Posterior log-odds of default</t>
  </si>
  <si>
    <t>log-odds</t>
  </si>
  <si>
    <t>R14</t>
  </si>
  <si>
    <t>pd_post</t>
  </si>
  <si>
    <t>Default PD, 12 months (posterior)</t>
  </si>
  <si>
    <t>R15</t>
  </si>
  <si>
    <t>pd_default</t>
  </si>
  <si>
    <t>Default PD, regime-adjusted</t>
  </si>
  <si>
    <t>R16</t>
  </si>
  <si>
    <t>Model PD / market PD</t>
  </si>
  <si>
    <t>R17</t>
  </si>
  <si>
    <t>drv_tc</t>
  </si>
  <si>
    <t>Driver: transfer and convertibility (pillar 2)</t>
  </si>
  <si>
    <t>R18</t>
  </si>
  <si>
    <t>drv_ex</t>
  </si>
  <si>
    <t>Driver: expropriation (pillar 3)</t>
  </si>
  <si>
    <t>R19</t>
  </si>
  <si>
    <t>drv_pv</t>
  </si>
  <si>
    <t>Driver: political violence (pillars 4 and 6)</t>
  </si>
  <si>
    <t>R20</t>
  </si>
  <si>
    <t>drv_sa</t>
  </si>
  <si>
    <t>Driver: sanctions (indicators 2.7 and 4.10)</t>
  </si>
  <si>
    <t>R21</t>
  </si>
  <si>
    <t>pd_tc</t>
  </si>
  <si>
    <t>Transfer and convertibility PD</t>
  </si>
  <si>
    <t>R22</t>
  </si>
  <si>
    <t>pd_ex</t>
  </si>
  <si>
    <t>Expropriation PD</t>
  </si>
  <si>
    <t>R23</t>
  </si>
  <si>
    <t>pd_pv</t>
  </si>
  <si>
    <t>Political violence PD</t>
  </si>
  <si>
    <t>R24</t>
  </si>
  <si>
    <t>pd_sa</t>
  </si>
  <si>
    <t>Sanctions PD</t>
  </si>
  <si>
    <t>R25</t>
  </si>
  <si>
    <t>pd_any</t>
  </si>
  <si>
    <t>Any loss event, 12 months</t>
  </si>
  <si>
    <t>R26</t>
  </si>
  <si>
    <t>el_def</t>
  </si>
  <si>
    <t>Expected loss rate, sovereign default</t>
  </si>
  <si>
    <t>share of exposure</t>
  </si>
  <si>
    <t>Signals: strength of each macro and event signal by country (0-100)</t>
  </si>
  <si>
    <t>Keys 1-18 are risk or event signals; keys 19-20 are risk-on. The Playbook maps each key to trades; Trade Activation fires a trade when its signal clears the minimum strength.</t>
  </si>
  <si>
    <t>Signal</t>
  </si>
  <si>
    <t>Definition</t>
  </si>
  <si>
    <t>Stance</t>
  </si>
  <si>
    <t>Debt payment wall</t>
  </si>
  <si>
    <t>Higher of indicators 1.1 (debt service) and 1.2 (FX debt service vs reserves)</t>
  </si>
  <si>
    <t>Risk-off</t>
  </si>
  <si>
    <t>Fiscal stress</t>
  </si>
  <si>
    <t>Final pillar 1 score</t>
  </si>
  <si>
    <t>External funding stress</t>
  </si>
  <si>
    <t>Final pillar 2 score</t>
  </si>
  <si>
    <t>Devaluation pressure</t>
  </si>
  <si>
    <t>Average of indicators 2.1 (reserves), 2.5 (regime) and 2.12 (real exchange rate)</t>
  </si>
  <si>
    <t>Inflation pressure</t>
  </si>
  <si>
    <t>Indicator 5.5, worse of baseline and stress</t>
  </si>
  <si>
    <t>Growth slowdown</t>
  </si>
  <si>
    <t>Indicator 5.6, worse of baseline and stress</t>
  </si>
  <si>
    <t>Banking stress</t>
  </si>
  <si>
    <t>Average of indicators 5.1 (bank claims on government), 5.3 (weakest bank) and 5.10 (NPLs)</t>
  </si>
  <si>
    <t>Election event</t>
  </si>
  <si>
    <t>Indicator 4.5; raised to at least the signal threshold inside the election window, halved outside it</t>
  </si>
  <si>
    <t>Event</t>
  </si>
  <si>
    <t>Political instability</t>
  </si>
  <si>
    <t>Final pillar 4 score</t>
  </si>
  <si>
    <t>Expropriation and contract risk</t>
  </si>
  <si>
    <t>Final pillar 3 score</t>
  </si>
  <si>
    <t>Security and violence</t>
  </si>
  <si>
    <t>Final pillar 6 score</t>
  </si>
  <si>
    <t>Commodity dependence</t>
  </si>
  <si>
    <t>Indicator 2.11 when the main export is a commodity, otherwise 0</t>
  </si>
  <si>
    <t>Final pillar 7 score</t>
  </si>
  <si>
    <t>Sanctions and geopolitics</t>
  </si>
  <si>
    <t>Higher of indicators 2.7 (dollar access) and 4.10 (geopolitical pressure)</t>
  </si>
  <si>
    <t>Market complacency</t>
  </si>
  <si>
    <t>50 + 50 x log2(model PD / market PD); above 50 means the model sees more risk than spreads price. Neutral (50) when market PD is below the Assumptions minimum.</t>
  </si>
  <si>
    <t>Relative value</t>
  </si>
  <si>
    <t>Distress and restructuring</t>
  </si>
  <si>
    <t>100 when in default or rating-implied PD is at or above the distress threshold</t>
  </si>
  <si>
    <t>Deteriorating momentum</t>
  </si>
  <si>
    <t>50 + scale x (composite minus prior composite); 0 until a prior run is entered</t>
  </si>
  <si>
    <t>Official backstop stress</t>
  </si>
  <si>
    <t>Indicator 2.6 (IMF program status and drawn swaps)</t>
  </si>
  <si>
    <t>Market overpricing risk</t>
  </si>
  <si>
    <t>100 minus market complacency; high when spreads price more risk than the model</t>
  </si>
  <si>
    <t>Risk-on</t>
  </si>
  <si>
    <t>Benign carry</t>
  </si>
  <si>
    <t>100 minus composite when the regime is calm and the real policy rate is at or above the carry minimum, otherwise 0</t>
  </si>
  <si>
    <t>Low-risk calm market</t>
  </si>
  <si>
    <t>100 minus composite when the regime is calm, otherwise 0</t>
  </si>
  <si>
    <t>Playbook: trading strategies paired with each signal</t>
  </si>
  <si>
    <t>Blue cells (minimum strength, second condition, instrument) are inputs. A trade fires for a country when its signal is at or above the minimum, the second condition holds, and the instrument is tradable there (Country Profile rows P28-P33).</t>
  </si>
  <si>
    <t>Strategy</t>
  </si>
  <si>
    <t>Signal key</t>
  </si>
  <si>
    <t>Minimum strength</t>
  </si>
  <si>
    <t>Second signal key</t>
  </si>
  <si>
    <t>Second rule</t>
  </si>
  <si>
    <t>Second threshold</t>
  </si>
  <si>
    <t>Instrument needed</t>
  </si>
  <si>
    <t>Asset class</t>
  </si>
  <si>
    <t>Trade expression</t>
  </si>
  <si>
    <t>Entry rule</t>
  </si>
  <si>
    <t>Exit or stop</t>
  </si>
  <si>
    <t>Horizon</t>
  </si>
  <si>
    <t>Main risks</t>
  </si>
  <si>
    <t>T01</t>
  </si>
  <si>
    <t>Buy sovereign CDS protection</t>
  </si>
  <si>
    <t>Sovereign credit</t>
  </si>
  <si>
    <t>Buy 5Y sovereign CDS protection; size to the risk budget</t>
  </si>
  <si>
    <t>Fiscal pillar at or above minimum</t>
  </si>
  <si>
    <t>Pillar falls below 50, or spread widens 50% (take profit)</t>
  </si>
  <si>
    <t>6-12 months</t>
  </si>
  <si>
    <t>Negative carry; squeeze on an IMF deal or official bailout</t>
  </si>
  <si>
    <t>T02</t>
  </si>
  <si>
    <t>CDS curve flattener into a payment wall</t>
  </si>
  <si>
    <t>&gt;=</t>
  </si>
  <si>
    <t>Buy 1Y-2Y protection, sell 5Y protection (DV01-neutral)</t>
  </si>
  <si>
    <t>Debt service or FX debt service vs reserves scores 75+ with fiscal stress</t>
  </si>
  <si>
    <t>Wall refinanced or IMF program approved; curve re-steepens</t>
  </si>
  <si>
    <t>3-12 months</t>
  </si>
  <si>
    <t>Rollover by official lenders; recovery-value assumptions</t>
  </si>
  <si>
    <t>T03</t>
  </si>
  <si>
    <t>Underweight hard-currency sovereign bonds</t>
  </si>
  <si>
    <t>Underweight long Eurobonds vs EM index; rotate into short maturities</t>
  </si>
  <si>
    <t>External pillar at or above minimum</t>
  </si>
  <si>
    <t>Reserves rebuild above ARA 100%, or pillar below 50</t>
  </si>
  <si>
    <t>Index rally on global easing; liquidity</t>
  </si>
  <si>
    <t>T04</t>
  </si>
  <si>
    <t>Long USD vs local currency</t>
  </si>
  <si>
    <t>Long USD/local via deliverable forward or NDF</t>
  </si>
  <si>
    <t>Devaluation pressure at or above minimum</t>
  </si>
  <si>
    <t>Real exchange rate back to 10-year average, or carry cost above expected move</t>
  </si>
  <si>
    <t>3-6 months</t>
  </si>
  <si>
    <t>Negative carry; central bank intervention; capital controls on NDF</t>
  </si>
  <si>
    <t>T05</t>
  </si>
  <si>
    <t>Buy local-currency put options (devaluation tail hedge)</t>
  </si>
  <si>
    <t>Hedge</t>
  </si>
  <si>
    <t>Buy 3-6M USD call / local put, 25-delta; or put spreads</t>
  </si>
  <si>
    <t>Devaluation pressure 70+ with external funding stress</t>
  </si>
  <si>
    <t>Option expiry or regime shift to calm</t>
  </si>
  <si>
    <t>Premium decay; implied vol already rich</t>
  </si>
  <si>
    <t>T06</t>
  </si>
  <si>
    <t>Pay short-dated local rates</t>
  </si>
  <si>
    <t>Pay 2Y local swaps or sell short-dated local bonds</t>
  </si>
  <si>
    <t>Inflation score at or above minimum</t>
  </si>
  <si>
    <t>Inflation peaks or central bank front-loads hikes</t>
  </si>
  <si>
    <t>3-9 months</t>
  </si>
  <si>
    <t>Policy surprise easing; FX-driven disinflation</t>
  </si>
  <si>
    <t>T07</t>
  </si>
  <si>
    <t>Receive local duration on a growth slowdown</t>
  </si>
  <si>
    <t>&lt;</t>
  </si>
  <si>
    <t>Receive 5Y local swaps or buy local bonds (FX-hedged where possible)</t>
  </si>
  <si>
    <t>Growth score at or above minimum while inflation score stays below 50</t>
  </si>
  <si>
    <t>Inflation score rises above 50, or curve fully prices cuts</t>
  </si>
  <si>
    <t>Fiscal slippage steepens the curve; FX weakness</t>
  </si>
  <si>
    <t>T08</t>
  </si>
  <si>
    <t>Short bank equities or buy bank protection</t>
  </si>
  <si>
    <t>Equities and credit</t>
  </si>
  <si>
    <t>Short local bank stocks or ETF financials; buy bank CDS where liquid</t>
  </si>
  <si>
    <t>Banking stress at or above minimum</t>
  </si>
  <si>
    <t>Recapitalization announced or NPLs stabilize</t>
  </si>
  <si>
    <t>State support for banks; short squeeze</t>
  </si>
  <si>
    <t>T09</t>
  </si>
  <si>
    <t>Long FX volatility across the election</t>
  </si>
  <si>
    <t>Buy straddle expiring 1-2 weeks after the vote date</t>
  </si>
  <si>
    <t>Election inside the window with contested race</t>
  </si>
  <si>
    <t>Expiry after result; close if implied vol rises 30%</t>
  </si>
  <si>
    <t>Event to 1 month</t>
  </si>
  <si>
    <t>Vol already priced; result as expected</t>
  </si>
  <si>
    <t>T10</t>
  </si>
  <si>
    <t>Underweight country equities with put spreads</t>
  </si>
  <si>
    <t>Equities</t>
  </si>
  <si>
    <t>Underweight the country ETF and buy 3M index put spreads</t>
  </si>
  <si>
    <t>Political pillar at or above minimum</t>
  </si>
  <si>
    <t>Pillar below 50, or catalyst passes</t>
  </si>
  <si>
    <t>1-6 months</t>
  </si>
  <si>
    <t>Equity rally on policy relief</t>
  </si>
  <si>
    <t>T11</t>
  </si>
  <si>
    <t>Political risk insurance and concession underweight</t>
  </si>
  <si>
    <t>Any</t>
  </si>
  <si>
    <t>Real assets and equities</t>
  </si>
  <si>
    <t>Buy PRI for expropriation and contract frustration; underweight mining, energy and utility concessions</t>
  </si>
  <si>
    <t>Institutions pillar at or above minimum</t>
  </si>
  <si>
    <t>Treaty and award record improves; pillar below 50</t>
  </si>
  <si>
    <t>12+ months</t>
  </si>
  <si>
    <t>Premium cost; sector multipliers understate single-asset risk</t>
  </si>
  <si>
    <t>T12</t>
  </si>
  <si>
    <t>Political violence hedge on operating assets</t>
  </si>
  <si>
    <t>Real assets</t>
  </si>
  <si>
    <t>Buy political violence cover; cut exposure near ACLED hot spots; short local infrastructure names</t>
  </si>
  <si>
    <t>Security pillar at or above minimum</t>
  </si>
  <si>
    <t>Violence trend ratio back below 1.0</t>
  </si>
  <si>
    <t>Location basis: country score vs asset site</t>
  </si>
  <si>
    <t>T13</t>
  </si>
  <si>
    <t>Commodity-linked downside hedge</t>
  </si>
  <si>
    <t>Commodities and FX</t>
  </si>
  <si>
    <t>Pair the country risk (CDS or short FX) with puts on the main export commodity</t>
  </si>
  <si>
    <t>Export concentration 65+ for a commodity exporter</t>
  </si>
  <si>
    <t>Commodity rebounds above its 10-year average</t>
  </si>
  <si>
    <t>Commodity and country decouple; basis</t>
  </si>
  <si>
    <t>T14</t>
  </si>
  <si>
    <t>Pre-season climate and disaster hedge</t>
  </si>
  <si>
    <t>Insurance-linked</t>
  </si>
  <si>
    <t>Buy parametric or cat cover; underweight tourism and agriculture credits before the season</t>
  </si>
  <si>
    <t>Climate pillar at or above minimum</t>
  </si>
  <si>
    <t>Season ends, or financial protection improves</t>
  </si>
  <si>
    <t>Seasonal</t>
  </si>
  <si>
    <t>Basis risk in parametric triggers</t>
  </si>
  <si>
    <t>T15</t>
  </si>
  <si>
    <t>Sanctions and tariff screen with safe-haven hedge</t>
  </si>
  <si>
    <t>Cross-asset</t>
  </si>
  <si>
    <t>Cap new exposure to sanctioned or tariff-hit sectors; exit assets in sanctioned sectors; hold gold or USD as a hedge</t>
  </si>
  <si>
    <t>Dollar access or geopolitical pressure scores 75+ (targeted sanctions, tariff pressure or worse)</t>
  </si>
  <si>
    <t>Sanctions relief, delisting or tariff deal</t>
  </si>
  <si>
    <t>Open-ended</t>
  </si>
  <si>
    <t>Secondary sanctions on counterparties; trading bans</t>
  </si>
  <si>
    <t>T16</t>
  </si>
  <si>
    <t>Relative value: buy protection where the market is complacent</t>
  </si>
  <si>
    <t>Buy 5Y protection here vs sell protection on the regional peer with the lowest complacency score</t>
  </si>
  <si>
    <t>Model PD at least 1.3x market PD with fiscal stress</t>
  </si>
  <si>
    <t>Model and market PD converge</t>
  </si>
  <si>
    <t>Model error; the peer leg can widen too</t>
  </si>
  <si>
    <t>T17</t>
  </si>
  <si>
    <t>Sell protection or buy bonds where spreads overprice risk</t>
  </si>
  <si>
    <t>Overweight Eurobonds or sell 5Y protection</t>
  </si>
  <si>
    <t>Market PD at least 1.3x model PD and the country is not in distress</t>
  </si>
  <si>
    <t>Spreads converge to model PD</t>
  </si>
  <si>
    <t>Market may know something the model does not</t>
  </si>
  <si>
    <t>T18</t>
  </si>
  <si>
    <t>Distressed recovery trade</t>
  </si>
  <si>
    <t>Distressed credit</t>
  </si>
  <si>
    <t>Buy defaulted or distressed bonds below modeled recovery (Cruces-Trebesch haircuts)</t>
  </si>
  <si>
    <t>In default or rating CCC+ and below</t>
  </si>
  <si>
    <t>Restructuring terms agreed; exit at new-bond issue</t>
  </si>
  <si>
    <t>12-36 months</t>
  </si>
  <si>
    <t>Long workouts, sanctions, legal holdouts</t>
  </si>
  <si>
    <t>T19</t>
  </si>
  <si>
    <t>FX carry in calm regimes</t>
  </si>
  <si>
    <t>Long local currency vs USD funded in low yielders; size by regime scalar</t>
  </si>
  <si>
    <t>Benign carry signal with low devaluation pressure</t>
  </si>
  <si>
    <t>Regime turns stressed or devaluation pressure above 40</t>
  </si>
  <si>
    <t>Sudden stop; global risk-off</t>
  </si>
  <si>
    <t>T20</t>
  </si>
  <si>
    <t>Overweight equities in low-risk calm markets</t>
  </si>
  <si>
    <t>Overweight the country ETF vs EM benchmark</t>
  </si>
  <si>
    <t>Low-risk calm market with political pillar below 40</t>
  </si>
  <si>
    <t>Regime turns stressed</t>
  </si>
  <si>
    <t>Global equity drawdown</t>
  </si>
  <si>
    <t>T21</t>
  </si>
  <si>
    <t>Add protection on worsening momentum</t>
  </si>
  <si>
    <t>Add 5Y CDS protection or cut long exposure as the composite rises</t>
  </si>
  <si>
    <t>Composite up versus the prior run</t>
  </si>
  <si>
    <t>Momentum signal back below 50</t>
  </si>
  <si>
    <t>Noise in data revisions</t>
  </si>
  <si>
    <t>T22</t>
  </si>
  <si>
    <t>IMF program event trade</t>
  </si>
  <si>
    <t>Short bonds into program suspension; buy bonds into board approval or staff-level agreement</t>
  </si>
  <si>
    <t>Program off track or suspended, or heavy reliance on drawn swaps</t>
  </si>
  <si>
    <t>Board decision</t>
  </si>
  <si>
    <t>1-3 months</t>
  </si>
  <si>
    <t>Timing of official decisions; political conditions</t>
  </si>
  <si>
    <t>Trade Activation: conviction (signal strength) for each strategy that fires, by country</t>
  </si>
  <si>
    <t>Blank means the trade does not fire: the signal is below the minimum, the second condition fails, or the instrument is not tradable in that country.</t>
  </si>
  <si>
    <t>Worst indicator</t>
  </si>
  <si>
    <t>Aggregated</t>
  </si>
  <si>
    <t>Final pillar score</t>
  </si>
  <si>
    <t>Small-state test</t>
  </si>
  <si>
    <t>Small island or coastal state (1 = yes)</t>
  </si>
  <si>
    <t>Population below threshold or 1-in-100 loss at or above threshold</t>
  </si>
  <si>
    <t>Pillar weight applied</t>
  </si>
  <si>
    <t>Composite</t>
  </si>
  <si>
    <t>Country score</t>
  </si>
  <si>
    <t>Weighted average of final pillar scores</t>
  </si>
  <si>
    <t>Grade (1-10)</t>
  </si>
  <si>
    <t>MIN(10, INT(score/10)+1), as in the October 2026 scores workbook</t>
  </si>
  <si>
    <t>Portfolio VaR: sample book run through the Monte Carlo engine</t>
  </si>
  <si>
    <t>Blue cells are the book (exposure and peril per country). Loss events are joined by a Student-t copula with one global and one regional factor, loadings rising with the regime (layer 5). 2,000 scenarios with a fixed seed (layer 6).</t>
  </si>
  <si>
    <t>B1</t>
  </si>
  <si>
    <t>exposure</t>
  </si>
  <si>
    <t>Exposure</t>
  </si>
  <si>
    <t>$mm</t>
  </si>
  <si>
    <t>B2</t>
  </si>
  <si>
    <t>peril</t>
  </si>
  <si>
    <t>Peril modeled</t>
  </si>
  <si>
    <t>Sovereign default / Transfer and convertibility / Expropriation / Political violence / Sanctions</t>
  </si>
  <si>
    <t>B3</t>
  </si>
  <si>
    <t>pd</t>
  </si>
  <si>
    <t>Probability of loss event, 12 months</t>
  </si>
  <si>
    <t>B4</t>
  </si>
  <si>
    <t>lgd</t>
  </si>
  <si>
    <t>Loss given event (regime-adjusted)</t>
  </si>
  <si>
    <t>B5</t>
  </si>
  <si>
    <t>loss</t>
  </si>
  <si>
    <t>Loss if event</t>
  </si>
  <si>
    <t>B6</t>
  </si>
  <si>
    <t>el</t>
  </si>
  <si>
    <t>Expected loss</t>
  </si>
  <si>
    <t>B7</t>
  </si>
  <si>
    <t>Region block</t>
  </si>
  <si>
    <t>B8</t>
  </si>
  <si>
    <t>loading</t>
  </si>
  <si>
    <t>Global factor loading (by regime)</t>
  </si>
  <si>
    <t>B9</t>
  </si>
  <si>
    <t>threshold</t>
  </si>
  <si>
    <t>Event threshold on the latent t variable</t>
  </si>
  <si>
    <t>B10</t>
  </si>
  <si>
    <t>tail</t>
  </si>
  <si>
    <t>Average loss in scenarios at or beyond 99% VaR</t>
  </si>
  <si>
    <t>B11</t>
  </si>
  <si>
    <t>Share of 99% expected shortfall</t>
  </si>
  <si>
    <t>Portfolio results</t>
  </si>
  <si>
    <t>Total exposure</t>
  </si>
  <si>
    <t>Expected loss (analytical)</t>
  </si>
  <si>
    <t>Expected loss (simulated)</t>
  </si>
  <si>
    <t>VaR 95%</t>
  </si>
  <si>
    <t>VaR 99%</t>
  </si>
  <si>
    <t>Expected shortfall 95%</t>
  </si>
  <si>
    <t>Expected shortfall 99%</t>
  </si>
  <si>
    <t>Scenarios run</t>
  </si>
  <si>
    <t>MC: Monte Carlo scenarios (2,000 runs, fixed seed)</t>
  </si>
  <si>
    <t>Loss if event ($mm)</t>
  </si>
  <si>
    <t>Event threshold</t>
  </si>
  <si>
    <t>Scenario</t>
  </si>
  <si>
    <t>Global factor</t>
  </si>
  <si>
    <t>Asia factor</t>
  </si>
  <si>
    <t>LatAm factor</t>
  </si>
  <si>
    <t>Africa factor</t>
  </si>
  <si>
    <t>Chi-square mixing</t>
  </si>
  <si>
    <t>Portfolio loss ($mm)</t>
  </si>
  <si>
    <t>Written to</t>
  </si>
  <si>
    <t>Object</t>
  </si>
  <si>
    <t>Obtained via</t>
  </si>
  <si>
    <t>Query or request</t>
  </si>
  <si>
    <t>Parameters</t>
  </si>
  <si>
    <t>Run at</t>
  </si>
  <si>
    <t>Requested by</t>
  </si>
  <si>
    <t>Row count</t>
  </si>
  <si>
    <t>Changes after retrieval</t>
  </si>
  <si>
    <t>Notes</t>
  </si>
  <si>
    <t>Inputs!E7:V7, E11:V11, E21:V21, E51:V51, E52:V52, E60:V60 (green-shaded cells only)</t>
  </si>
  <si>
    <t>IMF DataMapper API v1, World Economic Outlook October 2026</t>
  </si>
  <si>
    <t>GGXWDG_NGDP, BCA_NGDPD, PCPIPCH, NGDP_RPCH, NGDPDPC</t>
  </si>
  <si>
    <t>Fetched by Claude via web fetch</t>
  </si>
  <si>
    <t>https://www.imf.org/external/datamapper/api/v1/&lt;indicator&gt;/&lt;countries&gt;?periods=2020,2025,2026,2027</t>
  </si>
  <si>
    <t>Countries: CHN, MYS, JPN, KOR, IND, BLZ, BRA, ARG, COL for debt; CHN, BLZ, BRA, ARG, COL for the other four</t>
  </si>
  <si>
    <t>Sam</t>
  </si>
  <si>
    <t>Debt and current account use 2026; inflation uses 2026; growth uses 2027 (next year); GDP per person uses 2026. Five-year debt change uses 2026 minus 2020.</t>
  </si>
  <si>
    <t>Partial: responses were cut off for the other countries, which keep seed estimates.</t>
  </si>
  <si>
    <t>Inputs!E5:V87 (all other cells)</t>
  </si>
  <si>
    <t>Seed estimates by Claude from public sources as known to mid-2026 (IMF, World Bank, V-Dem, WGI, WJP, FATF, UCDP, GTI, ND-GAIN and others named in Rulebook column O)</t>
  </si>
  <si>
    <t>Rulebook column P lists the dataset per indicator</t>
  </si>
  <si>
    <t>Model knowledge; not a live pull</t>
  </si>
  <si>
    <t>Use relevant data from the relevant sources; API connections to follow (Sam, project thread)</t>
  </si>
  <si>
    <t>Level indicators coded 0-4 by Claude against the Rulebook level guide</t>
  </si>
  <si>
    <t>Replace with API pulls before use.</t>
  </si>
  <si>
    <t>Country Profile'!E5:V38</t>
  </si>
  <si>
    <t>Seed estimates by Claude: ratings, spreads, FX and reserve changes, flags, instruments</t>
  </si>
  <si>
    <t>Rating agencies, Bloomberg/LSEG, central banks, IFES</t>
  </si>
  <si>
    <t>As above</t>
  </si>
  <si>
    <t>None</t>
  </si>
  <si>
    <t>Market rows need a live feed.</t>
  </si>
  <si>
    <t>Rulebook!A5:U87, Assumptions!A1:E116</t>
  </si>
  <si>
    <t>Randori Geopolitical Risk VaR Methodology (draft, October 15, 2026)</t>
  </si>
  <si>
    <t>Randori Geopolitical Risk VaR Methodology (1).docx</t>
  </si>
  <si>
    <t>Uploaded to the project by Sam</t>
  </si>
  <si>
    <t>Thresholds and weights transcribed; starting values for parameters the document leaves open are marked on Assumptions</t>
  </si>
  <si>
    <t>Playbook!A5:O26</t>
  </si>
  <si>
    <t>Strategy design by Claude</t>
  </si>
  <si>
    <t>Written for this workbook</t>
  </si>
  <si>
    <t>Pair each macro or event signal with relevant trading strategies (Sam)</t>
  </si>
  <si>
    <t>Minimum strengths are starting values.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</si>
</sst>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0.0"/>
    <numFmt numFmtId="166" formatCode="#,##0.0##"/>
    <numFmt numFmtId="167" formatCode="$#,##0.0"/>
    <numFmt numFmtId="168" formatCode="m-d"/>
    <numFmt numFmtId="169" formatCode="0.00&quot;x&quot;"/>
    <numFmt numFmtId="170" formatCode="$#,##0"/>
    <numFmt numFmtId="171" formatCode="$#,##0.00"/>
    <numFmt numFmtId="172" formatCode="0.000"/>
    <numFmt numFmtId="173" formatCode="yyyy-mm-dd"/>
  </numFmts>
  <fonts count="12">
    <font>
      <sz val="10.0"/>
      <color rgb="FF000000"/>
      <name val="Arial"/>
      <scheme val="minor"/>
    </font>
    <font>
      <b/>
      <sz val="16.0"/>
      <color theme="1"/>
      <name val="Arial"/>
      <scheme val="minor"/>
    </font>
    <font>
      <b/>
      <sz val="14.0"/>
      <color theme="1"/>
      <name val="Arial"/>
      <scheme val="minor"/>
    </font>
    <font>
      <color theme="1"/>
      <name val="Arial"/>
      <scheme val="minor"/>
    </font>
    <font>
      <i/>
      <color rgb="FF585858"/>
      <name val="Arial"/>
      <scheme val="minor"/>
    </font>
    <font>
      <b/>
      <color rgb="FFC00000"/>
      <name val="Arial"/>
      <scheme val="minor"/>
    </font>
    <font>
      <b/>
      <color rgb="FFFFFFFF"/>
      <name val="Arial"/>
      <scheme val="minor"/>
    </font>
    <font>
      <b/>
      <color theme="1"/>
      <name val="Arial"/>
      <scheme val="minor"/>
    </font>
    <font>
      <color rgb="FF0000FF"/>
      <name val="Arial"/>
      <scheme val="minor"/>
    </font>
    <font>
      <b/>
      <color rgb="FF0000FF"/>
      <name val="Arial"/>
      <scheme val="minor"/>
    </font>
    <font>
      <b/>
      <sz val="11.0"/>
      <color theme="1"/>
      <name val="Arial"/>
      <scheme val="minor"/>
    </font>
    <font>
      <color rgb="FF999999"/>
      <name val="Arial"/>
      <scheme val="minor"/>
    </font>
  </fonts>
  <fills count="4">
    <fill>
      <patternFill patternType="none"/>
    </fill>
    <fill>
      <patternFill patternType="lightGray"/>
    </fill>
    <fill>
      <patternFill patternType="solid">
        <fgColor rgb="FF1F3863"/>
        <bgColor rgb="FF1F3863"/>
      </patternFill>
    </fill>
    <fill>
      <patternFill patternType="solid">
        <fgColor rgb="FFD9EAD2"/>
        <bgColor rgb="FFD9EAD2"/>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0"/>
    </xf>
    <xf borderId="0" fillId="0" fontId="4" numFmtId="0" xfId="0" applyAlignment="1" applyFont="1">
      <alignment readingOrder="0"/>
    </xf>
    <xf borderId="0" fillId="0" fontId="5" numFmtId="0" xfId="0" applyAlignment="1" applyFont="1">
      <alignment readingOrder="0" shrinkToFit="0" wrapText="0"/>
    </xf>
    <xf borderId="0" fillId="0" fontId="3" numFmtId="0" xfId="0" applyAlignment="1" applyFont="1">
      <alignment readingOrder="0"/>
    </xf>
    <xf borderId="0" fillId="2" fontId="6" numFmtId="0" xfId="0" applyAlignment="1" applyFill="1" applyFont="1">
      <alignment readingOrder="0"/>
    </xf>
    <xf borderId="0" fillId="2" fontId="6" numFmtId="0" xfId="0" applyFill="1" applyFont="1"/>
    <xf borderId="0" fillId="0" fontId="7" numFmtId="0" xfId="0" applyAlignment="1" applyFont="1">
      <alignment readingOrder="0" vertical="top"/>
    </xf>
    <xf borderId="0" fillId="0" fontId="8" numFmtId="0" xfId="0" applyAlignment="1" applyFont="1">
      <alignment readingOrder="0"/>
    </xf>
    <xf borderId="0" fillId="0" fontId="3" numFmtId="0" xfId="0" applyAlignment="1" applyFont="1">
      <alignment readingOrder="0" shrinkToFit="0" vertical="top" wrapText="1"/>
    </xf>
    <xf borderId="0" fillId="0" fontId="7" numFmtId="0" xfId="0" applyAlignment="1" applyFont="1">
      <alignment vertical="top"/>
    </xf>
    <xf borderId="0" fillId="0" fontId="8" numFmtId="164" xfId="0" applyAlignment="1" applyFont="1" applyNumberFormat="1">
      <alignment readingOrder="0"/>
    </xf>
    <xf borderId="0" fillId="0" fontId="3" numFmtId="0" xfId="0" applyAlignment="1" applyFont="1">
      <alignment shrinkToFit="0" vertical="top" wrapText="1"/>
    </xf>
    <xf borderId="0" fillId="2" fontId="6" numFmtId="0" xfId="0" applyAlignment="1" applyFill="1" applyFont="1">
      <alignment readingOrder="0" vertical="top"/>
    </xf>
    <xf borderId="0" fillId="2" fontId="6" numFmtId="0" xfId="0" applyAlignment="1" applyFill="1" applyFont="1">
      <alignment shrinkToFit="0" vertical="top" wrapText="1"/>
    </xf>
    <xf borderId="0" fillId="0" fontId="9" numFmtId="0" xfId="0" applyAlignment="1" applyFont="1">
      <alignment readingOrder="0" vertical="top"/>
    </xf>
    <xf borderId="0" fillId="3" fontId="7" numFmtId="0" xfId="0" applyAlignment="1" applyFill="1" applyFont="1">
      <alignment readingOrder="0" vertical="top"/>
    </xf>
    <xf borderId="0" fillId="2" fontId="6" numFmtId="0" xfId="0" applyAlignment="1" applyFill="1" applyFont="1">
      <alignment readingOrder="0" shrinkToFit="0" vertical="center" wrapText="1"/>
    </xf>
    <xf borderId="0" fillId="2" fontId="6" numFmtId="0" xfId="0" applyAlignment="1" applyFill="1" applyFont="1">
      <alignment shrinkToFit="0" vertical="center" wrapText="1"/>
    </xf>
    <xf borderId="0" fillId="0" fontId="3" numFmtId="164" xfId="0" applyFont="1" applyNumberFormat="1"/>
    <xf quotePrefix="1" borderId="0" fillId="0" fontId="3" numFmtId="0" xfId="0" applyAlignment="1" applyFont="1">
      <alignment readingOrder="0"/>
    </xf>
    <xf borderId="0" fillId="0" fontId="8" numFmtId="9" xfId="0" applyAlignment="1" applyFont="1" applyNumberFormat="1">
      <alignment readingOrder="0"/>
    </xf>
    <xf borderId="0" fillId="0" fontId="8" numFmtId="0" xfId="0" applyAlignment="1" applyFont="1">
      <alignment readingOrder="0"/>
    </xf>
    <xf borderId="0" fillId="0" fontId="3"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3" numFmtId="165" xfId="0" applyFont="1" applyNumberFormat="1"/>
    <xf borderId="0" fillId="0" fontId="8" numFmtId="10" xfId="0" applyAlignment="1" applyFont="1" applyNumberFormat="1">
      <alignment readingOrder="0"/>
    </xf>
    <xf borderId="0" fillId="0" fontId="8" numFmtId="0" xfId="0" applyFont="1"/>
    <xf borderId="0" fillId="0" fontId="8" numFmtId="166" xfId="0" applyAlignment="1" applyFont="1" applyNumberFormat="1">
      <alignment readingOrder="0"/>
    </xf>
    <xf borderId="0" fillId="3" fontId="8" numFmtId="166" xfId="0" applyAlignment="1" applyFill="1" applyFont="1" applyNumberFormat="1">
      <alignment readingOrder="0"/>
    </xf>
    <xf borderId="0" fillId="0" fontId="8" numFmtId="166" xfId="0" applyFont="1" applyNumberFormat="1"/>
    <xf borderId="0" fillId="0" fontId="3" numFmtId="1" xfId="0" applyFont="1" applyNumberFormat="1"/>
    <xf borderId="0" fillId="0" fontId="3" numFmtId="166" xfId="0" applyFont="1" applyNumberFormat="1"/>
    <xf borderId="0" fillId="0" fontId="10" numFmtId="0" xfId="0" applyFont="1"/>
    <xf borderId="0" fillId="0" fontId="3" numFmtId="0" xfId="0" applyAlignment="1" applyFont="1">
      <alignment readingOrder="0" vertical="center"/>
    </xf>
    <xf borderId="0" fillId="0" fontId="11" numFmtId="0" xfId="0" applyAlignment="1" applyFont="1">
      <alignment vertical="center"/>
    </xf>
    <xf borderId="0" fillId="0" fontId="3" numFmtId="0" xfId="0" applyAlignment="1" applyFont="1">
      <alignment vertical="center"/>
    </xf>
    <xf borderId="0" fillId="0" fontId="3" numFmtId="165" xfId="0" applyAlignment="1" applyFont="1" applyNumberFormat="1">
      <alignment vertical="center"/>
    </xf>
    <xf borderId="0" fillId="0" fontId="3" numFmtId="1" xfId="0" applyAlignment="1" applyFont="1" applyNumberFormat="1">
      <alignment vertical="center"/>
    </xf>
    <xf borderId="0" fillId="0" fontId="3" numFmtId="10" xfId="0" applyAlignment="1" applyFont="1" applyNumberFormat="1">
      <alignment vertical="center"/>
    </xf>
    <xf borderId="0" fillId="0" fontId="3" numFmtId="0" xfId="0" applyAlignment="1" applyFont="1">
      <alignment shrinkToFit="0" vertical="center" wrapText="1"/>
    </xf>
    <xf borderId="0" fillId="0" fontId="3" numFmtId="167" xfId="0" applyAlignment="1" applyFont="1" applyNumberFormat="1">
      <alignment vertical="center"/>
    </xf>
    <xf borderId="0" fillId="0" fontId="3" numFmtId="168" xfId="0" applyAlignment="1" applyFont="1" applyNumberFormat="1">
      <alignment readingOrder="0"/>
    </xf>
    <xf borderId="0" fillId="0" fontId="3" numFmtId="169" xfId="0" applyFont="1" applyNumberFormat="1"/>
    <xf borderId="0" fillId="0" fontId="3" numFmtId="10" xfId="0" applyFont="1" applyNumberFormat="1"/>
    <xf borderId="0" fillId="0" fontId="3" numFmtId="3" xfId="0" applyFont="1" applyNumberFormat="1"/>
    <xf borderId="0" fillId="0" fontId="3" numFmtId="2" xfId="0" applyFont="1" applyNumberFormat="1"/>
    <xf borderId="0" fillId="0" fontId="7" numFmtId="0" xfId="0" applyAlignment="1" applyFont="1">
      <alignment readingOrder="0"/>
    </xf>
    <xf borderId="0" fillId="0" fontId="7" numFmtId="10" xfId="0" applyFont="1" applyNumberFormat="1"/>
    <xf borderId="0" fillId="0" fontId="3" numFmtId="0" xfId="0" applyAlignment="1" applyFont="1">
      <alignment readingOrder="0" vertical="top"/>
    </xf>
    <xf borderId="0" fillId="0" fontId="3" numFmtId="0" xfId="0" applyAlignment="1" applyFont="1">
      <alignment readingOrder="0" vertical="top"/>
    </xf>
    <xf borderId="0" fillId="0" fontId="8" numFmtId="0" xfId="0" applyAlignment="1" applyFont="1">
      <alignment readingOrder="0" vertical="top"/>
    </xf>
    <xf borderId="0" fillId="0" fontId="8" numFmtId="0" xfId="0" applyAlignment="1" applyFont="1">
      <alignment vertical="top"/>
    </xf>
    <xf borderId="0" fillId="0" fontId="8" numFmtId="0" xfId="0" applyAlignment="1" applyFont="1">
      <alignment readingOrder="0" vertical="top"/>
    </xf>
    <xf borderId="0" fillId="0" fontId="7" numFmtId="165" xfId="0" applyFont="1" applyNumberFormat="1"/>
    <xf borderId="0" fillId="0" fontId="7" numFmtId="1" xfId="0" applyFont="1" applyNumberFormat="1"/>
    <xf borderId="0" fillId="0" fontId="8" numFmtId="170" xfId="0" applyAlignment="1" applyFont="1" applyNumberFormat="1">
      <alignment readingOrder="0"/>
    </xf>
    <xf borderId="0" fillId="0" fontId="3" numFmtId="171" xfId="0" applyFont="1" applyNumberFormat="1"/>
    <xf borderId="0" fillId="0" fontId="3" numFmtId="167" xfId="0" applyFont="1" applyNumberFormat="1"/>
    <xf borderId="0" fillId="2" fontId="6" numFmtId="0" xfId="0" applyAlignment="1" applyFill="1" applyFont="1">
      <alignment readingOrder="0" shrinkToFit="0" wrapText="1"/>
    </xf>
    <xf borderId="0" fillId="2" fontId="6" numFmtId="0" xfId="0" applyAlignment="1" applyFill="1" applyFont="1">
      <alignment shrinkToFit="0" wrapText="1"/>
    </xf>
    <xf borderId="0" fillId="0" fontId="3" numFmtId="172" xfId="0" applyFont="1" applyNumberFormat="1"/>
    <xf borderId="0" fillId="0" fontId="3" numFmtId="173" xfId="0" applyAlignment="1" applyFont="1" applyNumberFormat="1">
      <alignment readingOrder="0" shrinkToFit="0" vertical="top" wrapText="1"/>
    </xf>
    <xf borderId="0" fillId="0" fontId="3" numFmtId="0" xfId="0" applyAlignment="1" applyFont="1">
      <alignment readingOrder="0" shrinkToFit="0" vertical="top" wrapText="1"/>
    </xf>
    <xf quotePrefix="1" borderId="0" fillId="0" fontId="3" numFmtId="0" xfId="0" applyAlignment="1" applyFont="1">
      <alignment readingOrder="0" shrinkToFit="0" vertical="top" wrapText="1"/>
    </xf>
  </cellXfs>
  <cellStyles count="1">
    <cellStyle xfId="0" name="Normal" builtinId="0"/>
  </cellStyles>
  <dxfs count="3">
    <dxf>
      <font/>
      <fill>
        <patternFill patternType="solid">
          <fgColor rgb="FFB7E0CD"/>
          <bgColor rgb="FFB7E0CD"/>
        </patternFill>
      </fill>
      <border/>
    </dxf>
    <dxf>
      <font/>
      <fill>
        <patternFill patternType="solid">
          <fgColor rgb="FFFFD566"/>
          <bgColor rgb="FFFFD566"/>
        </patternFill>
      </fill>
      <border/>
    </dxf>
    <dxf>
      <font/>
      <fill>
        <patternFill patternType="solid">
          <fgColor rgb="FFE67B73"/>
          <bgColor rgb="FFE67B7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Composite risk score by country</a:t>
            </a:r>
          </a:p>
        </c:rich>
      </c:tx>
      <c:overlay val="0"/>
    </c:title>
    <c:plotArea>
      <c:layout/>
      <c:barChart>
        <c:barDir val="bar"/>
        <c:varyColors val="0"/>
        <c:ser>
          <c:idx val="0"/>
          <c:order val="0"/>
          <c:tx>
            <c:strRef>
              <c:f>Dashboard!$D$5</c:f>
            </c:strRef>
          </c:tx>
          <c:spPr>
            <a:solidFill>
              <a:schemeClr val="accent1"/>
            </a:solidFill>
            <a:ln cmpd="sng">
              <a:noFill/>
            </a:ln>
          </c:spPr>
          <c:invertIfNegative val="0"/>
          <c:dLbls>
            <c:numFmt formatCode="General" sourceLinked="1"/>
            <c:txPr>
              <a:bodyPr/>
              <a:lstStyle/>
              <a:p>
                <a:pPr lvl="0">
                  <a:defRPr sz="900"/>
                </a:pPr>
              </a:p>
            </c:txPr>
            <c:showLegendKey val="0"/>
            <c:showVal val="1"/>
            <c:showCatName val="0"/>
            <c:showSerName val="0"/>
            <c:showPercent val="0"/>
            <c:showBubbleSize val="0"/>
          </c:dLbls>
          <c:cat>
            <c:strRef>
              <c:f>Dashboard!$A$6:$A$23</c:f>
            </c:strRef>
          </c:cat>
          <c:val>
            <c:numRef>
              <c:f>Dashboard!$D$6:$D$23</c:f>
              <c:numCache/>
            </c:numRef>
          </c:val>
        </c:ser>
        <c:axId val="130369263"/>
        <c:axId val="1394268115"/>
      </c:barChart>
      <c:catAx>
        <c:axId val="13036926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4268115"/>
      </c:catAx>
      <c:valAx>
        <c:axId val="13942681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Composite score (0 = lowest risk, 100 = highest)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369263"/>
        <c:crosses val="max"/>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0</xdr:rowOff>
    </xdr:from>
    <xdr:ext cx="7239000" cy="4381500"/>
    <xdr:graphicFrame>
      <xdr:nvGraphicFramePr>
        <xdr:cNvPr id="1" name="Chart 1" title="Composite risk score by countr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7E7E"/>
    <outlinePr summaryBelow="0" summaryRight="0"/>
  </sheetPr>
  <sheetViews>
    <sheetView workbookViewId="0"/>
  </sheetViews>
  <sheetFormatPr customHeight="1" defaultColWidth="12.63" defaultRowHeight="15.75"/>
  <cols>
    <col customWidth="1" min="1" max="1" width="35.13"/>
    <col customWidth="1" min="2" max="2" width="112.63"/>
  </cols>
  <sheetData>
    <row r="1">
      <c r="A1" s="1" t="s">
        <v>0</v>
      </c>
      <c r="B1" s="3"/>
      <c r="D1" s="3"/>
    </row>
    <row r="2">
      <c r="A2" s="4" t="s">
        <v>3</v>
      </c>
      <c r="C2" s="3"/>
      <c r="D2" s="3"/>
    </row>
    <row r="3">
      <c r="A3" s="6" t="s">
        <v>6</v>
      </c>
      <c r="B3" s="3"/>
      <c r="D3" s="3"/>
    </row>
    <row r="4">
      <c r="A4" s="3"/>
      <c r="B4" s="7"/>
      <c r="C4" s="3"/>
      <c r="D4" s="3"/>
    </row>
    <row r="5">
      <c r="A5" s="8" t="s">
        <v>11</v>
      </c>
      <c r="B5" s="9"/>
    </row>
    <row r="6">
      <c r="A6" s="10" t="s">
        <v>13</v>
      </c>
      <c r="B6" s="12" t="s">
        <v>14</v>
      </c>
    </row>
    <row r="7">
      <c r="A7" s="10" t="s">
        <v>22</v>
      </c>
      <c r="B7" s="12" t="s">
        <v>24</v>
      </c>
    </row>
    <row r="8">
      <c r="A8" s="10" t="s">
        <v>26</v>
      </c>
      <c r="B8" s="12" t="s">
        <v>28</v>
      </c>
    </row>
    <row r="9">
      <c r="A9" s="10" t="s">
        <v>29</v>
      </c>
      <c r="B9" s="12" t="s">
        <v>30</v>
      </c>
    </row>
    <row r="10">
      <c r="A10" s="10" t="s">
        <v>32</v>
      </c>
      <c r="B10" s="12" t="s">
        <v>34</v>
      </c>
    </row>
    <row r="11">
      <c r="A11" s="10" t="s">
        <v>36</v>
      </c>
      <c r="B11" s="12" t="s">
        <v>38</v>
      </c>
    </row>
    <row r="12">
      <c r="A12" s="10" t="s">
        <v>40</v>
      </c>
      <c r="B12" s="12" t="s">
        <v>42</v>
      </c>
    </row>
    <row r="13">
      <c r="A13" s="10" t="s">
        <v>45</v>
      </c>
      <c r="B13" s="12" t="s">
        <v>47</v>
      </c>
    </row>
    <row r="14">
      <c r="A14" s="10" t="s">
        <v>49</v>
      </c>
      <c r="B14" s="12" t="s">
        <v>50</v>
      </c>
    </row>
    <row r="15">
      <c r="A15" s="13"/>
      <c r="B15" s="15"/>
    </row>
    <row r="16">
      <c r="A16" s="16" t="s">
        <v>52</v>
      </c>
      <c r="B16" s="17"/>
    </row>
    <row r="17">
      <c r="A17" s="18" t="s">
        <v>53</v>
      </c>
      <c r="B17" s="12" t="s">
        <v>54</v>
      </c>
    </row>
    <row r="18">
      <c r="A18" s="19" t="s">
        <v>55</v>
      </c>
      <c r="B18" s="12" t="s">
        <v>56</v>
      </c>
    </row>
    <row r="19">
      <c r="A19" s="10" t="s">
        <v>57</v>
      </c>
      <c r="B19" s="12" t="s">
        <v>58</v>
      </c>
    </row>
    <row r="20">
      <c r="A20" s="13"/>
      <c r="B20" s="15"/>
    </row>
    <row r="21">
      <c r="A21" s="16" t="s">
        <v>60</v>
      </c>
      <c r="B21" s="17"/>
    </row>
    <row r="22">
      <c r="A22" s="10" t="s">
        <v>61</v>
      </c>
      <c r="B22" s="12" t="s">
        <v>62</v>
      </c>
    </row>
    <row r="23">
      <c r="A23" s="10" t="s">
        <v>63</v>
      </c>
      <c r="B23" s="12" t="s">
        <v>64</v>
      </c>
    </row>
    <row r="24">
      <c r="A24" s="10" t="s">
        <v>65</v>
      </c>
      <c r="B24" s="12" t="s">
        <v>66</v>
      </c>
    </row>
    <row r="25">
      <c r="A25" s="13"/>
      <c r="B25" s="15"/>
    </row>
    <row r="26">
      <c r="A26" s="16" t="s">
        <v>67</v>
      </c>
      <c r="B26" s="17"/>
    </row>
    <row r="27">
      <c r="A27" s="10" t="s">
        <v>69</v>
      </c>
      <c r="B27" s="12" t="s">
        <v>70</v>
      </c>
    </row>
    <row r="28">
      <c r="A28" s="10" t="s">
        <v>73</v>
      </c>
      <c r="B28" s="12" t="s">
        <v>74</v>
      </c>
    </row>
    <row r="29">
      <c r="A29" s="10" t="s">
        <v>78</v>
      </c>
      <c r="B29" s="12" t="s">
        <v>80</v>
      </c>
    </row>
    <row r="30">
      <c r="A30" s="10" t="s">
        <v>83</v>
      </c>
      <c r="B30" s="12" t="s">
        <v>85</v>
      </c>
    </row>
    <row r="31">
      <c r="A31" s="10" t="s">
        <v>88</v>
      </c>
      <c r="B31" s="12" t="s">
        <v>90</v>
      </c>
    </row>
    <row r="32">
      <c r="A32" s="10" t="s">
        <v>93</v>
      </c>
      <c r="B32" s="12" t="s">
        <v>95</v>
      </c>
    </row>
    <row r="33">
      <c r="A33" s="10" t="s">
        <v>97</v>
      </c>
      <c r="B33" s="12" t="s">
        <v>98</v>
      </c>
    </row>
    <row r="34">
      <c r="A34" s="13"/>
      <c r="B34"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13.88"/>
    <col customWidth="1" min="2" max="2" width="7.0"/>
    <col customWidth="1" min="3" max="3" width="8.88"/>
    <col customWidth="1" min="4" max="10" width="12.63"/>
    <col customWidth="1" min="11" max="11" width="41.38"/>
    <col customWidth="1" min="12" max="12" width="8.88"/>
    <col customWidth="1" min="13" max="13" width="37.63"/>
    <col customWidth="1" min="14" max="15" width="12.0"/>
    <col customWidth="1" min="16" max="16" width="32.63"/>
  </cols>
  <sheetData>
    <row r="1">
      <c r="A1" s="2" t="s">
        <v>831</v>
      </c>
    </row>
    <row r="2">
      <c r="A2" s="37" t="str">
        <f t="array" ref="A2">"Highest composite risk: "&amp;INDEX(A6:A23,MATCH(MAX(D6:D23),D6:D23,0))&amp;" ("&amp;TEXT(MAX(D6:D23),"0.0")&amp;"). Lowest: "&amp;INDEX(A6:A23,MATCH(MIN(D6:D23),D6:D23,0))&amp;" ("&amp;TEXT(MIN(D6:D23),"0.0")&amp;"). Countries in the crisis regime: "&amp;COUNTIF(F6:F23,"Crisis")&amp;" of 18."</f>
        <v>Highest composite risk: Venezuela (84.5). Lowest: Singapore (21.6). Countries in the crisis regime: 3 of 18.</v>
      </c>
    </row>
    <row r="3">
      <c r="A3" s="37" t="str">
        <f>"Sample book: $"&amp;TEXT('Portfolio VaR'!E18,"#,##0")&amp;"mm exposure, expected loss $"&amp;TEXT('Portfolio VaR'!E20,"0.0")&amp;"mm, 99% VaR $"&amp;TEXT('Portfolio VaR'!E22,"0.0")&amp;"mm, 99% expected shortfall $"&amp;TEXT('Portfolio VaR'!E24,"0.0")&amp;"mm. Scenario override: "&amp;Assumptions!B74&amp;"."</f>
        <v>Sample book: $305mm exposure, expected loss $12.2mm, 99% VaR $44.8mm, 99% expected shortfall $56.4mm. Scenario override: Model.</v>
      </c>
    </row>
    <row r="5">
      <c r="A5" s="20" t="s">
        <v>832</v>
      </c>
      <c r="B5" s="20" t="s">
        <v>833</v>
      </c>
      <c r="C5" s="20" t="s">
        <v>834</v>
      </c>
      <c r="D5" s="20" t="s">
        <v>835</v>
      </c>
      <c r="E5" s="20" t="s">
        <v>836</v>
      </c>
      <c r="F5" s="20" t="s">
        <v>240</v>
      </c>
      <c r="G5" s="20" t="s">
        <v>362</v>
      </c>
      <c r="H5" s="20" t="s">
        <v>837</v>
      </c>
      <c r="I5" s="20" t="s">
        <v>838</v>
      </c>
      <c r="J5" s="20" t="s">
        <v>839</v>
      </c>
      <c r="K5" s="20" t="s">
        <v>840</v>
      </c>
      <c r="L5" s="20" t="s">
        <v>841</v>
      </c>
      <c r="M5" s="20" t="s">
        <v>842</v>
      </c>
      <c r="N5" s="20" t="s">
        <v>843</v>
      </c>
      <c r="O5" s="20" t="s">
        <v>844</v>
      </c>
      <c r="P5" s="20" t="s">
        <v>845</v>
      </c>
    </row>
    <row r="6">
      <c r="A6" s="38" t="s">
        <v>150</v>
      </c>
      <c r="B6" s="39">
        <f>MATCH(A6,'Risk Engine'!$E$4:$V$4,0)</f>
        <v>1</v>
      </c>
      <c r="C6" s="40" t="str">
        <f t="array" ref="C6">INDEX('Country Profile'!$E$6:$V$6,$B6)</f>
        <v>Asia</v>
      </c>
      <c r="D6" s="41">
        <f t="array" ref="D6">INDEX('Risk Engine'!$E$5:$V$5,$B6)</f>
        <v>29.12027864</v>
      </c>
      <c r="E6" s="42">
        <f t="array" ref="E6">INDEX('Risk Engine'!$E$6:$V$6,$B6)</f>
        <v>3</v>
      </c>
      <c r="F6" s="40" t="str">
        <f t="array" ref="F6">INDEX('Risk Engine'!$E$8:$V$8,$B6)</f>
        <v>Calm</v>
      </c>
      <c r="G6" s="40" t="str">
        <f t="array" ref="G6">INDEX('Risk Engine'!$E$11:$V$11,$B6)</f>
        <v>BB+</v>
      </c>
      <c r="H6" s="43">
        <f t="array" ref="H6">INDEX('Risk Engine'!$E$19:$V$19,$B6)</f>
        <v>0.004325545818</v>
      </c>
      <c r="I6" s="43">
        <f t="array" ref="I6">INDEX('Risk Engine'!$E$14:$V$14,$B6)</f>
        <v>0.01666666667</v>
      </c>
      <c r="J6" s="43">
        <f t="array" ref="J6">INDEX('Risk Engine'!$E$29:$V$29,$B6)</f>
        <v>0.03640439071</v>
      </c>
      <c r="K6" s="44" t="str">
        <f>IFERROR(__xludf.DUMMYFUNCTION("IFERROR(TEXTJOIN("", "",TRUE,SORTN(FILTER(Signals!$B$5:$B$22,INDEX(Signals!$E$5:$V$22,0,$B6)&gt;=Assumptions!$B$65),3,0,FILTER(INDEX(Signals!$E$5:$V$22,0,$B6),INDEX(Signals!$E$5:$V$22,0,$B6)&gt;=Assumptions!$B$65),FALSE)),""None above threshold"")"),"None above threshold")</f>
        <v>None above threshold</v>
      </c>
      <c r="L6" s="40">
        <f t="array" ref="L6">COUNT(INDEX('Trade Activation'!$E$5:$V$26,0,$B6))</f>
        <v>1</v>
      </c>
      <c r="M6" s="44" t="str">
        <f t="array" ref="M6">IF(L6=0,"None",INDEX(Playbook!$B$5:$B$26,MATCH(MAX(INDEX('Trade Activation'!$E$5:$V$26,0,$B6)),INDEX('Trade Activation'!$E$5:$V$26,0,$B6),0)))</f>
        <v>Overweight equities in low-risk calm markets</v>
      </c>
      <c r="N6" s="42">
        <f t="array" ref="N6">MAX(INDEX('Trade Activation'!$E$5:$V$26,0,$B6))</f>
        <v>71</v>
      </c>
      <c r="O6" s="45">
        <f t="array" ref="O6">Assumptions!$B$68*N6/100*INDEX(Assumptions!$E$52:$E$54,MATCH(F6,Assumptions!$A$52:$A$54,0))</f>
        <v>7.1</v>
      </c>
      <c r="P6" s="44" t="str">
        <f>IFERROR(__xludf.DUMMYFUNCTION("IF(L6=0,"""",TEXTJOIN("", "",TRUE,FILTER(Playbook!$A$5:$A$26,INDEX('Trade Activation'!$E$5:$V$26,0,$B6)&lt;&gt;"""")))"),"T20")</f>
        <v>T20</v>
      </c>
    </row>
    <row r="7">
      <c r="A7" s="38" t="s">
        <v>152</v>
      </c>
      <c r="B7" s="39">
        <f>MATCH(A7,'Risk Engine'!$E$4:$V$4,0)</f>
        <v>2</v>
      </c>
      <c r="C7" s="40" t="str">
        <f t="array" ref="C7">INDEX('Country Profile'!$E$6:$V$6,$B7)</f>
        <v>Asia</v>
      </c>
      <c r="D7" s="41">
        <f t="array" ref="D7">INDEX('Risk Engine'!$E$5:$V$5,$B7)</f>
        <v>36.49909524</v>
      </c>
      <c r="E7" s="42">
        <f t="array" ref="E7">INDEX('Risk Engine'!$E$6:$V$6,$B7)</f>
        <v>4</v>
      </c>
      <c r="F7" s="40" t="str">
        <f t="array" ref="F7">INDEX('Risk Engine'!$E$8:$V$8,$B7)</f>
        <v>Calm</v>
      </c>
      <c r="G7" s="40" t="str">
        <f t="array" ref="G7">INDEX('Risk Engine'!$E$11:$V$11,$B7)</f>
        <v>BBB+</v>
      </c>
      <c r="H7" s="43">
        <f t="array" ref="H7">INDEX('Risk Engine'!$E$19:$V$19,$B7)</f>
        <v>0.00259934702</v>
      </c>
      <c r="I7" s="43">
        <f t="array" ref="I7">INDEX('Risk Engine'!$E$14:$V$14,$B7)</f>
        <v>0.01083333333</v>
      </c>
      <c r="J7" s="43">
        <f t="array" ref="J7">INDEX('Risk Engine'!$E$29:$V$29,$B7)</f>
        <v>0.0283333196</v>
      </c>
      <c r="K7" s="44" t="str">
        <f>IFERROR(__xludf.DUMMYFUNCTION("IFERROR(TEXTJOIN("", "",TRUE,SORTN(FILTER(Signals!$B$5:$B$22,INDEX(Signals!$E$5:$V$22,0,$B7)&gt;=Assumptions!$B$65),3,0,FILTER(INDEX(Signals!$E$5:$V$22,0,$B7),INDEX(Signals!$E$5:$V$22,0,$B7)&gt;=Assumptions!$B$65),FALSE)),""None above threshold"")"),"Debt payment wall")</f>
        <v>Debt payment wall</v>
      </c>
      <c r="L7" s="40">
        <f t="array" ref="L7">COUNT(INDEX('Trade Activation'!$E$5:$V$26,0,$B7))</f>
        <v>1</v>
      </c>
      <c r="M7" s="44" t="str">
        <f t="array" ref="M7">IF(L7=0,"None",INDEX(Playbook!$B$5:$B$26,MATCH(MAX(INDEX('Trade Activation'!$E$5:$V$26,0,$B7)),INDEX('Trade Activation'!$E$5:$V$26,0,$B7),0)))</f>
        <v>FX carry in calm regimes</v>
      </c>
      <c r="N7" s="42">
        <f t="array" ref="N7">MAX(INDEX('Trade Activation'!$E$5:$V$26,0,$B7))</f>
        <v>64</v>
      </c>
      <c r="O7" s="45">
        <f t="array" ref="O7">Assumptions!$B$68*N7/100*INDEX(Assumptions!$E$52:$E$54,MATCH(F7,Assumptions!$A$52:$A$54,0))</f>
        <v>6.4</v>
      </c>
      <c r="P7" s="44" t="str">
        <f>IFERROR(__xludf.DUMMYFUNCTION("IF(L7=0,"""",TEXTJOIN("", "",TRUE,FILTER(Playbook!$A$5:$A$26,INDEX('Trade Activation'!$E$5:$V$26,0,$B7)&lt;&gt;"""")))"),"T19")</f>
        <v>T19</v>
      </c>
    </row>
    <row r="8">
      <c r="A8" s="38" t="s">
        <v>153</v>
      </c>
      <c r="B8" s="39">
        <f>MATCH(A8,'Risk Engine'!$E$4:$V$4,0)</f>
        <v>3</v>
      </c>
      <c r="C8" s="40" t="str">
        <f t="array" ref="C8">INDEX('Country Profile'!$E$6:$V$6,$B8)</f>
        <v>Asia</v>
      </c>
      <c r="D8" s="41">
        <f t="array" ref="D8">INDEX('Risk Engine'!$E$5:$V$5,$B8)</f>
        <v>40.31802156</v>
      </c>
      <c r="E8" s="42">
        <f t="array" ref="E8">INDEX('Risk Engine'!$E$6:$V$6,$B8)</f>
        <v>5</v>
      </c>
      <c r="F8" s="40" t="str">
        <f t="array" ref="F8">INDEX('Risk Engine'!$E$8:$V$8,$B8)</f>
        <v>Calm</v>
      </c>
      <c r="G8" s="40" t="str">
        <f t="array" ref="G8">INDEX('Risk Engine'!$E$11:$V$11,$B8)</f>
        <v>A+</v>
      </c>
      <c r="H8" s="43">
        <f t="array" ref="H8">INDEX('Risk Engine'!$E$19:$V$19,$B8)</f>
        <v>0.001804377316</v>
      </c>
      <c r="I8" s="43">
        <f t="array" ref="I8">INDEX('Risk Engine'!$E$14:$V$14,$B8)</f>
        <v>0.01</v>
      </c>
      <c r="J8" s="43">
        <f t="array" ref="J8">INDEX('Risk Engine'!$E$29:$V$29,$B8)</f>
        <v>0.0373347289</v>
      </c>
      <c r="K8" s="44" t="str">
        <f>IFERROR(__xludf.DUMMYFUNCTION("IFERROR(TEXTJOIN("", "",TRUE,SORTN(FILTER(Signals!$B$5:$B$22,INDEX(Signals!$E$5:$V$22,0,$B8)&gt;=Assumptions!$B$65),3,0,FILTER(INDEX(Signals!$E$5:$V$22,0,$B8),INDEX(Signals!$E$5:$V$22,0,$B8)&gt;=Assumptions!$B$65),FALSE)),""None above threshold"")"),"Sanctions and geopolitics")</f>
        <v>Sanctions and geopolitics</v>
      </c>
      <c r="L8" s="40">
        <f t="array" ref="L8">COUNT(INDEX('Trade Activation'!$E$5:$V$26,0,$B8))</f>
        <v>2</v>
      </c>
      <c r="M8" s="44" t="str">
        <f t="array" ref="M8">IF(L8=0,"None",INDEX(Playbook!$B$5:$B$26,MATCH(MAX(INDEX('Trade Activation'!$E$5:$V$26,0,$B8)),INDEX('Trade Activation'!$E$5:$V$26,0,$B8),0)))</f>
        <v>Sanctions and tariff screen with safe-haven hedge</v>
      </c>
      <c r="N8" s="42">
        <f t="array" ref="N8">MAX(INDEX('Trade Activation'!$E$5:$V$26,0,$B8))</f>
        <v>75</v>
      </c>
      <c r="O8" s="45">
        <f t="array" ref="O8">Assumptions!$B$68*N8/100*INDEX(Assumptions!$E$52:$E$54,MATCH(F8,Assumptions!$A$52:$A$54,0))</f>
        <v>7.5</v>
      </c>
      <c r="P8" s="44" t="str">
        <f>IFERROR(__xludf.DUMMYFUNCTION("IF(L8=0,"""",TEXTJOIN("", "",TRUE,FILTER(Playbook!$A$5:$A$26,INDEX('Trade Activation'!$E$5:$V$26,0,$B8)&lt;&gt;"""")))"),"T07, T15")</f>
        <v>T07, T15</v>
      </c>
    </row>
    <row r="9">
      <c r="A9" s="38" t="s">
        <v>154</v>
      </c>
      <c r="B9" s="39">
        <f>MATCH(A9,'Risk Engine'!$E$4:$V$4,0)</f>
        <v>4</v>
      </c>
      <c r="C9" s="40" t="str">
        <f t="array" ref="C9">INDEX('Country Profile'!$E$6:$V$6,$B9)</f>
        <v>Asia</v>
      </c>
      <c r="D9" s="41">
        <f t="array" ref="D9">INDEX('Risk Engine'!$E$5:$V$5,$B9)</f>
        <v>30.99237237</v>
      </c>
      <c r="E9" s="42">
        <f t="array" ref="E9">INDEX('Risk Engine'!$E$6:$V$6,$B9)</f>
        <v>4</v>
      </c>
      <c r="F9" s="40" t="str">
        <f t="array" ref="F9">INDEX('Risk Engine'!$E$8:$V$8,$B9)</f>
        <v>Calm</v>
      </c>
      <c r="G9" s="40" t="str">
        <f t="array" ref="G9">INDEX('Risk Engine'!$E$11:$V$11,$B9)</f>
        <v>A-</v>
      </c>
      <c r="H9" s="43">
        <f t="array" ref="H9">INDEX('Risk Engine'!$E$19:$V$19,$B9)</f>
        <v>0.001442738748</v>
      </c>
      <c r="I9" s="43">
        <f t="array" ref="I9">INDEX('Risk Engine'!$E$14:$V$14,$B9)</f>
        <v>0.0075</v>
      </c>
      <c r="J9" s="43">
        <f t="array" ref="J9">INDEX('Risk Engine'!$E$29:$V$29,$B9)</f>
        <v>0.02003674179</v>
      </c>
      <c r="K9" s="44" t="str">
        <f>IFERROR(__xludf.DUMMYFUNCTION("IFERROR(TEXTJOIN("", "",TRUE,SORTN(FILTER(Signals!$B$5:$B$22,INDEX(Signals!$E$5:$V$22,0,$B9)&gt;=Assumptions!$B$65),3,0,FILTER(INDEX(Signals!$E$5:$V$22,0,$B9),INDEX(Signals!$E$5:$V$22,0,$B9)&gt;=Assumptions!$B$65),FALSE)),""None above threshold"")"),"None above threshold")</f>
        <v>None above threshold</v>
      </c>
      <c r="L9" s="40">
        <f t="array" ref="L9">COUNT(INDEX('Trade Activation'!$E$5:$V$26,0,$B9))</f>
        <v>1</v>
      </c>
      <c r="M9" s="44" t="str">
        <f t="array" ref="M9">IF(L9=0,"None",INDEX(Playbook!$B$5:$B$26,MATCH(MAX(INDEX('Trade Activation'!$E$5:$V$26,0,$B9)),INDEX('Trade Activation'!$E$5:$V$26,0,$B9),0)))</f>
        <v>Overweight equities in low-risk calm markets</v>
      </c>
      <c r="N9" s="42">
        <f t="array" ref="N9">MAX(INDEX('Trade Activation'!$E$5:$V$26,0,$B9))</f>
        <v>69</v>
      </c>
      <c r="O9" s="45">
        <f t="array" ref="O9">Assumptions!$B$68*N9/100*INDEX(Assumptions!$E$52:$E$54,MATCH(F9,Assumptions!$A$52:$A$54,0))</f>
        <v>6.9</v>
      </c>
      <c r="P9" s="44" t="str">
        <f>IFERROR(__xludf.DUMMYFUNCTION("IF(L9=0,"""",TEXTJOIN("", "",TRUE,FILTER(Playbook!$A$5:$A$26,INDEX('Trade Activation'!$E$5:$V$26,0,$B9)&lt;&gt;"""")))"),"T20")</f>
        <v>T20</v>
      </c>
    </row>
    <row r="10">
      <c r="A10" s="38" t="s">
        <v>155</v>
      </c>
      <c r="B10" s="39">
        <f>MATCH(A10,'Risk Engine'!$E$4:$V$4,0)</f>
        <v>5</v>
      </c>
      <c r="C10" s="40" t="str">
        <f t="array" ref="C10">INDEX('Country Profile'!$E$6:$V$6,$B10)</f>
        <v>Asia</v>
      </c>
      <c r="D10" s="41">
        <f t="array" ref="D10">INDEX('Risk Engine'!$E$5:$V$5,$B10)</f>
        <v>21.56947368</v>
      </c>
      <c r="E10" s="42">
        <f t="array" ref="E10">INDEX('Risk Engine'!$E$6:$V$6,$B10)</f>
        <v>3</v>
      </c>
      <c r="F10" s="40" t="str">
        <f t="array" ref="F10">INDEX('Risk Engine'!$E$8:$V$8,$B10)</f>
        <v>Calm</v>
      </c>
      <c r="G10" s="40" t="str">
        <f t="array" ref="G10">INDEX('Risk Engine'!$E$11:$V$11,$B10)</f>
        <v>AAA</v>
      </c>
      <c r="H10" s="43">
        <f t="array" ref="H10">INDEX('Risk Engine'!$E$19:$V$19,$B10)</f>
        <v>0.0001901484266</v>
      </c>
      <c r="I10" s="43">
        <f t="array" ref="I10">INDEX('Risk Engine'!$E$14:$V$14,$B10)</f>
        <v>0.0025</v>
      </c>
      <c r="J10" s="43">
        <f t="array" ref="J10">INDEX('Risk Engine'!$E$29:$V$29,$B10)</f>
        <v>0.01021623136</v>
      </c>
      <c r="K10" s="44" t="str">
        <f>IFERROR(__xludf.DUMMYFUNCTION("IFERROR(TEXTJOIN("", "",TRUE,SORTN(FILTER(Signals!$B$5:$B$22,INDEX(Signals!$E$5:$V$22,0,$B10)&gt;=Assumptions!$B$65),3,0,FILTER(INDEX(Signals!$E$5:$V$22,0,$B10),INDEX(Signals!$E$5:$V$22,0,$B10)&gt;=Assumptions!$B$65),FALSE)),""None above threshold"")"),"Growth slowdown")</f>
        <v>Growth slowdown</v>
      </c>
      <c r="L10" s="40">
        <f t="array" ref="L10">COUNT(INDEX('Trade Activation'!$E$5:$V$26,0,$B10))</f>
        <v>2</v>
      </c>
      <c r="M10" s="44" t="str">
        <f t="array" ref="M10">IF(L10=0,"None",INDEX(Playbook!$B$5:$B$26,MATCH(MAX(INDEX('Trade Activation'!$E$5:$V$26,0,$B10)),INDEX('Trade Activation'!$E$5:$V$26,0,$B10),0)))</f>
        <v>Overweight equities in low-risk calm markets</v>
      </c>
      <c r="N10" s="42">
        <f t="array" ref="N10">MAX(INDEX('Trade Activation'!$E$5:$V$26,0,$B10))</f>
        <v>78</v>
      </c>
      <c r="O10" s="45">
        <f t="array" ref="O10">Assumptions!$B$68*N10/100*INDEX(Assumptions!$E$52:$E$54,MATCH(F10,Assumptions!$A$52:$A$54,0))</f>
        <v>7.8</v>
      </c>
      <c r="P10" s="44" t="str">
        <f>IFERROR(__xludf.DUMMYFUNCTION("IF(L10=0,"""",TEXTJOIN("", "",TRUE,FILTER(Playbook!$A$5:$A$26,INDEX('Trade Activation'!$E$5:$V$26,0,$B10)&lt;&gt;"""")))"),"T07, T20")</f>
        <v>T07, T20</v>
      </c>
    </row>
    <row r="11">
      <c r="A11" s="38" t="s">
        <v>156</v>
      </c>
      <c r="B11" s="39">
        <f>MATCH(A11,'Risk Engine'!$E$4:$V$4,0)</f>
        <v>6</v>
      </c>
      <c r="C11" s="40" t="str">
        <f t="array" ref="C11">INDEX('Country Profile'!$E$6:$V$6,$B11)</f>
        <v>Asia</v>
      </c>
      <c r="D11" s="41">
        <f t="array" ref="D11">INDEX('Risk Engine'!$E$5:$V$5,$B11)</f>
        <v>23.8572807</v>
      </c>
      <c r="E11" s="42">
        <f t="array" ref="E11">INDEX('Risk Engine'!$E$6:$V$6,$B11)</f>
        <v>3</v>
      </c>
      <c r="F11" s="40" t="str">
        <f t="array" ref="F11">INDEX('Risk Engine'!$E$8:$V$8,$B11)</f>
        <v>Calm</v>
      </c>
      <c r="G11" s="40" t="str">
        <f t="array" ref="G11">INDEX('Risk Engine'!$E$11:$V$11,$B11)</f>
        <v>A+</v>
      </c>
      <c r="H11" s="43">
        <f t="array" ref="H11">INDEX('Risk Engine'!$E$19:$V$19,$B11)</f>
        <v>0.0005381552272</v>
      </c>
      <c r="I11" s="43">
        <f t="array" ref="I11">INDEX('Risk Engine'!$E$14:$V$14,$B11)</f>
        <v>0.003333333333</v>
      </c>
      <c r="J11" s="43">
        <f t="array" ref="J11">INDEX('Risk Engine'!$E$29:$V$29,$B11)</f>
        <v>0.009630650873</v>
      </c>
      <c r="K11" s="44" t="str">
        <f>IFERROR(__xludf.DUMMYFUNCTION("IFERROR(TEXTJOIN("", "",TRUE,SORTN(FILTER(Signals!$B$5:$B$22,INDEX(Signals!$E$5:$V$22,0,$B11)&gt;=Assumptions!$B$65),3,0,FILTER(INDEX(Signals!$E$5:$V$22,0,$B11),INDEX(Signals!$E$5:$V$22,0,$B11)&gt;=Assumptions!$B$65),FALSE)),""None above threshold"")"),"Growth slowdown")</f>
        <v>Growth slowdown</v>
      </c>
      <c r="L11" s="40">
        <f t="array" ref="L11">COUNT(INDEX('Trade Activation'!$E$5:$V$26,0,$B11))</f>
        <v>2</v>
      </c>
      <c r="M11" s="44" t="str">
        <f t="array" ref="M11">IF(L11=0,"None",INDEX(Playbook!$B$5:$B$26,MATCH(MAX(INDEX('Trade Activation'!$E$5:$V$26,0,$B11)),INDEX('Trade Activation'!$E$5:$V$26,0,$B11),0)))</f>
        <v>Receive local duration on a growth slowdown</v>
      </c>
      <c r="N11" s="42">
        <f t="array" ref="N11">MAX(INDEX('Trade Activation'!$E$5:$V$26,0,$B11))</f>
        <v>93</v>
      </c>
      <c r="O11" s="45">
        <f t="array" ref="O11">Assumptions!$B$68*N11/100*INDEX(Assumptions!$E$52:$E$54,MATCH(F11,Assumptions!$A$52:$A$54,0))</f>
        <v>9.3</v>
      </c>
      <c r="P11" s="44" t="str">
        <f>IFERROR(__xludf.DUMMYFUNCTION("IF(L11=0,"""",TEXTJOIN("", "",TRUE,FILTER(Playbook!$A$5:$A$26,INDEX('Trade Activation'!$E$5:$V$26,0,$B11)&lt;&gt;"""")))"),"T07, T20")</f>
        <v>T07, T20</v>
      </c>
    </row>
    <row r="12">
      <c r="A12" s="38" t="s">
        <v>157</v>
      </c>
      <c r="B12" s="39">
        <f>MATCH(A12,'Risk Engine'!$E$4:$V$4,0)</f>
        <v>7</v>
      </c>
      <c r="C12" s="40" t="str">
        <f t="array" ref="C12">INDEX('Country Profile'!$E$6:$V$6,$B12)</f>
        <v>Asia</v>
      </c>
      <c r="D12" s="41">
        <f t="array" ref="D12">INDEX('Risk Engine'!$E$5:$V$5,$B12)</f>
        <v>21.96832839</v>
      </c>
      <c r="E12" s="42">
        <f t="array" ref="E12">INDEX('Risk Engine'!$E$6:$V$6,$B12)</f>
        <v>3</v>
      </c>
      <c r="F12" s="40" t="str">
        <f t="array" ref="F12">INDEX('Risk Engine'!$E$8:$V$8,$B12)</f>
        <v>Calm</v>
      </c>
      <c r="G12" s="40" t="str">
        <f t="array" ref="G12">INDEX('Risk Engine'!$E$11:$V$11,$B12)</f>
        <v>AA</v>
      </c>
      <c r="H12" s="43">
        <f t="array" ref="H12">INDEX('Risk Engine'!$E$19:$V$19,$B12)</f>
        <v>0.0004323225682</v>
      </c>
      <c r="I12" s="43">
        <f t="array" ref="I12">INDEX('Risk Engine'!$E$14:$V$14,$B12)</f>
        <v>0.004166666667</v>
      </c>
      <c r="J12" s="43">
        <f t="array" ref="J12">INDEX('Risk Engine'!$E$29:$V$29,$B12)</f>
        <v>0.01490224609</v>
      </c>
      <c r="K12" s="44" t="str">
        <f>IFERROR(__xludf.DUMMYFUNCTION("IFERROR(TEXTJOIN("", "",TRUE,SORTN(FILTER(Signals!$B$5:$B$22,INDEX(Signals!$E$5:$V$22,0,$B12)&gt;=Assumptions!$B$65),3,0,FILTER(INDEX(Signals!$E$5:$V$22,0,$B12),INDEX(Signals!$E$5:$V$22,0,$B12)&gt;=Assumptions!$B$65),FALSE)),""None above threshold"")"),"Growth slowdown")</f>
        <v>Growth slowdown</v>
      </c>
      <c r="L12" s="40">
        <f t="array" ref="L12">COUNT(INDEX('Trade Activation'!$E$5:$V$26,0,$B12))</f>
        <v>2</v>
      </c>
      <c r="M12" s="44" t="str">
        <f t="array" ref="M12">IF(L12=0,"None",INDEX(Playbook!$B$5:$B$26,MATCH(MAX(INDEX('Trade Activation'!$E$5:$V$26,0,$B12)),INDEX('Trade Activation'!$E$5:$V$26,0,$B12),0)))</f>
        <v>Overweight equities in low-risk calm markets</v>
      </c>
      <c r="N12" s="42">
        <f t="array" ref="N12">MAX(INDEX('Trade Activation'!$E$5:$V$26,0,$B12))</f>
        <v>78</v>
      </c>
      <c r="O12" s="45">
        <f t="array" ref="O12">Assumptions!$B$68*N12/100*INDEX(Assumptions!$E$52:$E$54,MATCH(F12,Assumptions!$A$52:$A$54,0))</f>
        <v>7.8</v>
      </c>
      <c r="P12" s="44" t="str">
        <f>IFERROR(__xludf.DUMMYFUNCTION("IF(L12=0,"""",TEXTJOIN("", "",TRUE,FILTER(Playbook!$A$5:$A$26,INDEX('Trade Activation'!$E$5:$V$26,0,$B12)&lt;&gt;"""")))"),"T07, T20")</f>
        <v>T07, T20</v>
      </c>
    </row>
    <row r="13">
      <c r="A13" s="38" t="s">
        <v>158</v>
      </c>
      <c r="B13" s="39">
        <f>MATCH(A13,'Risk Engine'!$E$4:$V$4,0)</f>
        <v>8</v>
      </c>
      <c r="C13" s="40" t="str">
        <f t="array" ref="C13">INDEX('Country Profile'!$E$6:$V$6,$B13)</f>
        <v>Asia</v>
      </c>
      <c r="D13" s="41">
        <f t="array" ref="D13">INDEX('Risk Engine'!$E$5:$V$5,$B13)</f>
        <v>36.36117464</v>
      </c>
      <c r="E13" s="42">
        <f t="array" ref="E13">INDEX('Risk Engine'!$E$6:$V$6,$B13)</f>
        <v>4</v>
      </c>
      <c r="F13" s="40" t="str">
        <f t="array" ref="F13">INDEX('Risk Engine'!$E$8:$V$8,$B13)</f>
        <v>Calm</v>
      </c>
      <c r="G13" s="40" t="str">
        <f t="array" ref="G13">INDEX('Risk Engine'!$E$11:$V$11,$B13)</f>
        <v>BBB</v>
      </c>
      <c r="H13" s="43">
        <f t="array" ref="H13">INDEX('Risk Engine'!$E$19:$V$19,$B13)</f>
        <v>0.003243387153</v>
      </c>
      <c r="I13" s="43">
        <f t="array" ref="I13">INDEX('Risk Engine'!$E$14:$V$14,$B13)</f>
        <v>0.01166666667</v>
      </c>
      <c r="J13" s="43">
        <f t="array" ref="J13">INDEX('Risk Engine'!$E$29:$V$29,$B13)</f>
        <v>0.03095138872</v>
      </c>
      <c r="K13" s="44" t="str">
        <f>IFERROR(__xludf.DUMMYFUNCTION("IFERROR(TEXTJOIN("", "",TRUE,SORTN(FILTER(Signals!$B$5:$B$22,INDEX(Signals!$E$5:$V$22,0,$B13)&gt;=Assumptions!$B$65),3,0,FILTER(INDEX(Signals!$E$5:$V$22,0,$B13),INDEX(Signals!$E$5:$V$22,0,$B13)&gt;=Assumptions!$B$65),FALSE)),""None above threshold"")"),"Debt payment wall, Sanctions and geopolitics")</f>
        <v>Debt payment wall, Sanctions and geopolitics</v>
      </c>
      <c r="L13" s="40">
        <f t="array" ref="L13">COUNT(INDEX('Trade Activation'!$E$5:$V$26,0,$B13))</f>
        <v>3</v>
      </c>
      <c r="M13" s="44" t="str">
        <f t="array" ref="M13">IF(L13=0,"None",INDEX(Playbook!$B$5:$B$26,MATCH(MAX(INDEX('Trade Activation'!$E$5:$V$26,0,$B13)),INDEX('Trade Activation'!$E$5:$V$26,0,$B13),0)))</f>
        <v>Sanctions and tariff screen with safe-haven hedge</v>
      </c>
      <c r="N13" s="42">
        <f t="array" ref="N13">MAX(INDEX('Trade Activation'!$E$5:$V$26,0,$B13))</f>
        <v>75</v>
      </c>
      <c r="O13" s="45">
        <f t="array" ref="O13">Assumptions!$B$68*N13/100*INDEX(Assumptions!$E$52:$E$54,MATCH(F13,Assumptions!$A$52:$A$54,0))</f>
        <v>7.5</v>
      </c>
      <c r="P13" s="44" t="str">
        <f>IFERROR(__xludf.DUMMYFUNCTION("IF(L13=0,"""",TEXTJOIN("", "",TRUE,FILTER(Playbook!$A$5:$A$26,INDEX('Trade Activation'!$E$5:$V$26,0,$B13)&lt;&gt;"""")))"),"T15, T19, T20")</f>
        <v>T15, T19, T20</v>
      </c>
    </row>
    <row r="14">
      <c r="A14" s="38" t="s">
        <v>159</v>
      </c>
      <c r="B14" s="39">
        <f>MATCH(A14,'Risk Engine'!$E$4:$V$4,0)</f>
        <v>9</v>
      </c>
      <c r="C14" s="40" t="str">
        <f t="array" ref="C14">INDEX('Country Profile'!$E$6:$V$6,$B14)</f>
        <v>Asia</v>
      </c>
      <c r="D14" s="41">
        <f t="array" ref="D14">INDEX('Risk Engine'!$E$5:$V$5,$B14)</f>
        <v>66.91012907</v>
      </c>
      <c r="E14" s="42">
        <f t="array" ref="E14">INDEX('Risk Engine'!$E$6:$V$6,$B14)</f>
        <v>7</v>
      </c>
      <c r="F14" s="40" t="str">
        <f t="array" ref="F14">INDEX('Risk Engine'!$E$8:$V$8,$B14)</f>
        <v>Stressed</v>
      </c>
      <c r="G14" s="40" t="str">
        <f t="array" ref="G14">INDEX('Risk Engine'!$E$11:$V$11,$B14)</f>
        <v>B-</v>
      </c>
      <c r="H14" s="43">
        <f t="array" ref="H14">INDEX('Risk Engine'!$E$19:$V$19,$B14)</f>
        <v>0.1651044592</v>
      </c>
      <c r="I14" s="43">
        <f t="array" ref="I14">INDEX('Risk Engine'!$E$14:$V$14,$B14)</f>
        <v>0.075</v>
      </c>
      <c r="J14" s="43">
        <f t="array" ref="J14">INDEX('Risk Engine'!$E$29:$V$29,$B14)</f>
        <v>0.2946307762</v>
      </c>
      <c r="K14" s="44" t="str">
        <f>IFERROR(__xludf.DUMMYFUNCTION("IFERROR(TEXTJOIN("", "",TRUE,SORTN(FILTER(Signals!$B$5:$B$22,INDEX(Signals!$E$5:$V$22,0,$B14)&gt;=Assumptions!$B$65),3,0,FILTER(INDEX(Signals!$E$5:$V$22,0,$B14),INDEX(Signals!$E$5:$V$22,0,$B14)&gt;=Assumptions!$B$65),FALSE)),""None above threshold"")"),"Debt payment wall, Market complacency, Security and violence")</f>
        <v>Debt payment wall, Market complacency, Security and violence</v>
      </c>
      <c r="L14" s="40">
        <f t="array" ref="L14">COUNT(INDEX('Trade Activation'!$E$5:$V$26,0,$B14))</f>
        <v>9</v>
      </c>
      <c r="M14" s="44" t="str">
        <f t="array" ref="M14">IF(L14=0,"None",INDEX(Playbook!$B$5:$B$26,MATCH(MAX(INDEX('Trade Activation'!$E$5:$V$26,0,$B14)),INDEX('Trade Activation'!$E$5:$V$26,0,$B14),0)))</f>
        <v>CDS curve flattener into a payment wall</v>
      </c>
      <c r="N14" s="42">
        <f t="array" ref="N14">MAX(INDEX('Trade Activation'!$E$5:$V$26,0,$B14))</f>
        <v>100</v>
      </c>
      <c r="O14" s="45">
        <f t="array" ref="O14">Assumptions!$B$68*N14/100*INDEX(Assumptions!$E$52:$E$54,MATCH(F14,Assumptions!$A$52:$A$54,0))</f>
        <v>7.5</v>
      </c>
      <c r="P14" s="44" t="str">
        <f>IFERROR(__xludf.DUMMYFUNCTION("IF(L14=0,"""",TEXTJOIN("", "",TRUE,FILTER(Playbook!$A$5:$A$26,INDEX('Trade Activation'!$E$5:$V$26,0,$B14)&lt;&gt;"""")))"),"T01, T02, T03, T11, T12, T14, T15, T16, T22")</f>
        <v>T01, T02, T03, T11, T12, T14, T15, T16, T22</v>
      </c>
    </row>
    <row r="15">
      <c r="A15" s="38" t="s">
        <v>160</v>
      </c>
      <c r="B15" s="39">
        <f>MATCH(A15,'Risk Engine'!$E$4:$V$4,0)</f>
        <v>10</v>
      </c>
      <c r="C15" s="40" t="str">
        <f t="array" ref="C15">INDEX('Country Profile'!$E$6:$V$6,$B15)</f>
        <v>LatAm</v>
      </c>
      <c r="D15" s="41">
        <f t="array" ref="D15">INDEX('Risk Engine'!$E$5:$V$5,$B15)</f>
        <v>48.85057886</v>
      </c>
      <c r="E15" s="42">
        <f t="array" ref="E15">INDEX('Risk Engine'!$E$6:$V$6,$B15)</f>
        <v>5</v>
      </c>
      <c r="F15" s="40" t="str">
        <f t="array" ref="F15">INDEX('Risk Engine'!$E$8:$V$8,$B15)</f>
        <v>Stressed</v>
      </c>
      <c r="G15" s="40" t="str">
        <f t="array" ref="G15">INDEX('Risk Engine'!$E$11:$V$11,$B15)</f>
        <v>B-</v>
      </c>
      <c r="H15" s="43">
        <f t="array" ref="H15">INDEX('Risk Engine'!$E$19:$V$19,$B15)</f>
        <v>0.1036964783</v>
      </c>
      <c r="I15" s="43">
        <f t="array" ref="I15">INDEX('Risk Engine'!$E$14:$V$14,$B15)</f>
        <v>0.1083333333</v>
      </c>
      <c r="J15" s="43">
        <f t="array" ref="J15">INDEX('Risk Engine'!$E$29:$V$29,$B15)</f>
        <v>0.1663574222</v>
      </c>
      <c r="K15" s="44" t="str">
        <f>IFERROR(__xludf.DUMMYFUNCTION("IFERROR(TEXTJOIN("", "",TRUE,SORTN(FILTER(Signals!$B$5:$B$22,INDEX(Signals!$E$5:$V$22,0,$B15)&gt;=Assumptions!$B$65),3,0,FILTER(INDEX(Signals!$E$5:$V$22,0,$B15),INDEX(Signals!$E$5:$V$22,0,$B15)&gt;=Assumptions!$B$65),FALSE)),""None above threshold"")"),"Growth slowdown, Climate and disaster, Expropriation and contract risk")</f>
        <v>Growth slowdown, Climate and disaster, Expropriation and contract risk</v>
      </c>
      <c r="L15" s="40">
        <f t="array" ref="L15">COUNT(INDEX('Trade Activation'!$E$5:$V$26,0,$B15))</f>
        <v>2</v>
      </c>
      <c r="M15" s="44" t="str">
        <f t="array" ref="M15">IF(L15=0,"None",INDEX(Playbook!$B$5:$B$26,MATCH(MAX(INDEX('Trade Activation'!$E$5:$V$26,0,$B15)),INDEX('Trade Activation'!$E$5:$V$26,0,$B15),0)))</f>
        <v>Pre-season climate and disaster hedge</v>
      </c>
      <c r="N15" s="42">
        <f t="array" ref="N15">MAX(INDEX('Trade Activation'!$E$5:$V$26,0,$B15))</f>
        <v>70</v>
      </c>
      <c r="O15" s="45">
        <f t="array" ref="O15">Assumptions!$B$68*N15/100*INDEX(Assumptions!$E$52:$E$54,MATCH(F15,Assumptions!$A$52:$A$54,0))</f>
        <v>5.25</v>
      </c>
      <c r="P15" s="44" t="str">
        <f>IFERROR(__xludf.DUMMYFUNCTION("IF(L15=0,"""",TEXTJOIN("", "",TRUE,FILTER(Playbook!$A$5:$A$26,INDEX('Trade Activation'!$E$5:$V$26,0,$B15)&lt;&gt;"""")))"),"T11, T14")</f>
        <v>T11, T14</v>
      </c>
    </row>
    <row r="16">
      <c r="A16" s="38" t="s">
        <v>161</v>
      </c>
      <c r="B16" s="39">
        <f>MATCH(A16,'Risk Engine'!$E$4:$V$4,0)</f>
        <v>11</v>
      </c>
      <c r="C16" s="40" t="str">
        <f t="array" ref="C16">INDEX('Country Profile'!$E$6:$V$6,$B16)</f>
        <v>LatAm</v>
      </c>
      <c r="D16" s="41">
        <f t="array" ref="D16">INDEX('Risk Engine'!$E$5:$V$5,$B16)</f>
        <v>42.97817361</v>
      </c>
      <c r="E16" s="42">
        <f t="array" ref="E16">INDEX('Risk Engine'!$E$6:$V$6,$B16)</f>
        <v>5</v>
      </c>
      <c r="F16" s="40" t="str">
        <f t="array" ref="F16">INDEX('Risk Engine'!$E$8:$V$8,$B16)</f>
        <v>Calm</v>
      </c>
      <c r="G16" s="40" t="str">
        <f t="array" ref="G16">INDEX('Risk Engine'!$E$11:$V$11,$B16)</f>
        <v>BB</v>
      </c>
      <c r="H16" s="43">
        <f t="array" ref="H16">INDEX('Risk Engine'!$E$19:$V$19,$B16)</f>
        <v>0.01183324389</v>
      </c>
      <c r="I16" s="43">
        <f t="array" ref="I16">INDEX('Risk Engine'!$E$14:$V$14,$B16)</f>
        <v>0.02666666667</v>
      </c>
      <c r="J16" s="43">
        <f t="array" ref="J16">INDEX('Risk Engine'!$E$29:$V$29,$B16)</f>
        <v>0.04644668068</v>
      </c>
      <c r="K16" s="44" t="str">
        <f>IFERROR(__xludf.DUMMYFUNCTION("IFERROR(TEXTJOIN("", "",TRUE,SORTN(FILTER(Signals!$B$5:$B$22,INDEX(Signals!$E$5:$V$22,0,$B16)&gt;=Assumptions!$B$65),3,0,FILTER(INDEX(Signals!$E$5:$V$22,0,$B16),INDEX(Signals!$E$5:$V$22,0,$B16)&gt;=Assumptions!$B$65),FALSE)),""None above threshold"")"),"Growth slowdown, Sanctions and geopolitics, Debt payment wall")</f>
        <v>Growth slowdown, Sanctions and geopolitics, Debt payment wall</v>
      </c>
      <c r="L16" s="40">
        <f t="array" ref="L16">COUNT(INDEX('Trade Activation'!$E$5:$V$26,0,$B16))</f>
        <v>5</v>
      </c>
      <c r="M16" s="44" t="str">
        <f t="array" ref="M16">IF(L16=0,"None",INDEX(Playbook!$B$5:$B$26,MATCH(MAX(INDEX('Trade Activation'!$E$5:$V$26,0,$B16)),INDEX('Trade Activation'!$E$5:$V$26,0,$B16),0)))</f>
        <v>Sell protection or buy bonds where spreads overprice risk</v>
      </c>
      <c r="N16" s="42">
        <f t="array" ref="N16">MAX(INDEX('Trade Activation'!$E$5:$V$26,0,$B16))</f>
        <v>100</v>
      </c>
      <c r="O16" s="45">
        <f t="array" ref="O16">Assumptions!$B$68*N16/100*INDEX(Assumptions!$E$52:$E$54,MATCH(F16,Assumptions!$A$52:$A$54,0))</f>
        <v>10</v>
      </c>
      <c r="P16" s="44" t="str">
        <f>IFERROR(__xludf.DUMMYFUNCTION("IF(L16=0,"""",TEXTJOIN("", "",TRUE,FILTER(Playbook!$A$5:$A$26,INDEX('Trade Activation'!$E$5:$V$26,0,$B16)&lt;&gt;"""")))"),"T06, T09, T15, T17, T19")</f>
        <v>T06, T09, T15, T17, T19</v>
      </c>
    </row>
    <row r="17">
      <c r="A17" s="38" t="s">
        <v>162</v>
      </c>
      <c r="B17" s="39">
        <f>MATCH(A17,'Risk Engine'!$E$4:$V$4,0)</f>
        <v>12</v>
      </c>
      <c r="C17" s="40" t="str">
        <f t="array" ref="C17">INDEX('Country Profile'!$E$6:$V$6,$B17)</f>
        <v>LatAm</v>
      </c>
      <c r="D17" s="41">
        <f t="array" ref="D17">INDEX('Risk Engine'!$E$5:$V$5,$B17)</f>
        <v>56.43241731</v>
      </c>
      <c r="E17" s="42">
        <f t="array" ref="E17">INDEX('Risk Engine'!$E$6:$V$6,$B17)</f>
        <v>6</v>
      </c>
      <c r="F17" s="40" t="str">
        <f t="array" ref="F17">INDEX('Risk Engine'!$E$8:$V$8,$B17)</f>
        <v>Stressed</v>
      </c>
      <c r="G17" s="40" t="str">
        <f t="array" ref="G17">INDEX('Risk Engine'!$E$11:$V$11,$B17)</f>
        <v>B-</v>
      </c>
      <c r="H17" s="43">
        <f t="array" ref="H17">INDEX('Risk Engine'!$E$19:$V$19,$B17)</f>
        <v>0.1364249761</v>
      </c>
      <c r="I17" s="43">
        <f t="array" ref="I17">INDEX('Risk Engine'!$E$14:$V$14,$B17)</f>
        <v>0.1083333333</v>
      </c>
      <c r="J17" s="43">
        <f t="array" ref="J17">INDEX('Risk Engine'!$E$29:$V$29,$B17)</f>
        <v>0.2318598775</v>
      </c>
      <c r="K17" s="44" t="str">
        <f>IFERROR(__xludf.DUMMYFUNCTION("IFERROR(TEXTJOIN("", "",TRUE,SORTN(FILTER(Signals!$B$5:$B$22,INDEX(Signals!$E$5:$V$22,0,$B17)&gt;=Assumptions!$B$65),3,0,FILTER(INDEX(Signals!$E$5:$V$22,0,$B17),INDEX(Signals!$E$5:$V$22,0,$B17)&gt;=Assumptions!$B$65),FALSE)),""None above threshold"")"),"Inflation pressure, Debt payment wall, Devaluation pressure")</f>
        <v>Inflation pressure, Debt payment wall, Devaluation pressure</v>
      </c>
      <c r="L17" s="40">
        <f t="array" ref="L17">COUNT(INDEX('Trade Activation'!$E$5:$V$26,0,$B17))</f>
        <v>6</v>
      </c>
      <c r="M17" s="44" t="str">
        <f t="array" ref="M17">IF(L17=0,"None",INDEX(Playbook!$B$5:$B$26,MATCH(MAX(INDEX('Trade Activation'!$E$5:$V$26,0,$B17)),INDEX('Trade Activation'!$E$5:$V$26,0,$B17),0)))</f>
        <v>Pay short-dated local rates</v>
      </c>
      <c r="N17" s="42">
        <f t="array" ref="N17">MAX(INDEX('Trade Activation'!$E$5:$V$26,0,$B17))</f>
        <v>96</v>
      </c>
      <c r="O17" s="45">
        <f t="array" ref="O17">Assumptions!$B$68*N17/100*INDEX(Assumptions!$E$52:$E$54,MATCH(F17,Assumptions!$A$52:$A$54,0))</f>
        <v>7.2</v>
      </c>
      <c r="P17" s="44" t="str">
        <f>IFERROR(__xludf.DUMMYFUNCTION("IF(L17=0,"""",TEXTJOIN("", "",TRUE,FILTER(Playbook!$A$5:$A$26,INDEX('Trade Activation'!$E$5:$V$26,0,$B17)&lt;&gt;"""")))"),"T01, T02, T03, T04, T06, T22")</f>
        <v>T01, T02, T03, T04, T06, T22</v>
      </c>
    </row>
    <row r="18">
      <c r="A18" s="38" t="s">
        <v>163</v>
      </c>
      <c r="B18" s="39">
        <f>MATCH(A18,'Risk Engine'!$E$4:$V$4,0)</f>
        <v>13</v>
      </c>
      <c r="C18" s="40" t="str">
        <f t="array" ref="C18">INDEX('Country Profile'!$E$6:$V$6,$B18)</f>
        <v>LatAm</v>
      </c>
      <c r="D18" s="41">
        <f t="array" ref="D18">INDEX('Risk Engine'!$E$5:$V$5,$B18)</f>
        <v>40.73712769</v>
      </c>
      <c r="E18" s="42">
        <f t="array" ref="E18">INDEX('Risk Engine'!$E$6:$V$6,$B18)</f>
        <v>5</v>
      </c>
      <c r="F18" s="40" t="str">
        <f t="array" ref="F18">INDEX('Risk Engine'!$E$8:$V$8,$B18)</f>
        <v>Calm</v>
      </c>
      <c r="G18" s="40" t="str">
        <f t="array" ref="G18">INDEX('Risk Engine'!$E$11:$V$11,$B18)</f>
        <v>BB</v>
      </c>
      <c r="H18" s="43">
        <f t="array" ref="H18">INDEX('Risk Engine'!$E$19:$V$19,$B18)</f>
        <v>0.01273995911</v>
      </c>
      <c r="I18" s="43">
        <f t="array" ref="I18">INDEX('Risk Engine'!$E$14:$V$14,$B18)</f>
        <v>0.03666666667</v>
      </c>
      <c r="J18" s="43">
        <f t="array" ref="J18">INDEX('Risk Engine'!$E$29:$V$29,$B18)</f>
        <v>0.05062916333</v>
      </c>
      <c r="K18" s="44" t="str">
        <f>IFERROR(__xludf.DUMMYFUNCTION("IFERROR(TEXTJOIN("", "",TRUE,SORTN(FILTER(Signals!$B$5:$B$22,INDEX(Signals!$E$5:$V$22,0,$B18)&gt;=Assumptions!$B$65),3,0,FILTER(INDEX(Signals!$E$5:$V$22,0,$B18),INDEX(Signals!$E$5:$V$22,0,$B18)&gt;=Assumptions!$B$65),FALSE)),""None above threshold"")"),"Growth slowdown, Security and violence")</f>
        <v>Growth slowdown, Security and violence</v>
      </c>
      <c r="L18" s="40">
        <f t="array" ref="L18">COUNT(INDEX('Trade Activation'!$E$5:$V$26,0,$B18))</f>
        <v>4</v>
      </c>
      <c r="M18" s="44" t="str">
        <f t="array" ref="M18">IF(L18=0,"None",INDEX(Playbook!$B$5:$B$26,MATCH(MAX(INDEX('Trade Activation'!$E$5:$V$26,0,$B18)),INDEX('Trade Activation'!$E$5:$V$26,0,$B18),0)))</f>
        <v>Sell protection or buy bonds where spreads overprice risk</v>
      </c>
      <c r="N18" s="42">
        <f t="array" ref="N18">MAX(INDEX('Trade Activation'!$E$5:$V$26,0,$B18))</f>
        <v>100</v>
      </c>
      <c r="O18" s="45">
        <f t="array" ref="O18">Assumptions!$B$68*N18/100*INDEX(Assumptions!$E$52:$E$54,MATCH(F18,Assumptions!$A$52:$A$54,0))</f>
        <v>10</v>
      </c>
      <c r="P18" s="44" t="str">
        <f>IFERROR(__xludf.DUMMYFUNCTION("IF(L18=0,"""",TEXTJOIN("", "",TRUE,FILTER(Playbook!$A$5:$A$26,INDEX('Trade Activation'!$E$5:$V$26,0,$B18)&lt;&gt;"""")))"),"T06, T12, T17, T19")</f>
        <v>T06, T12, T17, T19</v>
      </c>
    </row>
    <row r="19">
      <c r="A19" s="38" t="s">
        <v>164</v>
      </c>
      <c r="B19" s="39">
        <f>MATCH(A19,'Risk Engine'!$E$4:$V$4,0)</f>
        <v>14</v>
      </c>
      <c r="C19" s="40" t="str">
        <f t="array" ref="C19">INDEX('Country Profile'!$E$6:$V$6,$B19)</f>
        <v>LatAm</v>
      </c>
      <c r="D19" s="41">
        <f t="array" ref="D19">INDEX('Risk Engine'!$E$5:$V$5,$B19)</f>
        <v>84.48311404</v>
      </c>
      <c r="E19" s="42">
        <f t="array" ref="E19">INDEX('Risk Engine'!$E$6:$V$6,$B19)</f>
        <v>9</v>
      </c>
      <c r="F19" s="40" t="str">
        <f t="array" ref="F19">INDEX('Risk Engine'!$E$8:$V$8,$B19)</f>
        <v>Crisis</v>
      </c>
      <c r="G19" s="40" t="str">
        <f t="array" ref="G19">INDEX('Risk Engine'!$E$11:$V$11,$B19)</f>
        <v>SD</v>
      </c>
      <c r="H19" s="43">
        <f t="array" ref="H19">INDEX('Risk Engine'!$E$19:$V$19,$B19)</f>
        <v>0.99</v>
      </c>
      <c r="I19" s="43">
        <f t="array" ref="I19">INDEX('Risk Engine'!$E$14:$V$14,$B19)</f>
        <v>0.95</v>
      </c>
      <c r="J19" s="43">
        <f t="array" ref="J19">INDEX('Risk Engine'!$E$29:$V$29,$B19)</f>
        <v>0.9947126944</v>
      </c>
      <c r="K19" s="44" t="str">
        <f>IFERROR(__xludf.DUMMYFUNCTION("IFERROR(TEXTJOIN("", "",TRUE,SORTN(FILTER(Signals!$B$5:$B$22,INDEX(Signals!$E$5:$V$22,0,$B19)&gt;=Assumptions!$B$65),3,0,FILTER(INDEX(Signals!$E$5:$V$22,0,$B19),INDEX(Signals!$E$5:$V$22,0,$B19)&gt;=Assumptions!$B$65),FALSE)),""None above threshold"")"),"Debt payment wall, Devaluation pressure, Inflation pressure")</f>
        <v>Debt payment wall, Devaluation pressure, Inflation pressure</v>
      </c>
      <c r="L19" s="40">
        <f t="array" ref="L19">COUNT(INDEX('Trade Activation'!$E$5:$V$26,0,$B19))</f>
        <v>6</v>
      </c>
      <c r="M19" s="44" t="str">
        <f t="array" ref="M19">IF(L19=0,"None",INDEX(Playbook!$B$5:$B$26,MATCH(MAX(INDEX('Trade Activation'!$E$5:$V$26,0,$B19)),INDEX('Trade Activation'!$E$5:$V$26,0,$B19),0)))</f>
        <v>Commodity-linked downside hedge</v>
      </c>
      <c r="N19" s="42">
        <f t="array" ref="N19">MAX(INDEX('Trade Activation'!$E$5:$V$26,0,$B19))</f>
        <v>100</v>
      </c>
      <c r="O19" s="45">
        <f t="array" ref="O19">Assumptions!$B$68*N19/100*INDEX(Assumptions!$E$52:$E$54,MATCH(F19,Assumptions!$A$52:$A$54,0))</f>
        <v>5</v>
      </c>
      <c r="P19" s="44" t="str">
        <f>IFERROR(__xludf.DUMMYFUNCTION("IF(L19=0,"""",TEXTJOIN("", "",TRUE,FILTER(Playbook!$A$5:$A$26,INDEX('Trade Activation'!$E$5:$V$26,0,$B19)&lt;&gt;"""")))"),"T03, T11, T13, T15, T18, T22")</f>
        <v>T03, T11, T13, T15, T18, T22</v>
      </c>
    </row>
    <row r="20">
      <c r="A20" s="38" t="s">
        <v>166</v>
      </c>
      <c r="B20" s="39">
        <f>MATCH(A20,'Risk Engine'!$E$4:$V$4,0)</f>
        <v>15</v>
      </c>
      <c r="C20" s="40" t="str">
        <f t="array" ref="C20">INDEX('Country Profile'!$E$6:$V$6,$B20)</f>
        <v>Africa</v>
      </c>
      <c r="D20" s="41">
        <f t="array" ref="D20">INDEX('Risk Engine'!$E$5:$V$5,$B20)</f>
        <v>58.85340691</v>
      </c>
      <c r="E20" s="42">
        <f t="array" ref="E20">INDEX('Risk Engine'!$E$6:$V$6,$B20)</f>
        <v>6</v>
      </c>
      <c r="F20" s="40" t="str">
        <f t="array" ref="F20">INDEX('Risk Engine'!$E$8:$V$8,$B20)</f>
        <v>Stressed</v>
      </c>
      <c r="G20" s="40" t="str">
        <f t="array" ref="G20">INDEX('Risk Engine'!$E$11:$V$11,$B20)</f>
        <v>B</v>
      </c>
      <c r="H20" s="43">
        <f t="array" ref="H20">INDEX('Risk Engine'!$E$19:$V$19,$B20)</f>
        <v>0.09187443982</v>
      </c>
      <c r="I20" s="43">
        <f t="array" ref="I20">INDEX('Risk Engine'!$E$14:$V$14,$B20)</f>
        <v>0.06666666667</v>
      </c>
      <c r="J20" s="43">
        <f t="array" ref="J20">INDEX('Risk Engine'!$E$29:$V$29,$B20)</f>
        <v>0.1855676894</v>
      </c>
      <c r="K20" s="44" t="str">
        <f>IFERROR(__xludf.DUMMYFUNCTION("IFERROR(TEXTJOIN("", "",TRUE,SORTN(FILTER(Signals!$B$5:$B$22,INDEX(Signals!$E$5:$V$22,0,$B20)&gt;=Assumptions!$B$65),3,0,FILTER(INDEX(Signals!$E$5:$V$22,0,$B20),INDEX(Signals!$E$5:$V$22,0,$B20)&gt;=Assumptions!$B$65),FALSE)),""None above threshold"")"),"Debt payment wall, Commodity dependence, Inflation pressure")</f>
        <v>Debt payment wall, Commodity dependence, Inflation pressure</v>
      </c>
      <c r="L20" s="40">
        <f t="array" ref="L20">COUNT(INDEX('Trade Activation'!$E$5:$V$26,0,$B20))</f>
        <v>7</v>
      </c>
      <c r="M20" s="44" t="str">
        <f t="array" ref="M20">IF(L20=0,"None",INDEX(Playbook!$B$5:$B$26,MATCH(MAX(INDEX('Trade Activation'!$E$5:$V$26,0,$B20)),INDEX('Trade Activation'!$E$5:$V$26,0,$B20),0)))</f>
        <v>CDS curve flattener into a payment wall</v>
      </c>
      <c r="N20" s="42">
        <f t="array" ref="N20">MAX(INDEX('Trade Activation'!$E$5:$V$26,0,$B20))</f>
        <v>100</v>
      </c>
      <c r="O20" s="45">
        <f t="array" ref="O20">Assumptions!$B$68*N20/100*INDEX(Assumptions!$E$52:$E$54,MATCH(F20,Assumptions!$A$52:$A$54,0))</f>
        <v>7.5</v>
      </c>
      <c r="P20" s="44" t="str">
        <f>IFERROR(__xludf.DUMMYFUNCTION("IF(L20=0,"""",TEXTJOIN("", "",TRUE,FILTER(Playbook!$A$5:$A$26,INDEX('Trade Activation'!$E$5:$V$26,0,$B20)&lt;&gt;"""")))"),"T01, T02, T06, T11, T12, T13, T16")</f>
        <v>T01, T02, T06, T11, T12, T13, T16</v>
      </c>
    </row>
    <row r="21">
      <c r="A21" s="38" t="s">
        <v>167</v>
      </c>
      <c r="B21" s="39">
        <f>MATCH(A21,'Risk Engine'!$E$4:$V$4,0)</f>
        <v>16</v>
      </c>
      <c r="C21" s="40" t="str">
        <f t="array" ref="C21">INDEX('Country Profile'!$E$6:$V$6,$B21)</f>
        <v>Africa</v>
      </c>
      <c r="D21" s="41">
        <f t="array" ref="D21">INDEX('Risk Engine'!$E$5:$V$5,$B21)</f>
        <v>56.4525</v>
      </c>
      <c r="E21" s="42">
        <f t="array" ref="E21">INDEX('Risk Engine'!$E$6:$V$6,$B21)</f>
        <v>6</v>
      </c>
      <c r="F21" s="40" t="str">
        <f t="array" ref="F21">INDEX('Risk Engine'!$E$8:$V$8,$B21)</f>
        <v>Crisis</v>
      </c>
      <c r="G21" s="40" t="str">
        <f t="array" ref="G21">INDEX('Risk Engine'!$E$11:$V$11,$B21)</f>
        <v>CCC+</v>
      </c>
      <c r="H21" s="43">
        <f t="array" ref="H21">INDEX('Risk Engine'!$E$19:$V$19,$B21)</f>
        <v>0.3530198472</v>
      </c>
      <c r="I21" s="43">
        <f t="array" ref="I21">INDEX('Risk Engine'!$E$14:$V$14,$B21)</f>
        <v>0.2</v>
      </c>
      <c r="J21" s="43">
        <f t="array" ref="J21">INDEX('Risk Engine'!$E$29:$V$29,$B21)</f>
        <v>0.4261982848</v>
      </c>
      <c r="K21" s="44" t="str">
        <f>IFERROR(__xludf.DUMMYFUNCTION("IFERROR(TEXTJOIN("", "",TRUE,SORTN(FILTER(Signals!$B$5:$B$22,INDEX(Signals!$E$5:$V$22,0,$B21)&gt;=Assumptions!$B$65),3,0,FILTER(INDEX(Signals!$E$5:$V$22,0,$B21),INDEX(Signals!$E$5:$V$22,0,$B21)&gt;=Assumptions!$B$65),FALSE)),""None above threshold"")"),"Distress and restructuring, Official backstop stress, Market complacency")</f>
        <v>Distress and restructuring, Official backstop stress, Market complacency</v>
      </c>
      <c r="L21" s="40">
        <f t="array" ref="L21">COUNT(INDEX('Trade Activation'!$E$5:$V$26,0,$B21))</f>
        <v>4</v>
      </c>
      <c r="M21" s="44" t="str">
        <f t="array" ref="M21">IF(L21=0,"None",INDEX(Playbook!$B$5:$B$26,MATCH(MAX(INDEX('Trade Activation'!$E$5:$V$26,0,$B21)),INDEX('Trade Activation'!$E$5:$V$26,0,$B21),0)))</f>
        <v>Distressed recovery trade</v>
      </c>
      <c r="N21" s="42">
        <f t="array" ref="N21">MAX(INDEX('Trade Activation'!$E$5:$V$26,0,$B21))</f>
        <v>100</v>
      </c>
      <c r="O21" s="45">
        <f t="array" ref="O21">Assumptions!$B$68*N21/100*INDEX(Assumptions!$E$52:$E$54,MATCH(F21,Assumptions!$A$52:$A$54,0))</f>
        <v>5</v>
      </c>
      <c r="P21" s="44" t="str">
        <f>IFERROR(__xludf.DUMMYFUNCTION("IF(L21=0,"""",TEXTJOIN("", "",TRUE,FILTER(Playbook!$A$5:$A$26,INDEX('Trade Activation'!$E$5:$V$26,0,$B21)&lt;&gt;"""")))"),"T03, T11, T18, T22")</f>
        <v>T03, T11, T18, T22</v>
      </c>
    </row>
    <row r="22">
      <c r="A22" s="38" t="s">
        <v>168</v>
      </c>
      <c r="B22" s="39">
        <f>MATCH(A22,'Risk Engine'!$E$4:$V$4,0)</f>
        <v>17</v>
      </c>
      <c r="C22" s="40" t="str">
        <f t="array" ref="C22">INDEX('Country Profile'!$E$6:$V$6,$B22)</f>
        <v>Africa</v>
      </c>
      <c r="D22" s="41">
        <f t="array" ref="D22">INDEX('Risk Engine'!$E$5:$V$5,$B22)</f>
        <v>52.46385965</v>
      </c>
      <c r="E22" s="42">
        <f t="array" ref="E22">INDEX('Risk Engine'!$E$6:$V$6,$B22)</f>
        <v>6</v>
      </c>
      <c r="F22" s="40" t="str">
        <f t="array" ref="F22">INDEX('Risk Engine'!$E$8:$V$8,$B22)</f>
        <v>Stressed</v>
      </c>
      <c r="G22" s="40" t="str">
        <f t="array" ref="G22">INDEX('Risk Engine'!$E$11:$V$11,$B22)</f>
        <v>CCC+</v>
      </c>
      <c r="H22" s="43">
        <f t="array" ref="H22">INDEX('Risk Engine'!$E$19:$V$19,$B22)</f>
        <v>0.1510490112</v>
      </c>
      <c r="I22" s="43">
        <f t="array" ref="I22">INDEX('Risk Engine'!$E$14:$V$14,$B22)</f>
        <v>0.075</v>
      </c>
      <c r="J22" s="43">
        <f t="array" ref="J22">INDEX('Risk Engine'!$E$29:$V$29,$B22)</f>
        <v>0.2038802077</v>
      </c>
      <c r="K22" s="44" t="str">
        <f>IFERROR(__xludf.DUMMYFUNCTION("IFERROR(TEXTJOIN("", "",TRUE,SORTN(FILTER(Signals!$B$5:$B$22,INDEX(Signals!$E$5:$V$22,0,$B22)&gt;=Assumptions!$B$65),3,0,FILTER(INDEX(Signals!$E$5:$V$22,0,$B22),INDEX(Signals!$E$5:$V$22,0,$B22)&gt;=Assumptions!$B$65),FALSE)),""None above threshold"")"),"Market complacency, Distress and restructuring, Commodity dependence")</f>
        <v>Market complacency, Distress and restructuring, Commodity dependence</v>
      </c>
      <c r="L22" s="40">
        <f t="array" ref="L22">COUNT(INDEX('Trade Activation'!$E$5:$V$26,0,$B22))</f>
        <v>4</v>
      </c>
      <c r="M22" s="44" t="str">
        <f t="array" ref="M22">IF(L22=0,"None",INDEX(Playbook!$B$5:$B$26,MATCH(MAX(INDEX('Trade Activation'!$E$5:$V$26,0,$B22)),INDEX('Trade Activation'!$E$5:$V$26,0,$B22),0)))</f>
        <v>Distressed recovery trade</v>
      </c>
      <c r="N22" s="42">
        <f t="array" ref="N22">MAX(INDEX('Trade Activation'!$E$5:$V$26,0,$B22))</f>
        <v>100</v>
      </c>
      <c r="O22" s="45">
        <f t="array" ref="O22">Assumptions!$B$68*N22/100*INDEX(Assumptions!$E$52:$E$54,MATCH(F22,Assumptions!$A$52:$A$54,0))</f>
        <v>7.5</v>
      </c>
      <c r="P22" s="44" t="str">
        <f>IFERROR(__xludf.DUMMYFUNCTION("IF(L22=0,"""",TEXTJOIN("", "",TRUE,FILTER(Playbook!$A$5:$A$26,INDEX('Trade Activation'!$E$5:$V$26,0,$B22)&lt;&gt;"""")))"),"T06, T11, T13, T18")</f>
        <v>T06, T11, T13, T18</v>
      </c>
    </row>
    <row r="23">
      <c r="A23" s="38" t="s">
        <v>170</v>
      </c>
      <c r="B23" s="39">
        <f>MATCH(A23,'Risk Engine'!$E$4:$V$4,0)</f>
        <v>18</v>
      </c>
      <c r="C23" s="40" t="str">
        <f t="array" ref="C23">INDEX('Country Profile'!$E$6:$V$6,$B23)</f>
        <v>Africa</v>
      </c>
      <c r="D23" s="41">
        <f t="array" ref="D23">INDEX('Risk Engine'!$E$5:$V$5,$B23)</f>
        <v>74.96473684</v>
      </c>
      <c r="E23" s="42">
        <f t="array" ref="E23">INDEX('Risk Engine'!$E$6:$V$6,$B23)</f>
        <v>8</v>
      </c>
      <c r="F23" s="40" t="str">
        <f t="array" ref="F23">INDEX('Risk Engine'!$E$8:$V$8,$B23)</f>
        <v>Crisis</v>
      </c>
      <c r="G23" s="40" t="str">
        <f t="array" ref="G23">INDEX('Risk Engine'!$E$11:$V$11,$B23)</f>
        <v>SD</v>
      </c>
      <c r="H23" s="43">
        <f t="array" ref="H23">INDEX('Risk Engine'!$E$19:$V$19,$B23)</f>
        <v>0.99</v>
      </c>
      <c r="I23" s="43">
        <f t="array" ref="I23">INDEX('Risk Engine'!$E$14:$V$14,$B23)</f>
        <v>0.5</v>
      </c>
      <c r="J23" s="43">
        <f t="array" ref="J23">INDEX('Risk Engine'!$E$29:$V$29,$B23)</f>
        <v>0.9931702035</v>
      </c>
      <c r="K23" s="44" t="str">
        <f>IFERROR(__xludf.DUMMYFUNCTION("IFERROR(TEXTJOIN("", "",TRUE,SORTN(FILTER(Signals!$B$5:$B$22,INDEX(Signals!$E$5:$V$22,0,$B23)&gt;=Assumptions!$B$65),3,0,FILTER(INDEX(Signals!$E$5:$V$22,0,$B23),INDEX(Signals!$E$5:$V$22,0,$B23)&gt;=Assumptions!$B$65),FALSE)),""None above threshold"")"),"Debt payment wall, Distress and restructuring, Market complacency")</f>
        <v>Debt payment wall, Distress and restructuring, Market complacency</v>
      </c>
      <c r="L23" s="40">
        <f t="array" ref="L23">COUNT(INDEX('Trade Activation'!$E$5:$V$26,0,$B23))</f>
        <v>3</v>
      </c>
      <c r="M23" s="44" t="str">
        <f t="array" ref="M23">IF(L23=0,"None",INDEX(Playbook!$B$5:$B$26,MATCH(MAX(INDEX('Trade Activation'!$E$5:$V$26,0,$B23)),INDEX('Trade Activation'!$E$5:$V$26,0,$B23),0)))</f>
        <v>Political risk insurance and concession underweight</v>
      </c>
      <c r="N23" s="42">
        <f t="array" ref="N23">MAX(INDEX('Trade Activation'!$E$5:$V$26,0,$B23))</f>
        <v>90</v>
      </c>
      <c r="O23" s="45">
        <f t="array" ref="O23">Assumptions!$B$68*N23/100*INDEX(Assumptions!$E$52:$E$54,MATCH(F23,Assumptions!$A$52:$A$54,0))</f>
        <v>4.5</v>
      </c>
      <c r="P23" s="44" t="str">
        <f>IFERROR(__xludf.DUMMYFUNCTION("IF(L23=0,"""",TEXTJOIN("", "",TRUE,FILTER(Playbook!$A$5:$A$26,INDEX('Trade Activation'!$E$5:$V$26,0,$B23)&lt;&gt;"""")))"),"T11, T14, T15")</f>
        <v>T11, T14, T15</v>
      </c>
    </row>
  </sheetData>
  <conditionalFormatting sqref="F6:F23">
    <cfRule type="cellIs" dxfId="0" priority="1" stopIfTrue="1" operator="equal">
      <formula>"Calm"</formula>
    </cfRule>
  </conditionalFormatting>
  <conditionalFormatting sqref="F6:F23">
    <cfRule type="cellIs" dxfId="1" priority="2" stopIfTrue="1" operator="equal">
      <formula>"Stressed"</formula>
    </cfRule>
  </conditionalFormatting>
  <conditionalFormatting sqref="F6:F23">
    <cfRule type="cellIs" dxfId="2" priority="3" stopIfTrue="1" operator="equal">
      <formula>"Crisis"</formula>
    </cfRule>
  </conditionalFormatting>
  <conditionalFormatting sqref="D6:D23 N6:N23">
    <cfRule type="colorScale" priority="4">
      <colorScale>
        <cfvo type="formula" val="0"/>
        <cfvo type="formula" val="50"/>
        <cfvo type="formula" val="100"/>
        <color rgb="FF56BA89"/>
        <color rgb="FFFFD566"/>
        <color rgb="FFE67B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8"/>
    <col customWidth="1" min="2" max="2" width="16.38"/>
    <col customWidth="1" min="3" max="3" width="28.88"/>
    <col customWidth="1" min="4" max="4" width="53.88"/>
    <col customWidth="1" min="5" max="5" width="16.38"/>
  </cols>
  <sheetData>
    <row r="1">
      <c r="A1" s="2" t="s">
        <v>1</v>
      </c>
    </row>
    <row r="2">
      <c r="A2" s="5" t="s">
        <v>4</v>
      </c>
    </row>
    <row r="3">
      <c r="A3" s="8" t="s">
        <v>7</v>
      </c>
      <c r="B3" s="8" t="s">
        <v>8</v>
      </c>
      <c r="C3" s="8" t="s">
        <v>9</v>
      </c>
      <c r="D3" s="8" t="s">
        <v>10</v>
      </c>
      <c r="E3" s="9"/>
    </row>
    <row r="4">
      <c r="A4" s="7" t="s">
        <v>12</v>
      </c>
      <c r="B4" s="11">
        <v>0.2</v>
      </c>
      <c r="C4" s="7" t="s">
        <v>15</v>
      </c>
      <c r="D4" s="7" t="s">
        <v>16</v>
      </c>
    </row>
    <row r="5">
      <c r="A5" s="7" t="s">
        <v>17</v>
      </c>
      <c r="B5" s="11">
        <v>0.1</v>
      </c>
      <c r="C5" s="7" t="s">
        <v>18</v>
      </c>
      <c r="D5" s="7" t="s">
        <v>19</v>
      </c>
    </row>
    <row r="6">
      <c r="A6" s="7" t="s">
        <v>20</v>
      </c>
      <c r="B6" s="11">
        <v>10.0</v>
      </c>
      <c r="C6" s="7" t="s">
        <v>21</v>
      </c>
      <c r="D6" s="7" t="s">
        <v>23</v>
      </c>
    </row>
    <row r="7">
      <c r="A7" s="7" t="s">
        <v>25</v>
      </c>
      <c r="B7" s="11">
        <v>15.0</v>
      </c>
      <c r="C7" s="7" t="s">
        <v>21</v>
      </c>
      <c r="D7" s="7" t="s">
        <v>23</v>
      </c>
    </row>
    <row r="8">
      <c r="A8" s="7" t="s">
        <v>27</v>
      </c>
      <c r="B8" s="11">
        <v>10.0</v>
      </c>
      <c r="C8" s="7" t="s">
        <v>21</v>
      </c>
      <c r="D8" s="7" t="s">
        <v>23</v>
      </c>
    </row>
    <row r="9">
      <c r="A9" s="7" t="s">
        <v>31</v>
      </c>
      <c r="B9" s="11">
        <v>1.5</v>
      </c>
      <c r="C9" s="7" t="s">
        <v>33</v>
      </c>
      <c r="D9" s="7" t="s">
        <v>23</v>
      </c>
    </row>
    <row r="10">
      <c r="A10" s="7" t="s">
        <v>35</v>
      </c>
      <c r="B10" s="11">
        <v>25.0</v>
      </c>
      <c r="C10" s="7" t="s">
        <v>37</v>
      </c>
      <c r="D10" s="7" t="s">
        <v>23</v>
      </c>
    </row>
    <row r="11">
      <c r="A11" s="7" t="s">
        <v>39</v>
      </c>
      <c r="B11" s="11">
        <v>0.15</v>
      </c>
      <c r="C11" s="7" t="s">
        <v>41</v>
      </c>
      <c r="D11" s="7" t="s">
        <v>23</v>
      </c>
    </row>
    <row r="13">
      <c r="A13" s="8" t="s">
        <v>43</v>
      </c>
      <c r="B13" s="8" t="s">
        <v>44</v>
      </c>
      <c r="C13" s="8" t="s">
        <v>46</v>
      </c>
      <c r="D13" s="8" t="s">
        <v>48</v>
      </c>
      <c r="E13" s="9"/>
    </row>
    <row r="14">
      <c r="A14" s="3">
        <v>1.0</v>
      </c>
      <c r="B14" s="7" t="s">
        <v>51</v>
      </c>
      <c r="C14" s="14">
        <v>0.25</v>
      </c>
      <c r="D14" s="22">
        <f t="shared" ref="D14:D20" si="1">IF(A14=7,$B$11,C14*(1-$B$11)/(1-$C$20))</f>
        <v>0.2236842105</v>
      </c>
    </row>
    <row r="15">
      <c r="A15" s="3">
        <v>2.0</v>
      </c>
      <c r="B15" s="7" t="s">
        <v>99</v>
      </c>
      <c r="C15" s="14">
        <v>0.2</v>
      </c>
      <c r="D15" s="22">
        <f t="shared" si="1"/>
        <v>0.1789473684</v>
      </c>
    </row>
    <row r="16">
      <c r="A16" s="3">
        <v>3.0</v>
      </c>
      <c r="B16" s="7" t="s">
        <v>101</v>
      </c>
      <c r="C16" s="14">
        <v>0.15</v>
      </c>
      <c r="D16" s="22">
        <f t="shared" si="1"/>
        <v>0.1342105263</v>
      </c>
    </row>
    <row r="17">
      <c r="A17" s="3">
        <v>4.0</v>
      </c>
      <c r="B17" s="7" t="s">
        <v>102</v>
      </c>
      <c r="C17" s="14">
        <v>0.15</v>
      </c>
      <c r="D17" s="22">
        <f t="shared" si="1"/>
        <v>0.1342105263</v>
      </c>
    </row>
    <row r="18">
      <c r="A18" s="3">
        <v>5.0</v>
      </c>
      <c r="B18" s="7" t="s">
        <v>103</v>
      </c>
      <c r="C18" s="14">
        <v>0.1</v>
      </c>
      <c r="D18" s="22">
        <f t="shared" si="1"/>
        <v>0.08947368421</v>
      </c>
    </row>
    <row r="19">
      <c r="A19" s="3">
        <v>6.0</v>
      </c>
      <c r="B19" s="7" t="s">
        <v>106</v>
      </c>
      <c r="C19" s="14">
        <v>0.1</v>
      </c>
      <c r="D19" s="22">
        <f t="shared" si="1"/>
        <v>0.08947368421</v>
      </c>
    </row>
    <row r="20">
      <c r="A20" s="3">
        <v>7.0</v>
      </c>
      <c r="B20" s="7" t="s">
        <v>108</v>
      </c>
      <c r="C20" s="14">
        <v>0.05</v>
      </c>
      <c r="D20" s="22">
        <f t="shared" si="1"/>
        <v>0.15</v>
      </c>
    </row>
    <row r="21">
      <c r="A21" s="7" t="s">
        <v>109</v>
      </c>
      <c r="C21" s="22">
        <f t="shared" ref="C21:D21" si="2">SUM(C14:C20)</f>
        <v>1</v>
      </c>
      <c r="D21" s="22">
        <f t="shared" si="2"/>
        <v>1</v>
      </c>
    </row>
    <row r="23">
      <c r="A23" s="8" t="s">
        <v>84</v>
      </c>
      <c r="B23" s="8" t="s">
        <v>8</v>
      </c>
      <c r="C23" s="8" t="s">
        <v>9</v>
      </c>
      <c r="D23" s="8" t="s">
        <v>10</v>
      </c>
      <c r="E23" s="9"/>
    </row>
    <row r="24">
      <c r="A24" s="7" t="s">
        <v>110</v>
      </c>
      <c r="B24" s="11">
        <v>20.0</v>
      </c>
      <c r="C24" s="7" t="s">
        <v>112</v>
      </c>
      <c r="D24" s="7" t="s">
        <v>113</v>
      </c>
    </row>
    <row r="25">
      <c r="A25" s="7" t="s">
        <v>114</v>
      </c>
      <c r="B25" s="11">
        <v>15.0</v>
      </c>
      <c r="C25" s="7" t="s">
        <v>112</v>
      </c>
      <c r="D25" s="7" t="s">
        <v>113</v>
      </c>
    </row>
    <row r="26">
      <c r="A26" s="7" t="s">
        <v>115</v>
      </c>
      <c r="B26" s="11">
        <v>0.0</v>
      </c>
      <c r="C26" s="7" t="s">
        <v>116</v>
      </c>
      <c r="D26" s="7" t="s">
        <v>117</v>
      </c>
    </row>
    <row r="27">
      <c r="A27" s="7" t="s">
        <v>119</v>
      </c>
      <c r="B27" s="11">
        <v>-2.0</v>
      </c>
      <c r="C27" s="7" t="s">
        <v>120</v>
      </c>
      <c r="D27" s="7" t="s">
        <v>113</v>
      </c>
    </row>
    <row r="28">
      <c r="A28" s="7" t="s">
        <v>121</v>
      </c>
      <c r="B28" s="11">
        <v>2.0</v>
      </c>
      <c r="C28" s="7" t="s">
        <v>120</v>
      </c>
      <c r="D28" s="7" t="s">
        <v>113</v>
      </c>
    </row>
    <row r="29">
      <c r="A29" s="7" t="s">
        <v>123</v>
      </c>
      <c r="B29" s="11">
        <v>0.25</v>
      </c>
      <c r="C29" s="7" t="s">
        <v>15</v>
      </c>
      <c r="D29" s="7" t="s">
        <v>113</v>
      </c>
    </row>
    <row r="30">
      <c r="A30" s="7" t="s">
        <v>124</v>
      </c>
      <c r="B30" s="11">
        <v>0.3</v>
      </c>
      <c r="C30" s="7" t="s">
        <v>125</v>
      </c>
      <c r="D30" s="7" t="s">
        <v>113</v>
      </c>
    </row>
    <row r="31">
      <c r="A31" s="7" t="s">
        <v>126</v>
      </c>
      <c r="B31" s="11">
        <v>-30.0</v>
      </c>
      <c r="C31" s="7" t="s">
        <v>112</v>
      </c>
      <c r="D31" s="7" t="s">
        <v>127</v>
      </c>
    </row>
    <row r="32">
      <c r="A32" s="7" t="s">
        <v>128</v>
      </c>
      <c r="B32" s="11">
        <v>-25.0</v>
      </c>
      <c r="C32" s="7" t="s">
        <v>112</v>
      </c>
      <c r="D32" s="7" t="s">
        <v>127</v>
      </c>
    </row>
    <row r="33">
      <c r="A33" s="7" t="s">
        <v>130</v>
      </c>
      <c r="B33" s="11">
        <v>-10.0</v>
      </c>
      <c r="C33" s="7" t="s">
        <v>112</v>
      </c>
      <c r="D33" s="7" t="s">
        <v>113</v>
      </c>
    </row>
    <row r="34">
      <c r="A34" s="7" t="s">
        <v>131</v>
      </c>
      <c r="B34" s="11">
        <v>0.3</v>
      </c>
      <c r="C34" s="7" t="s">
        <v>15</v>
      </c>
      <c r="D34" s="7" t="s">
        <v>132</v>
      </c>
    </row>
    <row r="36">
      <c r="A36" s="8" t="s">
        <v>135</v>
      </c>
      <c r="B36" s="8" t="s">
        <v>8</v>
      </c>
      <c r="C36" s="8" t="s">
        <v>9</v>
      </c>
      <c r="D36" s="8" t="s">
        <v>10</v>
      </c>
      <c r="E36" s="9"/>
    </row>
    <row r="37">
      <c r="A37" s="7" t="s">
        <v>136</v>
      </c>
      <c r="B37" s="29">
        <f>AVERAGE('Pillar Scores'!E46:V46)</f>
        <v>45.76733718</v>
      </c>
      <c r="C37" s="7" t="s">
        <v>21</v>
      </c>
      <c r="D37" s="7" t="s">
        <v>165</v>
      </c>
    </row>
    <row r="38">
      <c r="A38" s="7" t="s">
        <v>169</v>
      </c>
      <c r="B38" s="11">
        <v>0.04</v>
      </c>
      <c r="C38" s="7" t="s">
        <v>174</v>
      </c>
      <c r="D38" s="7" t="s">
        <v>177</v>
      </c>
    </row>
    <row r="39">
      <c r="A39" s="7" t="s">
        <v>180</v>
      </c>
      <c r="B39" s="11">
        <v>0.5</v>
      </c>
      <c r="C39" s="7" t="s">
        <v>187</v>
      </c>
      <c r="D39" s="7" t="s">
        <v>113</v>
      </c>
    </row>
    <row r="40">
      <c r="A40" s="7" t="s">
        <v>192</v>
      </c>
      <c r="B40" s="11">
        <v>0.25</v>
      </c>
      <c r="C40" s="7" t="s">
        <v>196</v>
      </c>
      <c r="D40" s="7" t="s">
        <v>113</v>
      </c>
    </row>
    <row r="41">
      <c r="A41" s="7" t="s">
        <v>201</v>
      </c>
      <c r="B41" s="11">
        <v>0.6</v>
      </c>
      <c r="C41" s="7" t="s">
        <v>15</v>
      </c>
      <c r="D41" s="7" t="s">
        <v>113</v>
      </c>
    </row>
    <row r="42">
      <c r="A42" s="7" t="s">
        <v>207</v>
      </c>
      <c r="B42" s="11">
        <v>0.12</v>
      </c>
      <c r="C42" s="7" t="s">
        <v>210</v>
      </c>
      <c r="D42" s="7" t="s">
        <v>212</v>
      </c>
    </row>
    <row r="43">
      <c r="A43" s="7" t="s">
        <v>214</v>
      </c>
      <c r="B43" s="11">
        <v>0.02</v>
      </c>
      <c r="C43" s="7" t="s">
        <v>210</v>
      </c>
      <c r="D43" s="7" t="s">
        <v>216</v>
      </c>
    </row>
    <row r="44">
      <c r="A44" s="8" t="s">
        <v>218</v>
      </c>
      <c r="B44" s="8" t="s">
        <v>8</v>
      </c>
      <c r="C44" s="8" t="s">
        <v>9</v>
      </c>
      <c r="D44" s="8" t="s">
        <v>10</v>
      </c>
      <c r="E44" s="9"/>
    </row>
    <row r="45">
      <c r="A45" s="7" t="s">
        <v>223</v>
      </c>
      <c r="B45" s="11">
        <v>400.0</v>
      </c>
      <c r="C45" s="7" t="s">
        <v>224</v>
      </c>
      <c r="D45" s="7" t="s">
        <v>113</v>
      </c>
    </row>
    <row r="46">
      <c r="A46" s="7" t="s">
        <v>225</v>
      </c>
      <c r="B46" s="11">
        <v>1000.0</v>
      </c>
      <c r="C46" s="7" t="s">
        <v>224</v>
      </c>
      <c r="D46" s="7" t="s">
        <v>226</v>
      </c>
    </row>
    <row r="47">
      <c r="A47" s="7" t="s">
        <v>228</v>
      </c>
      <c r="B47" s="11">
        <v>5.0</v>
      </c>
      <c r="C47" s="7" t="s">
        <v>112</v>
      </c>
      <c r="D47" s="7" t="s">
        <v>113</v>
      </c>
    </row>
    <row r="48">
      <c r="A48" s="7" t="s">
        <v>231</v>
      </c>
      <c r="B48" s="11">
        <v>15.0</v>
      </c>
      <c r="C48" s="7" t="s">
        <v>112</v>
      </c>
      <c r="D48" s="7" t="s">
        <v>113</v>
      </c>
    </row>
    <row r="49">
      <c r="A49" s="7" t="s">
        <v>238</v>
      </c>
      <c r="B49" s="11">
        <v>-10.0</v>
      </c>
      <c r="C49" s="7" t="s">
        <v>112</v>
      </c>
      <c r="D49" s="7" t="s">
        <v>113</v>
      </c>
    </row>
    <row r="51">
      <c r="A51" s="8" t="s">
        <v>240</v>
      </c>
      <c r="B51" s="8" t="s">
        <v>241</v>
      </c>
      <c r="C51" s="8" t="s">
        <v>242</v>
      </c>
      <c r="D51" s="8" t="s">
        <v>243</v>
      </c>
      <c r="E51" s="8" t="s">
        <v>244</v>
      </c>
    </row>
    <row r="52">
      <c r="A52" s="7" t="s">
        <v>248</v>
      </c>
      <c r="B52" s="11">
        <v>1.0</v>
      </c>
      <c r="C52" s="11">
        <v>1.0</v>
      </c>
      <c r="D52" s="11">
        <v>0.15</v>
      </c>
      <c r="E52" s="11">
        <v>1.0</v>
      </c>
    </row>
    <row r="53">
      <c r="A53" s="7" t="s">
        <v>255</v>
      </c>
      <c r="B53" s="11">
        <v>1.25</v>
      </c>
      <c r="C53" s="11">
        <v>1.1</v>
      </c>
      <c r="D53" s="11">
        <v>0.25</v>
      </c>
      <c r="E53" s="11">
        <v>0.75</v>
      </c>
    </row>
    <row r="54">
      <c r="A54" s="7" t="s">
        <v>257</v>
      </c>
      <c r="B54" s="11">
        <v>1.6</v>
      </c>
      <c r="C54" s="11">
        <v>1.25</v>
      </c>
      <c r="D54" s="11">
        <v>0.35</v>
      </c>
      <c r="E54" s="11">
        <v>0.5</v>
      </c>
    </row>
    <row r="55">
      <c r="A55" s="7" t="s">
        <v>259</v>
      </c>
      <c r="B55" s="11">
        <v>0.1</v>
      </c>
      <c r="D55" s="7" t="s">
        <v>113</v>
      </c>
    </row>
    <row r="57">
      <c r="A57" s="8" t="s">
        <v>263</v>
      </c>
      <c r="B57" s="8" t="s">
        <v>265</v>
      </c>
      <c r="C57" s="8" t="s">
        <v>267</v>
      </c>
      <c r="D57" s="8" t="s">
        <v>269</v>
      </c>
      <c r="E57" s="8" t="s">
        <v>270</v>
      </c>
    </row>
    <row r="58">
      <c r="A58" s="7" t="s">
        <v>272</v>
      </c>
      <c r="B58" s="7" t="s">
        <v>275</v>
      </c>
      <c r="E58" s="11">
        <v>0.45</v>
      </c>
    </row>
    <row r="59">
      <c r="A59" s="7" t="s">
        <v>279</v>
      </c>
      <c r="B59" s="7" t="s">
        <v>281</v>
      </c>
      <c r="C59" s="14">
        <v>0.02</v>
      </c>
      <c r="D59" s="11">
        <v>0.5</v>
      </c>
      <c r="E59" s="11">
        <v>0.3</v>
      </c>
    </row>
    <row r="60">
      <c r="A60" s="7" t="s">
        <v>285</v>
      </c>
      <c r="B60" s="7" t="s">
        <v>287</v>
      </c>
      <c r="C60" s="14">
        <v>0.01</v>
      </c>
      <c r="D60" s="11">
        <v>0.5</v>
      </c>
      <c r="E60" s="11">
        <v>0.7</v>
      </c>
    </row>
    <row r="61">
      <c r="A61" s="7" t="s">
        <v>292</v>
      </c>
      <c r="B61" s="7" t="s">
        <v>294</v>
      </c>
      <c r="C61" s="14">
        <v>0.02</v>
      </c>
      <c r="D61" s="11">
        <v>0.5</v>
      </c>
      <c r="E61" s="11">
        <v>0.4</v>
      </c>
    </row>
    <row r="62">
      <c r="A62" s="7" t="s">
        <v>302</v>
      </c>
      <c r="B62" s="7" t="s">
        <v>304</v>
      </c>
      <c r="C62" s="14">
        <v>0.01</v>
      </c>
      <c r="D62" s="11">
        <v>0.5</v>
      </c>
      <c r="E62" s="11">
        <v>0.5</v>
      </c>
    </row>
    <row r="64">
      <c r="A64" s="8" t="s">
        <v>310</v>
      </c>
      <c r="B64" s="8" t="s">
        <v>8</v>
      </c>
      <c r="C64" s="8" t="s">
        <v>9</v>
      </c>
      <c r="D64" s="8" t="s">
        <v>10</v>
      </c>
      <c r="E64" s="9"/>
    </row>
    <row r="65">
      <c r="A65" s="7" t="s">
        <v>313</v>
      </c>
      <c r="B65" s="11">
        <v>60.0</v>
      </c>
      <c r="C65" s="7" t="s">
        <v>21</v>
      </c>
      <c r="D65" s="7" t="s">
        <v>113</v>
      </c>
    </row>
    <row r="66">
      <c r="A66" s="7" t="s">
        <v>314</v>
      </c>
      <c r="B66" s="11">
        <v>12.0</v>
      </c>
      <c r="C66" s="7" t="s">
        <v>316</v>
      </c>
      <c r="D66" s="7" t="s">
        <v>317</v>
      </c>
    </row>
    <row r="67">
      <c r="A67" s="7" t="s">
        <v>319</v>
      </c>
      <c r="B67" s="11">
        <v>10.0</v>
      </c>
      <c r="C67" s="7" t="s">
        <v>321</v>
      </c>
      <c r="D67" s="7" t="s">
        <v>113</v>
      </c>
    </row>
    <row r="68">
      <c r="A68" s="7" t="s">
        <v>323</v>
      </c>
      <c r="B68" s="11">
        <v>10.0</v>
      </c>
      <c r="C68" s="7" t="s">
        <v>326</v>
      </c>
      <c r="D68" s="7" t="s">
        <v>327</v>
      </c>
    </row>
    <row r="69">
      <c r="A69" s="7" t="s">
        <v>328</v>
      </c>
      <c r="B69" s="11">
        <v>1.5</v>
      </c>
      <c r="C69" s="7" t="s">
        <v>112</v>
      </c>
      <c r="D69" s="7" t="s">
        <v>113</v>
      </c>
    </row>
    <row r="70">
      <c r="A70" s="8" t="s">
        <v>78</v>
      </c>
      <c r="B70" s="8" t="s">
        <v>8</v>
      </c>
      <c r="C70" s="8" t="s">
        <v>9</v>
      </c>
      <c r="D70" s="8" t="s">
        <v>10</v>
      </c>
      <c r="E70" s="9"/>
    </row>
    <row r="71">
      <c r="A71" s="7" t="s">
        <v>331</v>
      </c>
      <c r="B71" s="3">
        <v>2000.0</v>
      </c>
      <c r="C71" s="7" t="s">
        <v>333</v>
      </c>
      <c r="D71" s="7" t="s">
        <v>336</v>
      </c>
    </row>
    <row r="72">
      <c r="A72" s="7" t="s">
        <v>339</v>
      </c>
      <c r="B72" s="11">
        <v>7.0</v>
      </c>
      <c r="C72" s="7" t="s">
        <v>341</v>
      </c>
      <c r="D72" s="7" t="s">
        <v>343</v>
      </c>
    </row>
    <row r="73">
      <c r="A73" s="7" t="s">
        <v>345</v>
      </c>
      <c r="B73" s="11">
        <v>5.0</v>
      </c>
      <c r="C73" s="7" t="s">
        <v>346</v>
      </c>
      <c r="D73" s="7" t="s">
        <v>347</v>
      </c>
    </row>
    <row r="74">
      <c r="A74" s="7" t="s">
        <v>348</v>
      </c>
      <c r="B74" s="25" t="s">
        <v>356</v>
      </c>
      <c r="C74" s="7" t="s">
        <v>359</v>
      </c>
      <c r="D74" s="7" t="s">
        <v>360</v>
      </c>
    </row>
    <row r="76">
      <c r="A76" s="8" t="s">
        <v>362</v>
      </c>
      <c r="B76" s="8" t="s">
        <v>363</v>
      </c>
      <c r="C76" s="9"/>
      <c r="D76" s="8" t="s">
        <v>10</v>
      </c>
      <c r="E76" s="9"/>
    </row>
    <row r="77">
      <c r="A77" s="7" t="s">
        <v>365</v>
      </c>
      <c r="B77" s="30">
        <v>1.0E-4</v>
      </c>
      <c r="D77" s="7" t="s">
        <v>375</v>
      </c>
    </row>
    <row r="78">
      <c r="A78" s="7" t="s">
        <v>379</v>
      </c>
      <c r="B78" s="30">
        <v>2.0E-4</v>
      </c>
    </row>
    <row r="79">
      <c r="A79" s="7" t="s">
        <v>381</v>
      </c>
      <c r="B79" s="30">
        <v>3.0E-4</v>
      </c>
    </row>
    <row r="80">
      <c r="A80" s="7" t="s">
        <v>385</v>
      </c>
      <c r="B80" s="30">
        <v>4.0E-4</v>
      </c>
    </row>
    <row r="81">
      <c r="A81" s="7" t="s">
        <v>376</v>
      </c>
      <c r="B81" s="30">
        <v>5.0E-4</v>
      </c>
    </row>
    <row r="82">
      <c r="A82" s="7" t="s">
        <v>391</v>
      </c>
      <c r="B82" s="30">
        <v>7.0E-4</v>
      </c>
    </row>
    <row r="83">
      <c r="A83" s="7" t="s">
        <v>378</v>
      </c>
      <c r="B83" s="30">
        <v>9.0E-4</v>
      </c>
    </row>
    <row r="84">
      <c r="A84" s="7" t="s">
        <v>374</v>
      </c>
      <c r="B84" s="30">
        <v>0.0013</v>
      </c>
    </row>
    <row r="85">
      <c r="A85" s="7" t="s">
        <v>382</v>
      </c>
      <c r="B85" s="30">
        <v>0.0019</v>
      </c>
    </row>
    <row r="86">
      <c r="A86" s="7" t="s">
        <v>399</v>
      </c>
      <c r="B86" s="30">
        <v>0.0028</v>
      </c>
    </row>
    <row r="87">
      <c r="A87" s="7" t="s">
        <v>373</v>
      </c>
      <c r="B87" s="30">
        <v>0.0042</v>
      </c>
    </row>
    <row r="88">
      <c r="A88" s="7" t="s">
        <v>384</v>
      </c>
      <c r="B88" s="30">
        <v>0.0065</v>
      </c>
    </row>
    <row r="89">
      <c r="A89" s="7" t="s">
        <v>406</v>
      </c>
      <c r="B89" s="30">
        <v>0.01</v>
      </c>
    </row>
    <row r="90">
      <c r="A90" s="7" t="s">
        <v>410</v>
      </c>
      <c r="B90" s="30">
        <v>0.018</v>
      </c>
    </row>
    <row r="91">
      <c r="A91" s="7" t="s">
        <v>387</v>
      </c>
      <c r="B91" s="30">
        <v>0.03</v>
      </c>
    </row>
    <row r="92">
      <c r="A92" s="7" t="s">
        <v>383</v>
      </c>
      <c r="B92" s="30">
        <v>0.05</v>
      </c>
    </row>
    <row r="93">
      <c r="A93" s="7" t="s">
        <v>388</v>
      </c>
      <c r="B93" s="30">
        <v>0.12</v>
      </c>
    </row>
    <row r="94">
      <c r="A94" s="7" t="s">
        <v>411</v>
      </c>
      <c r="B94" s="30">
        <v>0.2</v>
      </c>
    </row>
    <row r="95">
      <c r="A95" s="7" t="s">
        <v>415</v>
      </c>
      <c r="B95" s="30">
        <v>0.27</v>
      </c>
    </row>
    <row r="96">
      <c r="A96" s="7" t="s">
        <v>418</v>
      </c>
      <c r="B96" s="30">
        <v>0.35</v>
      </c>
    </row>
    <row r="97">
      <c r="A97" s="7" t="s">
        <v>386</v>
      </c>
      <c r="B97" s="30">
        <v>0.6</v>
      </c>
    </row>
    <row r="98">
      <c r="A98" s="7" t="s">
        <v>421</v>
      </c>
      <c r="B98" s="30">
        <v>0.6</v>
      </c>
    </row>
    <row r="100">
      <c r="A100" s="8" t="s">
        <v>423</v>
      </c>
      <c r="B100" s="8" t="s">
        <v>8</v>
      </c>
      <c r="C100" s="8" t="s">
        <v>9</v>
      </c>
      <c r="D100" s="8" t="s">
        <v>10</v>
      </c>
      <c r="E100" s="9"/>
    </row>
    <row r="101">
      <c r="A101" s="7" t="s">
        <v>427</v>
      </c>
      <c r="B101" s="11">
        <v>90.0</v>
      </c>
      <c r="C101" s="7" t="s">
        <v>21</v>
      </c>
      <c r="D101" s="7" t="s">
        <v>23</v>
      </c>
    </row>
    <row r="102">
      <c r="A102" s="7" t="s">
        <v>431</v>
      </c>
      <c r="B102" s="11">
        <v>85.0</v>
      </c>
      <c r="C102" s="7" t="s">
        <v>21</v>
      </c>
      <c r="D102" s="7" t="s">
        <v>23</v>
      </c>
    </row>
    <row r="103">
      <c r="A103" s="7" t="s">
        <v>434</v>
      </c>
      <c r="B103" s="11">
        <v>100.0</v>
      </c>
      <c r="C103" s="7" t="s">
        <v>112</v>
      </c>
      <c r="D103" s="7" t="s">
        <v>23</v>
      </c>
    </row>
    <row r="104">
      <c r="A104" s="7" t="s">
        <v>435</v>
      </c>
      <c r="B104" s="11">
        <v>80.0</v>
      </c>
      <c r="C104" s="7" t="s">
        <v>21</v>
      </c>
      <c r="D104" s="7" t="s">
        <v>23</v>
      </c>
    </row>
    <row r="105">
      <c r="A105" s="7" t="s">
        <v>436</v>
      </c>
      <c r="B105" s="11">
        <v>85.0</v>
      </c>
      <c r="C105" s="7" t="s">
        <v>21</v>
      </c>
      <c r="D105" s="7" t="s">
        <v>23</v>
      </c>
    </row>
    <row r="106">
      <c r="A106" s="7" t="s">
        <v>438</v>
      </c>
      <c r="B106" s="11">
        <v>90.0</v>
      </c>
      <c r="C106" s="7" t="s">
        <v>21</v>
      </c>
      <c r="D106" s="7" t="s">
        <v>23</v>
      </c>
    </row>
    <row r="107">
      <c r="A107" s="7" t="s">
        <v>443</v>
      </c>
      <c r="B107" s="11">
        <v>100.0</v>
      </c>
      <c r="C107" s="7" t="s">
        <v>112</v>
      </c>
      <c r="D107" s="7" t="s">
        <v>23</v>
      </c>
    </row>
    <row r="108">
      <c r="A108" s="7" t="s">
        <v>449</v>
      </c>
      <c r="B108" s="11">
        <v>90.0</v>
      </c>
      <c r="C108" s="7" t="s">
        <v>21</v>
      </c>
      <c r="D108" s="7" t="s">
        <v>23</v>
      </c>
    </row>
    <row r="109">
      <c r="A109" s="7" t="s">
        <v>454</v>
      </c>
      <c r="B109" s="11">
        <v>85.0</v>
      </c>
      <c r="C109" s="7" t="s">
        <v>21</v>
      </c>
      <c r="D109" s="7" t="s">
        <v>23</v>
      </c>
    </row>
    <row r="110">
      <c r="A110" s="7" t="s">
        <v>459</v>
      </c>
      <c r="B110" s="11">
        <v>85.0</v>
      </c>
      <c r="C110" s="7" t="s">
        <v>21</v>
      </c>
      <c r="D110" s="7" t="s">
        <v>23</v>
      </c>
    </row>
    <row r="111">
      <c r="A111" s="7" t="s">
        <v>465</v>
      </c>
      <c r="B111" s="11">
        <v>70.0</v>
      </c>
      <c r="C111" s="7" t="s">
        <v>21</v>
      </c>
      <c r="D111" s="7" t="s">
        <v>23</v>
      </c>
    </row>
    <row r="112">
      <c r="A112" s="7" t="s">
        <v>473</v>
      </c>
      <c r="B112" s="11">
        <v>80.0</v>
      </c>
      <c r="C112" s="7" t="s">
        <v>21</v>
      </c>
      <c r="D112" s="7" t="s">
        <v>23</v>
      </c>
    </row>
    <row r="113">
      <c r="B113" s="31"/>
    </row>
    <row r="114">
      <c r="A114" s="7" t="s">
        <v>477</v>
      </c>
      <c r="B114" s="11">
        <v>25.0</v>
      </c>
      <c r="C114" s="7" t="s">
        <v>112</v>
      </c>
      <c r="D114" s="7" t="s">
        <v>480</v>
      </c>
    </row>
    <row r="115">
      <c r="A115" s="7" t="s">
        <v>482</v>
      </c>
      <c r="B115" s="11">
        <v>60.0</v>
      </c>
      <c r="C115" s="7" t="s">
        <v>21</v>
      </c>
      <c r="D115" s="7" t="s">
        <v>484</v>
      </c>
    </row>
    <row r="116">
      <c r="A116" s="7" t="s">
        <v>485</v>
      </c>
      <c r="B116" s="11">
        <v>10.0</v>
      </c>
      <c r="C116" s="7" t="s">
        <v>21</v>
      </c>
      <c r="D116" s="7" t="s">
        <v>484</v>
      </c>
    </row>
  </sheetData>
  <dataValidations>
    <dataValidation type="list" allowBlank="1" showErrorMessage="1" sqref="B74">
      <formula1>"Model,All stressed,All crisis"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2" width="6.38"/>
    <col customWidth="1" min="3" max="3" width="41.38"/>
    <col customWidth="1" min="4" max="4" width="20.13"/>
    <col customWidth="1" min="5" max="13" width="10.13"/>
    <col customWidth="1" min="14" max="14" width="52.63"/>
    <col customWidth="1" min="15" max="16" width="37.63"/>
    <col customWidth="1" min="17" max="21" width="10.13"/>
  </cols>
  <sheetData>
    <row r="1">
      <c r="A1" s="2" t="s">
        <v>2</v>
      </c>
    </row>
    <row r="2">
      <c r="A2" s="5" t="s">
        <v>5</v>
      </c>
    </row>
    <row r="4">
      <c r="A4" s="20" t="s">
        <v>59</v>
      </c>
      <c r="B4" s="20" t="s">
        <v>43</v>
      </c>
      <c r="C4" s="20" t="s">
        <v>68</v>
      </c>
      <c r="D4" s="20" t="s">
        <v>9</v>
      </c>
      <c r="E4" s="20" t="s">
        <v>71</v>
      </c>
      <c r="F4" s="20" t="s">
        <v>72</v>
      </c>
      <c r="G4" s="20" t="s">
        <v>75</v>
      </c>
      <c r="H4" s="20" t="s">
        <v>76</v>
      </c>
      <c r="I4" s="20" t="s">
        <v>77</v>
      </c>
      <c r="J4" s="20" t="s">
        <v>79</v>
      </c>
      <c r="K4" s="20" t="s">
        <v>81</v>
      </c>
      <c r="L4" s="20" t="s">
        <v>82</v>
      </c>
      <c r="M4" s="20" t="s">
        <v>84</v>
      </c>
      <c r="N4" s="20" t="s">
        <v>86</v>
      </c>
      <c r="O4" s="20" t="s">
        <v>10</v>
      </c>
      <c r="P4" s="20" t="s">
        <v>87</v>
      </c>
      <c r="Q4" s="20" t="s">
        <v>89</v>
      </c>
      <c r="R4" s="20" t="s">
        <v>91</v>
      </c>
      <c r="S4" s="20" t="s">
        <v>92</v>
      </c>
      <c r="T4" s="20" t="s">
        <v>94</v>
      </c>
      <c r="U4" s="20" t="s">
        <v>96</v>
      </c>
      <c r="V4" s="21"/>
    </row>
    <row r="5">
      <c r="A5" s="23" t="s">
        <v>100</v>
      </c>
      <c r="B5" s="3">
        <v>1.0</v>
      </c>
      <c r="C5" s="7" t="s">
        <v>104</v>
      </c>
      <c r="D5" s="7" t="s">
        <v>105</v>
      </c>
      <c r="E5" s="24">
        <v>0.2</v>
      </c>
      <c r="F5" s="25" t="s">
        <v>107</v>
      </c>
      <c r="G5" s="11">
        <v>10.0</v>
      </c>
      <c r="H5" s="11">
        <v>20.0</v>
      </c>
      <c r="I5" s="11">
        <v>30.0</v>
      </c>
      <c r="J5" s="11">
        <v>45.0</v>
      </c>
      <c r="K5" s="11">
        <v>60.0</v>
      </c>
      <c r="L5" s="26">
        <f t="shared" ref="L5:L87" si="1">SIGN(K5-G5)</f>
        <v>1</v>
      </c>
      <c r="M5" s="7" t="s">
        <v>111</v>
      </c>
      <c r="N5" s="27"/>
      <c r="O5" s="28" t="s">
        <v>118</v>
      </c>
      <c r="P5" s="28" t="s">
        <v>122</v>
      </c>
    </row>
    <row r="6">
      <c r="A6" s="23" t="s">
        <v>129</v>
      </c>
      <c r="B6" s="3">
        <v>1.0</v>
      </c>
      <c r="C6" s="7" t="s">
        <v>133</v>
      </c>
      <c r="D6" s="7" t="s">
        <v>134</v>
      </c>
      <c r="E6" s="24">
        <v>0.15</v>
      </c>
      <c r="F6" s="25" t="s">
        <v>107</v>
      </c>
      <c r="G6" s="11">
        <v>10.0</v>
      </c>
      <c r="H6" s="11">
        <v>25.0</v>
      </c>
      <c r="I6" s="11">
        <v>50.0</v>
      </c>
      <c r="J6" s="11">
        <v>75.0</v>
      </c>
      <c r="K6" s="11">
        <v>100.0</v>
      </c>
      <c r="L6" s="26">
        <f t="shared" si="1"/>
        <v>1</v>
      </c>
      <c r="M6" s="7" t="s">
        <v>111</v>
      </c>
      <c r="N6" s="27"/>
      <c r="O6" s="28" t="s">
        <v>137</v>
      </c>
      <c r="P6" s="28" t="s">
        <v>138</v>
      </c>
    </row>
    <row r="7">
      <c r="A7" s="23" t="s">
        <v>140</v>
      </c>
      <c r="B7" s="3">
        <v>1.0</v>
      </c>
      <c r="C7" s="7" t="s">
        <v>142</v>
      </c>
      <c r="D7" s="7" t="s">
        <v>37</v>
      </c>
      <c r="E7" s="24">
        <v>0.15</v>
      </c>
      <c r="F7" s="25" t="s">
        <v>107</v>
      </c>
      <c r="G7" s="11">
        <v>30.0</v>
      </c>
      <c r="H7" s="11">
        <v>45.0</v>
      </c>
      <c r="I7" s="11">
        <v>60.0</v>
      </c>
      <c r="J7" s="11">
        <v>80.0</v>
      </c>
      <c r="K7" s="11">
        <v>100.0</v>
      </c>
      <c r="L7" s="26">
        <f t="shared" si="1"/>
        <v>1</v>
      </c>
      <c r="M7" s="7" t="s">
        <v>146</v>
      </c>
      <c r="N7" s="27"/>
      <c r="O7" s="28" t="s">
        <v>147</v>
      </c>
      <c r="P7" s="28" t="s">
        <v>148</v>
      </c>
    </row>
    <row r="8">
      <c r="A8" s="23" t="s">
        <v>149</v>
      </c>
      <c r="B8" s="3">
        <v>1.0</v>
      </c>
      <c r="C8" s="7" t="s">
        <v>151</v>
      </c>
      <c r="D8" s="7" t="s">
        <v>37</v>
      </c>
      <c r="E8" s="24">
        <v>0.1</v>
      </c>
      <c r="F8" s="25" t="s">
        <v>107</v>
      </c>
      <c r="G8" s="11">
        <v>5.0</v>
      </c>
      <c r="H8" s="11">
        <v>10.0</v>
      </c>
      <c r="I8" s="11">
        <v>15.0</v>
      </c>
      <c r="J8" s="11">
        <v>20.0</v>
      </c>
      <c r="K8" s="11">
        <v>25.0</v>
      </c>
      <c r="L8" s="26">
        <f t="shared" si="1"/>
        <v>1</v>
      </c>
      <c r="M8" s="7" t="s">
        <v>146</v>
      </c>
      <c r="N8" s="27"/>
      <c r="O8" s="28" t="s">
        <v>171</v>
      </c>
      <c r="P8" s="28" t="s">
        <v>172</v>
      </c>
    </row>
    <row r="9">
      <c r="A9" s="23" t="s">
        <v>176</v>
      </c>
      <c r="B9" s="3">
        <v>1.0</v>
      </c>
      <c r="C9" s="7" t="s">
        <v>179</v>
      </c>
      <c r="D9" s="7" t="s">
        <v>182</v>
      </c>
      <c r="E9" s="24">
        <v>0.1</v>
      </c>
      <c r="F9" s="25" t="s">
        <v>107</v>
      </c>
      <c r="G9" s="11">
        <v>20.0</v>
      </c>
      <c r="H9" s="11">
        <v>35.0</v>
      </c>
      <c r="I9" s="11">
        <v>50.0</v>
      </c>
      <c r="J9" s="11">
        <v>65.0</v>
      </c>
      <c r="K9" s="11">
        <v>80.0</v>
      </c>
      <c r="L9" s="26">
        <f t="shared" si="1"/>
        <v>1</v>
      </c>
      <c r="M9" s="7" t="s">
        <v>111</v>
      </c>
      <c r="N9" s="27"/>
      <c r="O9" s="28" t="s">
        <v>197</v>
      </c>
      <c r="P9" s="28" t="s">
        <v>199</v>
      </c>
    </row>
    <row r="10">
      <c r="A10" s="23" t="s">
        <v>202</v>
      </c>
      <c r="B10" s="3">
        <v>1.0</v>
      </c>
      <c r="C10" s="7" t="s">
        <v>205</v>
      </c>
      <c r="D10" s="7" t="s">
        <v>125</v>
      </c>
      <c r="E10" s="24">
        <v>0.05</v>
      </c>
      <c r="F10" s="25" t="s">
        <v>107</v>
      </c>
      <c r="G10" s="11">
        <v>0.0</v>
      </c>
      <c r="H10" s="11">
        <v>-1.0</v>
      </c>
      <c r="I10" s="11">
        <v>-2.0</v>
      </c>
      <c r="J10" s="11">
        <v>-3.5</v>
      </c>
      <c r="K10" s="11">
        <v>-5.0</v>
      </c>
      <c r="L10" s="26">
        <f t="shared" si="1"/>
        <v>-1</v>
      </c>
      <c r="M10" s="7" t="s">
        <v>146</v>
      </c>
      <c r="N10" s="27"/>
      <c r="O10" s="28" t="s">
        <v>217</v>
      </c>
      <c r="P10" s="28" t="s">
        <v>219</v>
      </c>
    </row>
    <row r="11">
      <c r="A11" s="23" t="s">
        <v>220</v>
      </c>
      <c r="B11" s="3">
        <v>1.0</v>
      </c>
      <c r="C11" s="7" t="s">
        <v>221</v>
      </c>
      <c r="D11" s="7" t="s">
        <v>125</v>
      </c>
      <c r="E11" s="24">
        <v>0.05</v>
      </c>
      <c r="F11" s="25" t="s">
        <v>107</v>
      </c>
      <c r="G11" s="11">
        <v>-5.0</v>
      </c>
      <c r="H11" s="11">
        <v>0.0</v>
      </c>
      <c r="I11" s="11">
        <v>5.0</v>
      </c>
      <c r="J11" s="11">
        <v>10.0</v>
      </c>
      <c r="K11" s="11">
        <v>15.0</v>
      </c>
      <c r="L11" s="26">
        <f t="shared" si="1"/>
        <v>1</v>
      </c>
      <c r="M11" s="7" t="s">
        <v>146</v>
      </c>
      <c r="N11" s="27"/>
      <c r="O11" s="28" t="s">
        <v>147</v>
      </c>
      <c r="P11" s="28" t="s">
        <v>229</v>
      </c>
    </row>
    <row r="12">
      <c r="A12" s="23" t="s">
        <v>232</v>
      </c>
      <c r="B12" s="3">
        <v>1.0</v>
      </c>
      <c r="C12" s="7" t="s">
        <v>233</v>
      </c>
      <c r="D12" s="7" t="s">
        <v>235</v>
      </c>
      <c r="E12" s="24">
        <v>0.1</v>
      </c>
      <c r="F12" s="25" t="s">
        <v>107</v>
      </c>
      <c r="G12" s="11">
        <v>0.0</v>
      </c>
      <c r="H12" s="11">
        <v>0.5</v>
      </c>
      <c r="I12" s="11">
        <v>1.0</v>
      </c>
      <c r="J12" s="11">
        <v>2.0</v>
      </c>
      <c r="K12" s="11">
        <v>3.0</v>
      </c>
      <c r="L12" s="26">
        <f t="shared" si="1"/>
        <v>1</v>
      </c>
      <c r="M12" s="7" t="s">
        <v>111</v>
      </c>
      <c r="N12" s="27"/>
      <c r="O12" s="28" t="s">
        <v>245</v>
      </c>
      <c r="P12" s="28" t="s">
        <v>246</v>
      </c>
    </row>
    <row r="13">
      <c r="A13" s="23" t="s">
        <v>250</v>
      </c>
      <c r="B13" s="3">
        <v>1.0</v>
      </c>
      <c r="C13" s="7" t="s">
        <v>253</v>
      </c>
      <c r="D13" s="7" t="s">
        <v>254</v>
      </c>
      <c r="E13" s="24">
        <v>0.1</v>
      </c>
      <c r="F13" s="25" t="s">
        <v>256</v>
      </c>
      <c r="G13" s="11">
        <v>0.0</v>
      </c>
      <c r="H13" s="11">
        <v>1.0</v>
      </c>
      <c r="I13" s="11">
        <v>2.0</v>
      </c>
      <c r="J13" s="11">
        <v>3.0</v>
      </c>
      <c r="K13" s="11">
        <v>4.0</v>
      </c>
      <c r="L13" s="26">
        <f t="shared" si="1"/>
        <v>1</v>
      </c>
      <c r="M13" s="7" t="s">
        <v>111</v>
      </c>
      <c r="N13" s="28" t="s">
        <v>264</v>
      </c>
      <c r="O13" s="28" t="s">
        <v>266</v>
      </c>
      <c r="P13" s="28" t="s">
        <v>268</v>
      </c>
    </row>
    <row r="14">
      <c r="A14" s="23" t="s">
        <v>271</v>
      </c>
      <c r="B14" s="3">
        <v>2.0</v>
      </c>
      <c r="C14" s="7" t="s">
        <v>273</v>
      </c>
      <c r="D14" s="7" t="s">
        <v>277</v>
      </c>
      <c r="E14" s="24">
        <v>0.15</v>
      </c>
      <c r="F14" s="25" t="s">
        <v>107</v>
      </c>
      <c r="G14" s="11">
        <v>150.0</v>
      </c>
      <c r="H14" s="11">
        <v>125.0</v>
      </c>
      <c r="I14" s="11">
        <v>100.0</v>
      </c>
      <c r="J14" s="11">
        <v>75.0</v>
      </c>
      <c r="K14" s="11">
        <v>50.0</v>
      </c>
      <c r="L14" s="26">
        <f t="shared" si="1"/>
        <v>-1</v>
      </c>
      <c r="M14" s="7" t="s">
        <v>146</v>
      </c>
      <c r="N14" s="27"/>
      <c r="O14" s="28" t="s">
        <v>296</v>
      </c>
      <c r="P14" s="28" t="s">
        <v>299</v>
      </c>
    </row>
    <row r="15">
      <c r="A15" s="23" t="s">
        <v>301</v>
      </c>
      <c r="B15" s="3">
        <v>2.0</v>
      </c>
      <c r="C15" s="7" t="s">
        <v>305</v>
      </c>
      <c r="D15" s="7" t="s">
        <v>307</v>
      </c>
      <c r="E15" s="24">
        <v>0.15</v>
      </c>
      <c r="F15" s="25" t="s">
        <v>107</v>
      </c>
      <c r="G15" s="11">
        <v>50.0</v>
      </c>
      <c r="H15" s="11">
        <v>75.0</v>
      </c>
      <c r="I15" s="11">
        <v>100.0</v>
      </c>
      <c r="J15" s="11">
        <v>150.0</v>
      </c>
      <c r="K15" s="11">
        <v>200.0</v>
      </c>
      <c r="L15" s="26">
        <f t="shared" si="1"/>
        <v>1</v>
      </c>
      <c r="M15" s="7" t="s">
        <v>111</v>
      </c>
      <c r="N15" s="27"/>
      <c r="O15" s="28" t="s">
        <v>318</v>
      </c>
      <c r="P15" s="28" t="s">
        <v>320</v>
      </c>
    </row>
    <row r="16">
      <c r="A16" s="23" t="s">
        <v>322</v>
      </c>
      <c r="B16" s="3">
        <v>2.0</v>
      </c>
      <c r="C16" s="7" t="s">
        <v>324</v>
      </c>
      <c r="D16" s="7" t="s">
        <v>307</v>
      </c>
      <c r="E16" s="24">
        <v>0.1</v>
      </c>
      <c r="F16" s="25" t="s">
        <v>107</v>
      </c>
      <c r="G16" s="11">
        <v>10.0</v>
      </c>
      <c r="H16" s="11">
        <v>25.0</v>
      </c>
      <c r="I16" s="11">
        <v>50.0</v>
      </c>
      <c r="J16" s="11">
        <v>75.0</v>
      </c>
      <c r="K16" s="11">
        <v>100.0</v>
      </c>
      <c r="L16" s="26">
        <f t="shared" si="1"/>
        <v>1</v>
      </c>
      <c r="M16" s="7" t="s">
        <v>111</v>
      </c>
      <c r="N16" s="27"/>
      <c r="O16" s="28" t="s">
        <v>334</v>
      </c>
      <c r="P16" s="28" t="s">
        <v>337</v>
      </c>
    </row>
    <row r="17">
      <c r="A17" s="23" t="s">
        <v>340</v>
      </c>
      <c r="B17" s="3">
        <v>2.0</v>
      </c>
      <c r="C17" s="7" t="s">
        <v>342</v>
      </c>
      <c r="D17" s="7" t="s">
        <v>344</v>
      </c>
      <c r="E17" s="24">
        <v>0.1</v>
      </c>
      <c r="F17" s="25" t="s">
        <v>107</v>
      </c>
      <c r="G17" s="11">
        <v>10.0</v>
      </c>
      <c r="H17" s="11">
        <v>25.0</v>
      </c>
      <c r="I17" s="11">
        <v>40.0</v>
      </c>
      <c r="J17" s="11">
        <v>55.0</v>
      </c>
      <c r="K17" s="11">
        <v>70.0</v>
      </c>
      <c r="L17" s="26">
        <f t="shared" si="1"/>
        <v>1</v>
      </c>
      <c r="M17" s="7" t="s">
        <v>111</v>
      </c>
      <c r="N17" s="27"/>
      <c r="O17" s="28" t="s">
        <v>353</v>
      </c>
      <c r="P17" s="28" t="s">
        <v>354</v>
      </c>
    </row>
    <row r="18">
      <c r="A18" s="23" t="s">
        <v>358</v>
      </c>
      <c r="B18" s="3">
        <v>2.0</v>
      </c>
      <c r="C18" s="7" t="s">
        <v>361</v>
      </c>
      <c r="D18" s="7" t="s">
        <v>254</v>
      </c>
      <c r="E18" s="24">
        <v>0.1</v>
      </c>
      <c r="F18" s="25" t="s">
        <v>256</v>
      </c>
      <c r="G18" s="11">
        <v>0.0</v>
      </c>
      <c r="H18" s="11">
        <v>1.0</v>
      </c>
      <c r="I18" s="11">
        <v>2.0</v>
      </c>
      <c r="J18" s="11">
        <v>3.0</v>
      </c>
      <c r="K18" s="11">
        <v>4.0</v>
      </c>
      <c r="L18" s="26">
        <f t="shared" si="1"/>
        <v>1</v>
      </c>
      <c r="M18" s="7" t="s">
        <v>111</v>
      </c>
      <c r="N18" s="28" t="s">
        <v>368</v>
      </c>
      <c r="O18" s="28" t="s">
        <v>370</v>
      </c>
      <c r="P18" s="28" t="s">
        <v>372</v>
      </c>
    </row>
    <row r="19">
      <c r="A19" s="23" t="s">
        <v>377</v>
      </c>
      <c r="B19" s="3">
        <v>2.0</v>
      </c>
      <c r="C19" s="7" t="s">
        <v>380</v>
      </c>
      <c r="D19" s="7" t="s">
        <v>254</v>
      </c>
      <c r="E19" s="24">
        <v>0.1</v>
      </c>
      <c r="F19" s="25" t="s">
        <v>256</v>
      </c>
      <c r="G19" s="11">
        <v>0.0</v>
      </c>
      <c r="H19" s="11">
        <v>1.0</v>
      </c>
      <c r="I19" s="11">
        <v>2.0</v>
      </c>
      <c r="J19" s="11">
        <v>3.0</v>
      </c>
      <c r="K19" s="11">
        <v>4.0</v>
      </c>
      <c r="L19" s="26">
        <f t="shared" si="1"/>
        <v>1</v>
      </c>
      <c r="M19" s="7" t="s">
        <v>111</v>
      </c>
      <c r="N19" s="28" t="s">
        <v>389</v>
      </c>
      <c r="O19" s="28" t="s">
        <v>390</v>
      </c>
      <c r="P19" s="28" t="s">
        <v>393</v>
      </c>
    </row>
    <row r="20">
      <c r="A20" s="23" t="s">
        <v>396</v>
      </c>
      <c r="B20" s="3">
        <v>2.0</v>
      </c>
      <c r="C20" s="7" t="s">
        <v>398</v>
      </c>
      <c r="D20" s="7" t="s">
        <v>254</v>
      </c>
      <c r="E20" s="24">
        <v>0.05</v>
      </c>
      <c r="F20" s="25" t="s">
        <v>256</v>
      </c>
      <c r="G20" s="11">
        <v>0.0</v>
      </c>
      <c r="H20" s="11">
        <v>1.0</v>
      </c>
      <c r="I20" s="11">
        <v>2.0</v>
      </c>
      <c r="J20" s="11">
        <v>3.0</v>
      </c>
      <c r="K20" s="11">
        <v>4.0</v>
      </c>
      <c r="L20" s="26">
        <f t="shared" si="1"/>
        <v>1</v>
      </c>
      <c r="M20" s="7" t="s">
        <v>111</v>
      </c>
      <c r="N20" s="28" t="s">
        <v>400</v>
      </c>
      <c r="O20" s="28" t="s">
        <v>401</v>
      </c>
      <c r="P20" s="28" t="s">
        <v>403</v>
      </c>
    </row>
    <row r="21">
      <c r="A21" s="23" t="s">
        <v>407</v>
      </c>
      <c r="B21" s="3">
        <v>2.0</v>
      </c>
      <c r="C21" s="7" t="s">
        <v>409</v>
      </c>
      <c r="D21" s="7" t="s">
        <v>37</v>
      </c>
      <c r="E21" s="24">
        <v>0.05</v>
      </c>
      <c r="F21" s="25" t="s">
        <v>107</v>
      </c>
      <c r="G21" s="11">
        <v>0.0</v>
      </c>
      <c r="H21" s="11">
        <v>-2.0</v>
      </c>
      <c r="I21" s="11">
        <v>-4.0</v>
      </c>
      <c r="J21" s="11">
        <v>-6.0</v>
      </c>
      <c r="K21" s="11">
        <v>-8.0</v>
      </c>
      <c r="L21" s="26">
        <f t="shared" si="1"/>
        <v>-1</v>
      </c>
      <c r="M21" s="7" t="s">
        <v>146</v>
      </c>
      <c r="N21" s="27"/>
      <c r="O21" s="28" t="s">
        <v>147</v>
      </c>
      <c r="P21" s="28" t="s">
        <v>417</v>
      </c>
    </row>
    <row r="22">
      <c r="A22" s="23" t="s">
        <v>419</v>
      </c>
      <c r="B22" s="3">
        <v>2.0</v>
      </c>
      <c r="C22" s="7" t="s">
        <v>420</v>
      </c>
      <c r="D22" s="7" t="s">
        <v>307</v>
      </c>
      <c r="E22" s="24">
        <v>0.05</v>
      </c>
      <c r="F22" s="25" t="s">
        <v>107</v>
      </c>
      <c r="G22" s="11">
        <v>10.0</v>
      </c>
      <c r="H22" s="11">
        <v>25.0</v>
      </c>
      <c r="I22" s="11">
        <v>50.0</v>
      </c>
      <c r="J22" s="11">
        <v>75.0</v>
      </c>
      <c r="K22" s="11">
        <v>100.0</v>
      </c>
      <c r="L22" s="26">
        <f t="shared" si="1"/>
        <v>1</v>
      </c>
      <c r="M22" s="7" t="s">
        <v>111</v>
      </c>
      <c r="N22" s="27"/>
      <c r="O22" s="28" t="s">
        <v>428</v>
      </c>
      <c r="P22" s="28" t="s">
        <v>429</v>
      </c>
    </row>
    <row r="23">
      <c r="A23" s="23" t="s">
        <v>430</v>
      </c>
      <c r="B23" s="3">
        <v>2.0</v>
      </c>
      <c r="C23" s="7" t="s">
        <v>432</v>
      </c>
      <c r="D23" s="7" t="s">
        <v>433</v>
      </c>
      <c r="E23" s="24">
        <v>0.05</v>
      </c>
      <c r="F23" s="25" t="s">
        <v>107</v>
      </c>
      <c r="G23" s="11">
        <v>100.0</v>
      </c>
      <c r="H23" s="11">
        <v>150.0</v>
      </c>
      <c r="I23" s="11">
        <v>200.0</v>
      </c>
      <c r="J23" s="11">
        <v>250.0</v>
      </c>
      <c r="K23" s="11">
        <v>300.0</v>
      </c>
      <c r="L23" s="26">
        <f t="shared" si="1"/>
        <v>1</v>
      </c>
      <c r="M23" s="7" t="s">
        <v>111</v>
      </c>
      <c r="N23" s="27"/>
      <c r="O23" s="28" t="s">
        <v>437</v>
      </c>
      <c r="P23" s="28" t="s">
        <v>439</v>
      </c>
    </row>
    <row r="24">
      <c r="A24" s="23" t="s">
        <v>441</v>
      </c>
      <c r="B24" s="3">
        <v>2.0</v>
      </c>
      <c r="C24" s="7" t="s">
        <v>445</v>
      </c>
      <c r="D24" s="7" t="s">
        <v>447</v>
      </c>
      <c r="E24" s="24">
        <v>0.05</v>
      </c>
      <c r="F24" s="25" t="s">
        <v>107</v>
      </c>
      <c r="G24" s="11">
        <v>20.0</v>
      </c>
      <c r="H24" s="11">
        <v>35.0</v>
      </c>
      <c r="I24" s="11">
        <v>50.0</v>
      </c>
      <c r="J24" s="11">
        <v>65.0</v>
      </c>
      <c r="K24" s="11">
        <v>80.0</v>
      </c>
      <c r="L24" s="26">
        <f t="shared" si="1"/>
        <v>1</v>
      </c>
      <c r="M24" s="7" t="s">
        <v>111</v>
      </c>
      <c r="N24" s="27"/>
      <c r="O24" s="28" t="s">
        <v>458</v>
      </c>
      <c r="P24" s="28" t="s">
        <v>460</v>
      </c>
    </row>
    <row r="25">
      <c r="A25" s="23" t="s">
        <v>463</v>
      </c>
      <c r="B25" s="3">
        <v>2.0</v>
      </c>
      <c r="C25" s="7" t="s">
        <v>468</v>
      </c>
      <c r="D25" s="7" t="s">
        <v>470</v>
      </c>
      <c r="E25" s="24">
        <v>0.05</v>
      </c>
      <c r="F25" s="25" t="s">
        <v>107</v>
      </c>
      <c r="G25" s="11">
        <v>0.0</v>
      </c>
      <c r="H25" s="11">
        <v>5.0</v>
      </c>
      <c r="I25" s="11">
        <v>10.0</v>
      </c>
      <c r="J25" s="11">
        <v>18.0</v>
      </c>
      <c r="K25" s="11">
        <v>25.0</v>
      </c>
      <c r="L25" s="26">
        <f t="shared" si="1"/>
        <v>1</v>
      </c>
      <c r="M25" s="7" t="s">
        <v>111</v>
      </c>
      <c r="N25" s="27"/>
      <c r="O25" s="28" t="s">
        <v>478</v>
      </c>
      <c r="P25" s="28" t="s">
        <v>479</v>
      </c>
    </row>
    <row r="26">
      <c r="A26" s="23" t="s">
        <v>481</v>
      </c>
      <c r="B26" s="3">
        <v>3.0</v>
      </c>
      <c r="C26" s="7" t="s">
        <v>483</v>
      </c>
      <c r="D26" s="7" t="s">
        <v>254</v>
      </c>
      <c r="E26" s="24">
        <v>0.15</v>
      </c>
      <c r="F26" s="25" t="s">
        <v>256</v>
      </c>
      <c r="G26" s="11">
        <v>0.0</v>
      </c>
      <c r="H26" s="11">
        <v>1.0</v>
      </c>
      <c r="I26" s="11">
        <v>2.0</v>
      </c>
      <c r="J26" s="11">
        <v>3.0</v>
      </c>
      <c r="K26" s="11">
        <v>4.0</v>
      </c>
      <c r="L26" s="26">
        <f t="shared" si="1"/>
        <v>1</v>
      </c>
      <c r="M26" s="7" t="s">
        <v>111</v>
      </c>
      <c r="N26" s="28" t="s">
        <v>490</v>
      </c>
      <c r="O26" s="28" t="s">
        <v>491</v>
      </c>
      <c r="P26" s="28" t="s">
        <v>492</v>
      </c>
    </row>
    <row r="27">
      <c r="A27" s="23" t="s">
        <v>493</v>
      </c>
      <c r="B27" s="3">
        <v>3.0</v>
      </c>
      <c r="C27" s="7" t="s">
        <v>494</v>
      </c>
      <c r="D27" s="7" t="s">
        <v>254</v>
      </c>
      <c r="E27" s="24">
        <v>0.15</v>
      </c>
      <c r="F27" s="25" t="s">
        <v>256</v>
      </c>
      <c r="G27" s="11">
        <v>0.0</v>
      </c>
      <c r="H27" s="11">
        <v>1.0</v>
      </c>
      <c r="I27" s="11">
        <v>2.0</v>
      </c>
      <c r="J27" s="11">
        <v>3.0</v>
      </c>
      <c r="K27" s="11">
        <v>4.0</v>
      </c>
      <c r="L27" s="26">
        <f t="shared" si="1"/>
        <v>1</v>
      </c>
      <c r="M27" s="7" t="s">
        <v>111</v>
      </c>
      <c r="N27" s="28" t="s">
        <v>496</v>
      </c>
      <c r="O27" s="28" t="s">
        <v>497</v>
      </c>
      <c r="P27" s="28" t="s">
        <v>498</v>
      </c>
    </row>
    <row r="28">
      <c r="A28" s="23" t="s">
        <v>499</v>
      </c>
      <c r="B28" s="3">
        <v>3.0</v>
      </c>
      <c r="C28" s="7" t="s">
        <v>500</v>
      </c>
      <c r="D28" s="7" t="s">
        <v>254</v>
      </c>
      <c r="E28" s="24">
        <v>0.1</v>
      </c>
      <c r="F28" s="25" t="s">
        <v>256</v>
      </c>
      <c r="G28" s="11">
        <v>0.0</v>
      </c>
      <c r="H28" s="11">
        <v>1.0</v>
      </c>
      <c r="I28" s="11">
        <v>2.0</v>
      </c>
      <c r="J28" s="11">
        <v>3.0</v>
      </c>
      <c r="K28" s="11">
        <v>4.0</v>
      </c>
      <c r="L28" s="26">
        <f t="shared" si="1"/>
        <v>1</v>
      </c>
      <c r="M28" s="7" t="s">
        <v>111</v>
      </c>
      <c r="N28" s="28" t="s">
        <v>505</v>
      </c>
      <c r="O28" s="28" t="s">
        <v>506</v>
      </c>
      <c r="P28" s="28" t="s">
        <v>507</v>
      </c>
    </row>
    <row r="29">
      <c r="A29" s="23" t="s">
        <v>508</v>
      </c>
      <c r="B29" s="3">
        <v>3.0</v>
      </c>
      <c r="C29" s="7" t="s">
        <v>509</v>
      </c>
      <c r="D29" s="7" t="s">
        <v>510</v>
      </c>
      <c r="E29" s="24">
        <v>0.1</v>
      </c>
      <c r="F29" s="25" t="s">
        <v>107</v>
      </c>
      <c r="G29" s="11">
        <v>5.0</v>
      </c>
      <c r="H29" s="11">
        <v>0.0</v>
      </c>
      <c r="I29" s="11">
        <v>-3.0</v>
      </c>
      <c r="J29" s="11">
        <v>-6.0</v>
      </c>
      <c r="K29" s="11">
        <v>-10.0</v>
      </c>
      <c r="L29" s="26">
        <f t="shared" si="1"/>
        <v>-1</v>
      </c>
      <c r="M29" s="7" t="s">
        <v>111</v>
      </c>
      <c r="N29" s="27"/>
      <c r="O29" s="28" t="s">
        <v>513</v>
      </c>
      <c r="P29" s="28" t="s">
        <v>515</v>
      </c>
    </row>
    <row r="30">
      <c r="A30" s="23" t="s">
        <v>517</v>
      </c>
      <c r="B30" s="3">
        <v>3.0</v>
      </c>
      <c r="C30" s="7" t="s">
        <v>518</v>
      </c>
      <c r="D30" s="7" t="s">
        <v>520</v>
      </c>
      <c r="E30" s="24">
        <v>0.1</v>
      </c>
      <c r="F30" s="25" t="s">
        <v>107</v>
      </c>
      <c r="G30" s="11">
        <v>80.0</v>
      </c>
      <c r="H30" s="11">
        <v>60.0</v>
      </c>
      <c r="I30" s="11">
        <v>40.0</v>
      </c>
      <c r="J30" s="11">
        <v>25.0</v>
      </c>
      <c r="K30" s="11">
        <v>10.0</v>
      </c>
      <c r="L30" s="26">
        <f t="shared" si="1"/>
        <v>-1</v>
      </c>
      <c r="M30" s="7" t="s">
        <v>111</v>
      </c>
      <c r="N30" s="27"/>
      <c r="O30" s="28" t="s">
        <v>513</v>
      </c>
      <c r="P30" s="28" t="s">
        <v>515</v>
      </c>
    </row>
    <row r="31">
      <c r="A31" s="23" t="s">
        <v>524</v>
      </c>
      <c r="B31" s="3">
        <v>3.0</v>
      </c>
      <c r="C31" s="7" t="s">
        <v>525</v>
      </c>
      <c r="D31" s="7" t="s">
        <v>526</v>
      </c>
      <c r="E31" s="24">
        <v>0.1</v>
      </c>
      <c r="F31" s="25" t="s">
        <v>107</v>
      </c>
      <c r="G31" s="11">
        <v>0.85</v>
      </c>
      <c r="H31" s="11">
        <v>0.7</v>
      </c>
      <c r="I31" s="11">
        <v>0.5</v>
      </c>
      <c r="J31" s="11">
        <v>0.3</v>
      </c>
      <c r="K31" s="11">
        <v>0.15</v>
      </c>
      <c r="L31" s="26">
        <f t="shared" si="1"/>
        <v>-1</v>
      </c>
      <c r="M31" s="7" t="s">
        <v>111</v>
      </c>
      <c r="N31" s="27"/>
      <c r="O31" s="28" t="s">
        <v>527</v>
      </c>
      <c r="P31" s="28" t="s">
        <v>528</v>
      </c>
    </row>
    <row r="32">
      <c r="A32" s="23" t="s">
        <v>529</v>
      </c>
      <c r="B32" s="3">
        <v>3.0</v>
      </c>
      <c r="C32" s="7" t="s">
        <v>530</v>
      </c>
      <c r="D32" s="7" t="s">
        <v>526</v>
      </c>
      <c r="E32" s="24">
        <v>0.1</v>
      </c>
      <c r="F32" s="25" t="s">
        <v>107</v>
      </c>
      <c r="G32" s="11">
        <v>0.7</v>
      </c>
      <c r="H32" s="11">
        <v>0.6</v>
      </c>
      <c r="I32" s="11">
        <v>0.5</v>
      </c>
      <c r="J32" s="11">
        <v>0.4</v>
      </c>
      <c r="K32" s="11">
        <v>0.3</v>
      </c>
      <c r="L32" s="26">
        <f t="shared" si="1"/>
        <v>-1</v>
      </c>
      <c r="M32" s="7" t="s">
        <v>111</v>
      </c>
      <c r="N32" s="27"/>
      <c r="O32" s="28" t="s">
        <v>534</v>
      </c>
      <c r="P32" s="28" t="s">
        <v>535</v>
      </c>
    </row>
    <row r="33">
      <c r="A33" s="23" t="s">
        <v>536</v>
      </c>
      <c r="B33" s="3">
        <v>3.0</v>
      </c>
      <c r="C33" s="7" t="s">
        <v>537</v>
      </c>
      <c r="D33" s="7" t="s">
        <v>254</v>
      </c>
      <c r="E33" s="24">
        <v>0.1</v>
      </c>
      <c r="F33" s="25" t="s">
        <v>256</v>
      </c>
      <c r="G33" s="11">
        <v>0.0</v>
      </c>
      <c r="H33" s="11">
        <v>1.0</v>
      </c>
      <c r="I33" s="11">
        <v>2.0</v>
      </c>
      <c r="J33" s="11">
        <v>3.0</v>
      </c>
      <c r="K33" s="11">
        <v>4.0</v>
      </c>
      <c r="L33" s="26">
        <f t="shared" si="1"/>
        <v>1</v>
      </c>
      <c r="M33" s="7" t="s">
        <v>111</v>
      </c>
      <c r="N33" s="28" t="s">
        <v>541</v>
      </c>
      <c r="O33" s="28" t="s">
        <v>542</v>
      </c>
      <c r="P33" s="28" t="s">
        <v>543</v>
      </c>
    </row>
    <row r="34">
      <c r="A34" s="23" t="s">
        <v>544</v>
      </c>
      <c r="B34" s="3">
        <v>3.0</v>
      </c>
      <c r="C34" s="7" t="s">
        <v>548</v>
      </c>
      <c r="D34" s="7" t="s">
        <v>254</v>
      </c>
      <c r="E34" s="24">
        <v>0.05</v>
      </c>
      <c r="F34" s="25" t="s">
        <v>256</v>
      </c>
      <c r="G34" s="11">
        <v>0.0</v>
      </c>
      <c r="H34" s="11">
        <v>1.0</v>
      </c>
      <c r="I34" s="11">
        <v>2.0</v>
      </c>
      <c r="J34" s="11">
        <v>3.0</v>
      </c>
      <c r="K34" s="11">
        <v>4.0</v>
      </c>
      <c r="L34" s="26">
        <f t="shared" si="1"/>
        <v>1</v>
      </c>
      <c r="M34" s="7" t="s">
        <v>111</v>
      </c>
      <c r="N34" s="28" t="s">
        <v>551</v>
      </c>
      <c r="O34" s="28" t="s">
        <v>553</v>
      </c>
      <c r="P34" s="28" t="s">
        <v>268</v>
      </c>
    </row>
    <row r="35">
      <c r="A35" s="23" t="s">
        <v>554</v>
      </c>
      <c r="B35" s="3">
        <v>3.0</v>
      </c>
      <c r="C35" s="7" t="s">
        <v>555</v>
      </c>
      <c r="D35" s="7" t="s">
        <v>254</v>
      </c>
      <c r="E35" s="24">
        <v>0.05</v>
      </c>
      <c r="F35" s="25" t="s">
        <v>256</v>
      </c>
      <c r="G35" s="11">
        <v>0.0</v>
      </c>
      <c r="H35" s="11">
        <v>1.0</v>
      </c>
      <c r="I35" s="11">
        <v>2.0</v>
      </c>
      <c r="J35" s="11">
        <v>3.0</v>
      </c>
      <c r="K35" s="11">
        <v>4.0</v>
      </c>
      <c r="L35" s="26">
        <f t="shared" si="1"/>
        <v>1</v>
      </c>
      <c r="M35" s="7" t="s">
        <v>111</v>
      </c>
      <c r="N35" s="28" t="s">
        <v>559</v>
      </c>
      <c r="O35" s="28" t="s">
        <v>560</v>
      </c>
      <c r="P35" s="28" t="s">
        <v>268</v>
      </c>
    </row>
    <row r="36">
      <c r="A36" s="23" t="s">
        <v>561</v>
      </c>
      <c r="B36" s="3">
        <v>4.0</v>
      </c>
      <c r="C36" s="7" t="s">
        <v>562</v>
      </c>
      <c r="D36" s="7" t="s">
        <v>254</v>
      </c>
      <c r="E36" s="24">
        <v>0.15</v>
      </c>
      <c r="F36" s="25" t="s">
        <v>256</v>
      </c>
      <c r="G36" s="11">
        <v>0.0</v>
      </c>
      <c r="H36" s="11">
        <v>1.0</v>
      </c>
      <c r="I36" s="11">
        <v>2.0</v>
      </c>
      <c r="J36" s="11">
        <v>3.0</v>
      </c>
      <c r="K36" s="11">
        <v>4.0</v>
      </c>
      <c r="L36" s="26">
        <f t="shared" si="1"/>
        <v>1</v>
      </c>
      <c r="M36" s="7" t="s">
        <v>111</v>
      </c>
      <c r="N36" s="28" t="s">
        <v>564</v>
      </c>
      <c r="O36" s="28" t="s">
        <v>566</v>
      </c>
      <c r="P36" s="28" t="s">
        <v>567</v>
      </c>
    </row>
    <row r="37">
      <c r="A37" s="23" t="s">
        <v>569</v>
      </c>
      <c r="B37" s="3">
        <v>4.0</v>
      </c>
      <c r="C37" s="7" t="s">
        <v>570</v>
      </c>
      <c r="D37" s="7" t="s">
        <v>254</v>
      </c>
      <c r="E37" s="24">
        <v>0.1</v>
      </c>
      <c r="F37" s="25" t="s">
        <v>256</v>
      </c>
      <c r="G37" s="11">
        <v>0.0</v>
      </c>
      <c r="H37" s="11">
        <v>1.0</v>
      </c>
      <c r="I37" s="11">
        <v>2.0</v>
      </c>
      <c r="J37" s="11">
        <v>3.0</v>
      </c>
      <c r="K37" s="11">
        <v>4.0</v>
      </c>
      <c r="L37" s="26">
        <f t="shared" si="1"/>
        <v>1</v>
      </c>
      <c r="M37" s="7" t="s">
        <v>111</v>
      </c>
      <c r="N37" s="28" t="s">
        <v>574</v>
      </c>
      <c r="O37" s="28" t="s">
        <v>576</v>
      </c>
      <c r="P37" s="28" t="s">
        <v>268</v>
      </c>
    </row>
    <row r="38">
      <c r="A38" s="23" t="s">
        <v>577</v>
      </c>
      <c r="B38" s="3">
        <v>4.0</v>
      </c>
      <c r="C38" s="7" t="s">
        <v>578</v>
      </c>
      <c r="D38" s="7" t="s">
        <v>254</v>
      </c>
      <c r="E38" s="24">
        <v>0.1</v>
      </c>
      <c r="F38" s="25" t="s">
        <v>256</v>
      </c>
      <c r="G38" s="11">
        <v>0.0</v>
      </c>
      <c r="H38" s="11">
        <v>1.0</v>
      </c>
      <c r="I38" s="11">
        <v>2.0</v>
      </c>
      <c r="J38" s="11">
        <v>3.0</v>
      </c>
      <c r="K38" s="11">
        <v>4.0</v>
      </c>
      <c r="L38" s="26">
        <f t="shared" si="1"/>
        <v>1</v>
      </c>
      <c r="M38" s="7" t="s">
        <v>111</v>
      </c>
      <c r="N38" s="28" t="s">
        <v>582</v>
      </c>
      <c r="O38" s="28" t="s">
        <v>583</v>
      </c>
      <c r="P38" s="28" t="s">
        <v>584</v>
      </c>
    </row>
    <row r="39">
      <c r="A39" s="23" t="s">
        <v>585</v>
      </c>
      <c r="B39" s="3">
        <v>4.0</v>
      </c>
      <c r="C39" s="7" t="s">
        <v>586</v>
      </c>
      <c r="D39" s="7" t="s">
        <v>254</v>
      </c>
      <c r="E39" s="24">
        <v>0.1</v>
      </c>
      <c r="F39" s="25" t="s">
        <v>256</v>
      </c>
      <c r="G39" s="11">
        <v>0.0</v>
      </c>
      <c r="H39" s="11">
        <v>1.0</v>
      </c>
      <c r="I39" s="11">
        <v>2.0</v>
      </c>
      <c r="J39" s="11">
        <v>3.0</v>
      </c>
      <c r="K39" s="11">
        <v>4.0</v>
      </c>
      <c r="L39" s="26">
        <f t="shared" si="1"/>
        <v>1</v>
      </c>
      <c r="M39" s="7" t="s">
        <v>111</v>
      </c>
      <c r="N39" s="28" t="s">
        <v>587</v>
      </c>
      <c r="O39" s="28" t="s">
        <v>589</v>
      </c>
      <c r="P39" s="28" t="s">
        <v>591</v>
      </c>
    </row>
    <row r="40">
      <c r="A40" s="23" t="s">
        <v>593</v>
      </c>
      <c r="B40" s="3">
        <v>4.0</v>
      </c>
      <c r="C40" s="7" t="s">
        <v>594</v>
      </c>
      <c r="D40" s="7" t="s">
        <v>254</v>
      </c>
      <c r="E40" s="24">
        <v>0.1</v>
      </c>
      <c r="F40" s="25" t="s">
        <v>256</v>
      </c>
      <c r="G40" s="11">
        <v>0.0</v>
      </c>
      <c r="H40" s="11">
        <v>1.0</v>
      </c>
      <c r="I40" s="11">
        <v>2.0</v>
      </c>
      <c r="J40" s="11">
        <v>3.0</v>
      </c>
      <c r="K40" s="11">
        <v>4.0</v>
      </c>
      <c r="L40" s="26">
        <f t="shared" si="1"/>
        <v>1</v>
      </c>
      <c r="M40" s="7" t="s">
        <v>111</v>
      </c>
      <c r="N40" s="28" t="s">
        <v>595</v>
      </c>
      <c r="O40" s="28" t="s">
        <v>596</v>
      </c>
      <c r="P40" s="28" t="s">
        <v>597</v>
      </c>
    </row>
    <row r="41">
      <c r="A41" s="23" t="s">
        <v>598</v>
      </c>
      <c r="B41" s="3">
        <v>4.0</v>
      </c>
      <c r="C41" s="7" t="s">
        <v>599</v>
      </c>
      <c r="D41" s="7" t="s">
        <v>254</v>
      </c>
      <c r="E41" s="24">
        <v>0.1</v>
      </c>
      <c r="F41" s="25" t="s">
        <v>256</v>
      </c>
      <c r="G41" s="11">
        <v>0.0</v>
      </c>
      <c r="H41" s="11">
        <v>1.0</v>
      </c>
      <c r="I41" s="11">
        <v>2.0</v>
      </c>
      <c r="J41" s="11">
        <v>3.0</v>
      </c>
      <c r="K41" s="11">
        <v>4.0</v>
      </c>
      <c r="L41" s="26">
        <f t="shared" si="1"/>
        <v>1</v>
      </c>
      <c r="M41" s="7" t="s">
        <v>111</v>
      </c>
      <c r="N41" s="28" t="s">
        <v>603</v>
      </c>
      <c r="O41" s="28" t="s">
        <v>604</v>
      </c>
      <c r="P41" s="28" t="s">
        <v>605</v>
      </c>
    </row>
    <row r="42">
      <c r="A42" s="23" t="s">
        <v>606</v>
      </c>
      <c r="B42" s="3">
        <v>4.0</v>
      </c>
      <c r="C42" s="7" t="s">
        <v>607</v>
      </c>
      <c r="D42" s="7" t="s">
        <v>254</v>
      </c>
      <c r="E42" s="24">
        <v>0.1</v>
      </c>
      <c r="F42" s="25" t="s">
        <v>256</v>
      </c>
      <c r="G42" s="11">
        <v>0.0</v>
      </c>
      <c r="H42" s="11">
        <v>1.0</v>
      </c>
      <c r="I42" s="11">
        <v>2.0</v>
      </c>
      <c r="J42" s="11">
        <v>3.0</v>
      </c>
      <c r="K42" s="11">
        <v>4.0</v>
      </c>
      <c r="L42" s="26">
        <f t="shared" si="1"/>
        <v>1</v>
      </c>
      <c r="M42" s="7" t="s">
        <v>111</v>
      </c>
      <c r="N42" s="28" t="s">
        <v>608</v>
      </c>
      <c r="O42" s="28" t="s">
        <v>609</v>
      </c>
      <c r="P42" s="28" t="s">
        <v>268</v>
      </c>
    </row>
    <row r="43">
      <c r="A43" s="23" t="s">
        <v>613</v>
      </c>
      <c r="B43" s="3">
        <v>4.0</v>
      </c>
      <c r="C43" s="7" t="s">
        <v>614</v>
      </c>
      <c r="D43" s="7" t="s">
        <v>254</v>
      </c>
      <c r="E43" s="24">
        <v>0.1</v>
      </c>
      <c r="F43" s="25" t="s">
        <v>256</v>
      </c>
      <c r="G43" s="11">
        <v>0.0</v>
      </c>
      <c r="H43" s="11">
        <v>1.0</v>
      </c>
      <c r="I43" s="11">
        <v>2.0</v>
      </c>
      <c r="J43" s="11">
        <v>3.0</v>
      </c>
      <c r="K43" s="11">
        <v>4.0</v>
      </c>
      <c r="L43" s="26">
        <f t="shared" si="1"/>
        <v>1</v>
      </c>
      <c r="M43" s="7" t="s">
        <v>111</v>
      </c>
      <c r="N43" s="28" t="s">
        <v>615</v>
      </c>
      <c r="O43" s="28" t="s">
        <v>616</v>
      </c>
      <c r="P43" s="28" t="s">
        <v>268</v>
      </c>
    </row>
    <row r="44">
      <c r="A44" s="23" t="s">
        <v>617</v>
      </c>
      <c r="B44" s="3">
        <v>4.0</v>
      </c>
      <c r="C44" s="7" t="s">
        <v>618</v>
      </c>
      <c r="D44" s="7" t="s">
        <v>254</v>
      </c>
      <c r="E44" s="24">
        <v>0.05</v>
      </c>
      <c r="F44" s="25" t="s">
        <v>256</v>
      </c>
      <c r="G44" s="11">
        <v>0.0</v>
      </c>
      <c r="H44" s="11">
        <v>1.0</v>
      </c>
      <c r="I44" s="11">
        <v>2.0</v>
      </c>
      <c r="J44" s="11">
        <v>3.0</v>
      </c>
      <c r="K44" s="11">
        <v>4.0</v>
      </c>
      <c r="L44" s="26">
        <f t="shared" si="1"/>
        <v>1</v>
      </c>
      <c r="M44" s="7" t="s">
        <v>111</v>
      </c>
      <c r="N44" s="28" t="s">
        <v>622</v>
      </c>
      <c r="O44" s="28" t="s">
        <v>623</v>
      </c>
      <c r="P44" s="28" t="s">
        <v>268</v>
      </c>
    </row>
    <row r="45">
      <c r="A45" s="23" t="s">
        <v>624</v>
      </c>
      <c r="B45" s="3">
        <v>4.0</v>
      </c>
      <c r="C45" s="7" t="s">
        <v>625</v>
      </c>
      <c r="D45" s="7" t="s">
        <v>254</v>
      </c>
      <c r="E45" s="24">
        <v>0.05</v>
      </c>
      <c r="F45" s="25" t="s">
        <v>256</v>
      </c>
      <c r="G45" s="11">
        <v>0.0</v>
      </c>
      <c r="H45" s="11">
        <v>1.0</v>
      </c>
      <c r="I45" s="11">
        <v>2.0</v>
      </c>
      <c r="J45" s="11">
        <v>3.0</v>
      </c>
      <c r="K45" s="11">
        <v>4.0</v>
      </c>
      <c r="L45" s="26">
        <f t="shared" si="1"/>
        <v>1</v>
      </c>
      <c r="M45" s="7" t="s">
        <v>111</v>
      </c>
      <c r="N45" s="28" t="s">
        <v>626</v>
      </c>
      <c r="O45" s="28" t="s">
        <v>627</v>
      </c>
      <c r="P45" s="28" t="s">
        <v>628</v>
      </c>
    </row>
    <row r="46">
      <c r="A46" s="23" t="s">
        <v>629</v>
      </c>
      <c r="B46" s="3">
        <v>4.0</v>
      </c>
      <c r="C46" s="7" t="s">
        <v>630</v>
      </c>
      <c r="D46" s="7" t="s">
        <v>254</v>
      </c>
      <c r="E46" s="24">
        <v>0.05</v>
      </c>
      <c r="F46" s="25" t="s">
        <v>256</v>
      </c>
      <c r="G46" s="11">
        <v>0.0</v>
      </c>
      <c r="H46" s="11">
        <v>1.0</v>
      </c>
      <c r="I46" s="11">
        <v>2.0</v>
      </c>
      <c r="J46" s="11">
        <v>3.0</v>
      </c>
      <c r="K46" s="11">
        <v>4.0</v>
      </c>
      <c r="L46" s="26">
        <f t="shared" si="1"/>
        <v>1</v>
      </c>
      <c r="M46" s="7" t="s">
        <v>111</v>
      </c>
      <c r="N46" s="28" t="s">
        <v>634</v>
      </c>
      <c r="O46" s="28" t="s">
        <v>635</v>
      </c>
      <c r="P46" s="28" t="s">
        <v>268</v>
      </c>
    </row>
    <row r="47">
      <c r="A47" s="23" t="s">
        <v>636</v>
      </c>
      <c r="B47" s="3">
        <v>5.0</v>
      </c>
      <c r="C47" s="7" t="s">
        <v>637</v>
      </c>
      <c r="D47" s="7" t="s">
        <v>638</v>
      </c>
      <c r="E47" s="24">
        <v>0.1</v>
      </c>
      <c r="F47" s="25" t="s">
        <v>107</v>
      </c>
      <c r="G47" s="11">
        <v>10.0</v>
      </c>
      <c r="H47" s="11">
        <v>15.0</v>
      </c>
      <c r="I47" s="11">
        <v>25.0</v>
      </c>
      <c r="J47" s="11">
        <v>35.0</v>
      </c>
      <c r="K47" s="11">
        <v>45.0</v>
      </c>
      <c r="L47" s="26">
        <f t="shared" si="1"/>
        <v>1</v>
      </c>
      <c r="M47" s="7" t="s">
        <v>111</v>
      </c>
      <c r="N47" s="27"/>
      <c r="O47" s="28" t="s">
        <v>639</v>
      </c>
      <c r="P47" s="28" t="s">
        <v>641</v>
      </c>
    </row>
    <row r="48">
      <c r="A48" s="23" t="s">
        <v>643</v>
      </c>
      <c r="B48" s="3">
        <v>5.0</v>
      </c>
      <c r="C48" s="7" t="s">
        <v>646</v>
      </c>
      <c r="D48" s="7" t="s">
        <v>648</v>
      </c>
      <c r="E48" s="24">
        <v>0.1</v>
      </c>
      <c r="F48" s="25" t="s">
        <v>107</v>
      </c>
      <c r="G48" s="11">
        <v>10.0</v>
      </c>
      <c r="H48" s="11">
        <v>20.0</v>
      </c>
      <c r="I48" s="11">
        <v>35.0</v>
      </c>
      <c r="J48" s="11">
        <v>50.0</v>
      </c>
      <c r="K48" s="11">
        <v>65.0</v>
      </c>
      <c r="L48" s="26">
        <f t="shared" si="1"/>
        <v>1</v>
      </c>
      <c r="M48" s="7" t="s">
        <v>111</v>
      </c>
      <c r="N48" s="27"/>
      <c r="O48" s="28" t="s">
        <v>657</v>
      </c>
      <c r="P48" s="28" t="s">
        <v>354</v>
      </c>
    </row>
    <row r="49">
      <c r="A49" s="23" t="s">
        <v>658</v>
      </c>
      <c r="B49" s="3">
        <v>5.0</v>
      </c>
      <c r="C49" s="7" t="s">
        <v>659</v>
      </c>
      <c r="D49" s="7" t="s">
        <v>254</v>
      </c>
      <c r="E49" s="24">
        <v>0.1</v>
      </c>
      <c r="F49" s="25" t="s">
        <v>256</v>
      </c>
      <c r="G49" s="11">
        <v>0.0</v>
      </c>
      <c r="H49" s="11">
        <v>1.0</v>
      </c>
      <c r="I49" s="11">
        <v>2.0</v>
      </c>
      <c r="J49" s="11">
        <v>3.0</v>
      </c>
      <c r="K49" s="11">
        <v>4.0</v>
      </c>
      <c r="L49" s="26">
        <f t="shared" si="1"/>
        <v>1</v>
      </c>
      <c r="M49" s="7" t="s">
        <v>111</v>
      </c>
      <c r="N49" s="28" t="s">
        <v>660</v>
      </c>
      <c r="O49" s="28" t="s">
        <v>661</v>
      </c>
      <c r="P49" s="28" t="s">
        <v>268</v>
      </c>
    </row>
    <row r="50">
      <c r="A50" s="23" t="s">
        <v>662</v>
      </c>
      <c r="B50" s="3">
        <v>5.0</v>
      </c>
      <c r="C50" s="7" t="s">
        <v>663</v>
      </c>
      <c r="D50" s="7" t="s">
        <v>664</v>
      </c>
      <c r="E50" s="24">
        <v>0.1</v>
      </c>
      <c r="F50" s="25" t="s">
        <v>107</v>
      </c>
      <c r="G50" s="11">
        <v>0.1</v>
      </c>
      <c r="H50" s="11">
        <v>0.25</v>
      </c>
      <c r="I50" s="11">
        <v>0.4</v>
      </c>
      <c r="J50" s="11">
        <v>0.55</v>
      </c>
      <c r="K50" s="11">
        <v>0.7</v>
      </c>
      <c r="L50" s="26">
        <f t="shared" si="1"/>
        <v>1</v>
      </c>
      <c r="M50" s="7" t="s">
        <v>111</v>
      </c>
      <c r="N50" s="27"/>
      <c r="O50" s="28" t="s">
        <v>665</v>
      </c>
      <c r="P50" s="28" t="s">
        <v>666</v>
      </c>
    </row>
    <row r="51">
      <c r="A51" s="23" t="s">
        <v>667</v>
      </c>
      <c r="B51" s="3">
        <v>5.0</v>
      </c>
      <c r="C51" s="7" t="s">
        <v>668</v>
      </c>
      <c r="D51" s="7" t="s">
        <v>112</v>
      </c>
      <c r="E51" s="24">
        <v>0.1</v>
      </c>
      <c r="F51" s="25" t="s">
        <v>107</v>
      </c>
      <c r="G51" s="11">
        <v>3.0</v>
      </c>
      <c r="H51" s="11">
        <v>6.0</v>
      </c>
      <c r="I51" s="11">
        <v>10.0</v>
      </c>
      <c r="J51" s="11">
        <v>20.0</v>
      </c>
      <c r="K51" s="11">
        <v>40.0</v>
      </c>
      <c r="L51" s="26">
        <f t="shared" si="1"/>
        <v>1</v>
      </c>
      <c r="M51" s="7" t="s">
        <v>146</v>
      </c>
      <c r="N51" s="27"/>
      <c r="O51" s="28" t="s">
        <v>669</v>
      </c>
      <c r="P51" s="28" t="s">
        <v>670</v>
      </c>
    </row>
    <row r="52">
      <c r="A52" s="23" t="s">
        <v>671</v>
      </c>
      <c r="B52" s="3">
        <v>5.0</v>
      </c>
      <c r="C52" s="7" t="s">
        <v>672</v>
      </c>
      <c r="D52" s="7" t="s">
        <v>112</v>
      </c>
      <c r="E52" s="24">
        <v>0.1</v>
      </c>
      <c r="F52" s="25" t="s">
        <v>107</v>
      </c>
      <c r="G52" s="11">
        <v>5.0</v>
      </c>
      <c r="H52" s="11">
        <v>3.5</v>
      </c>
      <c r="I52" s="11">
        <v>2.0</v>
      </c>
      <c r="J52" s="11">
        <v>0.0</v>
      </c>
      <c r="K52" s="11">
        <v>-2.0</v>
      </c>
      <c r="L52" s="26">
        <f t="shared" si="1"/>
        <v>-1</v>
      </c>
      <c r="M52" s="7" t="s">
        <v>146</v>
      </c>
      <c r="N52" s="27"/>
      <c r="O52" s="28" t="s">
        <v>147</v>
      </c>
      <c r="P52" s="28" t="s">
        <v>673</v>
      </c>
    </row>
    <row r="53">
      <c r="A53" s="23" t="s">
        <v>674</v>
      </c>
      <c r="B53" s="3">
        <v>5.0</v>
      </c>
      <c r="C53" s="7" t="s">
        <v>675</v>
      </c>
      <c r="D53" s="7" t="s">
        <v>638</v>
      </c>
      <c r="E53" s="24">
        <v>0.05</v>
      </c>
      <c r="F53" s="25" t="s">
        <v>107</v>
      </c>
      <c r="G53" s="11">
        <v>10.0</v>
      </c>
      <c r="H53" s="11">
        <v>20.0</v>
      </c>
      <c r="I53" s="11">
        <v>35.0</v>
      </c>
      <c r="J53" s="11">
        <v>50.0</v>
      </c>
      <c r="K53" s="11">
        <v>65.0</v>
      </c>
      <c r="L53" s="26">
        <f t="shared" si="1"/>
        <v>1</v>
      </c>
      <c r="M53" s="7" t="s">
        <v>111</v>
      </c>
      <c r="N53" s="27"/>
      <c r="O53" s="28" t="s">
        <v>676</v>
      </c>
      <c r="P53" s="28" t="s">
        <v>677</v>
      </c>
    </row>
    <row r="54">
      <c r="A54" s="23" t="s">
        <v>678</v>
      </c>
      <c r="B54" s="3">
        <v>5.0</v>
      </c>
      <c r="C54" s="7" t="s">
        <v>679</v>
      </c>
      <c r="D54" s="7" t="s">
        <v>254</v>
      </c>
      <c r="E54" s="24">
        <v>0.05</v>
      </c>
      <c r="F54" s="25" t="s">
        <v>256</v>
      </c>
      <c r="G54" s="11">
        <v>0.0</v>
      </c>
      <c r="H54" s="11">
        <v>1.0</v>
      </c>
      <c r="I54" s="11">
        <v>2.0</v>
      </c>
      <c r="J54" s="11">
        <v>3.0</v>
      </c>
      <c r="K54" s="11">
        <v>4.0</v>
      </c>
      <c r="L54" s="26">
        <f t="shared" si="1"/>
        <v>1</v>
      </c>
      <c r="M54" s="7" t="s">
        <v>111</v>
      </c>
      <c r="N54" s="28" t="s">
        <v>680</v>
      </c>
      <c r="O54" s="28" t="s">
        <v>681</v>
      </c>
      <c r="P54" s="28" t="s">
        <v>268</v>
      </c>
    </row>
    <row r="55">
      <c r="A55" s="23" t="s">
        <v>682</v>
      </c>
      <c r="B55" s="3">
        <v>5.0</v>
      </c>
      <c r="C55" s="7" t="s">
        <v>683</v>
      </c>
      <c r="D55" s="7" t="s">
        <v>125</v>
      </c>
      <c r="E55" s="24">
        <v>0.05</v>
      </c>
      <c r="F55" s="25" t="s">
        <v>107</v>
      </c>
      <c r="G55" s="11">
        <v>0.0</v>
      </c>
      <c r="H55" s="11">
        <v>2.0</v>
      </c>
      <c r="I55" s="11">
        <v>5.0</v>
      </c>
      <c r="J55" s="11">
        <v>10.0</v>
      </c>
      <c r="K55" s="11">
        <v>15.0</v>
      </c>
      <c r="L55" s="26">
        <f t="shared" si="1"/>
        <v>1</v>
      </c>
      <c r="M55" s="7" t="s">
        <v>111</v>
      </c>
      <c r="N55" s="27"/>
      <c r="O55" s="28" t="s">
        <v>684</v>
      </c>
      <c r="P55" s="28" t="s">
        <v>685</v>
      </c>
    </row>
    <row r="56">
      <c r="A56" s="23" t="s">
        <v>686</v>
      </c>
      <c r="B56" s="3">
        <v>5.0</v>
      </c>
      <c r="C56" s="7" t="s">
        <v>687</v>
      </c>
      <c r="D56" s="7" t="s">
        <v>648</v>
      </c>
      <c r="E56" s="24">
        <v>0.05</v>
      </c>
      <c r="F56" s="25" t="s">
        <v>107</v>
      </c>
      <c r="G56" s="11">
        <v>3.0</v>
      </c>
      <c r="H56" s="11">
        <v>5.0</v>
      </c>
      <c r="I56" s="11">
        <v>8.0</v>
      </c>
      <c r="J56" s="11">
        <v>12.0</v>
      </c>
      <c r="K56" s="11">
        <v>18.0</v>
      </c>
      <c r="L56" s="26">
        <f t="shared" si="1"/>
        <v>1</v>
      </c>
      <c r="M56" s="7" t="s">
        <v>111</v>
      </c>
      <c r="N56" s="27"/>
      <c r="O56" s="28" t="s">
        <v>688</v>
      </c>
      <c r="P56" s="28" t="s">
        <v>689</v>
      </c>
    </row>
    <row r="57">
      <c r="A57" s="23" t="s">
        <v>690</v>
      </c>
      <c r="B57" s="3">
        <v>5.0</v>
      </c>
      <c r="C57" s="7" t="s">
        <v>691</v>
      </c>
      <c r="D57" s="7" t="s">
        <v>112</v>
      </c>
      <c r="E57" s="24">
        <v>0.05</v>
      </c>
      <c r="F57" s="25" t="s">
        <v>107</v>
      </c>
      <c r="G57" s="11">
        <v>5.0</v>
      </c>
      <c r="H57" s="11">
        <v>0.0</v>
      </c>
      <c r="I57" s="11">
        <v>-5.0</v>
      </c>
      <c r="J57" s="11">
        <v>-10.0</v>
      </c>
      <c r="K57" s="11">
        <v>-15.0</v>
      </c>
      <c r="L57" s="26">
        <f t="shared" si="1"/>
        <v>-1</v>
      </c>
      <c r="M57" s="7" t="s">
        <v>111</v>
      </c>
      <c r="N57" s="27"/>
      <c r="O57" s="28" t="s">
        <v>692</v>
      </c>
      <c r="P57" s="28" t="s">
        <v>693</v>
      </c>
    </row>
    <row r="58">
      <c r="A58" s="23" t="s">
        <v>694</v>
      </c>
      <c r="B58" s="3">
        <v>5.0</v>
      </c>
      <c r="C58" s="7" t="s">
        <v>695</v>
      </c>
      <c r="D58" s="7" t="s">
        <v>120</v>
      </c>
      <c r="E58" s="24">
        <v>0.05</v>
      </c>
      <c r="F58" s="25" t="s">
        <v>107</v>
      </c>
      <c r="G58" s="11">
        <v>1.5</v>
      </c>
      <c r="H58" s="11">
        <v>2.5</v>
      </c>
      <c r="I58" s="11">
        <v>3.5</v>
      </c>
      <c r="J58" s="11">
        <v>5.0</v>
      </c>
      <c r="K58" s="11">
        <v>7.0</v>
      </c>
      <c r="L58" s="26">
        <f t="shared" si="1"/>
        <v>1</v>
      </c>
      <c r="M58" s="7" t="s">
        <v>111</v>
      </c>
      <c r="N58" s="27"/>
      <c r="O58" s="28" t="s">
        <v>696</v>
      </c>
      <c r="P58" s="28" t="s">
        <v>697</v>
      </c>
    </row>
    <row r="59">
      <c r="A59" s="23" t="s">
        <v>698</v>
      </c>
      <c r="B59" s="3">
        <v>5.0</v>
      </c>
      <c r="C59" s="7" t="s">
        <v>699</v>
      </c>
      <c r="D59" s="7" t="s">
        <v>112</v>
      </c>
      <c r="E59" s="24">
        <v>0.05</v>
      </c>
      <c r="F59" s="25" t="s">
        <v>107</v>
      </c>
      <c r="G59" s="11">
        <v>4.0</v>
      </c>
      <c r="H59" s="11">
        <v>6.0</v>
      </c>
      <c r="I59" s="11">
        <v>8.0</v>
      </c>
      <c r="J59" s="11">
        <v>10.0</v>
      </c>
      <c r="K59" s="11">
        <v>12.0</v>
      </c>
      <c r="L59" s="26">
        <f t="shared" si="1"/>
        <v>1</v>
      </c>
      <c r="M59" s="7" t="s">
        <v>111</v>
      </c>
      <c r="N59" s="28" t="s">
        <v>700</v>
      </c>
      <c r="O59" s="28" t="s">
        <v>701</v>
      </c>
      <c r="P59" s="28" t="s">
        <v>702</v>
      </c>
      <c r="Q59" s="11">
        <v>0.0</v>
      </c>
      <c r="R59" s="11">
        <v>-1.5</v>
      </c>
      <c r="S59" s="11">
        <v>-3.0</v>
      </c>
      <c r="T59" s="11">
        <v>-5.0</v>
      </c>
      <c r="U59" s="11">
        <v>-8.0</v>
      </c>
    </row>
    <row r="60">
      <c r="A60" s="23" t="s">
        <v>703</v>
      </c>
      <c r="B60" s="3">
        <v>5.0</v>
      </c>
      <c r="C60" s="7" t="s">
        <v>704</v>
      </c>
      <c r="D60" s="7" t="s">
        <v>705</v>
      </c>
      <c r="E60" s="24">
        <v>0.05</v>
      </c>
      <c r="F60" s="25" t="s">
        <v>107</v>
      </c>
      <c r="G60" s="11">
        <v>30000.0</v>
      </c>
      <c r="H60" s="11">
        <v>15000.0</v>
      </c>
      <c r="I60" s="11">
        <v>6000.0</v>
      </c>
      <c r="J60" s="11">
        <v>2500.0</v>
      </c>
      <c r="K60" s="11">
        <v>1000.0</v>
      </c>
      <c r="L60" s="26">
        <f t="shared" si="1"/>
        <v>-1</v>
      </c>
      <c r="M60" s="7" t="s">
        <v>111</v>
      </c>
      <c r="N60" s="27"/>
      <c r="O60" s="28" t="s">
        <v>696</v>
      </c>
      <c r="P60" s="28" t="s">
        <v>706</v>
      </c>
    </row>
    <row r="61">
      <c r="A61" s="23" t="s">
        <v>707</v>
      </c>
      <c r="B61" s="3">
        <v>6.0</v>
      </c>
      <c r="C61" s="7" t="s">
        <v>708</v>
      </c>
      <c r="D61" s="7" t="s">
        <v>254</v>
      </c>
      <c r="E61" s="24">
        <v>0.1</v>
      </c>
      <c r="F61" s="25" t="s">
        <v>256</v>
      </c>
      <c r="G61" s="11">
        <v>0.0</v>
      </c>
      <c r="H61" s="11">
        <v>1.0</v>
      </c>
      <c r="I61" s="11">
        <v>2.0</v>
      </c>
      <c r="J61" s="11">
        <v>3.0</v>
      </c>
      <c r="K61" s="11">
        <v>4.0</v>
      </c>
      <c r="L61" s="26">
        <f t="shared" si="1"/>
        <v>1</v>
      </c>
      <c r="M61" s="7" t="s">
        <v>111</v>
      </c>
      <c r="N61" s="28" t="s">
        <v>709</v>
      </c>
      <c r="O61" s="28" t="s">
        <v>710</v>
      </c>
      <c r="P61" s="28" t="s">
        <v>711</v>
      </c>
    </row>
    <row r="62">
      <c r="A62" s="23" t="s">
        <v>712</v>
      </c>
      <c r="B62" s="3">
        <v>6.0</v>
      </c>
      <c r="C62" s="7" t="s">
        <v>713</v>
      </c>
      <c r="D62" s="7" t="s">
        <v>714</v>
      </c>
      <c r="E62" s="24">
        <v>0.1</v>
      </c>
      <c r="F62" s="25" t="s">
        <v>107</v>
      </c>
      <c r="G62" s="11">
        <v>2.0</v>
      </c>
      <c r="H62" s="11">
        <v>5.0</v>
      </c>
      <c r="I62" s="11">
        <v>10.0</v>
      </c>
      <c r="J62" s="11">
        <v>20.0</v>
      </c>
      <c r="K62" s="11">
        <v>40.0</v>
      </c>
      <c r="L62" s="26">
        <f t="shared" si="1"/>
        <v>1</v>
      </c>
      <c r="M62" s="7" t="s">
        <v>111</v>
      </c>
      <c r="N62" s="27"/>
      <c r="O62" s="28" t="s">
        <v>715</v>
      </c>
      <c r="P62" s="28" t="s">
        <v>716</v>
      </c>
    </row>
    <row r="63">
      <c r="A63" s="23" t="s">
        <v>717</v>
      </c>
      <c r="B63" s="3">
        <v>6.0</v>
      </c>
      <c r="C63" s="7" t="s">
        <v>718</v>
      </c>
      <c r="D63" s="7" t="s">
        <v>254</v>
      </c>
      <c r="E63" s="24">
        <v>0.1</v>
      </c>
      <c r="F63" s="25" t="s">
        <v>256</v>
      </c>
      <c r="G63" s="11">
        <v>0.0</v>
      </c>
      <c r="H63" s="11">
        <v>1.0</v>
      </c>
      <c r="I63" s="11">
        <v>2.0</v>
      </c>
      <c r="J63" s="11">
        <v>3.0</v>
      </c>
      <c r="K63" s="11">
        <v>4.0</v>
      </c>
      <c r="L63" s="26">
        <f t="shared" si="1"/>
        <v>1</v>
      </c>
      <c r="M63" s="7" t="s">
        <v>111</v>
      </c>
      <c r="N63" s="28" t="s">
        <v>719</v>
      </c>
      <c r="O63" s="28" t="s">
        <v>720</v>
      </c>
      <c r="P63" s="28" t="s">
        <v>268</v>
      </c>
    </row>
    <row r="64">
      <c r="A64" s="23" t="s">
        <v>721</v>
      </c>
      <c r="B64" s="3">
        <v>6.0</v>
      </c>
      <c r="C64" s="7" t="s">
        <v>722</v>
      </c>
      <c r="D64" s="7" t="s">
        <v>254</v>
      </c>
      <c r="E64" s="24">
        <v>0.1</v>
      </c>
      <c r="F64" s="25" t="s">
        <v>256</v>
      </c>
      <c r="G64" s="11">
        <v>0.0</v>
      </c>
      <c r="H64" s="11">
        <v>1.0</v>
      </c>
      <c r="I64" s="11">
        <v>2.0</v>
      </c>
      <c r="J64" s="11">
        <v>3.0</v>
      </c>
      <c r="K64" s="11">
        <v>4.0</v>
      </c>
      <c r="L64" s="26">
        <f t="shared" si="1"/>
        <v>1</v>
      </c>
      <c r="M64" s="7" t="s">
        <v>111</v>
      </c>
      <c r="N64" s="28" t="s">
        <v>723</v>
      </c>
      <c r="O64" s="28" t="s">
        <v>724</v>
      </c>
      <c r="P64" s="28" t="s">
        <v>725</v>
      </c>
    </row>
    <row r="65">
      <c r="A65" s="23" t="s">
        <v>726</v>
      </c>
      <c r="B65" s="3">
        <v>6.0</v>
      </c>
      <c r="C65" s="7" t="s">
        <v>727</v>
      </c>
      <c r="D65" s="7" t="s">
        <v>254</v>
      </c>
      <c r="E65" s="24">
        <v>0.1</v>
      </c>
      <c r="F65" s="25" t="s">
        <v>256</v>
      </c>
      <c r="G65" s="11">
        <v>0.0</v>
      </c>
      <c r="H65" s="11">
        <v>1.0</v>
      </c>
      <c r="I65" s="11">
        <v>2.0</v>
      </c>
      <c r="J65" s="11">
        <v>3.0</v>
      </c>
      <c r="K65" s="11">
        <v>4.0</v>
      </c>
      <c r="L65" s="26">
        <f t="shared" si="1"/>
        <v>1</v>
      </c>
      <c r="M65" s="7" t="s">
        <v>111</v>
      </c>
      <c r="N65" s="28" t="s">
        <v>728</v>
      </c>
      <c r="O65" s="28" t="s">
        <v>729</v>
      </c>
      <c r="P65" s="28" t="s">
        <v>268</v>
      </c>
    </row>
    <row r="66">
      <c r="A66" s="23" t="s">
        <v>730</v>
      </c>
      <c r="B66" s="3">
        <v>6.0</v>
      </c>
      <c r="C66" s="7" t="s">
        <v>731</v>
      </c>
      <c r="D66" s="7" t="s">
        <v>112</v>
      </c>
      <c r="E66" s="24">
        <v>0.1</v>
      </c>
      <c r="F66" s="25" t="s">
        <v>107</v>
      </c>
      <c r="G66" s="11">
        <v>8.0</v>
      </c>
      <c r="H66" s="11">
        <v>12.0</v>
      </c>
      <c r="I66" s="11">
        <v>18.0</v>
      </c>
      <c r="J66" s="11">
        <v>25.0</v>
      </c>
      <c r="K66" s="11">
        <v>35.0</v>
      </c>
      <c r="L66" s="26">
        <f t="shared" si="1"/>
        <v>1</v>
      </c>
      <c r="M66" s="7" t="s">
        <v>111</v>
      </c>
      <c r="N66" s="27"/>
      <c r="O66" s="28" t="s">
        <v>732</v>
      </c>
      <c r="P66" s="28" t="s">
        <v>733</v>
      </c>
    </row>
    <row r="67">
      <c r="A67" s="23" t="s">
        <v>734</v>
      </c>
      <c r="B67" s="3">
        <v>6.0</v>
      </c>
      <c r="C67" s="7" t="s">
        <v>735</v>
      </c>
      <c r="D67" s="7" t="s">
        <v>736</v>
      </c>
      <c r="E67" s="24">
        <v>0.05</v>
      </c>
      <c r="F67" s="25" t="s">
        <v>107</v>
      </c>
      <c r="G67" s="11">
        <v>3.0</v>
      </c>
      <c r="H67" s="11">
        <v>4.0</v>
      </c>
      <c r="I67" s="11">
        <v>5.5</v>
      </c>
      <c r="J67" s="11">
        <v>7.0</v>
      </c>
      <c r="K67" s="11">
        <v>8.0</v>
      </c>
      <c r="L67" s="26">
        <f t="shared" si="1"/>
        <v>1</v>
      </c>
      <c r="M67" s="7" t="s">
        <v>111</v>
      </c>
      <c r="N67" s="27"/>
      <c r="O67" s="28" t="s">
        <v>737</v>
      </c>
      <c r="P67" s="28" t="s">
        <v>738</v>
      </c>
    </row>
    <row r="68">
      <c r="A68" s="23" t="s">
        <v>739</v>
      </c>
      <c r="B68" s="3">
        <v>6.0</v>
      </c>
      <c r="C68" s="7" t="s">
        <v>740</v>
      </c>
      <c r="D68" s="7" t="s">
        <v>254</v>
      </c>
      <c r="E68" s="24">
        <v>0.05</v>
      </c>
      <c r="F68" s="25" t="s">
        <v>256</v>
      </c>
      <c r="G68" s="11">
        <v>0.0</v>
      </c>
      <c r="H68" s="11">
        <v>1.0</v>
      </c>
      <c r="I68" s="11">
        <v>2.0</v>
      </c>
      <c r="J68" s="11">
        <v>3.0</v>
      </c>
      <c r="K68" s="11">
        <v>4.0</v>
      </c>
      <c r="L68" s="26">
        <f t="shared" si="1"/>
        <v>1</v>
      </c>
      <c r="M68" s="7" t="s">
        <v>111</v>
      </c>
      <c r="N68" s="28" t="s">
        <v>741</v>
      </c>
      <c r="O68" s="28" t="s">
        <v>742</v>
      </c>
      <c r="P68" s="28" t="s">
        <v>268</v>
      </c>
    </row>
    <row r="69">
      <c r="A69" s="23" t="s">
        <v>743</v>
      </c>
      <c r="B69" s="3">
        <v>6.0</v>
      </c>
      <c r="C69" s="7" t="s">
        <v>744</v>
      </c>
      <c r="D69" s="7" t="s">
        <v>745</v>
      </c>
      <c r="E69" s="24">
        <v>0.05</v>
      </c>
      <c r="F69" s="25" t="s">
        <v>107</v>
      </c>
      <c r="G69" s="11">
        <v>0.8</v>
      </c>
      <c r="H69" s="11">
        <v>1.0</v>
      </c>
      <c r="I69" s="11">
        <v>1.5</v>
      </c>
      <c r="J69" s="11">
        <v>2.0</v>
      </c>
      <c r="K69" s="11">
        <v>3.0</v>
      </c>
      <c r="L69" s="26">
        <f t="shared" si="1"/>
        <v>1</v>
      </c>
      <c r="M69" s="7" t="s">
        <v>111</v>
      </c>
      <c r="N69" s="27"/>
      <c r="O69" s="28" t="s">
        <v>746</v>
      </c>
      <c r="P69" s="28" t="s">
        <v>747</v>
      </c>
    </row>
    <row r="70">
      <c r="A70" s="23" t="s">
        <v>748</v>
      </c>
      <c r="B70" s="3">
        <v>6.0</v>
      </c>
      <c r="C70" s="7" t="s">
        <v>749</v>
      </c>
      <c r="D70" s="7" t="s">
        <v>254</v>
      </c>
      <c r="E70" s="24">
        <v>0.05</v>
      </c>
      <c r="F70" s="25" t="s">
        <v>256</v>
      </c>
      <c r="G70" s="11">
        <v>0.0</v>
      </c>
      <c r="H70" s="11">
        <v>1.0</v>
      </c>
      <c r="I70" s="11">
        <v>2.0</v>
      </c>
      <c r="J70" s="11">
        <v>3.0</v>
      </c>
      <c r="K70" s="11">
        <v>4.0</v>
      </c>
      <c r="L70" s="26">
        <f t="shared" si="1"/>
        <v>1</v>
      </c>
      <c r="M70" s="7" t="s">
        <v>111</v>
      </c>
      <c r="N70" s="28" t="s">
        <v>750</v>
      </c>
      <c r="O70" s="28" t="s">
        <v>751</v>
      </c>
      <c r="P70" s="28" t="s">
        <v>752</v>
      </c>
    </row>
    <row r="71">
      <c r="A71" s="23" t="s">
        <v>753</v>
      </c>
      <c r="B71" s="3">
        <v>6.0</v>
      </c>
      <c r="C71" s="7" t="s">
        <v>754</v>
      </c>
      <c r="D71" s="7" t="s">
        <v>112</v>
      </c>
      <c r="E71" s="24">
        <v>0.05</v>
      </c>
      <c r="F71" s="25" t="s">
        <v>107</v>
      </c>
      <c r="G71" s="11">
        <v>2.0</v>
      </c>
      <c r="H71" s="11">
        <v>5.0</v>
      </c>
      <c r="I71" s="11">
        <v>10.0</v>
      </c>
      <c r="J71" s="11">
        <v>20.0</v>
      </c>
      <c r="K71" s="11">
        <v>30.0</v>
      </c>
      <c r="L71" s="26">
        <f t="shared" si="1"/>
        <v>1</v>
      </c>
      <c r="M71" s="7" t="s">
        <v>111</v>
      </c>
      <c r="N71" s="27"/>
      <c r="O71" s="28" t="s">
        <v>755</v>
      </c>
      <c r="P71" s="28" t="s">
        <v>756</v>
      </c>
    </row>
    <row r="72">
      <c r="A72" s="23" t="s">
        <v>757</v>
      </c>
      <c r="B72" s="3">
        <v>6.0</v>
      </c>
      <c r="C72" s="7" t="s">
        <v>758</v>
      </c>
      <c r="D72" s="7" t="s">
        <v>254</v>
      </c>
      <c r="E72" s="24">
        <v>0.05</v>
      </c>
      <c r="F72" s="25" t="s">
        <v>256</v>
      </c>
      <c r="G72" s="11">
        <v>0.0</v>
      </c>
      <c r="H72" s="11">
        <v>1.0</v>
      </c>
      <c r="I72" s="11">
        <v>2.0</v>
      </c>
      <c r="J72" s="11">
        <v>3.0</v>
      </c>
      <c r="K72" s="11">
        <v>4.0</v>
      </c>
      <c r="L72" s="26">
        <f t="shared" si="1"/>
        <v>1</v>
      </c>
      <c r="M72" s="7" t="s">
        <v>111</v>
      </c>
      <c r="N72" s="28" t="s">
        <v>759</v>
      </c>
      <c r="O72" s="28" t="s">
        <v>760</v>
      </c>
      <c r="P72" s="28" t="s">
        <v>761</v>
      </c>
    </row>
    <row r="73">
      <c r="A73" s="23" t="s">
        <v>762</v>
      </c>
      <c r="B73" s="3">
        <v>6.0</v>
      </c>
      <c r="C73" s="7" t="s">
        <v>763</v>
      </c>
      <c r="D73" s="7" t="s">
        <v>764</v>
      </c>
      <c r="E73" s="24">
        <v>0.05</v>
      </c>
      <c r="F73" s="25" t="s">
        <v>107</v>
      </c>
      <c r="G73" s="11">
        <v>1.0</v>
      </c>
      <c r="H73" s="11">
        <v>2.5</v>
      </c>
      <c r="I73" s="11">
        <v>4.0</v>
      </c>
      <c r="J73" s="11">
        <v>6.0</v>
      </c>
      <c r="K73" s="11">
        <v>8.0</v>
      </c>
      <c r="L73" s="26">
        <f t="shared" si="1"/>
        <v>1</v>
      </c>
      <c r="M73" s="7" t="s">
        <v>111</v>
      </c>
      <c r="N73" s="27"/>
      <c r="O73" s="28" t="s">
        <v>765</v>
      </c>
      <c r="P73" s="28" t="s">
        <v>766</v>
      </c>
    </row>
    <row r="74">
      <c r="A74" s="23" t="s">
        <v>767</v>
      </c>
      <c r="B74" s="3">
        <v>6.0</v>
      </c>
      <c r="C74" s="7" t="s">
        <v>768</v>
      </c>
      <c r="D74" s="7" t="s">
        <v>254</v>
      </c>
      <c r="E74" s="24">
        <v>0.05</v>
      </c>
      <c r="F74" s="25" t="s">
        <v>256</v>
      </c>
      <c r="G74" s="11">
        <v>0.0</v>
      </c>
      <c r="H74" s="11">
        <v>1.0</v>
      </c>
      <c r="I74" s="11">
        <v>2.0</v>
      </c>
      <c r="J74" s="11">
        <v>3.0</v>
      </c>
      <c r="K74" s="11">
        <v>4.0</v>
      </c>
      <c r="L74" s="26">
        <f t="shared" si="1"/>
        <v>1</v>
      </c>
      <c r="M74" s="7" t="s">
        <v>111</v>
      </c>
      <c r="N74" s="28" t="s">
        <v>769</v>
      </c>
      <c r="O74" s="28" t="s">
        <v>770</v>
      </c>
      <c r="P74" s="28" t="s">
        <v>268</v>
      </c>
    </row>
    <row r="75">
      <c r="A75" s="23" t="s">
        <v>771</v>
      </c>
      <c r="B75" s="3">
        <v>7.0</v>
      </c>
      <c r="C75" s="7" t="s">
        <v>772</v>
      </c>
      <c r="D75" s="7" t="s">
        <v>37</v>
      </c>
      <c r="E75" s="24">
        <v>0.15</v>
      </c>
      <c r="F75" s="25" t="s">
        <v>107</v>
      </c>
      <c r="G75" s="11">
        <v>0.1</v>
      </c>
      <c r="H75" s="11">
        <v>0.3</v>
      </c>
      <c r="I75" s="11">
        <v>0.7</v>
      </c>
      <c r="J75" s="11">
        <v>1.5</v>
      </c>
      <c r="K75" s="11">
        <v>3.0</v>
      </c>
      <c r="L75" s="26">
        <f t="shared" si="1"/>
        <v>1</v>
      </c>
      <c r="M75" s="7" t="s">
        <v>111</v>
      </c>
      <c r="N75" s="27"/>
      <c r="O75" s="28" t="s">
        <v>773</v>
      </c>
      <c r="P75" s="28" t="s">
        <v>774</v>
      </c>
    </row>
    <row r="76">
      <c r="A76" s="23" t="s">
        <v>775</v>
      </c>
      <c r="B76" s="3">
        <v>7.0</v>
      </c>
      <c r="C76" s="7" t="s">
        <v>776</v>
      </c>
      <c r="D76" s="7" t="s">
        <v>37</v>
      </c>
      <c r="E76" s="24">
        <v>0.1</v>
      </c>
      <c r="F76" s="25" t="s">
        <v>107</v>
      </c>
      <c r="G76" s="11">
        <v>2.0</v>
      </c>
      <c r="H76" s="11">
        <v>5.0</v>
      </c>
      <c r="I76" s="11">
        <v>10.0</v>
      </c>
      <c r="J76" s="11">
        <v>25.0</v>
      </c>
      <c r="K76" s="11">
        <v>50.0</v>
      </c>
      <c r="L76" s="26">
        <f t="shared" si="1"/>
        <v>1</v>
      </c>
      <c r="M76" s="7" t="s">
        <v>111</v>
      </c>
      <c r="N76" s="27"/>
      <c r="O76" s="28" t="s">
        <v>777</v>
      </c>
      <c r="P76" s="28" t="s">
        <v>778</v>
      </c>
    </row>
    <row r="77">
      <c r="A77" s="23" t="s">
        <v>779</v>
      </c>
      <c r="B77" s="3">
        <v>7.0</v>
      </c>
      <c r="C77" s="7" t="s">
        <v>780</v>
      </c>
      <c r="D77" s="7" t="s">
        <v>112</v>
      </c>
      <c r="E77" s="24">
        <v>0.1</v>
      </c>
      <c r="F77" s="25" t="s">
        <v>107</v>
      </c>
      <c r="G77" s="11">
        <v>5.0</v>
      </c>
      <c r="H77" s="11">
        <v>10.0</v>
      </c>
      <c r="I77" s="11">
        <v>20.0</v>
      </c>
      <c r="J77" s="11">
        <v>35.0</v>
      </c>
      <c r="K77" s="11">
        <v>50.0</v>
      </c>
      <c r="L77" s="26">
        <f t="shared" si="1"/>
        <v>1</v>
      </c>
      <c r="M77" s="7" t="s">
        <v>111</v>
      </c>
      <c r="N77" s="27"/>
      <c r="O77" s="28" t="s">
        <v>781</v>
      </c>
      <c r="P77" s="28" t="s">
        <v>782</v>
      </c>
    </row>
    <row r="78">
      <c r="A78" s="23" t="s">
        <v>783</v>
      </c>
      <c r="B78" s="3">
        <v>7.0</v>
      </c>
      <c r="C78" s="7" t="s">
        <v>784</v>
      </c>
      <c r="D78" s="7" t="s">
        <v>112</v>
      </c>
      <c r="E78" s="24">
        <v>0.1</v>
      </c>
      <c r="F78" s="25" t="s">
        <v>107</v>
      </c>
      <c r="G78" s="11">
        <v>10.0</v>
      </c>
      <c r="H78" s="11">
        <v>20.0</v>
      </c>
      <c r="I78" s="11">
        <v>35.0</v>
      </c>
      <c r="J78" s="11">
        <v>50.0</v>
      </c>
      <c r="K78" s="11">
        <v>65.0</v>
      </c>
      <c r="L78" s="26">
        <f t="shared" si="1"/>
        <v>1</v>
      </c>
      <c r="M78" s="7" t="s">
        <v>111</v>
      </c>
      <c r="N78" s="27"/>
      <c r="O78" s="28" t="s">
        <v>785</v>
      </c>
      <c r="P78" s="28" t="s">
        <v>268</v>
      </c>
    </row>
    <row r="79">
      <c r="A79" s="23" t="s">
        <v>786</v>
      </c>
      <c r="B79" s="3">
        <v>7.0</v>
      </c>
      <c r="C79" s="7" t="s">
        <v>787</v>
      </c>
      <c r="D79" s="7" t="s">
        <v>112</v>
      </c>
      <c r="E79" s="24">
        <v>0.1</v>
      </c>
      <c r="F79" s="25" t="s">
        <v>107</v>
      </c>
      <c r="G79" s="11">
        <v>40.0</v>
      </c>
      <c r="H79" s="11">
        <v>60.0</v>
      </c>
      <c r="I79" s="11">
        <v>75.0</v>
      </c>
      <c r="J79" s="11">
        <v>88.0</v>
      </c>
      <c r="K79" s="11">
        <v>95.0</v>
      </c>
      <c r="L79" s="26">
        <f t="shared" si="1"/>
        <v>1</v>
      </c>
      <c r="M79" s="7" t="s">
        <v>111</v>
      </c>
      <c r="N79" s="27"/>
      <c r="O79" s="28" t="s">
        <v>788</v>
      </c>
      <c r="P79" s="28" t="s">
        <v>789</v>
      </c>
    </row>
    <row r="80">
      <c r="A80" s="23" t="s">
        <v>790</v>
      </c>
      <c r="B80" s="3">
        <v>7.0</v>
      </c>
      <c r="C80" s="7" t="s">
        <v>791</v>
      </c>
      <c r="D80" s="7" t="s">
        <v>254</v>
      </c>
      <c r="E80" s="24">
        <v>0.1</v>
      </c>
      <c r="F80" s="25" t="s">
        <v>256</v>
      </c>
      <c r="G80" s="11">
        <v>0.0</v>
      </c>
      <c r="H80" s="11">
        <v>1.0</v>
      </c>
      <c r="I80" s="11">
        <v>2.0</v>
      </c>
      <c r="J80" s="11">
        <v>3.0</v>
      </c>
      <c r="K80" s="11">
        <v>4.0</v>
      </c>
      <c r="L80" s="26">
        <f t="shared" si="1"/>
        <v>1</v>
      </c>
      <c r="M80" s="7" t="s">
        <v>111</v>
      </c>
      <c r="N80" s="28" t="s">
        <v>792</v>
      </c>
      <c r="O80" s="28" t="s">
        <v>793</v>
      </c>
      <c r="P80" s="28" t="s">
        <v>268</v>
      </c>
    </row>
    <row r="81">
      <c r="A81" s="23" t="s">
        <v>794</v>
      </c>
      <c r="B81" s="3">
        <v>7.0</v>
      </c>
      <c r="C81" s="7" t="s">
        <v>795</v>
      </c>
      <c r="D81" s="7" t="s">
        <v>254</v>
      </c>
      <c r="E81" s="24">
        <v>0.05</v>
      </c>
      <c r="F81" s="25" t="s">
        <v>256</v>
      </c>
      <c r="G81" s="11">
        <v>0.0</v>
      </c>
      <c r="H81" s="11">
        <v>1.0</v>
      </c>
      <c r="I81" s="11">
        <v>2.0</v>
      </c>
      <c r="J81" s="11">
        <v>3.0</v>
      </c>
      <c r="K81" s="11">
        <v>4.0</v>
      </c>
      <c r="L81" s="26">
        <f t="shared" si="1"/>
        <v>1</v>
      </c>
      <c r="M81" s="7" t="s">
        <v>111</v>
      </c>
      <c r="N81" s="28" t="s">
        <v>796</v>
      </c>
      <c r="O81" s="28" t="s">
        <v>797</v>
      </c>
      <c r="P81" s="28" t="s">
        <v>268</v>
      </c>
    </row>
    <row r="82">
      <c r="A82" s="23" t="s">
        <v>798</v>
      </c>
      <c r="B82" s="3">
        <v>7.0</v>
      </c>
      <c r="C82" s="7" t="s">
        <v>799</v>
      </c>
      <c r="D82" s="7" t="s">
        <v>112</v>
      </c>
      <c r="E82" s="24">
        <v>0.05</v>
      </c>
      <c r="F82" s="25" t="s">
        <v>107</v>
      </c>
      <c r="G82" s="11">
        <v>5.0</v>
      </c>
      <c r="H82" s="11">
        <v>10.0</v>
      </c>
      <c r="I82" s="11">
        <v>20.0</v>
      </c>
      <c r="J82" s="11">
        <v>35.0</v>
      </c>
      <c r="K82" s="11">
        <v>50.0</v>
      </c>
      <c r="L82" s="26">
        <f t="shared" si="1"/>
        <v>1</v>
      </c>
      <c r="M82" s="7" t="s">
        <v>111</v>
      </c>
      <c r="N82" s="27"/>
      <c r="O82" s="28" t="s">
        <v>800</v>
      </c>
      <c r="P82" s="28" t="s">
        <v>801</v>
      </c>
    </row>
    <row r="83">
      <c r="A83" s="23" t="s">
        <v>802</v>
      </c>
      <c r="B83" s="3">
        <v>7.0</v>
      </c>
      <c r="C83" s="7" t="s">
        <v>803</v>
      </c>
      <c r="D83" s="7" t="s">
        <v>254</v>
      </c>
      <c r="E83" s="24">
        <v>0.05</v>
      </c>
      <c r="F83" s="25" t="s">
        <v>256</v>
      </c>
      <c r="G83" s="11">
        <v>0.0</v>
      </c>
      <c r="H83" s="11">
        <v>1.0</v>
      </c>
      <c r="I83" s="11">
        <v>2.0</v>
      </c>
      <c r="J83" s="11">
        <v>3.0</v>
      </c>
      <c r="K83" s="11">
        <v>4.0</v>
      </c>
      <c r="L83" s="26">
        <f t="shared" si="1"/>
        <v>1</v>
      </c>
      <c r="M83" s="7" t="s">
        <v>111</v>
      </c>
      <c r="N83" s="28" t="s">
        <v>804</v>
      </c>
      <c r="O83" s="28" t="s">
        <v>805</v>
      </c>
      <c r="P83" s="28" t="s">
        <v>806</v>
      </c>
    </row>
    <row r="84">
      <c r="A84" s="23" t="s">
        <v>807</v>
      </c>
      <c r="B84" s="3">
        <v>7.0</v>
      </c>
      <c r="C84" s="7" t="s">
        <v>808</v>
      </c>
      <c r="D84" s="7" t="s">
        <v>112</v>
      </c>
      <c r="E84" s="24">
        <v>0.05</v>
      </c>
      <c r="F84" s="25" t="s">
        <v>107</v>
      </c>
      <c r="G84" s="11">
        <v>5.0</v>
      </c>
      <c r="H84" s="11">
        <v>15.0</v>
      </c>
      <c r="I84" s="11">
        <v>30.0</v>
      </c>
      <c r="J84" s="11">
        <v>50.0</v>
      </c>
      <c r="K84" s="11">
        <v>70.0</v>
      </c>
      <c r="L84" s="26">
        <f t="shared" si="1"/>
        <v>1</v>
      </c>
      <c r="M84" s="7" t="s">
        <v>111</v>
      </c>
      <c r="N84" s="27"/>
      <c r="O84" s="28" t="s">
        <v>809</v>
      </c>
      <c r="P84" s="28" t="s">
        <v>810</v>
      </c>
    </row>
    <row r="85">
      <c r="A85" s="23" t="s">
        <v>811</v>
      </c>
      <c r="B85" s="3">
        <v>7.0</v>
      </c>
      <c r="C85" s="7" t="s">
        <v>812</v>
      </c>
      <c r="D85" s="7" t="s">
        <v>813</v>
      </c>
      <c r="E85" s="24">
        <v>0.05</v>
      </c>
      <c r="F85" s="25" t="s">
        <v>107</v>
      </c>
      <c r="G85" s="11">
        <v>0.35</v>
      </c>
      <c r="H85" s="11">
        <v>0.4</v>
      </c>
      <c r="I85" s="11">
        <v>0.45</v>
      </c>
      <c r="J85" s="11">
        <v>0.52</v>
      </c>
      <c r="K85" s="11">
        <v>0.58</v>
      </c>
      <c r="L85" s="26">
        <f t="shared" si="1"/>
        <v>1</v>
      </c>
      <c r="M85" s="7" t="s">
        <v>111</v>
      </c>
      <c r="N85" s="27"/>
      <c r="O85" s="28" t="s">
        <v>814</v>
      </c>
      <c r="P85" s="28" t="s">
        <v>815</v>
      </c>
    </row>
    <row r="86">
      <c r="A86" s="23" t="s">
        <v>816</v>
      </c>
      <c r="B86" s="3">
        <v>7.0</v>
      </c>
      <c r="C86" s="7" t="s">
        <v>817</v>
      </c>
      <c r="D86" s="7" t="s">
        <v>254</v>
      </c>
      <c r="E86" s="24">
        <v>0.05</v>
      </c>
      <c r="F86" s="25" t="s">
        <v>256</v>
      </c>
      <c r="G86" s="11">
        <v>0.0</v>
      </c>
      <c r="H86" s="11">
        <v>1.0</v>
      </c>
      <c r="I86" s="11">
        <v>2.0</v>
      </c>
      <c r="J86" s="11">
        <v>3.0</v>
      </c>
      <c r="K86" s="11">
        <v>4.0</v>
      </c>
      <c r="L86" s="26">
        <f t="shared" si="1"/>
        <v>1</v>
      </c>
      <c r="M86" s="7" t="s">
        <v>111</v>
      </c>
      <c r="N86" s="28" t="s">
        <v>818</v>
      </c>
      <c r="O86" s="28" t="s">
        <v>819</v>
      </c>
      <c r="P86" s="28" t="s">
        <v>820</v>
      </c>
    </row>
    <row r="87">
      <c r="A87" s="23" t="s">
        <v>821</v>
      </c>
      <c r="B87" s="3">
        <v>7.0</v>
      </c>
      <c r="C87" s="7" t="s">
        <v>822</v>
      </c>
      <c r="D87" s="7" t="s">
        <v>823</v>
      </c>
      <c r="E87" s="24">
        <v>0.05</v>
      </c>
      <c r="F87" s="25" t="s">
        <v>107</v>
      </c>
      <c r="G87" s="11">
        <v>1.0</v>
      </c>
      <c r="H87" s="11">
        <v>2.0</v>
      </c>
      <c r="I87" s="11">
        <v>3.0</v>
      </c>
      <c r="J87" s="11">
        <v>4.5</v>
      </c>
      <c r="K87" s="11">
        <v>6.0</v>
      </c>
      <c r="L87" s="26">
        <f t="shared" si="1"/>
        <v>1</v>
      </c>
      <c r="M87" s="7" t="s">
        <v>111</v>
      </c>
      <c r="N87" s="27"/>
      <c r="O87" s="28" t="s">
        <v>824</v>
      </c>
      <c r="P87" s="28" t="s">
        <v>268</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2" width="8.88"/>
    <col customWidth="1" min="3" max="3" width="41.38"/>
    <col customWidth="1" min="4" max="4" width="31.38"/>
    <col customWidth="1" min="5" max="22" width="13.25"/>
  </cols>
  <sheetData>
    <row r="1">
      <c r="A1" s="2" t="s">
        <v>139</v>
      </c>
    </row>
    <row r="2">
      <c r="A2" s="5" t="s">
        <v>141</v>
      </c>
    </row>
    <row r="4">
      <c r="A4" s="20" t="s">
        <v>59</v>
      </c>
      <c r="B4" s="20" t="s">
        <v>143</v>
      </c>
      <c r="C4" s="20" t="s">
        <v>144</v>
      </c>
      <c r="D4" s="20" t="s">
        <v>145</v>
      </c>
      <c r="E4" s="20" t="s">
        <v>150</v>
      </c>
      <c r="F4" s="20" t="s">
        <v>152</v>
      </c>
      <c r="G4" s="20" t="s">
        <v>153</v>
      </c>
      <c r="H4" s="20" t="s">
        <v>154</v>
      </c>
      <c r="I4" s="20" t="s">
        <v>155</v>
      </c>
      <c r="J4" s="20" t="s">
        <v>156</v>
      </c>
      <c r="K4" s="20" t="s">
        <v>157</v>
      </c>
      <c r="L4" s="20" t="s">
        <v>158</v>
      </c>
      <c r="M4" s="20" t="s">
        <v>159</v>
      </c>
      <c r="N4" s="20" t="s">
        <v>160</v>
      </c>
      <c r="O4" s="20" t="s">
        <v>161</v>
      </c>
      <c r="P4" s="20" t="s">
        <v>162</v>
      </c>
      <c r="Q4" s="20" t="s">
        <v>163</v>
      </c>
      <c r="R4" s="20" t="s">
        <v>164</v>
      </c>
      <c r="S4" s="20" t="s">
        <v>166</v>
      </c>
      <c r="T4" s="20" t="s">
        <v>167</v>
      </c>
      <c r="U4" s="20" t="s">
        <v>168</v>
      </c>
      <c r="V4" s="20" t="s">
        <v>170</v>
      </c>
    </row>
    <row r="5">
      <c r="A5" s="7" t="s">
        <v>173</v>
      </c>
      <c r="B5" s="7" t="s">
        <v>175</v>
      </c>
      <c r="C5" s="7" t="s">
        <v>178</v>
      </c>
      <c r="E5" s="25" t="s">
        <v>181</v>
      </c>
      <c r="F5" s="25" t="s">
        <v>183</v>
      </c>
      <c r="G5" s="25" t="s">
        <v>184</v>
      </c>
      <c r="H5" s="25" t="s">
        <v>185</v>
      </c>
      <c r="I5" s="25" t="s">
        <v>186</v>
      </c>
      <c r="J5" s="25" t="s">
        <v>188</v>
      </c>
      <c r="K5" s="25" t="s">
        <v>189</v>
      </c>
      <c r="L5" s="25" t="s">
        <v>190</v>
      </c>
      <c r="M5" s="25" t="s">
        <v>191</v>
      </c>
      <c r="N5" s="25" t="s">
        <v>193</v>
      </c>
      <c r="O5" s="25" t="s">
        <v>194</v>
      </c>
      <c r="P5" s="25" t="s">
        <v>195</v>
      </c>
      <c r="Q5" s="25" t="s">
        <v>198</v>
      </c>
      <c r="R5" s="25" t="s">
        <v>200</v>
      </c>
      <c r="S5" s="25" t="s">
        <v>203</v>
      </c>
      <c r="T5" s="25" t="s">
        <v>204</v>
      </c>
      <c r="U5" s="25" t="s">
        <v>206</v>
      </c>
      <c r="V5" s="25" t="s">
        <v>208</v>
      </c>
    </row>
    <row r="6">
      <c r="A6" s="7" t="s">
        <v>209</v>
      </c>
      <c r="B6" s="7" t="s">
        <v>211</v>
      </c>
      <c r="C6" s="7" t="s">
        <v>213</v>
      </c>
      <c r="D6" s="7" t="s">
        <v>215</v>
      </c>
      <c r="E6" s="25" t="s">
        <v>222</v>
      </c>
      <c r="F6" s="25" t="s">
        <v>222</v>
      </c>
      <c r="G6" s="25" t="s">
        <v>222</v>
      </c>
      <c r="H6" s="25" t="s">
        <v>222</v>
      </c>
      <c r="I6" s="25" t="s">
        <v>222</v>
      </c>
      <c r="J6" s="25" t="s">
        <v>222</v>
      </c>
      <c r="K6" s="25" t="s">
        <v>222</v>
      </c>
      <c r="L6" s="25" t="s">
        <v>222</v>
      </c>
      <c r="M6" s="25" t="s">
        <v>222</v>
      </c>
      <c r="N6" s="25" t="s">
        <v>227</v>
      </c>
      <c r="O6" s="25" t="s">
        <v>227</v>
      </c>
      <c r="P6" s="25" t="s">
        <v>227</v>
      </c>
      <c r="Q6" s="25" t="s">
        <v>227</v>
      </c>
      <c r="R6" s="25" t="s">
        <v>227</v>
      </c>
      <c r="S6" s="25" t="s">
        <v>230</v>
      </c>
      <c r="T6" s="25" t="s">
        <v>230</v>
      </c>
      <c r="U6" s="25" t="s">
        <v>230</v>
      </c>
      <c r="V6" s="25" t="s">
        <v>230</v>
      </c>
    </row>
    <row r="7">
      <c r="A7" s="7" t="s">
        <v>234</v>
      </c>
      <c r="B7" s="7" t="s">
        <v>236</v>
      </c>
      <c r="C7" s="7" t="s">
        <v>237</v>
      </c>
      <c r="D7" s="7" t="s">
        <v>239</v>
      </c>
      <c r="E7" s="11">
        <v>101.0</v>
      </c>
      <c r="F7" s="11">
        <v>115.0</v>
      </c>
      <c r="G7" s="11">
        <v>1408.0</v>
      </c>
      <c r="H7" s="11">
        <v>35.5</v>
      </c>
      <c r="I7" s="11">
        <v>6.0</v>
      </c>
      <c r="J7" s="11">
        <v>123.5</v>
      </c>
      <c r="K7" s="11">
        <v>51.7</v>
      </c>
      <c r="L7" s="11">
        <v>1460.0</v>
      </c>
      <c r="M7" s="11">
        <v>250.0</v>
      </c>
      <c r="N7" s="11">
        <v>0.42</v>
      </c>
      <c r="O7" s="11">
        <v>213.0</v>
      </c>
      <c r="P7" s="11">
        <v>46.0</v>
      </c>
      <c r="Q7" s="11">
        <v>53.0</v>
      </c>
      <c r="R7" s="11">
        <v>28.0</v>
      </c>
      <c r="S7" s="11">
        <v>235.0</v>
      </c>
      <c r="T7" s="11">
        <v>18.9</v>
      </c>
      <c r="U7" s="11">
        <v>21.5</v>
      </c>
      <c r="V7" s="11">
        <v>16.9</v>
      </c>
    </row>
    <row r="8">
      <c r="A8" s="7" t="s">
        <v>247</v>
      </c>
      <c r="B8" s="7" t="s">
        <v>249</v>
      </c>
      <c r="C8" s="7" t="s">
        <v>251</v>
      </c>
      <c r="D8" s="7" t="s">
        <v>252</v>
      </c>
      <c r="E8" s="11">
        <v>90.0</v>
      </c>
      <c r="F8" s="11">
        <v>27.0</v>
      </c>
      <c r="G8" s="11">
        <v>19.0</v>
      </c>
      <c r="H8" s="11">
        <v>68.0</v>
      </c>
      <c r="I8" s="11">
        <v>175.0</v>
      </c>
      <c r="J8" s="11">
        <v>22.0</v>
      </c>
      <c r="K8" s="11">
        <v>44.0</v>
      </c>
      <c r="L8" s="11">
        <v>21.0</v>
      </c>
      <c r="M8" s="11">
        <v>10.0</v>
      </c>
      <c r="N8" s="11">
        <v>50.0</v>
      </c>
      <c r="O8" s="11">
        <v>17.0</v>
      </c>
      <c r="P8" s="11">
        <v>14.0</v>
      </c>
      <c r="Q8" s="11">
        <v>15.0</v>
      </c>
      <c r="R8" s="11">
        <v>25.0</v>
      </c>
      <c r="S8" s="11">
        <v>15.0</v>
      </c>
      <c r="T8" s="11">
        <v>25.0</v>
      </c>
      <c r="U8" s="11">
        <v>40.0</v>
      </c>
      <c r="V8" s="11">
        <v>25.0</v>
      </c>
    </row>
    <row r="9">
      <c r="A9" s="7" t="s">
        <v>258</v>
      </c>
      <c r="B9" s="7" t="s">
        <v>260</v>
      </c>
      <c r="C9" s="7" t="s">
        <v>261</v>
      </c>
      <c r="D9" s="7" t="s">
        <v>262</v>
      </c>
      <c r="E9" s="11">
        <v>17.0</v>
      </c>
      <c r="F9" s="11">
        <v>22.0</v>
      </c>
      <c r="G9" s="11">
        <v>17.0</v>
      </c>
      <c r="H9" s="11">
        <v>27.0</v>
      </c>
      <c r="I9" s="11">
        <v>150.0</v>
      </c>
      <c r="J9" s="11">
        <v>28.0</v>
      </c>
      <c r="K9" s="11">
        <v>22.0</v>
      </c>
      <c r="L9" s="11">
        <v>17.0</v>
      </c>
      <c r="M9" s="11">
        <v>4.0</v>
      </c>
      <c r="N9" s="11">
        <v>14.0</v>
      </c>
      <c r="O9" s="11">
        <v>15.0</v>
      </c>
      <c r="P9" s="11">
        <v>6.0</v>
      </c>
      <c r="Q9" s="11">
        <v>15.0</v>
      </c>
      <c r="R9" s="11">
        <v>4.0</v>
      </c>
      <c r="S9" s="11">
        <v>8.0</v>
      </c>
      <c r="T9" s="11">
        <v>12.0</v>
      </c>
      <c r="U9" s="11">
        <v>13.0</v>
      </c>
      <c r="V9" s="11">
        <v>2.0</v>
      </c>
    </row>
    <row r="10">
      <c r="A10" s="7" t="s">
        <v>274</v>
      </c>
      <c r="B10" s="7" t="s">
        <v>276</v>
      </c>
      <c r="C10" s="7" t="s">
        <v>278</v>
      </c>
      <c r="D10" s="7" t="s">
        <v>280</v>
      </c>
      <c r="E10" s="25" t="s">
        <v>282</v>
      </c>
      <c r="F10" s="25" t="s">
        <v>282</v>
      </c>
      <c r="G10" s="25" t="s">
        <v>283</v>
      </c>
      <c r="H10" s="25" t="s">
        <v>284</v>
      </c>
      <c r="I10" s="25" t="s">
        <v>286</v>
      </c>
      <c r="J10" s="25" t="s">
        <v>288</v>
      </c>
      <c r="K10" s="25" t="s">
        <v>289</v>
      </c>
      <c r="L10" s="25" t="s">
        <v>290</v>
      </c>
      <c r="M10" s="25" t="s">
        <v>291</v>
      </c>
      <c r="N10" s="25" t="s">
        <v>293</v>
      </c>
      <c r="O10" s="25" t="s">
        <v>295</v>
      </c>
      <c r="P10" s="25" t="s">
        <v>297</v>
      </c>
      <c r="Q10" s="25" t="s">
        <v>298</v>
      </c>
      <c r="R10" s="25" t="s">
        <v>298</v>
      </c>
      <c r="S10" s="25" t="s">
        <v>298</v>
      </c>
      <c r="T10" s="25" t="s">
        <v>300</v>
      </c>
      <c r="U10" s="25" t="s">
        <v>303</v>
      </c>
      <c r="V10" s="25" t="s">
        <v>306</v>
      </c>
    </row>
    <row r="11">
      <c r="A11" s="7" t="s">
        <v>308</v>
      </c>
      <c r="B11" s="7" t="s">
        <v>309</v>
      </c>
      <c r="C11" s="7" t="s">
        <v>311</v>
      </c>
      <c r="D11" s="7" t="s">
        <v>312</v>
      </c>
      <c r="E11" s="25" t="s">
        <v>315</v>
      </c>
      <c r="F11" s="25" t="s">
        <v>315</v>
      </c>
      <c r="G11" s="25" t="s">
        <v>315</v>
      </c>
      <c r="H11" s="25" t="s">
        <v>315</v>
      </c>
      <c r="I11" s="25" t="s">
        <v>315</v>
      </c>
      <c r="J11" s="25" t="s">
        <v>315</v>
      </c>
      <c r="K11" s="25" t="s">
        <v>315</v>
      </c>
      <c r="L11" s="25" t="s">
        <v>325</v>
      </c>
      <c r="M11" s="25" t="s">
        <v>315</v>
      </c>
      <c r="N11" s="25" t="s">
        <v>293</v>
      </c>
      <c r="O11" s="25" t="s">
        <v>329</v>
      </c>
      <c r="P11" s="25" t="s">
        <v>329</v>
      </c>
      <c r="Q11" s="25" t="s">
        <v>329</v>
      </c>
      <c r="R11" s="25" t="s">
        <v>329</v>
      </c>
      <c r="S11" s="25" t="s">
        <v>329</v>
      </c>
      <c r="T11" s="25" t="s">
        <v>329</v>
      </c>
      <c r="U11" s="25" t="s">
        <v>329</v>
      </c>
      <c r="V11" s="25" t="s">
        <v>329</v>
      </c>
    </row>
    <row r="12">
      <c r="A12" s="7" t="s">
        <v>330</v>
      </c>
      <c r="B12" s="7" t="s">
        <v>332</v>
      </c>
      <c r="C12" s="7" t="s">
        <v>335</v>
      </c>
      <c r="D12" s="7" t="s">
        <v>338</v>
      </c>
      <c r="E12" s="11">
        <v>0.0</v>
      </c>
      <c r="F12" s="11">
        <v>0.0</v>
      </c>
      <c r="G12" s="11">
        <v>0.0</v>
      </c>
      <c r="H12" s="11">
        <v>0.0</v>
      </c>
      <c r="I12" s="11">
        <v>0.0</v>
      </c>
      <c r="J12" s="11">
        <v>0.0</v>
      </c>
      <c r="K12" s="11">
        <v>0.0</v>
      </c>
      <c r="L12" s="11">
        <v>0.0</v>
      </c>
      <c r="M12" s="11">
        <v>0.0</v>
      </c>
      <c r="N12" s="11">
        <v>0.0</v>
      </c>
      <c r="O12" s="11">
        <v>-5.0</v>
      </c>
      <c r="P12" s="11">
        <v>-10.0</v>
      </c>
      <c r="Q12" s="11">
        <v>-15.0</v>
      </c>
      <c r="R12" s="11">
        <v>-15.0</v>
      </c>
      <c r="S12" s="11">
        <v>-15.0</v>
      </c>
      <c r="T12" s="11">
        <v>60.0</v>
      </c>
      <c r="U12" s="11">
        <v>35.0</v>
      </c>
      <c r="V12" s="11">
        <v>60.0</v>
      </c>
    </row>
    <row r="13">
      <c r="A13" s="7" t="s">
        <v>349</v>
      </c>
      <c r="B13" s="7" t="s">
        <v>350</v>
      </c>
      <c r="C13" s="7" t="s">
        <v>351</v>
      </c>
      <c r="D13" s="7" t="s">
        <v>352</v>
      </c>
      <c r="E13" s="25" t="s">
        <v>355</v>
      </c>
      <c r="F13" s="25" t="s">
        <v>357</v>
      </c>
      <c r="G13" s="25" t="s">
        <v>355</v>
      </c>
      <c r="H13" s="25" t="s">
        <v>357</v>
      </c>
      <c r="I13" s="25" t="s">
        <v>355</v>
      </c>
      <c r="J13" s="25" t="s">
        <v>357</v>
      </c>
      <c r="K13" s="25" t="s">
        <v>357</v>
      </c>
      <c r="L13" s="25" t="s">
        <v>355</v>
      </c>
      <c r="M13" s="25" t="s">
        <v>355</v>
      </c>
      <c r="N13" s="25" t="s">
        <v>364</v>
      </c>
      <c r="O13" s="25" t="s">
        <v>357</v>
      </c>
      <c r="P13" s="25" t="s">
        <v>355</v>
      </c>
      <c r="Q13" s="25" t="s">
        <v>357</v>
      </c>
      <c r="R13" s="25" t="s">
        <v>355</v>
      </c>
      <c r="S13" s="25" t="s">
        <v>357</v>
      </c>
      <c r="T13" s="25" t="s">
        <v>364</v>
      </c>
      <c r="U13" s="25" t="s">
        <v>357</v>
      </c>
      <c r="V13" s="25" t="s">
        <v>355</v>
      </c>
    </row>
    <row r="14">
      <c r="A14" s="7" t="s">
        <v>366</v>
      </c>
      <c r="B14" s="7" t="s">
        <v>367</v>
      </c>
      <c r="C14" s="7" t="s">
        <v>369</v>
      </c>
      <c r="D14" s="7" t="s">
        <v>371</v>
      </c>
      <c r="E14" s="25" t="s">
        <v>373</v>
      </c>
      <c r="F14" s="25" t="s">
        <v>374</v>
      </c>
      <c r="G14" s="25" t="s">
        <v>376</v>
      </c>
      <c r="H14" s="25" t="s">
        <v>378</v>
      </c>
      <c r="I14" s="25" t="s">
        <v>365</v>
      </c>
      <c r="J14" s="25" t="s">
        <v>376</v>
      </c>
      <c r="K14" s="25" t="s">
        <v>381</v>
      </c>
      <c r="L14" s="25" t="s">
        <v>382</v>
      </c>
      <c r="M14" s="25" t="s">
        <v>383</v>
      </c>
      <c r="N14" s="25" t="s">
        <v>383</v>
      </c>
      <c r="O14" s="25" t="s">
        <v>384</v>
      </c>
      <c r="P14" s="25" t="s">
        <v>383</v>
      </c>
      <c r="Q14" s="25" t="s">
        <v>384</v>
      </c>
      <c r="R14" s="25" t="s">
        <v>386</v>
      </c>
      <c r="S14" s="25" t="s">
        <v>387</v>
      </c>
      <c r="T14" s="25" t="s">
        <v>388</v>
      </c>
      <c r="U14" s="25" t="s">
        <v>388</v>
      </c>
      <c r="V14" s="25" t="s">
        <v>386</v>
      </c>
    </row>
    <row r="15">
      <c r="A15" s="7" t="s">
        <v>392</v>
      </c>
      <c r="B15" s="7" t="s">
        <v>394</v>
      </c>
      <c r="C15" s="7" t="s">
        <v>395</v>
      </c>
      <c r="D15" s="7" t="s">
        <v>397</v>
      </c>
      <c r="E15" s="11">
        <v>100.0</v>
      </c>
      <c r="F15" s="11">
        <v>65.0</v>
      </c>
      <c r="G15" s="11">
        <v>60.0</v>
      </c>
      <c r="H15" s="11">
        <v>45.0</v>
      </c>
      <c r="I15" s="11">
        <v>15.0</v>
      </c>
      <c r="J15" s="11">
        <v>20.0</v>
      </c>
      <c r="K15" s="11">
        <v>25.0</v>
      </c>
      <c r="L15" s="11">
        <v>70.0</v>
      </c>
      <c r="M15" s="11">
        <v>450.0</v>
      </c>
      <c r="N15" s="11">
        <v>650.0</v>
      </c>
      <c r="O15" s="11">
        <v>160.0</v>
      </c>
      <c r="P15" s="11">
        <v>650.0</v>
      </c>
      <c r="Q15" s="11">
        <v>220.0</v>
      </c>
      <c r="R15" s="11">
        <v>6000.0</v>
      </c>
      <c r="S15" s="11">
        <v>400.0</v>
      </c>
      <c r="T15" s="11">
        <v>1200.0</v>
      </c>
      <c r="U15" s="11">
        <v>450.0</v>
      </c>
      <c r="V15" s="11">
        <v>3000.0</v>
      </c>
    </row>
    <row r="16">
      <c r="A16" s="7" t="s">
        <v>402</v>
      </c>
      <c r="B16" s="7" t="s">
        <v>404</v>
      </c>
      <c r="C16" s="7" t="s">
        <v>405</v>
      </c>
      <c r="D16" s="7" t="s">
        <v>408</v>
      </c>
      <c r="E16" s="11">
        <v>0.5</v>
      </c>
      <c r="F16" s="11">
        <v>1.0</v>
      </c>
      <c r="G16" s="11">
        <v>-0.5</v>
      </c>
      <c r="H16" s="11">
        <v>-1.0</v>
      </c>
      <c r="I16" s="11">
        <v>-0.5</v>
      </c>
      <c r="J16" s="11">
        <v>1.0</v>
      </c>
      <c r="K16" s="11">
        <v>0.5</v>
      </c>
      <c r="L16" s="11">
        <v>1.5</v>
      </c>
      <c r="M16" s="11">
        <v>0.5</v>
      </c>
      <c r="N16" s="11">
        <v>0.0</v>
      </c>
      <c r="O16" s="11">
        <v>0.0</v>
      </c>
      <c r="P16" s="11">
        <v>6.0</v>
      </c>
      <c r="Q16" s="11">
        <v>-1.0</v>
      </c>
      <c r="R16" s="11">
        <v>35.0</v>
      </c>
      <c r="S16" s="11">
        <v>1.0</v>
      </c>
      <c r="T16" s="11">
        <v>0.0</v>
      </c>
      <c r="U16" s="11">
        <v>-2.0</v>
      </c>
      <c r="V16" s="11">
        <v>8.0</v>
      </c>
    </row>
    <row r="17">
      <c r="A17" s="7" t="s">
        <v>412</v>
      </c>
      <c r="B17" s="7" t="s">
        <v>413</v>
      </c>
      <c r="C17" s="7" t="s">
        <v>414</v>
      </c>
      <c r="D17" s="7" t="s">
        <v>416</v>
      </c>
      <c r="E17" s="11">
        <v>-2.0</v>
      </c>
      <c r="F17" s="11">
        <v>1.0</v>
      </c>
      <c r="G17" s="11">
        <v>0.0</v>
      </c>
      <c r="H17" s="11">
        <v>1.0</v>
      </c>
      <c r="I17" s="11">
        <v>1.0</v>
      </c>
      <c r="J17" s="11">
        <v>0.0</v>
      </c>
      <c r="K17" s="11">
        <v>0.0</v>
      </c>
      <c r="L17" s="11">
        <v>1.0</v>
      </c>
      <c r="M17" s="11">
        <v>5.0</v>
      </c>
      <c r="N17" s="11">
        <v>-3.0</v>
      </c>
      <c r="O17" s="11">
        <v>1.0</v>
      </c>
      <c r="P17" s="11">
        <v>6.0</v>
      </c>
      <c r="Q17" s="11">
        <v>0.0</v>
      </c>
      <c r="R17" s="11">
        <v>-5.0</v>
      </c>
      <c r="S17" s="11">
        <v>2.0</v>
      </c>
      <c r="T17" s="11">
        <v>-8.0</v>
      </c>
      <c r="U17" s="11">
        <v>3.0</v>
      </c>
      <c r="V17" s="11">
        <v>-2.0</v>
      </c>
    </row>
    <row r="18">
      <c r="A18" s="7" t="s">
        <v>422</v>
      </c>
      <c r="B18" s="7" t="s">
        <v>424</v>
      </c>
      <c r="C18" s="7" t="s">
        <v>425</v>
      </c>
      <c r="D18" s="7" t="s">
        <v>426</v>
      </c>
      <c r="E18" s="11">
        <v>4.5</v>
      </c>
      <c r="F18" s="11">
        <v>4.5</v>
      </c>
      <c r="G18" s="11">
        <v>1.4</v>
      </c>
      <c r="H18" s="11">
        <v>2.75</v>
      </c>
      <c r="I18" s="31"/>
      <c r="J18" s="11">
        <v>0.75</v>
      </c>
      <c r="K18" s="11">
        <v>2.5</v>
      </c>
      <c r="L18" s="11">
        <v>5.5</v>
      </c>
      <c r="M18" s="11">
        <v>11.0</v>
      </c>
      <c r="N18" s="31"/>
      <c r="O18" s="11">
        <v>15.0</v>
      </c>
      <c r="P18" s="31"/>
      <c r="Q18" s="11">
        <v>9.25</v>
      </c>
      <c r="R18" s="11">
        <v>59.0</v>
      </c>
      <c r="S18" s="11">
        <v>27.0</v>
      </c>
      <c r="T18" s="11">
        <v>3.25</v>
      </c>
      <c r="U18" s="11">
        <v>14.5</v>
      </c>
      <c r="V18" s="11">
        <v>35.0</v>
      </c>
    </row>
    <row r="19">
      <c r="A19" s="7" t="s">
        <v>440</v>
      </c>
      <c r="B19" s="7" t="s">
        <v>442</v>
      </c>
      <c r="C19" s="7" t="s">
        <v>444</v>
      </c>
      <c r="D19" s="7" t="s">
        <v>446</v>
      </c>
      <c r="E19" s="25" t="s">
        <v>448</v>
      </c>
      <c r="F19" s="25" t="s">
        <v>450</v>
      </c>
      <c r="G19" s="25" t="s">
        <v>451</v>
      </c>
      <c r="H19" s="25" t="s">
        <v>452</v>
      </c>
      <c r="I19" s="25" t="s">
        <v>453</v>
      </c>
      <c r="J19" s="25" t="s">
        <v>455</v>
      </c>
      <c r="K19" s="25" t="s">
        <v>456</v>
      </c>
      <c r="L19" s="25" t="s">
        <v>457</v>
      </c>
      <c r="M19" s="25" t="s">
        <v>457</v>
      </c>
      <c r="N19" s="25" t="s">
        <v>453</v>
      </c>
      <c r="O19" s="25" t="s">
        <v>461</v>
      </c>
      <c r="P19" s="25" t="s">
        <v>462</v>
      </c>
      <c r="Q19" s="25" t="s">
        <v>464</v>
      </c>
      <c r="R19" s="25" t="s">
        <v>466</v>
      </c>
      <c r="S19" s="25" t="s">
        <v>467</v>
      </c>
      <c r="T19" s="25" t="s">
        <v>469</v>
      </c>
      <c r="U19" s="25" t="s">
        <v>471</v>
      </c>
      <c r="V19" s="25" t="s">
        <v>472</v>
      </c>
    </row>
    <row r="20">
      <c r="A20" s="7" t="s">
        <v>474</v>
      </c>
      <c r="B20" s="7" t="s">
        <v>475</v>
      </c>
      <c r="C20" s="7" t="s">
        <v>476</v>
      </c>
      <c r="D20" s="7" t="s">
        <v>316</v>
      </c>
      <c r="E20" s="11">
        <v>56.0</v>
      </c>
      <c r="F20" s="11">
        <v>19.0</v>
      </c>
      <c r="G20" s="11">
        <v>99.0</v>
      </c>
      <c r="H20" s="11">
        <v>16.0</v>
      </c>
      <c r="I20" s="11">
        <v>48.0</v>
      </c>
      <c r="J20" s="11">
        <v>21.0</v>
      </c>
      <c r="K20" s="11">
        <v>18.0</v>
      </c>
      <c r="L20" s="11">
        <v>31.0</v>
      </c>
      <c r="M20" s="11">
        <v>34.0</v>
      </c>
      <c r="N20" s="11">
        <v>45.0</v>
      </c>
      <c r="O20" s="11">
        <v>1.0</v>
      </c>
      <c r="P20" s="11">
        <v>12.0</v>
      </c>
      <c r="Q20" s="11">
        <v>43.0</v>
      </c>
      <c r="R20" s="11">
        <v>48.0</v>
      </c>
      <c r="S20" s="11">
        <v>4.0</v>
      </c>
      <c r="T20" s="11">
        <v>29.0</v>
      </c>
      <c r="U20" s="11">
        <v>58.0</v>
      </c>
      <c r="V20" s="11">
        <v>22.0</v>
      </c>
    </row>
    <row r="21">
      <c r="A21" s="7" t="s">
        <v>486</v>
      </c>
      <c r="B21" s="7" t="s">
        <v>487</v>
      </c>
      <c r="C21" s="7" t="s">
        <v>488</v>
      </c>
      <c r="D21" s="7" t="s">
        <v>489</v>
      </c>
      <c r="E21" s="25" t="s">
        <v>495</v>
      </c>
      <c r="F21" s="25" t="s">
        <v>495</v>
      </c>
      <c r="G21" s="25" t="s">
        <v>495</v>
      </c>
      <c r="H21" s="25" t="s">
        <v>495</v>
      </c>
      <c r="I21" s="25" t="s">
        <v>495</v>
      </c>
      <c r="J21" s="25" t="s">
        <v>495</v>
      </c>
      <c r="K21" s="25" t="s">
        <v>495</v>
      </c>
      <c r="L21" s="25" t="s">
        <v>495</v>
      </c>
      <c r="M21" s="25" t="s">
        <v>495</v>
      </c>
      <c r="N21" s="25" t="s">
        <v>495</v>
      </c>
      <c r="O21" s="25" t="s">
        <v>495</v>
      </c>
      <c r="P21" s="25" t="s">
        <v>495</v>
      </c>
      <c r="Q21" s="25" t="s">
        <v>495</v>
      </c>
      <c r="R21" s="25" t="s">
        <v>501</v>
      </c>
      <c r="S21" s="25" t="s">
        <v>495</v>
      </c>
      <c r="T21" s="25" t="s">
        <v>495</v>
      </c>
      <c r="U21" s="25" t="s">
        <v>495</v>
      </c>
      <c r="V21" s="25" t="s">
        <v>501</v>
      </c>
    </row>
    <row r="22">
      <c r="A22" s="7" t="s">
        <v>502</v>
      </c>
      <c r="B22" s="7" t="s">
        <v>503</v>
      </c>
      <c r="C22" s="7" t="s">
        <v>504</v>
      </c>
      <c r="D22" s="7" t="s">
        <v>489</v>
      </c>
      <c r="E22" s="25" t="s">
        <v>495</v>
      </c>
      <c r="F22" s="25" t="s">
        <v>495</v>
      </c>
      <c r="G22" s="25" t="s">
        <v>495</v>
      </c>
      <c r="H22" s="25" t="s">
        <v>495</v>
      </c>
      <c r="I22" s="25" t="s">
        <v>495</v>
      </c>
      <c r="J22" s="25" t="s">
        <v>495</v>
      </c>
      <c r="K22" s="25" t="s">
        <v>495</v>
      </c>
      <c r="L22" s="25" t="s">
        <v>495</v>
      </c>
      <c r="M22" s="25" t="s">
        <v>495</v>
      </c>
      <c r="N22" s="25" t="s">
        <v>495</v>
      </c>
      <c r="O22" s="25" t="s">
        <v>495</v>
      </c>
      <c r="P22" s="25" t="s">
        <v>495</v>
      </c>
      <c r="Q22" s="25" t="s">
        <v>495</v>
      </c>
      <c r="R22" s="25" t="s">
        <v>501</v>
      </c>
      <c r="S22" s="25" t="s">
        <v>495</v>
      </c>
      <c r="T22" s="25" t="s">
        <v>495</v>
      </c>
      <c r="U22" s="25" t="s">
        <v>495</v>
      </c>
      <c r="V22" s="25" t="s">
        <v>501</v>
      </c>
    </row>
    <row r="23">
      <c r="A23" s="7" t="s">
        <v>511</v>
      </c>
      <c r="B23" s="7" t="s">
        <v>512</v>
      </c>
      <c r="C23" s="7" t="s">
        <v>514</v>
      </c>
      <c r="D23" s="7" t="s">
        <v>112</v>
      </c>
      <c r="E23" s="11">
        <v>1.0</v>
      </c>
      <c r="F23" s="11">
        <v>0.0</v>
      </c>
      <c r="G23" s="11">
        <v>0.0</v>
      </c>
      <c r="H23" s="11">
        <v>0.0</v>
      </c>
      <c r="I23" s="11">
        <v>0.0</v>
      </c>
      <c r="J23" s="11">
        <v>0.0</v>
      </c>
      <c r="K23" s="11">
        <v>0.0</v>
      </c>
      <c r="L23" s="11">
        <v>0.0</v>
      </c>
      <c r="M23" s="11">
        <v>1.0</v>
      </c>
      <c r="N23" s="11">
        <v>2.0</v>
      </c>
      <c r="O23" s="11">
        <v>0.0</v>
      </c>
      <c r="P23" s="11">
        <v>3.0</v>
      </c>
      <c r="Q23" s="11">
        <v>0.0</v>
      </c>
      <c r="R23" s="11">
        <v>60.0</v>
      </c>
      <c r="S23" s="11">
        <v>2.0</v>
      </c>
      <c r="T23" s="11">
        <v>0.0</v>
      </c>
      <c r="U23" s="11">
        <v>0.0</v>
      </c>
      <c r="V23" s="11">
        <v>40.0</v>
      </c>
    </row>
    <row r="24">
      <c r="A24" s="7" t="s">
        <v>521</v>
      </c>
      <c r="B24" s="7" t="s">
        <v>522</v>
      </c>
      <c r="C24" s="7" t="s">
        <v>523</v>
      </c>
      <c r="D24" s="7" t="s">
        <v>489</v>
      </c>
      <c r="E24" s="25" t="s">
        <v>495</v>
      </c>
      <c r="F24" s="25" t="s">
        <v>495</v>
      </c>
      <c r="G24" s="25" t="s">
        <v>495</v>
      </c>
      <c r="H24" s="25" t="s">
        <v>495</v>
      </c>
      <c r="I24" s="25" t="s">
        <v>495</v>
      </c>
      <c r="J24" s="25" t="s">
        <v>495</v>
      </c>
      <c r="K24" s="25" t="s">
        <v>495</v>
      </c>
      <c r="L24" s="25" t="s">
        <v>495</v>
      </c>
      <c r="M24" s="25" t="s">
        <v>495</v>
      </c>
      <c r="N24" s="25" t="s">
        <v>495</v>
      </c>
      <c r="O24" s="25" t="s">
        <v>495</v>
      </c>
      <c r="P24" s="25" t="s">
        <v>495</v>
      </c>
      <c r="Q24" s="25" t="s">
        <v>495</v>
      </c>
      <c r="R24" s="25" t="s">
        <v>501</v>
      </c>
      <c r="S24" s="25" t="s">
        <v>495</v>
      </c>
      <c r="T24" s="25" t="s">
        <v>495</v>
      </c>
      <c r="U24" s="25" t="s">
        <v>495</v>
      </c>
      <c r="V24" s="25" t="s">
        <v>495</v>
      </c>
    </row>
    <row r="25">
      <c r="A25" s="7" t="s">
        <v>531</v>
      </c>
      <c r="B25" s="7" t="s">
        <v>532</v>
      </c>
      <c r="C25" s="7" t="s">
        <v>533</v>
      </c>
      <c r="D25" s="7" t="s">
        <v>489</v>
      </c>
      <c r="E25" s="25" t="s">
        <v>495</v>
      </c>
      <c r="F25" s="25" t="s">
        <v>495</v>
      </c>
      <c r="G25" s="25" t="s">
        <v>495</v>
      </c>
      <c r="H25" s="25" t="s">
        <v>495</v>
      </c>
      <c r="I25" s="25" t="s">
        <v>495</v>
      </c>
      <c r="J25" s="25" t="s">
        <v>495</v>
      </c>
      <c r="K25" s="25" t="s">
        <v>495</v>
      </c>
      <c r="L25" s="25" t="s">
        <v>495</v>
      </c>
      <c r="M25" s="25" t="s">
        <v>495</v>
      </c>
      <c r="N25" s="25" t="s">
        <v>495</v>
      </c>
      <c r="O25" s="25" t="s">
        <v>495</v>
      </c>
      <c r="P25" s="25" t="s">
        <v>495</v>
      </c>
      <c r="Q25" s="25" t="s">
        <v>495</v>
      </c>
      <c r="R25" s="25" t="s">
        <v>495</v>
      </c>
      <c r="S25" s="25" t="s">
        <v>495</v>
      </c>
      <c r="T25" s="25" t="s">
        <v>495</v>
      </c>
      <c r="U25" s="25" t="s">
        <v>495</v>
      </c>
      <c r="V25" s="25" t="s">
        <v>495</v>
      </c>
    </row>
    <row r="26">
      <c r="A26" s="7" t="s">
        <v>538</v>
      </c>
      <c r="B26" s="7" t="s">
        <v>539</v>
      </c>
      <c r="C26" s="7" t="s">
        <v>540</v>
      </c>
      <c r="D26" s="7" t="s">
        <v>489</v>
      </c>
      <c r="E26" s="25" t="s">
        <v>495</v>
      </c>
      <c r="F26" s="25" t="s">
        <v>495</v>
      </c>
      <c r="G26" s="25" t="s">
        <v>495</v>
      </c>
      <c r="H26" s="25" t="s">
        <v>495</v>
      </c>
      <c r="I26" s="25" t="s">
        <v>495</v>
      </c>
      <c r="J26" s="25" t="s">
        <v>495</v>
      </c>
      <c r="K26" s="25" t="s">
        <v>495</v>
      </c>
      <c r="L26" s="25" t="s">
        <v>495</v>
      </c>
      <c r="M26" s="25" t="s">
        <v>495</v>
      </c>
      <c r="N26" s="25" t="s">
        <v>495</v>
      </c>
      <c r="O26" s="25" t="s">
        <v>495</v>
      </c>
      <c r="P26" s="25" t="s">
        <v>495</v>
      </c>
      <c r="Q26" s="25" t="s">
        <v>495</v>
      </c>
      <c r="R26" s="25" t="s">
        <v>495</v>
      </c>
      <c r="S26" s="25" t="s">
        <v>495</v>
      </c>
      <c r="T26" s="25" t="s">
        <v>495</v>
      </c>
      <c r="U26" s="25" t="s">
        <v>495</v>
      </c>
      <c r="V26" s="25" t="s">
        <v>495</v>
      </c>
    </row>
    <row r="27">
      <c r="A27" s="7" t="s">
        <v>545</v>
      </c>
      <c r="B27" s="7" t="s">
        <v>546</v>
      </c>
      <c r="C27" s="7" t="s">
        <v>547</v>
      </c>
      <c r="D27" s="7" t="s">
        <v>489</v>
      </c>
      <c r="E27" s="25" t="s">
        <v>495</v>
      </c>
      <c r="F27" s="25" t="s">
        <v>495</v>
      </c>
      <c r="G27" s="25" t="s">
        <v>495</v>
      </c>
      <c r="H27" s="25" t="s">
        <v>495</v>
      </c>
      <c r="I27" s="25" t="s">
        <v>495</v>
      </c>
      <c r="J27" s="25" t="s">
        <v>495</v>
      </c>
      <c r="K27" s="25" t="s">
        <v>495</v>
      </c>
      <c r="L27" s="25" t="s">
        <v>495</v>
      </c>
      <c r="M27" s="25" t="s">
        <v>495</v>
      </c>
      <c r="N27" s="25" t="s">
        <v>495</v>
      </c>
      <c r="O27" s="25" t="s">
        <v>495</v>
      </c>
      <c r="P27" s="25" t="s">
        <v>495</v>
      </c>
      <c r="Q27" s="25" t="s">
        <v>495</v>
      </c>
      <c r="R27" s="25" t="s">
        <v>495</v>
      </c>
      <c r="S27" s="25" t="s">
        <v>495</v>
      </c>
      <c r="T27" s="25" t="s">
        <v>495</v>
      </c>
      <c r="U27" s="25" t="s">
        <v>495</v>
      </c>
      <c r="V27" s="25" t="s">
        <v>495</v>
      </c>
    </row>
    <row r="28">
      <c r="A28" s="7" t="s">
        <v>549</v>
      </c>
      <c r="B28" s="7" t="s">
        <v>550</v>
      </c>
      <c r="C28" s="7" t="s">
        <v>552</v>
      </c>
      <c r="D28" s="7" t="s">
        <v>489</v>
      </c>
      <c r="E28" s="25" t="s">
        <v>495</v>
      </c>
      <c r="F28" s="25" t="s">
        <v>495</v>
      </c>
      <c r="G28" s="25" t="s">
        <v>495</v>
      </c>
      <c r="H28" s="25" t="s">
        <v>495</v>
      </c>
      <c r="I28" s="25" t="s">
        <v>495</v>
      </c>
      <c r="J28" s="25" t="s">
        <v>495</v>
      </c>
      <c r="K28" s="25" t="s">
        <v>495</v>
      </c>
      <c r="L28" s="25" t="s">
        <v>495</v>
      </c>
      <c r="M28" s="25" t="s">
        <v>495</v>
      </c>
      <c r="N28" s="25" t="s">
        <v>495</v>
      </c>
      <c r="O28" s="25" t="s">
        <v>495</v>
      </c>
      <c r="P28" s="25" t="s">
        <v>495</v>
      </c>
      <c r="Q28" s="25" t="s">
        <v>495</v>
      </c>
      <c r="R28" s="25" t="s">
        <v>495</v>
      </c>
      <c r="S28" s="25" t="s">
        <v>495</v>
      </c>
      <c r="T28" s="25" t="s">
        <v>495</v>
      </c>
      <c r="U28" s="25" t="s">
        <v>495</v>
      </c>
      <c r="V28" s="25" t="s">
        <v>495</v>
      </c>
    </row>
    <row r="29">
      <c r="A29" s="7" t="s">
        <v>556</v>
      </c>
      <c r="B29" s="7" t="s">
        <v>557</v>
      </c>
      <c r="C29" s="7" t="s">
        <v>558</v>
      </c>
      <c r="D29" s="7" t="s">
        <v>489</v>
      </c>
      <c r="E29" s="25" t="s">
        <v>495</v>
      </c>
      <c r="F29" s="25" t="s">
        <v>495</v>
      </c>
      <c r="G29" s="25" t="s">
        <v>495</v>
      </c>
      <c r="H29" s="25" t="s">
        <v>495</v>
      </c>
      <c r="I29" s="25" t="s">
        <v>495</v>
      </c>
      <c r="J29" s="25" t="s">
        <v>495</v>
      </c>
      <c r="K29" s="25" t="s">
        <v>495</v>
      </c>
      <c r="L29" s="25" t="s">
        <v>495</v>
      </c>
      <c r="M29" s="25" t="s">
        <v>495</v>
      </c>
      <c r="N29" s="25" t="s">
        <v>495</v>
      </c>
      <c r="O29" s="25" t="s">
        <v>495</v>
      </c>
      <c r="P29" s="25" t="s">
        <v>495</v>
      </c>
      <c r="Q29" s="25" t="s">
        <v>495</v>
      </c>
      <c r="R29" s="25" t="s">
        <v>495</v>
      </c>
      <c r="S29" s="25" t="s">
        <v>495</v>
      </c>
      <c r="T29" s="25" t="s">
        <v>495</v>
      </c>
      <c r="U29" s="25" t="s">
        <v>495</v>
      </c>
      <c r="V29" s="25" t="s">
        <v>495</v>
      </c>
    </row>
    <row r="30">
      <c r="A30" s="7" t="s">
        <v>563</v>
      </c>
      <c r="B30" s="7" t="s">
        <v>565</v>
      </c>
      <c r="C30" s="7" t="s">
        <v>97</v>
      </c>
      <c r="D30" s="7" t="s">
        <v>568</v>
      </c>
      <c r="E30" s="11">
        <v>0.0</v>
      </c>
      <c r="F30" s="11">
        <v>0.0</v>
      </c>
      <c r="G30" s="11">
        <v>0.0</v>
      </c>
      <c r="H30" s="11">
        <v>0.0</v>
      </c>
      <c r="I30" s="11">
        <v>0.0</v>
      </c>
      <c r="J30" s="11">
        <v>0.0</v>
      </c>
      <c r="K30" s="11">
        <v>0.0</v>
      </c>
      <c r="L30" s="11">
        <v>0.0</v>
      </c>
      <c r="M30" s="11">
        <v>0.0</v>
      </c>
      <c r="N30" s="11">
        <v>0.0</v>
      </c>
      <c r="O30" s="11">
        <v>0.0</v>
      </c>
      <c r="P30" s="11">
        <v>0.0</v>
      </c>
      <c r="Q30" s="11">
        <v>0.0</v>
      </c>
      <c r="R30" s="11">
        <v>0.0</v>
      </c>
      <c r="S30" s="11">
        <v>0.0</v>
      </c>
      <c r="T30" s="11">
        <v>0.0</v>
      </c>
      <c r="U30" s="11">
        <v>0.0</v>
      </c>
      <c r="V30" s="11">
        <v>0.0</v>
      </c>
    </row>
    <row r="31">
      <c r="A31" s="7" t="s">
        <v>571</v>
      </c>
      <c r="B31" s="7" t="s">
        <v>572</v>
      </c>
      <c r="C31" s="7" t="s">
        <v>573</v>
      </c>
      <c r="D31" s="7" t="s">
        <v>575</v>
      </c>
      <c r="E31" s="31"/>
      <c r="F31" s="31"/>
      <c r="G31" s="31"/>
      <c r="H31" s="31"/>
      <c r="I31" s="31"/>
      <c r="J31" s="31"/>
      <c r="K31" s="31"/>
      <c r="L31" s="31"/>
      <c r="M31" s="31"/>
      <c r="N31" s="31"/>
      <c r="O31" s="31"/>
      <c r="P31" s="31"/>
      <c r="Q31" s="31"/>
      <c r="R31" s="31"/>
      <c r="S31" s="31"/>
      <c r="T31" s="31"/>
      <c r="U31" s="31"/>
      <c r="V31" s="31"/>
    </row>
    <row r="32">
      <c r="A32" s="7" t="s">
        <v>579</v>
      </c>
      <c r="B32" s="7" t="s">
        <v>580</v>
      </c>
      <c r="C32" s="7" t="s">
        <v>581</v>
      </c>
      <c r="D32" s="7" t="s">
        <v>489</v>
      </c>
      <c r="E32" s="25" t="s">
        <v>495</v>
      </c>
      <c r="F32" s="25" t="s">
        <v>501</v>
      </c>
      <c r="G32" s="25" t="s">
        <v>501</v>
      </c>
      <c r="H32" s="25" t="s">
        <v>501</v>
      </c>
      <c r="I32" s="25" t="s">
        <v>495</v>
      </c>
      <c r="J32" s="25" t="s">
        <v>501</v>
      </c>
      <c r="K32" s="25" t="s">
        <v>501</v>
      </c>
      <c r="L32" s="25" t="s">
        <v>495</v>
      </c>
      <c r="M32" s="25" t="s">
        <v>501</v>
      </c>
      <c r="N32" s="25" t="s">
        <v>495</v>
      </c>
      <c r="O32" s="25" t="s">
        <v>501</v>
      </c>
      <c r="P32" s="25" t="s">
        <v>501</v>
      </c>
      <c r="Q32" s="25" t="s">
        <v>501</v>
      </c>
      <c r="R32" s="25" t="s">
        <v>495</v>
      </c>
      <c r="S32" s="25" t="s">
        <v>501</v>
      </c>
      <c r="T32" s="25" t="s">
        <v>495</v>
      </c>
      <c r="U32" s="25" t="s">
        <v>495</v>
      </c>
      <c r="V32" s="25" t="s">
        <v>495</v>
      </c>
    </row>
    <row r="33">
      <c r="A33" s="7" t="s">
        <v>588</v>
      </c>
      <c r="B33" s="7" t="s">
        <v>590</v>
      </c>
      <c r="C33" s="7" t="s">
        <v>592</v>
      </c>
      <c r="D33" s="7" t="s">
        <v>489</v>
      </c>
      <c r="E33" s="25" t="s">
        <v>501</v>
      </c>
      <c r="F33" s="25" t="s">
        <v>501</v>
      </c>
      <c r="G33" s="25" t="s">
        <v>501</v>
      </c>
      <c r="H33" s="25" t="s">
        <v>501</v>
      </c>
      <c r="I33" s="25" t="s">
        <v>495</v>
      </c>
      <c r="J33" s="25" t="s">
        <v>495</v>
      </c>
      <c r="K33" s="25" t="s">
        <v>501</v>
      </c>
      <c r="L33" s="25" t="s">
        <v>495</v>
      </c>
      <c r="M33" s="25" t="s">
        <v>501</v>
      </c>
      <c r="N33" s="25" t="s">
        <v>501</v>
      </c>
      <c r="O33" s="25" t="s">
        <v>501</v>
      </c>
      <c r="P33" s="25" t="s">
        <v>501</v>
      </c>
      <c r="Q33" s="25" t="s">
        <v>501</v>
      </c>
      <c r="R33" s="25" t="s">
        <v>501</v>
      </c>
      <c r="S33" s="25" t="s">
        <v>501</v>
      </c>
      <c r="T33" s="25" t="s">
        <v>501</v>
      </c>
      <c r="U33" s="25" t="s">
        <v>501</v>
      </c>
      <c r="V33" s="25" t="s">
        <v>495</v>
      </c>
    </row>
    <row r="34">
      <c r="A34" s="7" t="s">
        <v>600</v>
      </c>
      <c r="B34" s="7" t="s">
        <v>601</v>
      </c>
      <c r="C34" s="7" t="s">
        <v>602</v>
      </c>
      <c r="D34" s="7" t="s">
        <v>489</v>
      </c>
      <c r="E34" s="25" t="s">
        <v>501</v>
      </c>
      <c r="F34" s="25" t="s">
        <v>501</v>
      </c>
      <c r="G34" s="25" t="s">
        <v>501</v>
      </c>
      <c r="H34" s="25" t="s">
        <v>501</v>
      </c>
      <c r="I34" s="25" t="s">
        <v>501</v>
      </c>
      <c r="J34" s="25" t="s">
        <v>501</v>
      </c>
      <c r="K34" s="25" t="s">
        <v>501</v>
      </c>
      <c r="L34" s="25" t="s">
        <v>501</v>
      </c>
      <c r="M34" s="25" t="s">
        <v>501</v>
      </c>
      <c r="N34" s="25" t="s">
        <v>495</v>
      </c>
      <c r="O34" s="25" t="s">
        <v>501</v>
      </c>
      <c r="P34" s="25" t="s">
        <v>501</v>
      </c>
      <c r="Q34" s="25" t="s">
        <v>501</v>
      </c>
      <c r="R34" s="25" t="s">
        <v>495</v>
      </c>
      <c r="S34" s="25" t="s">
        <v>501</v>
      </c>
      <c r="T34" s="25" t="s">
        <v>501</v>
      </c>
      <c r="U34" s="25" t="s">
        <v>501</v>
      </c>
      <c r="V34" s="25" t="s">
        <v>495</v>
      </c>
    </row>
    <row r="35">
      <c r="A35" s="7" t="s">
        <v>610</v>
      </c>
      <c r="B35" s="7" t="s">
        <v>611</v>
      </c>
      <c r="C35" s="7" t="s">
        <v>612</v>
      </c>
      <c r="D35" s="7" t="s">
        <v>489</v>
      </c>
      <c r="E35" s="25" t="s">
        <v>495</v>
      </c>
      <c r="F35" s="25" t="s">
        <v>501</v>
      </c>
      <c r="G35" s="25" t="s">
        <v>501</v>
      </c>
      <c r="H35" s="25" t="s">
        <v>501</v>
      </c>
      <c r="I35" s="25" t="s">
        <v>501</v>
      </c>
      <c r="J35" s="25" t="s">
        <v>501</v>
      </c>
      <c r="K35" s="25" t="s">
        <v>501</v>
      </c>
      <c r="L35" s="25" t="s">
        <v>501</v>
      </c>
      <c r="M35" s="25" t="s">
        <v>495</v>
      </c>
      <c r="N35" s="25" t="s">
        <v>495</v>
      </c>
      <c r="O35" s="25" t="s">
        <v>501</v>
      </c>
      <c r="P35" s="25" t="s">
        <v>495</v>
      </c>
      <c r="Q35" s="25" t="s">
        <v>501</v>
      </c>
      <c r="R35" s="25" t="s">
        <v>495</v>
      </c>
      <c r="S35" s="25" t="s">
        <v>495</v>
      </c>
      <c r="T35" s="25" t="s">
        <v>495</v>
      </c>
      <c r="U35" s="25" t="s">
        <v>495</v>
      </c>
      <c r="V35" s="25" t="s">
        <v>495</v>
      </c>
    </row>
    <row r="36">
      <c r="A36" s="7" t="s">
        <v>619</v>
      </c>
      <c r="B36" s="7" t="s">
        <v>620</v>
      </c>
      <c r="C36" s="7" t="s">
        <v>621</v>
      </c>
      <c r="D36" s="7" t="s">
        <v>489</v>
      </c>
      <c r="E36" s="25" t="s">
        <v>495</v>
      </c>
      <c r="F36" s="25" t="s">
        <v>501</v>
      </c>
      <c r="G36" s="25" t="s">
        <v>501</v>
      </c>
      <c r="H36" s="25" t="s">
        <v>501</v>
      </c>
      <c r="I36" s="25" t="s">
        <v>501</v>
      </c>
      <c r="J36" s="25" t="s">
        <v>501</v>
      </c>
      <c r="K36" s="25" t="s">
        <v>501</v>
      </c>
      <c r="L36" s="25" t="s">
        <v>501</v>
      </c>
      <c r="M36" s="25" t="s">
        <v>495</v>
      </c>
      <c r="N36" s="25" t="s">
        <v>495</v>
      </c>
      <c r="O36" s="25" t="s">
        <v>501</v>
      </c>
      <c r="P36" s="25" t="s">
        <v>501</v>
      </c>
      <c r="Q36" s="25" t="s">
        <v>501</v>
      </c>
      <c r="R36" s="25" t="s">
        <v>495</v>
      </c>
      <c r="S36" s="25" t="s">
        <v>501</v>
      </c>
      <c r="T36" s="25" t="s">
        <v>495</v>
      </c>
      <c r="U36" s="25" t="s">
        <v>501</v>
      </c>
      <c r="V36" s="25" t="s">
        <v>495</v>
      </c>
    </row>
    <row r="37">
      <c r="A37" s="7" t="s">
        <v>631</v>
      </c>
      <c r="B37" s="7" t="s">
        <v>632</v>
      </c>
      <c r="C37" s="7" t="s">
        <v>633</v>
      </c>
      <c r="D37" s="7" t="s">
        <v>489</v>
      </c>
      <c r="E37" s="25" t="s">
        <v>501</v>
      </c>
      <c r="F37" s="25" t="s">
        <v>501</v>
      </c>
      <c r="G37" s="25" t="s">
        <v>501</v>
      </c>
      <c r="H37" s="25" t="s">
        <v>501</v>
      </c>
      <c r="I37" s="25" t="s">
        <v>501</v>
      </c>
      <c r="J37" s="25" t="s">
        <v>501</v>
      </c>
      <c r="K37" s="25" t="s">
        <v>501</v>
      </c>
      <c r="L37" s="25" t="s">
        <v>501</v>
      </c>
      <c r="M37" s="25" t="s">
        <v>495</v>
      </c>
      <c r="N37" s="25" t="s">
        <v>495</v>
      </c>
      <c r="O37" s="25" t="s">
        <v>501</v>
      </c>
      <c r="P37" s="25" t="s">
        <v>501</v>
      </c>
      <c r="Q37" s="25" t="s">
        <v>495</v>
      </c>
      <c r="R37" s="25" t="s">
        <v>495</v>
      </c>
      <c r="S37" s="25" t="s">
        <v>495</v>
      </c>
      <c r="T37" s="25" t="s">
        <v>495</v>
      </c>
      <c r="U37" s="25" t="s">
        <v>495</v>
      </c>
      <c r="V37" s="25" t="s">
        <v>495</v>
      </c>
    </row>
    <row r="38">
      <c r="A38" s="7" t="s">
        <v>640</v>
      </c>
      <c r="B38" s="7" t="s">
        <v>642</v>
      </c>
      <c r="C38" s="7" t="s">
        <v>644</v>
      </c>
      <c r="D38" s="7" t="s">
        <v>645</v>
      </c>
      <c r="E38" s="25" t="s">
        <v>181</v>
      </c>
      <c r="F38" s="25" t="s">
        <v>647</v>
      </c>
      <c r="G38" s="25" t="s">
        <v>649</v>
      </c>
      <c r="H38" s="25" t="s">
        <v>650</v>
      </c>
      <c r="I38" s="25" t="s">
        <v>651</v>
      </c>
      <c r="J38" s="25" t="s">
        <v>652</v>
      </c>
      <c r="K38" s="25" t="s">
        <v>653</v>
      </c>
      <c r="L38" s="25" t="s">
        <v>654</v>
      </c>
      <c r="M38" s="31"/>
      <c r="N38" s="31"/>
      <c r="O38" s="25" t="s">
        <v>655</v>
      </c>
      <c r="P38" s="25" t="s">
        <v>656</v>
      </c>
      <c r="Q38" s="31"/>
      <c r="R38" s="31"/>
      <c r="S38" s="31"/>
      <c r="T38" s="31"/>
      <c r="U38" s="31"/>
      <c r="V38" s="31"/>
    </row>
  </sheetData>
  <dataValidations>
    <dataValidation type="list" allowBlank="1" showErrorMessage="1" sqref="E11:V11">
      <formula1>"Commodity,Tourism,Manufacturing,Services"</formula1>
    </dataValidation>
    <dataValidation type="list" allowBlank="1" showErrorMessage="1" sqref="E21:V22 E24:V29 E32:V37">
      <formula1>"Yes,No"</formula1>
    </dataValidation>
    <dataValidation type="list" allowBlank="1" showErrorMessage="1" sqref="E6:V6">
      <formula1>"Asia,LatAm,Africa"</formula1>
    </dataValidation>
    <dataValidation type="list" allowBlank="1" showErrorMessage="1" sqref="E13:V13">
      <formula1>"Float,Managed,Peg,Dollarized"</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2" width="6.38"/>
    <col customWidth="1" min="3" max="3" width="41.38"/>
    <col customWidth="1" min="4" max="4" width="18.88"/>
    <col customWidth="1" min="5" max="22" width="11.63"/>
  </cols>
  <sheetData>
    <row r="1">
      <c r="A1" s="2" t="s">
        <v>516</v>
      </c>
    </row>
    <row r="2">
      <c r="A2" s="5" t="s">
        <v>519</v>
      </c>
    </row>
    <row r="4">
      <c r="A4" s="21" t="str">
        <f t="array" ref="A4:D87">Rulebook!A4:D87</f>
        <v>ID</v>
      </c>
      <c r="B4" s="21" t="s">
        <v>43</v>
      </c>
      <c r="C4" s="21" t="s">
        <v>68</v>
      </c>
      <c r="D4" s="21" t="s">
        <v>9</v>
      </c>
      <c r="E4" s="20" t="s">
        <v>150</v>
      </c>
      <c r="F4" s="20" t="s">
        <v>152</v>
      </c>
      <c r="G4" s="20" t="s">
        <v>153</v>
      </c>
      <c r="H4" s="20" t="s">
        <v>154</v>
      </c>
      <c r="I4" s="20" t="s">
        <v>155</v>
      </c>
      <c r="J4" s="20" t="s">
        <v>156</v>
      </c>
      <c r="K4" s="20" t="s">
        <v>157</v>
      </c>
      <c r="L4" s="20" t="s">
        <v>158</v>
      </c>
      <c r="M4" s="20" t="s">
        <v>159</v>
      </c>
      <c r="N4" s="20" t="s">
        <v>160</v>
      </c>
      <c r="O4" s="20" t="s">
        <v>161</v>
      </c>
      <c r="P4" s="20" t="s">
        <v>162</v>
      </c>
      <c r="Q4" s="20" t="s">
        <v>163</v>
      </c>
      <c r="R4" s="20" t="s">
        <v>164</v>
      </c>
      <c r="S4" s="20" t="s">
        <v>166</v>
      </c>
      <c r="T4" s="20" t="s">
        <v>167</v>
      </c>
      <c r="U4" s="20" t="s">
        <v>168</v>
      </c>
      <c r="V4" s="20" t="s">
        <v>170</v>
      </c>
    </row>
    <row r="5">
      <c r="A5" s="26" t="s">
        <v>100</v>
      </c>
      <c r="B5" s="26">
        <v>1.0</v>
      </c>
      <c r="C5" s="26" t="s">
        <v>104</v>
      </c>
      <c r="D5" s="26" t="s">
        <v>105</v>
      </c>
      <c r="E5" s="32">
        <v>15.0</v>
      </c>
      <c r="F5" s="32">
        <v>40.0</v>
      </c>
      <c r="G5" s="32">
        <v>12.0</v>
      </c>
      <c r="H5" s="32">
        <v>30.0</v>
      </c>
      <c r="I5" s="32">
        <v>2.0</v>
      </c>
      <c r="J5" s="32">
        <v>30.0</v>
      </c>
      <c r="K5" s="32">
        <v>8.0</v>
      </c>
      <c r="L5" s="32">
        <v>45.0</v>
      </c>
      <c r="M5" s="32">
        <v>80.0</v>
      </c>
      <c r="N5" s="32">
        <v>20.0</v>
      </c>
      <c r="O5" s="32">
        <v>40.0</v>
      </c>
      <c r="P5" s="32">
        <v>30.0</v>
      </c>
      <c r="Q5" s="32">
        <v>35.0</v>
      </c>
      <c r="R5" s="32">
        <v>60.0</v>
      </c>
      <c r="S5" s="32">
        <v>70.0</v>
      </c>
      <c r="T5" s="32">
        <v>45.0</v>
      </c>
      <c r="U5" s="32">
        <v>40.0</v>
      </c>
      <c r="V5" s="32">
        <v>35.0</v>
      </c>
    </row>
    <row r="6">
      <c r="A6" s="26" t="s">
        <v>129</v>
      </c>
      <c r="B6" s="26">
        <v>1.0</v>
      </c>
      <c r="C6" s="26" t="s">
        <v>133</v>
      </c>
      <c r="D6" s="26" t="s">
        <v>134</v>
      </c>
      <c r="E6" s="32">
        <v>10.0</v>
      </c>
      <c r="F6" s="32">
        <v>15.0</v>
      </c>
      <c r="G6" s="32">
        <v>2.0</v>
      </c>
      <c r="H6" s="32">
        <v>10.0</v>
      </c>
      <c r="I6" s="32">
        <v>1.0</v>
      </c>
      <c r="J6" s="32">
        <v>1.0</v>
      </c>
      <c r="K6" s="32">
        <v>3.0</v>
      </c>
      <c r="L6" s="32">
        <v>8.0</v>
      </c>
      <c r="M6" s="32">
        <v>200.0</v>
      </c>
      <c r="N6" s="32">
        <v>30.0</v>
      </c>
      <c r="O6" s="32">
        <v>8.0</v>
      </c>
      <c r="P6" s="32">
        <v>90.0</v>
      </c>
      <c r="Q6" s="32">
        <v>25.0</v>
      </c>
      <c r="R6" s="32">
        <v>300.0</v>
      </c>
      <c r="S6" s="32">
        <v>30.0</v>
      </c>
      <c r="T6" s="32">
        <v>80.0</v>
      </c>
      <c r="U6" s="32">
        <v>40.0</v>
      </c>
      <c r="V6" s="32">
        <v>150.0</v>
      </c>
    </row>
    <row r="7">
      <c r="A7" s="26" t="s">
        <v>140</v>
      </c>
      <c r="B7" s="26">
        <v>1.0</v>
      </c>
      <c r="C7" s="26" t="s">
        <v>142</v>
      </c>
      <c r="D7" s="26" t="s">
        <v>37</v>
      </c>
      <c r="E7" s="32">
        <v>33.0</v>
      </c>
      <c r="F7" s="32">
        <v>60.0</v>
      </c>
      <c r="G7" s="33">
        <v>104.4</v>
      </c>
      <c r="H7" s="33">
        <v>69.2</v>
      </c>
      <c r="I7" s="32">
        <v>175.0</v>
      </c>
      <c r="J7" s="33">
        <v>199.4</v>
      </c>
      <c r="K7" s="33">
        <v>47.3</v>
      </c>
      <c r="L7" s="33">
        <v>83.1</v>
      </c>
      <c r="M7" s="32">
        <v>72.0</v>
      </c>
      <c r="N7" s="33">
        <v>64.6</v>
      </c>
      <c r="O7" s="33">
        <v>97.0</v>
      </c>
      <c r="P7" s="33">
        <v>69.3</v>
      </c>
      <c r="Q7" s="33">
        <v>59.5</v>
      </c>
      <c r="R7" s="32">
        <v>150.0</v>
      </c>
      <c r="S7" s="32">
        <v>52.0</v>
      </c>
      <c r="T7" s="32">
        <v>120.0</v>
      </c>
      <c r="U7" s="32">
        <v>105.0</v>
      </c>
      <c r="V7" s="32">
        <v>75.0</v>
      </c>
    </row>
    <row r="8">
      <c r="A8" s="26" t="s">
        <v>149</v>
      </c>
      <c r="B8" s="26">
        <v>1.0</v>
      </c>
      <c r="C8" s="26" t="s">
        <v>151</v>
      </c>
      <c r="D8" s="26" t="s">
        <v>37</v>
      </c>
      <c r="E8" s="32">
        <v>6.0</v>
      </c>
      <c r="F8" s="32">
        <v>10.0</v>
      </c>
      <c r="G8" s="32">
        <v>18.0</v>
      </c>
      <c r="H8" s="32">
        <v>12.0</v>
      </c>
      <c r="I8" s="32">
        <v>2.0</v>
      </c>
      <c r="J8" s="32">
        <v>40.0</v>
      </c>
      <c r="K8" s="32">
        <v>5.0</v>
      </c>
      <c r="L8" s="32">
        <v>14.0</v>
      </c>
      <c r="M8" s="32">
        <v>22.0</v>
      </c>
      <c r="N8" s="32">
        <v>7.0</v>
      </c>
      <c r="O8" s="32">
        <v>20.0</v>
      </c>
      <c r="P8" s="32">
        <v>12.0</v>
      </c>
      <c r="Q8" s="32">
        <v>9.0</v>
      </c>
      <c r="R8" s="32">
        <v>25.0</v>
      </c>
      <c r="S8" s="32">
        <v>10.0</v>
      </c>
      <c r="T8" s="32">
        <v>18.0</v>
      </c>
      <c r="U8" s="32">
        <v>10.0</v>
      </c>
      <c r="V8" s="32">
        <v>8.0</v>
      </c>
    </row>
    <row r="9">
      <c r="A9" s="26" t="s">
        <v>176</v>
      </c>
      <c r="B9" s="26">
        <v>1.0</v>
      </c>
      <c r="C9" s="26" t="s">
        <v>179</v>
      </c>
      <c r="D9" s="26" t="s">
        <v>182</v>
      </c>
      <c r="E9" s="32">
        <v>35.0</v>
      </c>
      <c r="F9" s="32">
        <v>31.0</v>
      </c>
      <c r="G9" s="32">
        <v>2.0</v>
      </c>
      <c r="H9" s="32">
        <v>3.0</v>
      </c>
      <c r="I9" s="32">
        <v>0.0</v>
      </c>
      <c r="J9" s="32">
        <v>0.0</v>
      </c>
      <c r="K9" s="32">
        <v>3.0</v>
      </c>
      <c r="L9" s="32">
        <v>5.0</v>
      </c>
      <c r="M9" s="32">
        <v>38.0</v>
      </c>
      <c r="N9" s="32">
        <v>63.8</v>
      </c>
      <c r="O9" s="32">
        <v>4.0</v>
      </c>
      <c r="P9" s="32">
        <v>60.0</v>
      </c>
      <c r="Q9" s="32">
        <v>35.0</v>
      </c>
      <c r="R9" s="32">
        <v>90.0</v>
      </c>
      <c r="S9" s="32">
        <v>45.0</v>
      </c>
      <c r="T9" s="32">
        <v>70.0</v>
      </c>
      <c r="U9" s="32">
        <v>60.0</v>
      </c>
      <c r="V9" s="32">
        <v>80.0</v>
      </c>
    </row>
    <row r="10">
      <c r="A10" s="26" t="s">
        <v>202</v>
      </c>
      <c r="B10" s="26">
        <v>1.0</v>
      </c>
      <c r="C10" s="26" t="s">
        <v>205</v>
      </c>
      <c r="D10" s="26" t="s">
        <v>125</v>
      </c>
      <c r="E10" s="32">
        <v>0.5</v>
      </c>
      <c r="F10" s="32">
        <v>-1.0</v>
      </c>
      <c r="G10" s="32">
        <v>-4.5</v>
      </c>
      <c r="H10" s="32">
        <v>-0.5</v>
      </c>
      <c r="I10" s="32">
        <v>2.0</v>
      </c>
      <c r="J10" s="32">
        <v>-2.0</v>
      </c>
      <c r="K10" s="32">
        <v>-0.5</v>
      </c>
      <c r="L10" s="32">
        <v>-1.5</v>
      </c>
      <c r="M10" s="32">
        <v>1.0</v>
      </c>
      <c r="N10" s="32">
        <v>0.5</v>
      </c>
      <c r="O10" s="32">
        <v>-1.5</v>
      </c>
      <c r="P10" s="32">
        <v>1.0</v>
      </c>
      <c r="Q10" s="32">
        <v>-2.5</v>
      </c>
      <c r="R10" s="32">
        <v>-5.0</v>
      </c>
      <c r="S10" s="32">
        <v>-2.0</v>
      </c>
      <c r="T10" s="32">
        <v>-3.0</v>
      </c>
      <c r="U10" s="32">
        <v>0.5</v>
      </c>
      <c r="V10" s="32">
        <v>-1.0</v>
      </c>
    </row>
    <row r="11">
      <c r="A11" s="26" t="s">
        <v>220</v>
      </c>
      <c r="B11" s="26">
        <v>1.0</v>
      </c>
      <c r="C11" s="26" t="s">
        <v>221</v>
      </c>
      <c r="D11" s="26" t="s">
        <v>125</v>
      </c>
      <c r="E11" s="32">
        <v>-6.0</v>
      </c>
      <c r="F11" s="32">
        <v>2.0</v>
      </c>
      <c r="G11" s="33">
        <v>33.8</v>
      </c>
      <c r="H11" s="33">
        <v>1.5</v>
      </c>
      <c r="I11" s="32">
        <v>25.0</v>
      </c>
      <c r="J11" s="33">
        <v>-29.4</v>
      </c>
      <c r="K11" s="33">
        <v>1.4</v>
      </c>
      <c r="L11" s="33">
        <v>-7.3</v>
      </c>
      <c r="M11" s="32">
        <v>-5.0</v>
      </c>
      <c r="N11" s="33">
        <v>-38.0</v>
      </c>
      <c r="O11" s="33">
        <v>1.0</v>
      </c>
      <c r="P11" s="33">
        <v>-34.5</v>
      </c>
      <c r="Q11" s="33">
        <v>-5.8</v>
      </c>
      <c r="R11" s="32">
        <v>0.0</v>
      </c>
      <c r="S11" s="32">
        <v>15.0</v>
      </c>
      <c r="T11" s="32">
        <v>45.0</v>
      </c>
      <c r="U11" s="32">
        <v>-20.0</v>
      </c>
      <c r="V11" s="32">
        <v>-20.0</v>
      </c>
    </row>
    <row r="12">
      <c r="A12" s="26" t="s">
        <v>232</v>
      </c>
      <c r="B12" s="26">
        <v>1.0</v>
      </c>
      <c r="C12" s="26" t="s">
        <v>233</v>
      </c>
      <c r="D12" s="26" t="s">
        <v>235</v>
      </c>
      <c r="E12" s="32">
        <v>0.0</v>
      </c>
      <c r="F12" s="32">
        <v>0.0</v>
      </c>
      <c r="G12" s="32">
        <v>0.0</v>
      </c>
      <c r="H12" s="32">
        <v>0.0</v>
      </c>
      <c r="I12" s="32">
        <v>0.0</v>
      </c>
      <c r="J12" s="32">
        <v>0.0</v>
      </c>
      <c r="K12" s="32">
        <v>0.0</v>
      </c>
      <c r="L12" s="32">
        <v>0.0</v>
      </c>
      <c r="M12" s="32">
        <v>0.0</v>
      </c>
      <c r="N12" s="32">
        <v>4.0</v>
      </c>
      <c r="O12" s="32">
        <v>0.0</v>
      </c>
      <c r="P12" s="32">
        <v>3.0</v>
      </c>
      <c r="Q12" s="32">
        <v>0.0</v>
      </c>
      <c r="R12" s="32">
        <v>1.0</v>
      </c>
      <c r="S12" s="32">
        <v>0.0</v>
      </c>
      <c r="T12" s="32">
        <v>0.0</v>
      </c>
      <c r="U12" s="32">
        <v>1.0</v>
      </c>
      <c r="V12" s="32">
        <v>1.0</v>
      </c>
    </row>
    <row r="13">
      <c r="A13" s="26" t="s">
        <v>250</v>
      </c>
      <c r="B13" s="26">
        <v>1.0</v>
      </c>
      <c r="C13" s="26" t="s">
        <v>253</v>
      </c>
      <c r="D13" s="26" t="s">
        <v>254</v>
      </c>
      <c r="E13" s="32">
        <v>2.0</v>
      </c>
      <c r="F13" s="32">
        <v>1.0</v>
      </c>
      <c r="G13" s="32">
        <v>4.0</v>
      </c>
      <c r="H13" s="32">
        <v>2.0</v>
      </c>
      <c r="I13" s="32">
        <v>0.0</v>
      </c>
      <c r="J13" s="32">
        <v>1.0</v>
      </c>
      <c r="K13" s="32">
        <v>2.0</v>
      </c>
      <c r="L13" s="32">
        <v>2.0</v>
      </c>
      <c r="M13" s="32">
        <v>3.0</v>
      </c>
      <c r="N13" s="32">
        <v>1.0</v>
      </c>
      <c r="O13" s="32">
        <v>2.0</v>
      </c>
      <c r="P13" s="32">
        <v>2.0</v>
      </c>
      <c r="Q13" s="32">
        <v>2.0</v>
      </c>
      <c r="R13" s="32">
        <v>4.0</v>
      </c>
      <c r="S13" s="32">
        <v>3.0</v>
      </c>
      <c r="T13" s="32">
        <v>4.0</v>
      </c>
      <c r="U13" s="32">
        <v>3.0</v>
      </c>
      <c r="V13" s="32">
        <v>4.0</v>
      </c>
    </row>
    <row r="14">
      <c r="A14" s="26" t="s">
        <v>271</v>
      </c>
      <c r="B14" s="26">
        <v>2.0</v>
      </c>
      <c r="C14" s="26" t="s">
        <v>273</v>
      </c>
      <c r="D14" s="26" t="s">
        <v>277</v>
      </c>
      <c r="E14" s="32">
        <v>75.0</v>
      </c>
      <c r="F14" s="32">
        <v>160.0</v>
      </c>
      <c r="G14" s="32">
        <v>120.0</v>
      </c>
      <c r="H14" s="32">
        <v>110.0</v>
      </c>
      <c r="I14" s="32">
        <v>250.0</v>
      </c>
      <c r="J14" s="32">
        <v>300.0</v>
      </c>
      <c r="K14" s="32">
        <v>100.0</v>
      </c>
      <c r="L14" s="32">
        <v>150.0</v>
      </c>
      <c r="M14" s="32">
        <v>40.0</v>
      </c>
      <c r="N14" s="32">
        <v>60.0</v>
      </c>
      <c r="O14" s="32">
        <v>140.0</v>
      </c>
      <c r="P14" s="32">
        <v>30.0</v>
      </c>
      <c r="Q14" s="32">
        <v>120.0</v>
      </c>
      <c r="R14" s="32">
        <v>20.0</v>
      </c>
      <c r="S14" s="32">
        <v>90.0</v>
      </c>
      <c r="T14" s="32">
        <v>60.0</v>
      </c>
      <c r="U14" s="32">
        <v>70.0</v>
      </c>
      <c r="V14" s="32">
        <v>15.0</v>
      </c>
    </row>
    <row r="15">
      <c r="A15" s="26" t="s">
        <v>301</v>
      </c>
      <c r="B15" s="26">
        <v>2.0</v>
      </c>
      <c r="C15" s="26" t="s">
        <v>305</v>
      </c>
      <c r="D15" s="26" t="s">
        <v>307</v>
      </c>
      <c r="E15" s="32">
        <v>40.0</v>
      </c>
      <c r="F15" s="32">
        <v>40.0</v>
      </c>
      <c r="G15" s="32">
        <v>10.0</v>
      </c>
      <c r="H15" s="32">
        <v>60.0</v>
      </c>
      <c r="I15" s="32">
        <v>5.0</v>
      </c>
      <c r="J15" s="32">
        <v>5.0</v>
      </c>
      <c r="K15" s="32">
        <v>40.0</v>
      </c>
      <c r="L15" s="32">
        <v>50.0</v>
      </c>
      <c r="M15" s="32">
        <v>200.0</v>
      </c>
      <c r="N15" s="32">
        <v>120.0</v>
      </c>
      <c r="O15" s="32">
        <v>50.0</v>
      </c>
      <c r="P15" s="32">
        <v>250.0</v>
      </c>
      <c r="Q15" s="32">
        <v>90.0</v>
      </c>
      <c r="R15" s="32">
        <v>300.0</v>
      </c>
      <c r="S15" s="32">
        <v>60.0</v>
      </c>
      <c r="T15" s="32">
        <v>200.0</v>
      </c>
      <c r="U15" s="32">
        <v>110.0</v>
      </c>
      <c r="V15" s="32">
        <v>250.0</v>
      </c>
    </row>
    <row r="16">
      <c r="A16" s="26" t="s">
        <v>322</v>
      </c>
      <c r="B16" s="26">
        <v>2.0</v>
      </c>
      <c r="C16" s="26" t="s">
        <v>324</v>
      </c>
      <c r="D16" s="26" t="s">
        <v>307</v>
      </c>
      <c r="E16" s="32">
        <v>5.0</v>
      </c>
      <c r="F16" s="32">
        <v>15.0</v>
      </c>
      <c r="G16" s="32">
        <v>10.0</v>
      </c>
      <c r="H16" s="32">
        <v>60.0</v>
      </c>
      <c r="I16" s="32">
        <v>10.0</v>
      </c>
      <c r="J16" s="32">
        <v>15.0</v>
      </c>
      <c r="K16" s="32">
        <v>40.0</v>
      </c>
      <c r="L16" s="32">
        <v>20.0</v>
      </c>
      <c r="M16" s="32">
        <v>20.0</v>
      </c>
      <c r="N16" s="32">
        <v>5.0</v>
      </c>
      <c r="O16" s="32">
        <v>60.0</v>
      </c>
      <c r="P16" s="32">
        <v>80.0</v>
      </c>
      <c r="Q16" s="32">
        <v>50.0</v>
      </c>
      <c r="R16" s="32">
        <v>10.0</v>
      </c>
      <c r="S16" s="32">
        <v>60.0</v>
      </c>
      <c r="T16" s="32">
        <v>20.0</v>
      </c>
      <c r="U16" s="32">
        <v>25.0</v>
      </c>
      <c r="V16" s="32">
        <v>10.0</v>
      </c>
    </row>
    <row r="17">
      <c r="A17" s="26" t="s">
        <v>340</v>
      </c>
      <c r="B17" s="26">
        <v>2.0</v>
      </c>
      <c r="C17" s="26" t="s">
        <v>342</v>
      </c>
      <c r="D17" s="26" t="s">
        <v>344</v>
      </c>
      <c r="E17" s="32">
        <v>9.0</v>
      </c>
      <c r="F17" s="32">
        <v>20.0</v>
      </c>
      <c r="G17" s="32">
        <v>3.0</v>
      </c>
      <c r="H17" s="32">
        <v>10.0</v>
      </c>
      <c r="I17" s="32">
        <v>35.0</v>
      </c>
      <c r="J17" s="32">
        <v>3.0</v>
      </c>
      <c r="K17" s="32">
        <v>10.0</v>
      </c>
      <c r="L17" s="32">
        <v>3.0</v>
      </c>
      <c r="M17" s="32">
        <v>12.0</v>
      </c>
      <c r="N17" s="32">
        <v>5.0</v>
      </c>
      <c r="O17" s="32">
        <v>0.0</v>
      </c>
      <c r="P17" s="32">
        <v>35.0</v>
      </c>
      <c r="Q17" s="32">
        <v>2.0</v>
      </c>
      <c r="R17" s="32">
        <v>60.0</v>
      </c>
      <c r="S17" s="32">
        <v>40.0</v>
      </c>
      <c r="T17" s="32">
        <v>5.0</v>
      </c>
      <c r="U17" s="32">
        <v>40.0</v>
      </c>
      <c r="V17" s="32">
        <v>85.0</v>
      </c>
    </row>
    <row r="18">
      <c r="A18" s="26" t="s">
        <v>358</v>
      </c>
      <c r="B18" s="26">
        <v>2.0</v>
      </c>
      <c r="C18" s="26" t="s">
        <v>361</v>
      </c>
      <c r="D18" s="26" t="s">
        <v>254</v>
      </c>
      <c r="E18" s="32">
        <v>2.0</v>
      </c>
      <c r="F18" s="32">
        <v>1.0</v>
      </c>
      <c r="G18" s="32">
        <v>3.0</v>
      </c>
      <c r="H18" s="32">
        <v>1.0</v>
      </c>
      <c r="I18" s="32">
        <v>1.0</v>
      </c>
      <c r="J18" s="32">
        <v>0.0</v>
      </c>
      <c r="K18" s="32">
        <v>0.0</v>
      </c>
      <c r="L18" s="32">
        <v>1.0</v>
      </c>
      <c r="M18" s="32">
        <v>2.0</v>
      </c>
      <c r="N18" s="32">
        <v>3.0</v>
      </c>
      <c r="O18" s="32">
        <v>0.0</v>
      </c>
      <c r="P18" s="32">
        <v>3.0</v>
      </c>
      <c r="Q18" s="32">
        <v>0.0</v>
      </c>
      <c r="R18" s="32">
        <v>4.0</v>
      </c>
      <c r="S18" s="32">
        <v>2.0</v>
      </c>
      <c r="T18" s="32">
        <v>2.0</v>
      </c>
      <c r="U18" s="32">
        <v>0.0</v>
      </c>
      <c r="V18" s="32">
        <v>4.0</v>
      </c>
    </row>
    <row r="19">
      <c r="A19" s="26" t="s">
        <v>377</v>
      </c>
      <c r="B19" s="26">
        <v>2.0</v>
      </c>
      <c r="C19" s="26" t="s">
        <v>380</v>
      </c>
      <c r="D19" s="26" t="s">
        <v>254</v>
      </c>
      <c r="E19" s="32">
        <v>2.0</v>
      </c>
      <c r="F19" s="32">
        <v>2.0</v>
      </c>
      <c r="G19" s="32">
        <v>0.0</v>
      </c>
      <c r="H19" s="32">
        <v>2.0</v>
      </c>
      <c r="I19" s="32">
        <v>0.0</v>
      </c>
      <c r="J19" s="32">
        <v>0.0</v>
      </c>
      <c r="K19" s="32">
        <v>1.0</v>
      </c>
      <c r="L19" s="32">
        <v>1.0</v>
      </c>
      <c r="M19" s="32">
        <v>3.0</v>
      </c>
      <c r="N19" s="32">
        <v>2.0</v>
      </c>
      <c r="O19" s="32">
        <v>2.0</v>
      </c>
      <c r="P19" s="32">
        <v>3.0</v>
      </c>
      <c r="Q19" s="32">
        <v>2.0</v>
      </c>
      <c r="R19" s="32">
        <v>4.0</v>
      </c>
      <c r="S19" s="32">
        <v>2.0</v>
      </c>
      <c r="T19" s="32">
        <v>4.0</v>
      </c>
      <c r="U19" s="32">
        <v>1.0</v>
      </c>
      <c r="V19" s="32">
        <v>3.0</v>
      </c>
    </row>
    <row r="20">
      <c r="A20" s="26" t="s">
        <v>396</v>
      </c>
      <c r="B20" s="26">
        <v>2.0</v>
      </c>
      <c r="C20" s="26" t="s">
        <v>398</v>
      </c>
      <c r="D20" s="26" t="s">
        <v>254</v>
      </c>
      <c r="E20" s="32">
        <v>2.0</v>
      </c>
      <c r="F20" s="32">
        <v>0.0</v>
      </c>
      <c r="G20" s="32">
        <v>1.0</v>
      </c>
      <c r="H20" s="32">
        <v>0.0</v>
      </c>
      <c r="I20" s="32">
        <v>0.0</v>
      </c>
      <c r="J20" s="32">
        <v>0.0</v>
      </c>
      <c r="K20" s="32">
        <v>0.0</v>
      </c>
      <c r="L20" s="32">
        <v>0.0</v>
      </c>
      <c r="M20" s="32">
        <v>1.0</v>
      </c>
      <c r="N20" s="32">
        <v>1.0</v>
      </c>
      <c r="O20" s="32">
        <v>0.0</v>
      </c>
      <c r="P20" s="32">
        <v>0.0</v>
      </c>
      <c r="Q20" s="32">
        <v>0.0</v>
      </c>
      <c r="R20" s="32">
        <v>4.0</v>
      </c>
      <c r="S20" s="32">
        <v>1.0</v>
      </c>
      <c r="T20" s="32">
        <v>0.0</v>
      </c>
      <c r="U20" s="32">
        <v>1.0</v>
      </c>
      <c r="V20" s="32">
        <v>3.0</v>
      </c>
    </row>
    <row r="21">
      <c r="A21" s="26" t="s">
        <v>407</v>
      </c>
      <c r="B21" s="26">
        <v>2.0</v>
      </c>
      <c r="C21" s="26" t="s">
        <v>409</v>
      </c>
      <c r="D21" s="26" t="s">
        <v>37</v>
      </c>
      <c r="E21" s="32">
        <v>4.0</v>
      </c>
      <c r="F21" s="32">
        <v>-3.5</v>
      </c>
      <c r="G21" s="33">
        <v>4.0</v>
      </c>
      <c r="H21" s="32">
        <v>1.5</v>
      </c>
      <c r="I21" s="32">
        <v>18.0</v>
      </c>
      <c r="J21" s="32">
        <v>4.5</v>
      </c>
      <c r="K21" s="32">
        <v>4.0</v>
      </c>
      <c r="L21" s="32">
        <v>-1.0</v>
      </c>
      <c r="M21" s="32">
        <v>-0.5</v>
      </c>
      <c r="N21" s="33">
        <v>-5.2</v>
      </c>
      <c r="O21" s="33">
        <v>-2.4</v>
      </c>
      <c r="P21" s="33">
        <v>0.6</v>
      </c>
      <c r="Q21" s="33">
        <v>-2.6</v>
      </c>
      <c r="R21" s="32">
        <v>2.0</v>
      </c>
      <c r="S21" s="32">
        <v>3.0</v>
      </c>
      <c r="T21" s="32">
        <v>-8.0</v>
      </c>
      <c r="U21" s="32">
        <v>1.0</v>
      </c>
      <c r="V21" s="32">
        <v>0.5</v>
      </c>
    </row>
    <row r="22">
      <c r="A22" s="26" t="s">
        <v>419</v>
      </c>
      <c r="B22" s="26">
        <v>2.0</v>
      </c>
      <c r="C22" s="26" t="s">
        <v>420</v>
      </c>
      <c r="D22" s="26" t="s">
        <v>307</v>
      </c>
      <c r="E22" s="32">
        <v>45.0</v>
      </c>
      <c r="F22" s="32">
        <v>20.0</v>
      </c>
      <c r="G22" s="32">
        <v>36.0</v>
      </c>
      <c r="H22" s="32">
        <v>90.0</v>
      </c>
      <c r="I22" s="32">
        <v>50.0</v>
      </c>
      <c r="J22" s="32">
        <v>30.0</v>
      </c>
      <c r="K22" s="32">
        <v>35.0</v>
      </c>
      <c r="L22" s="32">
        <v>20.0</v>
      </c>
      <c r="M22" s="32">
        <v>80.0</v>
      </c>
      <c r="N22" s="32">
        <v>20.0</v>
      </c>
      <c r="O22" s="32">
        <v>20.0</v>
      </c>
      <c r="P22" s="32">
        <v>100.0</v>
      </c>
      <c r="Q22" s="32">
        <v>30.0</v>
      </c>
      <c r="R22" s="32">
        <v>100.0</v>
      </c>
      <c r="S22" s="32">
        <v>25.0</v>
      </c>
      <c r="T22" s="32">
        <v>50.0</v>
      </c>
      <c r="U22" s="32">
        <v>40.0</v>
      </c>
      <c r="V22" s="32">
        <v>100.0</v>
      </c>
    </row>
    <row r="23">
      <c r="A23" s="26" t="s">
        <v>430</v>
      </c>
      <c r="B23" s="26">
        <v>2.0</v>
      </c>
      <c r="C23" s="26" t="s">
        <v>432</v>
      </c>
      <c r="D23" s="26" t="s">
        <v>433</v>
      </c>
      <c r="E23" s="32">
        <v>40.0</v>
      </c>
      <c r="F23" s="32">
        <v>90.0</v>
      </c>
      <c r="G23" s="32">
        <v>70.0</v>
      </c>
      <c r="H23" s="32">
        <v>110.0</v>
      </c>
      <c r="I23" s="32">
        <v>80.0</v>
      </c>
      <c r="J23" s="32">
        <v>150.0</v>
      </c>
      <c r="K23" s="32">
        <v>60.0</v>
      </c>
      <c r="L23" s="32">
        <v>90.0</v>
      </c>
      <c r="M23" s="32">
        <v>260.0</v>
      </c>
      <c r="N23" s="32">
        <v>140.0</v>
      </c>
      <c r="O23" s="32">
        <v>130.0</v>
      </c>
      <c r="P23" s="32">
        <v>240.0</v>
      </c>
      <c r="Q23" s="32">
        <v>230.0</v>
      </c>
      <c r="R23" s="32">
        <v>600.0</v>
      </c>
      <c r="S23" s="32">
        <v>110.0</v>
      </c>
      <c r="T23" s="32">
        <v>300.0</v>
      </c>
      <c r="U23" s="32">
        <v>160.0</v>
      </c>
      <c r="V23" s="32">
        <v>160.0</v>
      </c>
    </row>
    <row r="24">
      <c r="A24" s="26" t="s">
        <v>441</v>
      </c>
      <c r="B24" s="26">
        <v>2.0</v>
      </c>
      <c r="C24" s="26" t="s">
        <v>445</v>
      </c>
      <c r="D24" s="26" t="s">
        <v>447</v>
      </c>
      <c r="E24" s="32">
        <v>35.0</v>
      </c>
      <c r="F24" s="32">
        <v>55.0</v>
      </c>
      <c r="G24" s="32">
        <v>25.0</v>
      </c>
      <c r="H24" s="32">
        <v>40.0</v>
      </c>
      <c r="I24" s="32">
        <v>30.0</v>
      </c>
      <c r="J24" s="32">
        <v>20.0</v>
      </c>
      <c r="K24" s="32">
        <v>25.0</v>
      </c>
      <c r="L24" s="32">
        <v>20.0</v>
      </c>
      <c r="M24" s="32">
        <v>55.0</v>
      </c>
      <c r="N24" s="32">
        <v>50.0</v>
      </c>
      <c r="O24" s="32">
        <v>15.0</v>
      </c>
      <c r="P24" s="32">
        <v>25.0</v>
      </c>
      <c r="Q24" s="32">
        <v>40.0</v>
      </c>
      <c r="R24" s="32">
        <v>85.0</v>
      </c>
      <c r="S24" s="32">
        <v>85.0</v>
      </c>
      <c r="T24" s="32">
        <v>25.0</v>
      </c>
      <c r="U24" s="32">
        <v>75.0</v>
      </c>
      <c r="V24" s="32">
        <v>50.0</v>
      </c>
    </row>
    <row r="25">
      <c r="A25" s="26" t="s">
        <v>463</v>
      </c>
      <c r="B25" s="26">
        <v>2.0</v>
      </c>
      <c r="C25" s="26" t="s">
        <v>468</v>
      </c>
      <c r="D25" s="26" t="s">
        <v>470</v>
      </c>
      <c r="E25" s="32">
        <v>5.0</v>
      </c>
      <c r="F25" s="32">
        <v>0.0</v>
      </c>
      <c r="G25" s="32">
        <v>-10.0</v>
      </c>
      <c r="H25" s="32">
        <v>-5.0</v>
      </c>
      <c r="I25" s="32">
        <v>8.0</v>
      </c>
      <c r="J25" s="32">
        <v>-30.0</v>
      </c>
      <c r="K25" s="32">
        <v>-8.0</v>
      </c>
      <c r="L25" s="32">
        <v>0.0</v>
      </c>
      <c r="M25" s="32">
        <v>5.0</v>
      </c>
      <c r="N25" s="32">
        <v>0.0</v>
      </c>
      <c r="O25" s="32">
        <v>-10.0</v>
      </c>
      <c r="P25" s="32">
        <v>20.0</v>
      </c>
      <c r="Q25" s="32">
        <v>0.0</v>
      </c>
      <c r="R25" s="32">
        <v>30.0</v>
      </c>
      <c r="S25" s="32">
        <v>-40.0</v>
      </c>
      <c r="T25" s="32">
        <v>0.0</v>
      </c>
      <c r="U25" s="32">
        <v>-10.0</v>
      </c>
      <c r="V25" s="32">
        <v>20.0</v>
      </c>
    </row>
    <row r="26">
      <c r="A26" s="26" t="s">
        <v>481</v>
      </c>
      <c r="B26" s="26">
        <v>3.0</v>
      </c>
      <c r="C26" s="26" t="s">
        <v>483</v>
      </c>
      <c r="D26" s="26" t="s">
        <v>254</v>
      </c>
      <c r="E26" s="32">
        <v>1.0</v>
      </c>
      <c r="F26" s="32">
        <v>1.0</v>
      </c>
      <c r="G26" s="32">
        <v>2.0</v>
      </c>
      <c r="H26" s="32">
        <v>1.0</v>
      </c>
      <c r="I26" s="32">
        <v>0.0</v>
      </c>
      <c r="J26" s="32">
        <v>0.0</v>
      </c>
      <c r="K26" s="32">
        <v>1.0</v>
      </c>
      <c r="L26" s="32">
        <v>2.0</v>
      </c>
      <c r="M26" s="32">
        <v>3.0</v>
      </c>
      <c r="N26" s="32">
        <v>3.0</v>
      </c>
      <c r="O26" s="32">
        <v>1.0</v>
      </c>
      <c r="P26" s="32">
        <v>3.0</v>
      </c>
      <c r="Q26" s="32">
        <v>1.0</v>
      </c>
      <c r="R26" s="32">
        <v>4.0</v>
      </c>
      <c r="S26" s="32">
        <v>2.0</v>
      </c>
      <c r="T26" s="32">
        <v>2.0</v>
      </c>
      <c r="U26" s="32">
        <v>3.0</v>
      </c>
      <c r="V26" s="32">
        <v>4.0</v>
      </c>
    </row>
    <row r="27">
      <c r="A27" s="26" t="s">
        <v>493</v>
      </c>
      <c r="B27" s="26">
        <v>3.0</v>
      </c>
      <c r="C27" s="26" t="s">
        <v>494</v>
      </c>
      <c r="D27" s="26" t="s">
        <v>254</v>
      </c>
      <c r="E27" s="32">
        <v>0.0</v>
      </c>
      <c r="F27" s="32">
        <v>1.0</v>
      </c>
      <c r="G27" s="32">
        <v>0.0</v>
      </c>
      <c r="H27" s="32">
        <v>1.0</v>
      </c>
      <c r="I27" s="32">
        <v>0.0</v>
      </c>
      <c r="J27" s="32">
        <v>0.0</v>
      </c>
      <c r="K27" s="32">
        <v>1.0</v>
      </c>
      <c r="L27" s="32">
        <v>2.0</v>
      </c>
      <c r="M27" s="32">
        <v>2.0</v>
      </c>
      <c r="N27" s="32">
        <v>3.0</v>
      </c>
      <c r="O27" s="32">
        <v>0.0</v>
      </c>
      <c r="P27" s="32">
        <v>3.0</v>
      </c>
      <c r="Q27" s="32">
        <v>1.0</v>
      </c>
      <c r="R27" s="32">
        <v>4.0</v>
      </c>
      <c r="S27" s="32">
        <v>2.0</v>
      </c>
      <c r="T27" s="32">
        <v>1.0</v>
      </c>
      <c r="U27" s="32">
        <v>2.0</v>
      </c>
      <c r="V27" s="32">
        <v>3.0</v>
      </c>
    </row>
    <row r="28">
      <c r="A28" s="26" t="s">
        <v>499</v>
      </c>
      <c r="B28" s="26">
        <v>3.0</v>
      </c>
      <c r="C28" s="26" t="s">
        <v>500</v>
      </c>
      <c r="D28" s="26" t="s">
        <v>254</v>
      </c>
      <c r="E28" s="32">
        <v>2.0</v>
      </c>
      <c r="F28" s="32">
        <v>0.0</v>
      </c>
      <c r="G28" s="32">
        <v>0.0</v>
      </c>
      <c r="H28" s="32">
        <v>0.0</v>
      </c>
      <c r="I28" s="32">
        <v>0.0</v>
      </c>
      <c r="J28" s="32">
        <v>0.0</v>
      </c>
      <c r="K28" s="32">
        <v>0.0</v>
      </c>
      <c r="L28" s="32">
        <v>3.0</v>
      </c>
      <c r="M28" s="32">
        <v>1.0</v>
      </c>
      <c r="N28" s="32">
        <v>2.0</v>
      </c>
      <c r="O28" s="32">
        <v>2.0</v>
      </c>
      <c r="P28" s="32">
        <v>1.0</v>
      </c>
      <c r="Q28" s="32">
        <v>1.0</v>
      </c>
      <c r="R28" s="32">
        <v>4.0</v>
      </c>
      <c r="S28" s="32">
        <v>1.0</v>
      </c>
      <c r="T28" s="32">
        <v>0.0</v>
      </c>
      <c r="U28" s="32">
        <v>1.0</v>
      </c>
      <c r="V28" s="32">
        <v>1.0</v>
      </c>
    </row>
    <row r="29">
      <c r="A29" s="26" t="s">
        <v>508</v>
      </c>
      <c r="B29" s="26">
        <v>3.0</v>
      </c>
      <c r="C29" s="26" t="s">
        <v>509</v>
      </c>
      <c r="D29" s="26" t="s">
        <v>510</v>
      </c>
      <c r="E29" s="32">
        <v>0.0</v>
      </c>
      <c r="F29" s="32">
        <v>0.0</v>
      </c>
      <c r="G29" s="32">
        <v>-2.0</v>
      </c>
      <c r="H29" s="32">
        <v>2.0</v>
      </c>
      <c r="I29" s="32">
        <v>0.0</v>
      </c>
      <c r="J29" s="32">
        <v>0.0</v>
      </c>
      <c r="K29" s="32">
        <v>-1.0</v>
      </c>
      <c r="L29" s="32">
        <v>0.0</v>
      </c>
      <c r="M29" s="32">
        <v>-4.0</v>
      </c>
      <c r="N29" s="32">
        <v>-2.0</v>
      </c>
      <c r="O29" s="32">
        <v>2.0</v>
      </c>
      <c r="P29" s="32">
        <v>2.0</v>
      </c>
      <c r="Q29" s="32">
        <v>-2.0</v>
      </c>
      <c r="R29" s="32">
        <v>-2.0</v>
      </c>
      <c r="S29" s="32">
        <v>0.0</v>
      </c>
      <c r="T29" s="32">
        <v>-3.0</v>
      </c>
      <c r="U29" s="32">
        <v>3.0</v>
      </c>
      <c r="V29" s="32">
        <v>-1.0</v>
      </c>
    </row>
    <row r="30">
      <c r="A30" s="26" t="s">
        <v>517</v>
      </c>
      <c r="B30" s="26">
        <v>3.0</v>
      </c>
      <c r="C30" s="26" t="s">
        <v>518</v>
      </c>
      <c r="D30" s="26" t="s">
        <v>520</v>
      </c>
      <c r="E30" s="32">
        <v>42.0</v>
      </c>
      <c r="F30" s="32">
        <v>45.0</v>
      </c>
      <c r="G30" s="32">
        <v>42.0</v>
      </c>
      <c r="H30" s="32">
        <v>65.0</v>
      </c>
      <c r="I30" s="32">
        <v>98.0</v>
      </c>
      <c r="J30" s="32">
        <v>88.0</v>
      </c>
      <c r="K30" s="32">
        <v>82.0</v>
      </c>
      <c r="L30" s="32">
        <v>48.0</v>
      </c>
      <c r="M30" s="32">
        <v>22.0</v>
      </c>
      <c r="N30" s="32">
        <v>30.0</v>
      </c>
      <c r="O30" s="32">
        <v>42.0</v>
      </c>
      <c r="P30" s="32">
        <v>38.0</v>
      </c>
      <c r="Q30" s="32">
        <v>45.0</v>
      </c>
      <c r="R30" s="32">
        <v>2.0</v>
      </c>
      <c r="S30" s="32">
        <v>15.0</v>
      </c>
      <c r="T30" s="32">
        <v>48.0</v>
      </c>
      <c r="U30" s="32">
        <v>35.0</v>
      </c>
      <c r="V30" s="32">
        <v>8.0</v>
      </c>
    </row>
    <row r="31">
      <c r="A31" s="26" t="s">
        <v>524</v>
      </c>
      <c r="B31" s="26">
        <v>3.0</v>
      </c>
      <c r="C31" s="26" t="s">
        <v>525</v>
      </c>
      <c r="D31" s="26" t="s">
        <v>526</v>
      </c>
      <c r="E31" s="32">
        <v>0.25</v>
      </c>
      <c r="F31" s="32">
        <v>0.65</v>
      </c>
      <c r="G31" s="32">
        <v>0.15</v>
      </c>
      <c r="H31" s="32">
        <v>0.6</v>
      </c>
      <c r="I31" s="32">
        <v>0.55</v>
      </c>
      <c r="J31" s="32">
        <v>0.9</v>
      </c>
      <c r="K31" s="32">
        <v>0.85</v>
      </c>
      <c r="L31" s="32">
        <v>0.55</v>
      </c>
      <c r="M31" s="32">
        <v>0.35</v>
      </c>
      <c r="N31" s="32">
        <v>0.75</v>
      </c>
      <c r="O31" s="32">
        <v>0.85</v>
      </c>
      <c r="P31" s="32">
        <v>0.75</v>
      </c>
      <c r="Q31" s="32">
        <v>0.8</v>
      </c>
      <c r="R31" s="32">
        <v>0.08</v>
      </c>
      <c r="S31" s="32">
        <v>0.55</v>
      </c>
      <c r="T31" s="32">
        <v>0.7</v>
      </c>
      <c r="U31" s="32">
        <v>0.55</v>
      </c>
      <c r="V31" s="32">
        <v>0.25</v>
      </c>
    </row>
    <row r="32">
      <c r="A32" s="26" t="s">
        <v>529</v>
      </c>
      <c r="B32" s="26">
        <v>3.0</v>
      </c>
      <c r="C32" s="26" t="s">
        <v>530</v>
      </c>
      <c r="D32" s="26" t="s">
        <v>526</v>
      </c>
      <c r="E32" s="32">
        <v>0.48</v>
      </c>
      <c r="F32" s="32">
        <v>0.45</v>
      </c>
      <c r="G32" s="32">
        <v>0.48</v>
      </c>
      <c r="H32" s="32">
        <v>0.6</v>
      </c>
      <c r="I32" s="32">
        <v>0.8</v>
      </c>
      <c r="J32" s="32">
        <v>0.79</v>
      </c>
      <c r="K32" s="32">
        <v>0.75</v>
      </c>
      <c r="L32" s="32">
        <v>0.45</v>
      </c>
      <c r="M32" s="32">
        <v>0.38</v>
      </c>
      <c r="N32" s="32">
        <v>0.45</v>
      </c>
      <c r="O32" s="32">
        <v>0.48</v>
      </c>
      <c r="P32" s="32">
        <v>0.55</v>
      </c>
      <c r="Q32" s="32">
        <v>0.48</v>
      </c>
      <c r="R32" s="32">
        <v>0.25</v>
      </c>
      <c r="S32" s="32">
        <v>0.4</v>
      </c>
      <c r="T32" s="32">
        <v>0.52</v>
      </c>
      <c r="U32" s="32">
        <v>0.48</v>
      </c>
      <c r="V32" s="32">
        <v>0.38</v>
      </c>
    </row>
    <row r="33">
      <c r="A33" s="26" t="s">
        <v>536</v>
      </c>
      <c r="B33" s="26">
        <v>3.0</v>
      </c>
      <c r="C33" s="26" t="s">
        <v>537</v>
      </c>
      <c r="D33" s="26" t="s">
        <v>254</v>
      </c>
      <c r="E33" s="32">
        <v>2.0</v>
      </c>
      <c r="F33" s="32">
        <v>1.0</v>
      </c>
      <c r="G33" s="32">
        <v>3.0</v>
      </c>
      <c r="H33" s="32">
        <v>1.0</v>
      </c>
      <c r="I33" s="32">
        <v>0.0</v>
      </c>
      <c r="J33" s="32">
        <v>0.0</v>
      </c>
      <c r="K33" s="32">
        <v>0.0</v>
      </c>
      <c r="L33" s="32">
        <v>1.0</v>
      </c>
      <c r="M33" s="32">
        <v>2.0</v>
      </c>
      <c r="N33" s="32">
        <v>2.0</v>
      </c>
      <c r="O33" s="32">
        <v>0.0</v>
      </c>
      <c r="P33" s="32">
        <v>1.0</v>
      </c>
      <c r="Q33" s="32">
        <v>0.0</v>
      </c>
      <c r="R33" s="32">
        <v>4.0</v>
      </c>
      <c r="S33" s="32">
        <v>3.0</v>
      </c>
      <c r="T33" s="32">
        <v>4.0</v>
      </c>
      <c r="U33" s="32">
        <v>3.0</v>
      </c>
      <c r="V33" s="32">
        <v>3.0</v>
      </c>
    </row>
    <row r="34">
      <c r="A34" s="26" t="s">
        <v>544</v>
      </c>
      <c r="B34" s="26">
        <v>3.0</v>
      </c>
      <c r="C34" s="26" t="s">
        <v>548</v>
      </c>
      <c r="D34" s="26" t="s">
        <v>254</v>
      </c>
      <c r="E34" s="32">
        <v>1.0</v>
      </c>
      <c r="F34" s="32">
        <v>1.0</v>
      </c>
      <c r="G34" s="32">
        <v>2.0</v>
      </c>
      <c r="H34" s="32">
        <v>1.0</v>
      </c>
      <c r="I34" s="32">
        <v>1.0</v>
      </c>
      <c r="J34" s="32">
        <v>0.0</v>
      </c>
      <c r="K34" s="32">
        <v>1.0</v>
      </c>
      <c r="L34" s="32">
        <v>1.0</v>
      </c>
      <c r="M34" s="32">
        <v>1.0</v>
      </c>
      <c r="N34" s="32">
        <v>2.0</v>
      </c>
      <c r="O34" s="32">
        <v>1.0</v>
      </c>
      <c r="P34" s="32">
        <v>0.0</v>
      </c>
      <c r="Q34" s="32">
        <v>2.0</v>
      </c>
      <c r="R34" s="32">
        <v>4.0</v>
      </c>
      <c r="S34" s="32">
        <v>1.0</v>
      </c>
      <c r="T34" s="32">
        <v>2.0</v>
      </c>
      <c r="U34" s="32">
        <v>1.0</v>
      </c>
      <c r="V34" s="32">
        <v>3.0</v>
      </c>
    </row>
    <row r="35">
      <c r="A35" s="26" t="s">
        <v>554</v>
      </c>
      <c r="B35" s="26">
        <v>3.0</v>
      </c>
      <c r="C35" s="26" t="s">
        <v>555</v>
      </c>
      <c r="D35" s="26" t="s">
        <v>254</v>
      </c>
      <c r="E35" s="32">
        <v>2.0</v>
      </c>
      <c r="F35" s="32">
        <v>0.0</v>
      </c>
      <c r="G35" s="32">
        <v>1.0</v>
      </c>
      <c r="H35" s="32">
        <v>0.0</v>
      </c>
      <c r="I35" s="32">
        <v>0.0</v>
      </c>
      <c r="J35" s="32">
        <v>1.0</v>
      </c>
      <c r="K35" s="32">
        <v>0.0</v>
      </c>
      <c r="L35" s="32">
        <v>1.0</v>
      </c>
      <c r="M35" s="32">
        <v>1.0</v>
      </c>
      <c r="N35" s="32">
        <v>2.0</v>
      </c>
      <c r="O35" s="32">
        <v>0.0</v>
      </c>
      <c r="P35" s="32">
        <v>2.0</v>
      </c>
      <c r="Q35" s="32">
        <v>0.0</v>
      </c>
      <c r="R35" s="32">
        <v>4.0</v>
      </c>
      <c r="S35" s="32">
        <v>3.0</v>
      </c>
      <c r="T35" s="32">
        <v>1.0</v>
      </c>
      <c r="U35" s="32">
        <v>1.0</v>
      </c>
      <c r="V35" s="32">
        <v>4.0</v>
      </c>
    </row>
    <row r="36">
      <c r="A36" s="26" t="s">
        <v>561</v>
      </c>
      <c r="B36" s="26">
        <v>4.0</v>
      </c>
      <c r="C36" s="26" t="s">
        <v>562</v>
      </c>
      <c r="D36" s="26" t="s">
        <v>254</v>
      </c>
      <c r="E36" s="32">
        <v>0.0</v>
      </c>
      <c r="F36" s="32">
        <v>1.0</v>
      </c>
      <c r="G36" s="32">
        <v>0.0</v>
      </c>
      <c r="H36" s="32">
        <v>1.0</v>
      </c>
      <c r="I36" s="32">
        <v>0.0</v>
      </c>
      <c r="J36" s="32">
        <v>0.0</v>
      </c>
      <c r="K36" s="32">
        <v>1.0</v>
      </c>
      <c r="L36" s="32">
        <v>1.0</v>
      </c>
      <c r="M36" s="32">
        <v>2.0</v>
      </c>
      <c r="N36" s="32">
        <v>0.0</v>
      </c>
      <c r="O36" s="32">
        <v>1.0</v>
      </c>
      <c r="P36" s="32">
        <v>2.0</v>
      </c>
      <c r="Q36" s="32">
        <v>1.0</v>
      </c>
      <c r="R36" s="32">
        <v>2.0</v>
      </c>
      <c r="S36" s="32">
        <v>3.0</v>
      </c>
      <c r="T36" s="32">
        <v>2.0</v>
      </c>
      <c r="U36" s="32">
        <v>1.0</v>
      </c>
      <c r="V36" s="32">
        <v>1.0</v>
      </c>
    </row>
    <row r="37">
      <c r="A37" s="26" t="s">
        <v>569</v>
      </c>
      <c r="B37" s="26">
        <v>4.0</v>
      </c>
      <c r="C37" s="26" t="s">
        <v>570</v>
      </c>
      <c r="D37" s="26" t="s">
        <v>254</v>
      </c>
      <c r="E37" s="32">
        <v>0.0</v>
      </c>
      <c r="F37" s="32">
        <v>1.0</v>
      </c>
      <c r="G37" s="32">
        <v>3.0</v>
      </c>
      <c r="H37" s="32">
        <v>0.0</v>
      </c>
      <c r="I37" s="32">
        <v>0.0</v>
      </c>
      <c r="J37" s="32">
        <v>0.0</v>
      </c>
      <c r="K37" s="32">
        <v>2.0</v>
      </c>
      <c r="L37" s="32">
        <v>0.0</v>
      </c>
      <c r="M37" s="32">
        <v>1.0</v>
      </c>
      <c r="N37" s="32">
        <v>0.0</v>
      </c>
      <c r="O37" s="32">
        <v>1.0</v>
      </c>
      <c r="P37" s="32">
        <v>0.0</v>
      </c>
      <c r="Q37" s="32">
        <v>1.0</v>
      </c>
      <c r="R37" s="32">
        <v>2.0</v>
      </c>
      <c r="S37" s="32">
        <v>1.0</v>
      </c>
      <c r="T37" s="32">
        <v>0.0</v>
      </c>
      <c r="U37" s="32">
        <v>0.0</v>
      </c>
      <c r="V37" s="32">
        <v>2.0</v>
      </c>
    </row>
    <row r="38">
      <c r="A38" s="26" t="s">
        <v>577</v>
      </c>
      <c r="B38" s="26">
        <v>4.0</v>
      </c>
      <c r="C38" s="26" t="s">
        <v>578</v>
      </c>
      <c r="D38" s="26" t="s">
        <v>254</v>
      </c>
      <c r="E38" s="32">
        <v>1.0</v>
      </c>
      <c r="F38" s="32">
        <v>4.0</v>
      </c>
      <c r="G38" s="32">
        <v>1.0</v>
      </c>
      <c r="H38" s="32">
        <v>3.0</v>
      </c>
      <c r="I38" s="32">
        <v>2.0</v>
      </c>
      <c r="J38" s="32">
        <v>0.0</v>
      </c>
      <c r="K38" s="32">
        <v>0.0</v>
      </c>
      <c r="L38" s="32">
        <v>3.0</v>
      </c>
      <c r="M38" s="32">
        <v>4.0</v>
      </c>
      <c r="N38" s="32">
        <v>0.0</v>
      </c>
      <c r="O38" s="32">
        <v>4.0</v>
      </c>
      <c r="P38" s="32">
        <v>3.0</v>
      </c>
      <c r="Q38" s="32">
        <v>3.0</v>
      </c>
      <c r="R38" s="32">
        <v>2.0</v>
      </c>
      <c r="S38" s="32">
        <v>3.0</v>
      </c>
      <c r="T38" s="32">
        <v>3.0</v>
      </c>
      <c r="U38" s="32">
        <v>3.0</v>
      </c>
      <c r="V38" s="32">
        <v>2.0</v>
      </c>
    </row>
    <row r="39">
      <c r="A39" s="26" t="s">
        <v>585</v>
      </c>
      <c r="B39" s="26">
        <v>4.0</v>
      </c>
      <c r="C39" s="26" t="s">
        <v>586</v>
      </c>
      <c r="D39" s="26" t="s">
        <v>254</v>
      </c>
      <c r="E39" s="32">
        <v>0.0</v>
      </c>
      <c r="F39" s="32">
        <v>2.0</v>
      </c>
      <c r="G39" s="32">
        <v>0.0</v>
      </c>
      <c r="H39" s="32">
        <v>0.0</v>
      </c>
      <c r="I39" s="32">
        <v>0.0</v>
      </c>
      <c r="J39" s="32">
        <v>0.0</v>
      </c>
      <c r="K39" s="32">
        <v>3.0</v>
      </c>
      <c r="L39" s="32">
        <v>0.0</v>
      </c>
      <c r="M39" s="32">
        <v>2.0</v>
      </c>
      <c r="N39" s="32">
        <v>0.0</v>
      </c>
      <c r="O39" s="32">
        <v>3.0</v>
      </c>
      <c r="P39" s="32">
        <v>1.0</v>
      </c>
      <c r="Q39" s="32">
        <v>0.0</v>
      </c>
      <c r="R39" s="32">
        <v>3.0</v>
      </c>
      <c r="S39" s="32">
        <v>3.0</v>
      </c>
      <c r="T39" s="32">
        <v>3.0</v>
      </c>
      <c r="U39" s="32">
        <v>1.0</v>
      </c>
      <c r="V39" s="32">
        <v>2.0</v>
      </c>
    </row>
    <row r="40">
      <c r="A40" s="26" t="s">
        <v>593</v>
      </c>
      <c r="B40" s="26">
        <v>4.0</v>
      </c>
      <c r="C40" s="26" t="s">
        <v>594</v>
      </c>
      <c r="D40" s="26" t="s">
        <v>254</v>
      </c>
      <c r="E40" s="32">
        <v>0.0</v>
      </c>
      <c r="F40" s="32">
        <v>1.0</v>
      </c>
      <c r="G40" s="32">
        <v>0.0</v>
      </c>
      <c r="H40" s="32">
        <v>1.0</v>
      </c>
      <c r="I40" s="32">
        <v>0.0</v>
      </c>
      <c r="J40" s="32">
        <v>1.0</v>
      </c>
      <c r="K40" s="32">
        <v>0.0</v>
      </c>
      <c r="L40" s="32">
        <v>0.0</v>
      </c>
      <c r="M40" s="32">
        <v>3.0</v>
      </c>
      <c r="N40" s="32">
        <v>0.0</v>
      </c>
      <c r="O40" s="32">
        <v>2.0</v>
      </c>
      <c r="P40" s="32">
        <v>2.0</v>
      </c>
      <c r="Q40" s="32">
        <v>0.0</v>
      </c>
      <c r="R40" s="32">
        <v>4.0</v>
      </c>
      <c r="S40" s="32">
        <v>2.0</v>
      </c>
      <c r="T40" s="32">
        <v>0.0</v>
      </c>
      <c r="U40" s="32">
        <v>0.0</v>
      </c>
      <c r="V40" s="32">
        <v>3.0</v>
      </c>
    </row>
    <row r="41">
      <c r="A41" s="26" t="s">
        <v>598</v>
      </c>
      <c r="B41" s="26">
        <v>4.0</v>
      </c>
      <c r="C41" s="26" t="s">
        <v>599</v>
      </c>
      <c r="D41" s="26" t="s">
        <v>254</v>
      </c>
      <c r="E41" s="32">
        <v>1.0</v>
      </c>
      <c r="F41" s="32">
        <v>1.0</v>
      </c>
      <c r="G41" s="32">
        <v>2.0</v>
      </c>
      <c r="H41" s="32">
        <v>1.0</v>
      </c>
      <c r="I41" s="32">
        <v>0.0</v>
      </c>
      <c r="J41" s="32">
        <v>0.0</v>
      </c>
      <c r="K41" s="32">
        <v>1.0</v>
      </c>
      <c r="L41" s="32">
        <v>1.0</v>
      </c>
      <c r="M41" s="32">
        <v>2.0</v>
      </c>
      <c r="N41" s="32">
        <v>1.0</v>
      </c>
      <c r="O41" s="32">
        <v>1.0</v>
      </c>
      <c r="P41" s="32">
        <v>3.0</v>
      </c>
      <c r="Q41" s="32">
        <v>2.0</v>
      </c>
      <c r="R41" s="32">
        <v>4.0</v>
      </c>
      <c r="S41" s="32">
        <v>2.0</v>
      </c>
      <c r="T41" s="32">
        <v>2.0</v>
      </c>
      <c r="U41" s="32">
        <v>1.0</v>
      </c>
      <c r="V41" s="32">
        <v>4.0</v>
      </c>
    </row>
    <row r="42">
      <c r="A42" s="26" t="s">
        <v>606</v>
      </c>
      <c r="B42" s="26">
        <v>4.0</v>
      </c>
      <c r="C42" s="26" t="s">
        <v>607</v>
      </c>
      <c r="D42" s="26" t="s">
        <v>254</v>
      </c>
      <c r="E42" s="32">
        <v>0.0</v>
      </c>
      <c r="F42" s="32">
        <v>1.0</v>
      </c>
      <c r="G42" s="32">
        <v>0.0</v>
      </c>
      <c r="H42" s="32">
        <v>1.0</v>
      </c>
      <c r="I42" s="32">
        <v>0.0</v>
      </c>
      <c r="J42" s="32">
        <v>2.0</v>
      </c>
      <c r="K42" s="32">
        <v>1.0</v>
      </c>
      <c r="L42" s="32">
        <v>1.0</v>
      </c>
      <c r="M42" s="32">
        <v>1.0</v>
      </c>
      <c r="N42" s="32">
        <v>0.0</v>
      </c>
      <c r="O42" s="32">
        <v>1.0</v>
      </c>
      <c r="P42" s="32">
        <v>1.0</v>
      </c>
      <c r="Q42" s="32">
        <v>2.0</v>
      </c>
      <c r="R42" s="32">
        <v>1.0</v>
      </c>
      <c r="S42" s="32">
        <v>1.0</v>
      </c>
      <c r="T42" s="32">
        <v>1.0</v>
      </c>
      <c r="U42" s="32">
        <v>1.0</v>
      </c>
      <c r="V42" s="32">
        <v>0.0</v>
      </c>
    </row>
    <row r="43">
      <c r="A43" s="26" t="s">
        <v>613</v>
      </c>
      <c r="B43" s="26">
        <v>4.0</v>
      </c>
      <c r="C43" s="26" t="s">
        <v>614</v>
      </c>
      <c r="D43" s="26" t="s">
        <v>254</v>
      </c>
      <c r="E43" s="32">
        <v>0.0</v>
      </c>
      <c r="F43" s="32">
        <v>0.0</v>
      </c>
      <c r="G43" s="32">
        <v>0.0</v>
      </c>
      <c r="H43" s="32">
        <v>0.0</v>
      </c>
      <c r="I43" s="32">
        <v>0.0</v>
      </c>
      <c r="J43" s="32">
        <v>0.0</v>
      </c>
      <c r="K43" s="32">
        <v>0.0</v>
      </c>
      <c r="L43" s="32">
        <v>0.0</v>
      </c>
      <c r="M43" s="32">
        <v>0.0</v>
      </c>
      <c r="N43" s="32">
        <v>1.0</v>
      </c>
      <c r="O43" s="32">
        <v>1.0</v>
      </c>
      <c r="P43" s="32">
        <v>0.0</v>
      </c>
      <c r="Q43" s="32">
        <v>1.0</v>
      </c>
      <c r="R43" s="32">
        <v>3.0</v>
      </c>
      <c r="S43" s="32">
        <v>0.0</v>
      </c>
      <c r="T43" s="32">
        <v>2.0</v>
      </c>
      <c r="U43" s="32">
        <v>0.0</v>
      </c>
      <c r="V43" s="32">
        <v>1.0</v>
      </c>
    </row>
    <row r="44">
      <c r="A44" s="26" t="s">
        <v>617</v>
      </c>
      <c r="B44" s="26">
        <v>4.0</v>
      </c>
      <c r="C44" s="26" t="s">
        <v>618</v>
      </c>
      <c r="D44" s="26" t="s">
        <v>254</v>
      </c>
      <c r="E44" s="32">
        <v>1.0</v>
      </c>
      <c r="F44" s="32">
        <v>1.0</v>
      </c>
      <c r="G44" s="32">
        <v>0.0</v>
      </c>
      <c r="H44" s="32">
        <v>0.0</v>
      </c>
      <c r="I44" s="32">
        <v>0.0</v>
      </c>
      <c r="J44" s="32">
        <v>1.0</v>
      </c>
      <c r="K44" s="32">
        <v>1.0</v>
      </c>
      <c r="L44" s="32">
        <v>0.0</v>
      </c>
      <c r="M44" s="32">
        <v>2.0</v>
      </c>
      <c r="N44" s="32">
        <v>1.0</v>
      </c>
      <c r="O44" s="32">
        <v>0.0</v>
      </c>
      <c r="P44" s="32">
        <v>2.0</v>
      </c>
      <c r="Q44" s="32">
        <v>0.0</v>
      </c>
      <c r="R44" s="32">
        <v>3.0</v>
      </c>
      <c r="S44" s="32">
        <v>0.0</v>
      </c>
      <c r="T44" s="32">
        <v>1.0</v>
      </c>
      <c r="U44" s="32">
        <v>1.0</v>
      </c>
      <c r="V44" s="32">
        <v>2.0</v>
      </c>
    </row>
    <row r="45">
      <c r="A45" s="26" t="s">
        <v>624</v>
      </c>
      <c r="B45" s="26">
        <v>4.0</v>
      </c>
      <c r="C45" s="26" t="s">
        <v>625</v>
      </c>
      <c r="D45" s="26" t="s">
        <v>254</v>
      </c>
      <c r="E45" s="32">
        <v>2.0</v>
      </c>
      <c r="F45" s="32">
        <v>2.0</v>
      </c>
      <c r="G45" s="32">
        <v>3.0</v>
      </c>
      <c r="H45" s="32">
        <v>1.0</v>
      </c>
      <c r="I45" s="32">
        <v>1.0</v>
      </c>
      <c r="J45" s="32">
        <v>2.0</v>
      </c>
      <c r="K45" s="32">
        <v>2.0</v>
      </c>
      <c r="L45" s="32">
        <v>3.0</v>
      </c>
      <c r="M45" s="32">
        <v>3.0</v>
      </c>
      <c r="N45" s="32">
        <v>2.0</v>
      </c>
      <c r="O45" s="32">
        <v>3.0</v>
      </c>
      <c r="P45" s="32">
        <v>0.0</v>
      </c>
      <c r="Q45" s="32">
        <v>2.0</v>
      </c>
      <c r="R45" s="32">
        <v>4.0</v>
      </c>
      <c r="S45" s="32">
        <v>2.0</v>
      </c>
      <c r="T45" s="32">
        <v>0.0</v>
      </c>
      <c r="U45" s="32">
        <v>1.0</v>
      </c>
      <c r="V45" s="32">
        <v>3.0</v>
      </c>
    </row>
    <row r="46">
      <c r="A46" s="26" t="s">
        <v>629</v>
      </c>
      <c r="B46" s="26">
        <v>4.0</v>
      </c>
      <c r="C46" s="26" t="s">
        <v>630</v>
      </c>
      <c r="D46" s="26" t="s">
        <v>254</v>
      </c>
      <c r="E46" s="32">
        <v>1.0</v>
      </c>
      <c r="F46" s="32">
        <v>2.0</v>
      </c>
      <c r="G46" s="32">
        <v>2.0</v>
      </c>
      <c r="H46" s="32">
        <v>1.0</v>
      </c>
      <c r="I46" s="32">
        <v>0.0</v>
      </c>
      <c r="J46" s="32">
        <v>0.0</v>
      </c>
      <c r="K46" s="32">
        <v>0.0</v>
      </c>
      <c r="L46" s="32">
        <v>1.0</v>
      </c>
      <c r="M46" s="32">
        <v>2.0</v>
      </c>
      <c r="N46" s="32">
        <v>0.0</v>
      </c>
      <c r="O46" s="32">
        <v>2.0</v>
      </c>
      <c r="P46" s="32">
        <v>1.0</v>
      </c>
      <c r="Q46" s="32">
        <v>1.0</v>
      </c>
      <c r="R46" s="32">
        <v>4.0</v>
      </c>
      <c r="S46" s="32">
        <v>1.0</v>
      </c>
      <c r="T46" s="32">
        <v>1.0</v>
      </c>
      <c r="U46" s="32">
        <v>1.0</v>
      </c>
      <c r="V46" s="32">
        <v>3.0</v>
      </c>
    </row>
    <row r="47">
      <c r="A47" s="26" t="s">
        <v>636</v>
      </c>
      <c r="B47" s="26">
        <v>5.0</v>
      </c>
      <c r="C47" s="26" t="s">
        <v>637</v>
      </c>
      <c r="D47" s="26" t="s">
        <v>638</v>
      </c>
      <c r="E47" s="32">
        <v>8.0</v>
      </c>
      <c r="F47" s="32">
        <v>22.0</v>
      </c>
      <c r="G47" s="32">
        <v>20.0</v>
      </c>
      <c r="H47" s="32">
        <v>15.0</v>
      </c>
      <c r="I47" s="32">
        <v>5.0</v>
      </c>
      <c r="J47" s="32">
        <v>20.0</v>
      </c>
      <c r="K47" s="32">
        <v>8.0</v>
      </c>
      <c r="L47" s="32">
        <v>28.0</v>
      </c>
      <c r="M47" s="32">
        <v>55.0</v>
      </c>
      <c r="N47" s="32">
        <v>15.0</v>
      </c>
      <c r="O47" s="32">
        <v>25.0</v>
      </c>
      <c r="P47" s="32">
        <v>30.0</v>
      </c>
      <c r="Q47" s="32">
        <v>15.0</v>
      </c>
      <c r="R47" s="32">
        <v>10.0</v>
      </c>
      <c r="S47" s="32">
        <v>15.0</v>
      </c>
      <c r="T47" s="32">
        <v>20.0</v>
      </c>
      <c r="U47" s="32">
        <v>30.0</v>
      </c>
      <c r="V47" s="32">
        <v>15.0</v>
      </c>
    </row>
    <row r="48">
      <c r="A48" s="26" t="s">
        <v>643</v>
      </c>
      <c r="B48" s="26">
        <v>5.0</v>
      </c>
      <c r="C48" s="26" t="s">
        <v>646</v>
      </c>
      <c r="D48" s="26" t="s">
        <v>648</v>
      </c>
      <c r="E48" s="32">
        <v>8.0</v>
      </c>
      <c r="F48" s="32">
        <v>10.0</v>
      </c>
      <c r="G48" s="32">
        <v>3.0</v>
      </c>
      <c r="H48" s="32">
        <v>8.0</v>
      </c>
      <c r="I48" s="32">
        <v>40.0</v>
      </c>
      <c r="J48" s="32">
        <v>5.0</v>
      </c>
      <c r="K48" s="32">
        <v>5.0</v>
      </c>
      <c r="L48" s="32">
        <v>3.0</v>
      </c>
      <c r="M48" s="32">
        <v>2.0</v>
      </c>
      <c r="N48" s="32">
        <v>5.0</v>
      </c>
      <c r="O48" s="32">
        <v>2.0</v>
      </c>
      <c r="P48" s="32">
        <v>20.0</v>
      </c>
      <c r="Q48" s="32">
        <v>5.0</v>
      </c>
      <c r="R48" s="32">
        <v>50.0</v>
      </c>
      <c r="S48" s="32">
        <v>40.0</v>
      </c>
      <c r="T48" s="32">
        <v>5.0</v>
      </c>
      <c r="U48" s="32">
        <v>40.0</v>
      </c>
      <c r="V48" s="32">
        <v>80.0</v>
      </c>
    </row>
    <row r="49">
      <c r="A49" s="26" t="s">
        <v>658</v>
      </c>
      <c r="B49" s="26">
        <v>5.0</v>
      </c>
      <c r="C49" s="26" t="s">
        <v>659</v>
      </c>
      <c r="D49" s="26" t="s">
        <v>254</v>
      </c>
      <c r="E49" s="32">
        <v>3.0</v>
      </c>
      <c r="F49" s="32">
        <v>1.0</v>
      </c>
      <c r="G49" s="32">
        <v>3.0</v>
      </c>
      <c r="H49" s="32">
        <v>1.0</v>
      </c>
      <c r="I49" s="32">
        <v>0.0</v>
      </c>
      <c r="J49" s="32">
        <v>1.0</v>
      </c>
      <c r="K49" s="32">
        <v>1.0</v>
      </c>
      <c r="L49" s="32">
        <v>1.0</v>
      </c>
      <c r="M49" s="32">
        <v>1.0</v>
      </c>
      <c r="N49" s="32">
        <v>1.0</v>
      </c>
      <c r="O49" s="32">
        <v>1.0</v>
      </c>
      <c r="P49" s="32">
        <v>1.0</v>
      </c>
      <c r="Q49" s="32">
        <v>1.0</v>
      </c>
      <c r="R49" s="32">
        <v>3.0</v>
      </c>
      <c r="S49" s="32">
        <v>3.0</v>
      </c>
      <c r="T49" s="32">
        <v>1.0</v>
      </c>
      <c r="U49" s="32">
        <v>2.0</v>
      </c>
      <c r="V49" s="32">
        <v>3.0</v>
      </c>
    </row>
    <row r="50">
      <c r="A50" s="26" t="s">
        <v>662</v>
      </c>
      <c r="B50" s="26">
        <v>5.0</v>
      </c>
      <c r="C50" s="26" t="s">
        <v>663</v>
      </c>
      <c r="D50" s="26" t="s">
        <v>664</v>
      </c>
      <c r="E50" s="32">
        <v>0.1</v>
      </c>
      <c r="F50" s="32">
        <v>0.1</v>
      </c>
      <c r="G50" s="32">
        <v>0.1</v>
      </c>
      <c r="H50" s="32">
        <v>0.35</v>
      </c>
      <c r="I50" s="32">
        <v>0.1</v>
      </c>
      <c r="J50" s="32">
        <v>0.05</v>
      </c>
      <c r="K50" s="32">
        <v>0.1</v>
      </c>
      <c r="L50" s="32">
        <v>0.1</v>
      </c>
      <c r="M50" s="32">
        <v>0.2</v>
      </c>
      <c r="N50" s="32">
        <v>0.2</v>
      </c>
      <c r="O50" s="32">
        <v>0.35</v>
      </c>
      <c r="P50" s="32">
        <v>0.4</v>
      </c>
      <c r="Q50" s="32">
        <v>0.55</v>
      </c>
      <c r="R50" s="32">
        <v>0.7</v>
      </c>
      <c r="S50" s="32">
        <v>0.65</v>
      </c>
      <c r="T50" s="32">
        <v>0.2</v>
      </c>
      <c r="U50" s="32">
        <v>0.6</v>
      </c>
      <c r="V50" s="32">
        <v>0.5</v>
      </c>
    </row>
    <row r="51">
      <c r="A51" s="26" t="s">
        <v>667</v>
      </c>
      <c r="B51" s="26">
        <v>5.0</v>
      </c>
      <c r="C51" s="26" t="s">
        <v>668</v>
      </c>
      <c r="D51" s="26" t="s">
        <v>112</v>
      </c>
      <c r="E51" s="32">
        <v>3.5</v>
      </c>
      <c r="F51" s="32">
        <v>2.5</v>
      </c>
      <c r="G51" s="33">
        <v>1.0</v>
      </c>
      <c r="H51" s="32">
        <v>2.2</v>
      </c>
      <c r="I51" s="32">
        <v>1.5</v>
      </c>
      <c r="J51" s="32">
        <v>2.5</v>
      </c>
      <c r="K51" s="32">
        <v>2.0</v>
      </c>
      <c r="L51" s="32">
        <v>3.8</v>
      </c>
      <c r="M51" s="32">
        <v>6.0</v>
      </c>
      <c r="N51" s="33">
        <v>3.5</v>
      </c>
      <c r="O51" s="33">
        <v>4.4</v>
      </c>
      <c r="P51" s="33">
        <v>32.5</v>
      </c>
      <c r="Q51" s="33">
        <v>6.0</v>
      </c>
      <c r="R51" s="32">
        <v>200.0</v>
      </c>
      <c r="S51" s="32">
        <v>22.0</v>
      </c>
      <c r="T51" s="32">
        <v>1.5</v>
      </c>
      <c r="U51" s="32">
        <v>12.0</v>
      </c>
      <c r="V51" s="32">
        <v>30.0</v>
      </c>
    </row>
    <row r="52">
      <c r="A52" s="26" t="s">
        <v>671</v>
      </c>
      <c r="B52" s="26">
        <v>5.0</v>
      </c>
      <c r="C52" s="26" t="s">
        <v>672</v>
      </c>
      <c r="D52" s="26" t="s">
        <v>112</v>
      </c>
      <c r="E52" s="32">
        <v>6.0</v>
      </c>
      <c r="F52" s="32">
        <v>5.8</v>
      </c>
      <c r="G52" s="33">
        <v>4.0</v>
      </c>
      <c r="H52" s="32">
        <v>4.2</v>
      </c>
      <c r="I52" s="32">
        <v>2.3</v>
      </c>
      <c r="J52" s="32">
        <v>0.6</v>
      </c>
      <c r="K52" s="32">
        <v>1.9</v>
      </c>
      <c r="L52" s="32">
        <v>6.4</v>
      </c>
      <c r="M52" s="32">
        <v>3.8</v>
      </c>
      <c r="N52" s="33">
        <v>2.0</v>
      </c>
      <c r="O52" s="33">
        <v>1.9</v>
      </c>
      <c r="P52" s="33">
        <v>3.5</v>
      </c>
      <c r="Q52" s="33">
        <v>2.3</v>
      </c>
      <c r="R52" s="32">
        <v>1.0</v>
      </c>
      <c r="S52" s="32">
        <v>3.5</v>
      </c>
      <c r="T52" s="32">
        <v>4.5</v>
      </c>
      <c r="U52" s="32">
        <v>5.5</v>
      </c>
      <c r="V52" s="32">
        <v>3.0</v>
      </c>
    </row>
    <row r="53">
      <c r="A53" s="26" t="s">
        <v>674</v>
      </c>
      <c r="B53" s="26">
        <v>5.0</v>
      </c>
      <c r="C53" s="26" t="s">
        <v>675</v>
      </c>
      <c r="D53" s="26" t="s">
        <v>638</v>
      </c>
      <c r="E53" s="32">
        <v>40.0</v>
      </c>
      <c r="F53" s="32">
        <v>15.0</v>
      </c>
      <c r="G53" s="32">
        <v>60.0</v>
      </c>
      <c r="H53" s="32">
        <v>15.0</v>
      </c>
      <c r="I53" s="32">
        <v>0.0</v>
      </c>
      <c r="J53" s="32">
        <v>10.0</v>
      </c>
      <c r="K53" s="32">
        <v>20.0</v>
      </c>
      <c r="L53" s="32">
        <v>55.0</v>
      </c>
      <c r="M53" s="32">
        <v>20.0</v>
      </c>
      <c r="N53" s="32">
        <v>0.0</v>
      </c>
      <c r="O53" s="32">
        <v>40.0</v>
      </c>
      <c r="P53" s="32">
        <v>45.0</v>
      </c>
      <c r="Q53" s="32">
        <v>10.0</v>
      </c>
      <c r="R53" s="32">
        <v>80.0</v>
      </c>
      <c r="S53" s="32">
        <v>5.0</v>
      </c>
      <c r="T53" s="32">
        <v>15.0</v>
      </c>
      <c r="U53" s="32">
        <v>15.0</v>
      </c>
      <c r="V53" s="32">
        <v>30.0</v>
      </c>
    </row>
    <row r="54">
      <c r="A54" s="26" t="s">
        <v>678</v>
      </c>
      <c r="B54" s="26">
        <v>5.0</v>
      </c>
      <c r="C54" s="26" t="s">
        <v>679</v>
      </c>
      <c r="D54" s="26" t="s">
        <v>254</v>
      </c>
      <c r="E54" s="32">
        <v>2.0</v>
      </c>
      <c r="F54" s="32">
        <v>1.0</v>
      </c>
      <c r="G54" s="32">
        <v>3.0</v>
      </c>
      <c r="H54" s="32">
        <v>1.0</v>
      </c>
      <c r="I54" s="32">
        <v>0.0</v>
      </c>
      <c r="J54" s="32">
        <v>0.0</v>
      </c>
      <c r="K54" s="32">
        <v>2.0</v>
      </c>
      <c r="L54" s="32">
        <v>1.0</v>
      </c>
      <c r="M54" s="32">
        <v>1.0</v>
      </c>
      <c r="N54" s="32">
        <v>0.0</v>
      </c>
      <c r="O54" s="32">
        <v>1.0</v>
      </c>
      <c r="P54" s="32">
        <v>1.0</v>
      </c>
      <c r="Q54" s="32">
        <v>1.0</v>
      </c>
      <c r="R54" s="32">
        <v>2.0</v>
      </c>
      <c r="S54" s="32">
        <v>2.0</v>
      </c>
      <c r="T54" s="32">
        <v>1.0</v>
      </c>
      <c r="U54" s="32">
        <v>2.0</v>
      </c>
      <c r="V54" s="32">
        <v>3.0</v>
      </c>
    </row>
    <row r="55">
      <c r="A55" s="26" t="s">
        <v>682</v>
      </c>
      <c r="B55" s="26">
        <v>5.0</v>
      </c>
      <c r="C55" s="26" t="s">
        <v>683</v>
      </c>
      <c r="D55" s="26" t="s">
        <v>125</v>
      </c>
      <c r="E55" s="32">
        <v>8.0</v>
      </c>
      <c r="F55" s="32">
        <v>0.0</v>
      </c>
      <c r="G55" s="32">
        <v>5.0</v>
      </c>
      <c r="H55" s="32">
        <v>-3.0</v>
      </c>
      <c r="I55" s="32">
        <v>-5.0</v>
      </c>
      <c r="J55" s="32">
        <v>0.0</v>
      </c>
      <c r="K55" s="32">
        <v>2.0</v>
      </c>
      <c r="L55" s="32">
        <v>0.0</v>
      </c>
      <c r="M55" s="32">
        <v>-5.0</v>
      </c>
      <c r="N55" s="32">
        <v>0.0</v>
      </c>
      <c r="O55" s="32">
        <v>2.0</v>
      </c>
      <c r="P55" s="32">
        <v>-5.0</v>
      </c>
      <c r="Q55" s="32">
        <v>-2.0</v>
      </c>
      <c r="R55" s="32">
        <v>-5.0</v>
      </c>
      <c r="S55" s="32">
        <v>0.0</v>
      </c>
      <c r="T55" s="32">
        <v>2.0</v>
      </c>
      <c r="U55" s="32">
        <v>0.0</v>
      </c>
      <c r="V55" s="32">
        <v>0.0</v>
      </c>
    </row>
    <row r="56">
      <c r="A56" s="26" t="s">
        <v>686</v>
      </c>
      <c r="B56" s="26">
        <v>5.0</v>
      </c>
      <c r="C56" s="26" t="s">
        <v>687</v>
      </c>
      <c r="D56" s="26" t="s">
        <v>648</v>
      </c>
      <c r="E56" s="32">
        <v>4.5</v>
      </c>
      <c r="F56" s="32">
        <v>3.5</v>
      </c>
      <c r="G56" s="32">
        <v>1.6</v>
      </c>
      <c r="H56" s="32">
        <v>1.6</v>
      </c>
      <c r="I56" s="32">
        <v>1.2</v>
      </c>
      <c r="J56" s="32">
        <v>1.2</v>
      </c>
      <c r="K56" s="32">
        <v>0.6</v>
      </c>
      <c r="L56" s="32">
        <v>2.5</v>
      </c>
      <c r="M56" s="32">
        <v>7.5</v>
      </c>
      <c r="N56" s="32">
        <v>3.5</v>
      </c>
      <c r="O56" s="32">
        <v>3.2</v>
      </c>
      <c r="P56" s="32">
        <v>2.5</v>
      </c>
      <c r="Q56" s="32">
        <v>4.5</v>
      </c>
      <c r="R56" s="32">
        <v>5.0</v>
      </c>
      <c r="S56" s="32">
        <v>5.0</v>
      </c>
      <c r="T56" s="32">
        <v>12.0</v>
      </c>
      <c r="U56" s="32">
        <v>5.0</v>
      </c>
      <c r="V56" s="32">
        <v>2.0</v>
      </c>
    </row>
    <row r="57">
      <c r="A57" s="26" t="s">
        <v>690</v>
      </c>
      <c r="B57" s="26">
        <v>5.0</v>
      </c>
      <c r="C57" s="26" t="s">
        <v>691</v>
      </c>
      <c r="D57" s="26" t="s">
        <v>112</v>
      </c>
      <c r="E57" s="32">
        <v>8.0</v>
      </c>
      <c r="F57" s="32">
        <v>4.0</v>
      </c>
      <c r="G57" s="32">
        <v>7.0</v>
      </c>
      <c r="H57" s="32">
        <v>4.0</v>
      </c>
      <c r="I57" s="32">
        <v>3.0</v>
      </c>
      <c r="J57" s="32">
        <v>0.0</v>
      </c>
      <c r="K57" s="32">
        <v>3.0</v>
      </c>
      <c r="L57" s="32">
        <v>7.0</v>
      </c>
      <c r="M57" s="32">
        <v>6.0</v>
      </c>
      <c r="N57" s="32">
        <v>3.0</v>
      </c>
      <c r="O57" s="32">
        <v>4.0</v>
      </c>
      <c r="P57" s="32">
        <v>10.0</v>
      </c>
      <c r="Q57" s="32">
        <v>3.0</v>
      </c>
      <c r="R57" s="32">
        <v>-20.0</v>
      </c>
      <c r="S57" s="32">
        <v>5.0</v>
      </c>
      <c r="T57" s="32">
        <v>3.0</v>
      </c>
      <c r="U57" s="32">
        <v>2.0</v>
      </c>
      <c r="V57" s="32">
        <v>-10.0</v>
      </c>
    </row>
    <row r="58">
      <c r="A58" s="26" t="s">
        <v>694</v>
      </c>
      <c r="B58" s="26">
        <v>5.0</v>
      </c>
      <c r="C58" s="26" t="s">
        <v>695</v>
      </c>
      <c r="D58" s="26" t="s">
        <v>120</v>
      </c>
      <c r="E58" s="32">
        <v>1.0</v>
      </c>
      <c r="F58" s="32">
        <v>2.0</v>
      </c>
      <c r="G58" s="32">
        <v>2.0</v>
      </c>
      <c r="H58" s="32">
        <v>1.5</v>
      </c>
      <c r="I58" s="32">
        <v>3.0</v>
      </c>
      <c r="J58" s="32">
        <v>1.5</v>
      </c>
      <c r="K58" s="32">
        <v>1.2</v>
      </c>
      <c r="L58" s="32">
        <v>2.0</v>
      </c>
      <c r="M58" s="32">
        <v>2.0</v>
      </c>
      <c r="N58" s="32">
        <v>3.0</v>
      </c>
      <c r="O58" s="32">
        <v>2.5</v>
      </c>
      <c r="P58" s="32">
        <v>5.0</v>
      </c>
      <c r="Q58" s="32">
        <v>1.8</v>
      </c>
      <c r="R58" s="32">
        <v>15.0</v>
      </c>
      <c r="S58" s="32">
        <v>2.5</v>
      </c>
      <c r="T58" s="32">
        <v>1.5</v>
      </c>
      <c r="U58" s="32">
        <v>2.5</v>
      </c>
      <c r="V58" s="32">
        <v>6.0</v>
      </c>
    </row>
    <row r="59">
      <c r="A59" s="26" t="s">
        <v>698</v>
      </c>
      <c r="B59" s="26">
        <v>5.0</v>
      </c>
      <c r="C59" s="26" t="s">
        <v>699</v>
      </c>
      <c r="D59" s="26" t="s">
        <v>112</v>
      </c>
      <c r="E59" s="32">
        <v>1.0</v>
      </c>
      <c r="F59" s="32">
        <v>2.5</v>
      </c>
      <c r="G59" s="32">
        <v>1.0</v>
      </c>
      <c r="H59" s="32">
        <v>0.8</v>
      </c>
      <c r="I59" s="32">
        <v>0.5</v>
      </c>
      <c r="J59" s="32">
        <v>-1.8</v>
      </c>
      <c r="K59" s="32">
        <v>0.5</v>
      </c>
      <c r="L59" s="32">
        <v>1.5</v>
      </c>
      <c r="M59" s="32">
        <v>5.0</v>
      </c>
      <c r="N59" s="32">
        <v>0.0</v>
      </c>
      <c r="O59" s="32">
        <v>10.0</v>
      </c>
      <c r="P59" s="32">
        <v>15.0</v>
      </c>
      <c r="Q59" s="32">
        <v>4.5</v>
      </c>
      <c r="R59" s="32">
        <v>-50.0</v>
      </c>
      <c r="S59" s="32">
        <v>5.0</v>
      </c>
      <c r="T59" s="32">
        <v>1.5</v>
      </c>
      <c r="U59" s="32">
        <v>3.0</v>
      </c>
      <c r="V59" s="32">
        <v>5.0</v>
      </c>
    </row>
    <row r="60">
      <c r="A60" s="26" t="s">
        <v>703</v>
      </c>
      <c r="B60" s="26">
        <v>5.0</v>
      </c>
      <c r="C60" s="26" t="s">
        <v>704</v>
      </c>
      <c r="D60" s="26" t="s">
        <v>705</v>
      </c>
      <c r="E60" s="32">
        <v>5000.0</v>
      </c>
      <c r="F60" s="32">
        <v>4300.0</v>
      </c>
      <c r="G60" s="33">
        <v>15371.3</v>
      </c>
      <c r="H60" s="32">
        <v>13500.0</v>
      </c>
      <c r="I60" s="32">
        <v>94000.0</v>
      </c>
      <c r="J60" s="32">
        <v>33000.0</v>
      </c>
      <c r="K60" s="32">
        <v>35000.0</v>
      </c>
      <c r="L60" s="32">
        <v>2900.0</v>
      </c>
      <c r="M60" s="32">
        <v>1600.0</v>
      </c>
      <c r="N60" s="33">
        <v>8078.2</v>
      </c>
      <c r="O60" s="33">
        <v>12397.2</v>
      </c>
      <c r="P60" s="33">
        <v>16021.5</v>
      </c>
      <c r="Q60" s="33">
        <v>10725.5</v>
      </c>
      <c r="R60" s="32">
        <v>3500.0</v>
      </c>
      <c r="S60" s="32">
        <v>900.0</v>
      </c>
      <c r="T60" s="32">
        <v>1800.0</v>
      </c>
      <c r="U60" s="32">
        <v>1400.0</v>
      </c>
      <c r="V60" s="32">
        <v>2300.0</v>
      </c>
    </row>
    <row r="61">
      <c r="A61" s="26" t="s">
        <v>707</v>
      </c>
      <c r="B61" s="26">
        <v>6.0</v>
      </c>
      <c r="C61" s="26" t="s">
        <v>708</v>
      </c>
      <c r="D61" s="26" t="s">
        <v>254</v>
      </c>
      <c r="E61" s="32">
        <v>0.0</v>
      </c>
      <c r="F61" s="32">
        <v>2.0</v>
      </c>
      <c r="G61" s="32">
        <v>0.0</v>
      </c>
      <c r="H61" s="32">
        <v>0.0</v>
      </c>
      <c r="I61" s="32">
        <v>0.0</v>
      </c>
      <c r="J61" s="32">
        <v>0.0</v>
      </c>
      <c r="K61" s="32">
        <v>0.0</v>
      </c>
      <c r="L61" s="32">
        <v>2.0</v>
      </c>
      <c r="M61" s="32">
        <v>3.0</v>
      </c>
      <c r="N61" s="32">
        <v>0.0</v>
      </c>
      <c r="O61" s="32">
        <v>0.0</v>
      </c>
      <c r="P61" s="32">
        <v>0.0</v>
      </c>
      <c r="Q61" s="32">
        <v>2.0</v>
      </c>
      <c r="R61" s="32">
        <v>1.0</v>
      </c>
      <c r="S61" s="32">
        <v>3.0</v>
      </c>
      <c r="T61" s="32">
        <v>0.0</v>
      </c>
      <c r="U61" s="32">
        <v>0.0</v>
      </c>
      <c r="V61" s="32">
        <v>0.0</v>
      </c>
    </row>
    <row r="62">
      <c r="A62" s="26" t="s">
        <v>712</v>
      </c>
      <c r="B62" s="26">
        <v>6.0</v>
      </c>
      <c r="C62" s="26" t="s">
        <v>713</v>
      </c>
      <c r="D62" s="26" t="s">
        <v>714</v>
      </c>
      <c r="E62" s="32">
        <v>1.5</v>
      </c>
      <c r="F62" s="32">
        <v>4.5</v>
      </c>
      <c r="G62" s="32">
        <v>0.5</v>
      </c>
      <c r="H62" s="32">
        <v>2.0</v>
      </c>
      <c r="I62" s="32">
        <v>0.1</v>
      </c>
      <c r="J62" s="32">
        <v>0.2</v>
      </c>
      <c r="K62" s="32">
        <v>1.3</v>
      </c>
      <c r="L62" s="32">
        <v>2.8</v>
      </c>
      <c r="M62" s="32">
        <v>4.0</v>
      </c>
      <c r="N62" s="32">
        <v>30.0</v>
      </c>
      <c r="O62" s="32">
        <v>20.0</v>
      </c>
      <c r="P62" s="32">
        <v>4.0</v>
      </c>
      <c r="Q62" s="32">
        <v>25.0</v>
      </c>
      <c r="R62" s="32">
        <v>20.0</v>
      </c>
      <c r="S62" s="32">
        <v>22.0</v>
      </c>
      <c r="T62" s="32">
        <v>2.0</v>
      </c>
      <c r="U62" s="32">
        <v>5.0</v>
      </c>
      <c r="V62" s="32">
        <v>5.0</v>
      </c>
    </row>
    <row r="63">
      <c r="A63" s="26" t="s">
        <v>717</v>
      </c>
      <c r="B63" s="26">
        <v>6.0</v>
      </c>
      <c r="C63" s="26" t="s">
        <v>718</v>
      </c>
      <c r="D63" s="26" t="s">
        <v>254</v>
      </c>
      <c r="E63" s="32">
        <v>0.0</v>
      </c>
      <c r="F63" s="32">
        <v>1.0</v>
      </c>
      <c r="G63" s="32">
        <v>0.0</v>
      </c>
      <c r="H63" s="32">
        <v>0.0</v>
      </c>
      <c r="I63" s="32">
        <v>0.0</v>
      </c>
      <c r="J63" s="32">
        <v>0.0</v>
      </c>
      <c r="K63" s="32">
        <v>0.0</v>
      </c>
      <c r="L63" s="32">
        <v>1.0</v>
      </c>
      <c r="M63" s="32">
        <v>1.0</v>
      </c>
      <c r="N63" s="32">
        <v>2.0</v>
      </c>
      <c r="O63" s="32">
        <v>3.0</v>
      </c>
      <c r="P63" s="32">
        <v>1.0</v>
      </c>
      <c r="Q63" s="32">
        <v>3.0</v>
      </c>
      <c r="R63" s="32">
        <v>3.0</v>
      </c>
      <c r="S63" s="32">
        <v>2.0</v>
      </c>
      <c r="T63" s="32">
        <v>0.0</v>
      </c>
      <c r="U63" s="32">
        <v>1.0</v>
      </c>
      <c r="V63" s="32">
        <v>1.0</v>
      </c>
    </row>
    <row r="64">
      <c r="A64" s="26" t="s">
        <v>721</v>
      </c>
      <c r="B64" s="26">
        <v>6.0</v>
      </c>
      <c r="C64" s="26" t="s">
        <v>722</v>
      </c>
      <c r="D64" s="26" t="s">
        <v>254</v>
      </c>
      <c r="E64" s="32">
        <v>0.0</v>
      </c>
      <c r="F64" s="32">
        <v>1.0</v>
      </c>
      <c r="G64" s="32">
        <v>0.0</v>
      </c>
      <c r="H64" s="32">
        <v>0.0</v>
      </c>
      <c r="I64" s="32">
        <v>0.0</v>
      </c>
      <c r="J64" s="32">
        <v>0.0</v>
      </c>
      <c r="K64" s="32">
        <v>0.0</v>
      </c>
      <c r="L64" s="32">
        <v>1.0</v>
      </c>
      <c r="M64" s="32">
        <v>3.0</v>
      </c>
      <c r="N64" s="32">
        <v>1.0</v>
      </c>
      <c r="O64" s="32">
        <v>1.0</v>
      </c>
      <c r="P64" s="32">
        <v>0.0</v>
      </c>
      <c r="Q64" s="32">
        <v>3.0</v>
      </c>
      <c r="R64" s="32">
        <v>2.0</v>
      </c>
      <c r="S64" s="32">
        <v>3.0</v>
      </c>
      <c r="T64" s="32">
        <v>0.0</v>
      </c>
      <c r="U64" s="32">
        <v>0.0</v>
      </c>
      <c r="V64" s="32">
        <v>1.0</v>
      </c>
    </row>
    <row r="65">
      <c r="A65" s="26" t="s">
        <v>726</v>
      </c>
      <c r="B65" s="26">
        <v>6.0</v>
      </c>
      <c r="C65" s="26" t="s">
        <v>727</v>
      </c>
      <c r="D65" s="26" t="s">
        <v>254</v>
      </c>
      <c r="E65" s="32">
        <v>0.0</v>
      </c>
      <c r="F65" s="32">
        <v>1.0</v>
      </c>
      <c r="G65" s="32">
        <v>0.0</v>
      </c>
      <c r="H65" s="32">
        <v>0.0</v>
      </c>
      <c r="I65" s="32">
        <v>0.0</v>
      </c>
      <c r="J65" s="32">
        <v>0.0</v>
      </c>
      <c r="K65" s="32">
        <v>0.0</v>
      </c>
      <c r="L65" s="32">
        <v>1.0</v>
      </c>
      <c r="M65" s="32">
        <v>2.0</v>
      </c>
      <c r="N65" s="32">
        <v>0.0</v>
      </c>
      <c r="O65" s="32">
        <v>2.0</v>
      </c>
      <c r="P65" s="32">
        <v>0.0</v>
      </c>
      <c r="Q65" s="32">
        <v>3.0</v>
      </c>
      <c r="R65" s="32">
        <v>2.0</v>
      </c>
      <c r="S65" s="32">
        <v>3.0</v>
      </c>
      <c r="T65" s="32">
        <v>0.0</v>
      </c>
      <c r="U65" s="32">
        <v>0.0</v>
      </c>
      <c r="V65" s="32">
        <v>0.0</v>
      </c>
    </row>
    <row r="66">
      <c r="A66" s="26" t="s">
        <v>730</v>
      </c>
      <c r="B66" s="26">
        <v>6.0</v>
      </c>
      <c r="C66" s="26" t="s">
        <v>731</v>
      </c>
      <c r="D66" s="26" t="s">
        <v>112</v>
      </c>
      <c r="E66" s="32">
        <v>7.0</v>
      </c>
      <c r="F66" s="32">
        <v>10.0</v>
      </c>
      <c r="G66" s="32">
        <v>17.0</v>
      </c>
      <c r="H66" s="32">
        <v>11.0</v>
      </c>
      <c r="I66" s="32">
        <v>7.0</v>
      </c>
      <c r="J66" s="32">
        <v>4.0</v>
      </c>
      <c r="K66" s="32">
        <v>6.0</v>
      </c>
      <c r="L66" s="32">
        <v>16.0</v>
      </c>
      <c r="M66" s="32">
        <v>10.0</v>
      </c>
      <c r="N66" s="32">
        <v>13.0</v>
      </c>
      <c r="O66" s="32">
        <v>15.0</v>
      </c>
      <c r="P66" s="32">
        <v>18.0</v>
      </c>
      <c r="Q66" s="32">
        <v>20.0</v>
      </c>
      <c r="R66" s="32">
        <v>12.0</v>
      </c>
      <c r="S66" s="32">
        <v>6.0</v>
      </c>
      <c r="T66" s="32">
        <v>6.0</v>
      </c>
      <c r="U66" s="32">
        <v>12.0</v>
      </c>
      <c r="V66" s="32">
        <v>15.0</v>
      </c>
    </row>
    <row r="67">
      <c r="A67" s="26" t="s">
        <v>734</v>
      </c>
      <c r="B67" s="26">
        <v>6.0</v>
      </c>
      <c r="C67" s="26" t="s">
        <v>735</v>
      </c>
      <c r="D67" s="26" t="s">
        <v>736</v>
      </c>
      <c r="E67" s="32">
        <v>6.0</v>
      </c>
      <c r="F67" s="32">
        <v>6.5</v>
      </c>
      <c r="G67" s="32">
        <v>6.6</v>
      </c>
      <c r="H67" s="32">
        <v>6.0</v>
      </c>
      <c r="I67" s="32">
        <v>3.5</v>
      </c>
      <c r="J67" s="32">
        <v>4.3</v>
      </c>
      <c r="K67" s="32">
        <v>4.2</v>
      </c>
      <c r="L67" s="32">
        <v>5.9</v>
      </c>
      <c r="M67" s="32">
        <v>6.0</v>
      </c>
      <c r="N67" s="32">
        <v>5.5</v>
      </c>
      <c r="O67" s="32">
        <v>7.0</v>
      </c>
      <c r="P67" s="32">
        <v>5.5</v>
      </c>
      <c r="Q67" s="32">
        <v>7.6</v>
      </c>
      <c r="R67" s="32">
        <v>7.0</v>
      </c>
      <c r="S67" s="32">
        <v>7.3</v>
      </c>
      <c r="T67" s="32">
        <v>5.3</v>
      </c>
      <c r="U67" s="32">
        <v>5.5</v>
      </c>
      <c r="V67" s="32">
        <v>5.9</v>
      </c>
    </row>
    <row r="68">
      <c r="A68" s="26" t="s">
        <v>739</v>
      </c>
      <c r="B68" s="26">
        <v>6.0</v>
      </c>
      <c r="C68" s="26" t="s">
        <v>740</v>
      </c>
      <c r="D68" s="26" t="s">
        <v>254</v>
      </c>
      <c r="E68" s="32">
        <v>1.0</v>
      </c>
      <c r="F68" s="32">
        <v>2.0</v>
      </c>
      <c r="G68" s="32">
        <v>1.0</v>
      </c>
      <c r="H68" s="32">
        <v>1.0</v>
      </c>
      <c r="I68" s="32">
        <v>0.0</v>
      </c>
      <c r="J68" s="32">
        <v>1.0</v>
      </c>
      <c r="K68" s="32">
        <v>1.0</v>
      </c>
      <c r="L68" s="32">
        <v>1.0</v>
      </c>
      <c r="M68" s="32">
        <v>2.0</v>
      </c>
      <c r="N68" s="32">
        <v>2.0</v>
      </c>
      <c r="O68" s="32">
        <v>2.0</v>
      </c>
      <c r="P68" s="32">
        <v>1.0</v>
      </c>
      <c r="Q68" s="32">
        <v>2.0</v>
      </c>
      <c r="R68" s="32">
        <v>2.0</v>
      </c>
      <c r="S68" s="32">
        <v>2.0</v>
      </c>
      <c r="T68" s="32">
        <v>2.0</v>
      </c>
      <c r="U68" s="32">
        <v>2.0</v>
      </c>
      <c r="V68" s="32">
        <v>2.0</v>
      </c>
    </row>
    <row r="69">
      <c r="A69" s="26" t="s">
        <v>743</v>
      </c>
      <c r="B69" s="26">
        <v>6.0</v>
      </c>
      <c r="C69" s="26" t="s">
        <v>744</v>
      </c>
      <c r="D69" s="26" t="s">
        <v>745</v>
      </c>
      <c r="E69" s="32">
        <v>1.0</v>
      </c>
      <c r="F69" s="32">
        <v>0.9</v>
      </c>
      <c r="G69" s="32">
        <v>1.0</v>
      </c>
      <c r="H69" s="32">
        <v>1.0</v>
      </c>
      <c r="I69" s="32">
        <v>1.0</v>
      </c>
      <c r="J69" s="32">
        <v>1.0</v>
      </c>
      <c r="K69" s="32">
        <v>1.0</v>
      </c>
      <c r="L69" s="32">
        <v>1.0</v>
      </c>
      <c r="M69" s="32">
        <v>1.5</v>
      </c>
      <c r="N69" s="32">
        <v>1.0</v>
      </c>
      <c r="O69" s="32">
        <v>1.0</v>
      </c>
      <c r="P69" s="32">
        <v>1.0</v>
      </c>
      <c r="Q69" s="32">
        <v>1.2</v>
      </c>
      <c r="R69" s="32">
        <v>1.0</v>
      </c>
      <c r="S69" s="32">
        <v>1.1</v>
      </c>
      <c r="T69" s="32">
        <v>0.8</v>
      </c>
      <c r="U69" s="32">
        <v>1.0</v>
      </c>
      <c r="V69" s="32">
        <v>1.0</v>
      </c>
    </row>
    <row r="70">
      <c r="A70" s="26" t="s">
        <v>748</v>
      </c>
      <c r="B70" s="26">
        <v>6.0</v>
      </c>
      <c r="C70" s="26" t="s">
        <v>749</v>
      </c>
      <c r="D70" s="26" t="s">
        <v>254</v>
      </c>
      <c r="E70" s="32">
        <v>1.0</v>
      </c>
      <c r="F70" s="32">
        <v>2.0</v>
      </c>
      <c r="G70" s="32">
        <v>3.0</v>
      </c>
      <c r="H70" s="32">
        <v>2.0</v>
      </c>
      <c r="I70" s="32">
        <v>2.0</v>
      </c>
      <c r="J70" s="32">
        <v>0.0</v>
      </c>
      <c r="K70" s="32">
        <v>0.0</v>
      </c>
      <c r="L70" s="32">
        <v>2.0</v>
      </c>
      <c r="M70" s="32">
        <v>2.0</v>
      </c>
      <c r="N70" s="32">
        <v>2.0</v>
      </c>
      <c r="O70" s="32">
        <v>3.0</v>
      </c>
      <c r="P70" s="32">
        <v>1.0</v>
      </c>
      <c r="Q70" s="32">
        <v>3.0</v>
      </c>
      <c r="R70" s="32">
        <v>2.0</v>
      </c>
      <c r="S70" s="32">
        <v>2.0</v>
      </c>
      <c r="T70" s="32">
        <v>1.0</v>
      </c>
      <c r="U70" s="32">
        <v>4.0</v>
      </c>
      <c r="V70" s="32">
        <v>2.0</v>
      </c>
    </row>
    <row r="71">
      <c r="A71" s="26" t="s">
        <v>753</v>
      </c>
      <c r="B71" s="26">
        <v>6.0</v>
      </c>
      <c r="C71" s="26" t="s">
        <v>754</v>
      </c>
      <c r="D71" s="26" t="s">
        <v>112</v>
      </c>
      <c r="E71" s="32">
        <v>0.0</v>
      </c>
      <c r="F71" s="32">
        <v>1.0</v>
      </c>
      <c r="G71" s="32">
        <v>0.0</v>
      </c>
      <c r="H71" s="32">
        <v>0.0</v>
      </c>
      <c r="I71" s="32">
        <v>0.0</v>
      </c>
      <c r="J71" s="32">
        <v>0.0</v>
      </c>
      <c r="K71" s="32">
        <v>0.0</v>
      </c>
      <c r="L71" s="32">
        <v>2.0</v>
      </c>
      <c r="M71" s="32">
        <v>12.0</v>
      </c>
      <c r="N71" s="32">
        <v>1.0</v>
      </c>
      <c r="O71" s="32">
        <v>1.0</v>
      </c>
      <c r="P71" s="32">
        <v>1.0</v>
      </c>
      <c r="Q71" s="32">
        <v>3.0</v>
      </c>
      <c r="R71" s="32">
        <v>15.0</v>
      </c>
      <c r="S71" s="32">
        <v>14.0</v>
      </c>
      <c r="T71" s="32">
        <v>4.0</v>
      </c>
      <c r="U71" s="32">
        <v>10.0</v>
      </c>
      <c r="V71" s="32">
        <v>15.0</v>
      </c>
    </row>
    <row r="72">
      <c r="A72" s="26" t="s">
        <v>757</v>
      </c>
      <c r="B72" s="26">
        <v>6.0</v>
      </c>
      <c r="C72" s="26" t="s">
        <v>758</v>
      </c>
      <c r="D72" s="26" t="s">
        <v>254</v>
      </c>
      <c r="E72" s="32">
        <v>0.0</v>
      </c>
      <c r="F72" s="32">
        <v>0.0</v>
      </c>
      <c r="G72" s="32">
        <v>2.0</v>
      </c>
      <c r="H72" s="32">
        <v>0.0</v>
      </c>
      <c r="I72" s="32">
        <v>0.0</v>
      </c>
      <c r="J72" s="32">
        <v>0.0</v>
      </c>
      <c r="K72" s="32">
        <v>1.0</v>
      </c>
      <c r="L72" s="32">
        <v>2.0</v>
      </c>
      <c r="M72" s="32">
        <v>3.0</v>
      </c>
      <c r="N72" s="32">
        <v>0.0</v>
      </c>
      <c r="O72" s="32">
        <v>0.0</v>
      </c>
      <c r="P72" s="32">
        <v>0.0</v>
      </c>
      <c r="Q72" s="32">
        <v>2.0</v>
      </c>
      <c r="R72" s="32">
        <v>1.0</v>
      </c>
      <c r="S72" s="32">
        <v>2.0</v>
      </c>
      <c r="T72" s="32">
        <v>2.0</v>
      </c>
      <c r="U72" s="32">
        <v>1.0</v>
      </c>
      <c r="V72" s="32">
        <v>1.0</v>
      </c>
    </row>
    <row r="73">
      <c r="A73" s="26" t="s">
        <v>762</v>
      </c>
      <c r="B73" s="26">
        <v>6.0</v>
      </c>
      <c r="C73" s="26" t="s">
        <v>763</v>
      </c>
      <c r="D73" s="26" t="s">
        <v>764</v>
      </c>
      <c r="E73" s="32">
        <v>0.0</v>
      </c>
      <c r="F73" s="32">
        <v>4.0</v>
      </c>
      <c r="G73" s="32">
        <v>1.0</v>
      </c>
      <c r="H73" s="32">
        <v>0.5</v>
      </c>
      <c r="I73" s="32">
        <v>0.0</v>
      </c>
      <c r="J73" s="32">
        <v>1.0</v>
      </c>
      <c r="K73" s="32">
        <v>0.5</v>
      </c>
      <c r="L73" s="32">
        <v>6.0</v>
      </c>
      <c r="M73" s="32">
        <v>8.4</v>
      </c>
      <c r="N73" s="32">
        <v>0.0</v>
      </c>
      <c r="O73" s="32">
        <v>2.0</v>
      </c>
      <c r="P73" s="32">
        <v>2.0</v>
      </c>
      <c r="Q73" s="32">
        <v>5.0</v>
      </c>
      <c r="R73" s="32">
        <v>2.0</v>
      </c>
      <c r="S73" s="32">
        <v>7.6</v>
      </c>
      <c r="T73" s="32">
        <v>1.0</v>
      </c>
      <c r="U73" s="32">
        <v>0.0</v>
      </c>
      <c r="V73" s="32">
        <v>0.5</v>
      </c>
    </row>
    <row r="74">
      <c r="A74" s="26" t="s">
        <v>767</v>
      </c>
      <c r="B74" s="26">
        <v>6.0</v>
      </c>
      <c r="C74" s="26" t="s">
        <v>768</v>
      </c>
      <c r="D74" s="26" t="s">
        <v>254</v>
      </c>
      <c r="E74" s="32">
        <v>2.0</v>
      </c>
      <c r="F74" s="32">
        <v>3.0</v>
      </c>
      <c r="G74" s="32">
        <v>3.0</v>
      </c>
      <c r="H74" s="32">
        <v>1.0</v>
      </c>
      <c r="I74" s="32">
        <v>0.0</v>
      </c>
      <c r="J74" s="32">
        <v>0.0</v>
      </c>
      <c r="K74" s="32">
        <v>1.0</v>
      </c>
      <c r="L74" s="32">
        <v>2.0</v>
      </c>
      <c r="M74" s="32">
        <v>3.0</v>
      </c>
      <c r="N74" s="32">
        <v>2.0</v>
      </c>
      <c r="O74" s="32">
        <v>2.0</v>
      </c>
      <c r="P74" s="32">
        <v>1.0</v>
      </c>
      <c r="Q74" s="32">
        <v>2.0</v>
      </c>
      <c r="R74" s="32">
        <v>4.0</v>
      </c>
      <c r="S74" s="32">
        <v>3.0</v>
      </c>
      <c r="T74" s="32">
        <v>1.0</v>
      </c>
      <c r="U74" s="32">
        <v>1.0</v>
      </c>
      <c r="V74" s="32">
        <v>3.0</v>
      </c>
    </row>
    <row r="75">
      <c r="A75" s="26" t="s">
        <v>771</v>
      </c>
      <c r="B75" s="26">
        <v>7.0</v>
      </c>
      <c r="C75" s="26" t="s">
        <v>772</v>
      </c>
      <c r="D75" s="26" t="s">
        <v>37</v>
      </c>
      <c r="E75" s="32">
        <v>1.0</v>
      </c>
      <c r="F75" s="32">
        <v>1.5</v>
      </c>
      <c r="G75" s="32">
        <v>0.3</v>
      </c>
      <c r="H75" s="32">
        <v>0.3</v>
      </c>
      <c r="I75" s="32">
        <v>0.05</v>
      </c>
      <c r="J75" s="32">
        <v>0.5</v>
      </c>
      <c r="K75" s="32">
        <v>0.1</v>
      </c>
      <c r="L75" s="32">
        <v>0.5</v>
      </c>
      <c r="M75" s="32">
        <v>1.2</v>
      </c>
      <c r="N75" s="32">
        <v>4.0</v>
      </c>
      <c r="O75" s="32">
        <v>0.2</v>
      </c>
      <c r="P75" s="32">
        <v>0.3</v>
      </c>
      <c r="Q75" s="32">
        <v>0.5</v>
      </c>
      <c r="R75" s="32">
        <v>0.3</v>
      </c>
      <c r="S75" s="32">
        <v>0.5</v>
      </c>
      <c r="T75" s="32">
        <v>0.4</v>
      </c>
      <c r="U75" s="32">
        <v>0.8</v>
      </c>
      <c r="V75" s="32">
        <v>1.0</v>
      </c>
    </row>
    <row r="76">
      <c r="A76" s="26" t="s">
        <v>775</v>
      </c>
      <c r="B76" s="26">
        <v>7.0</v>
      </c>
      <c r="C76" s="26" t="s">
        <v>776</v>
      </c>
      <c r="D76" s="26" t="s">
        <v>37</v>
      </c>
      <c r="E76" s="32">
        <v>8.0</v>
      </c>
      <c r="F76" s="32">
        <v>12.0</v>
      </c>
      <c r="G76" s="32">
        <v>3.0</v>
      </c>
      <c r="H76" s="32">
        <v>3.0</v>
      </c>
      <c r="I76" s="32">
        <v>1.0</v>
      </c>
      <c r="J76" s="32">
        <v>8.0</v>
      </c>
      <c r="K76" s="32">
        <v>2.0</v>
      </c>
      <c r="L76" s="32">
        <v>4.0</v>
      </c>
      <c r="M76" s="32">
        <v>12.0</v>
      </c>
      <c r="N76" s="32">
        <v>40.0</v>
      </c>
      <c r="O76" s="32">
        <v>2.0</v>
      </c>
      <c r="P76" s="32">
        <v>3.0</v>
      </c>
      <c r="Q76" s="32">
        <v>6.0</v>
      </c>
      <c r="R76" s="32">
        <v>3.0</v>
      </c>
      <c r="S76" s="32">
        <v>4.0</v>
      </c>
      <c r="T76" s="32">
        <v>4.0</v>
      </c>
      <c r="U76" s="32">
        <v>8.0</v>
      </c>
      <c r="V76" s="32">
        <v>10.0</v>
      </c>
    </row>
    <row r="77">
      <c r="A77" s="26" t="s">
        <v>779</v>
      </c>
      <c r="B77" s="26">
        <v>7.0</v>
      </c>
      <c r="C77" s="26" t="s">
        <v>780</v>
      </c>
      <c r="D77" s="26" t="s">
        <v>112</v>
      </c>
      <c r="E77" s="32">
        <v>25.0</v>
      </c>
      <c r="F77" s="32">
        <v>45.0</v>
      </c>
      <c r="G77" s="32">
        <v>10.0</v>
      </c>
      <c r="H77" s="32">
        <v>10.0</v>
      </c>
      <c r="I77" s="32">
        <v>2.0</v>
      </c>
      <c r="J77" s="32">
        <v>15.0</v>
      </c>
      <c r="K77" s="32">
        <v>5.0</v>
      </c>
      <c r="L77" s="32">
        <v>15.0</v>
      </c>
      <c r="M77" s="32">
        <v>35.0</v>
      </c>
      <c r="N77" s="32">
        <v>45.0</v>
      </c>
      <c r="O77" s="32">
        <v>5.0</v>
      </c>
      <c r="P77" s="32">
        <v>8.0</v>
      </c>
      <c r="Q77" s="32">
        <v>15.0</v>
      </c>
      <c r="R77" s="32">
        <v>8.0</v>
      </c>
      <c r="S77" s="32">
        <v>15.0</v>
      </c>
      <c r="T77" s="32">
        <v>10.0</v>
      </c>
      <c r="U77" s="32">
        <v>30.0</v>
      </c>
      <c r="V77" s="32">
        <v>35.0</v>
      </c>
    </row>
    <row r="78">
      <c r="A78" s="26" t="s">
        <v>783</v>
      </c>
      <c r="B78" s="26">
        <v>7.0</v>
      </c>
      <c r="C78" s="26" t="s">
        <v>784</v>
      </c>
      <c r="D78" s="26" t="s">
        <v>112</v>
      </c>
      <c r="E78" s="32">
        <v>20.0</v>
      </c>
      <c r="F78" s="32">
        <v>20.0</v>
      </c>
      <c r="G78" s="32">
        <v>10.0</v>
      </c>
      <c r="H78" s="32">
        <v>15.0</v>
      </c>
      <c r="I78" s="32">
        <v>5.0</v>
      </c>
      <c r="J78" s="32">
        <v>10.0</v>
      </c>
      <c r="K78" s="32">
        <v>5.0</v>
      </c>
      <c r="L78" s="32">
        <v>15.0</v>
      </c>
      <c r="M78" s="32">
        <v>25.0</v>
      </c>
      <c r="N78" s="32">
        <v>50.0</v>
      </c>
      <c r="O78" s="32">
        <v>30.0</v>
      </c>
      <c r="P78" s="32">
        <v>40.0</v>
      </c>
      <c r="Q78" s="32">
        <v>15.0</v>
      </c>
      <c r="R78" s="32">
        <v>10.0</v>
      </c>
      <c r="S78" s="32">
        <v>15.0</v>
      </c>
      <c r="T78" s="32">
        <v>20.0</v>
      </c>
      <c r="U78" s="32">
        <v>30.0</v>
      </c>
      <c r="V78" s="32">
        <v>35.0</v>
      </c>
    </row>
    <row r="79">
      <c r="A79" s="26" t="s">
        <v>786</v>
      </c>
      <c r="B79" s="26">
        <v>7.0</v>
      </c>
      <c r="C79" s="26" t="s">
        <v>787</v>
      </c>
      <c r="D79" s="26" t="s">
        <v>112</v>
      </c>
      <c r="E79" s="32">
        <v>95.0</v>
      </c>
      <c r="F79" s="32">
        <v>90.0</v>
      </c>
      <c r="G79" s="32">
        <v>85.0</v>
      </c>
      <c r="H79" s="32">
        <v>85.0</v>
      </c>
      <c r="I79" s="32">
        <v>50.0</v>
      </c>
      <c r="J79" s="32">
        <v>65.0</v>
      </c>
      <c r="K79" s="32">
        <v>60.0</v>
      </c>
      <c r="L79" s="32">
        <v>92.0</v>
      </c>
      <c r="M79" s="32">
        <v>98.0</v>
      </c>
      <c r="N79" s="32">
        <v>90.0</v>
      </c>
      <c r="O79" s="32">
        <v>85.0</v>
      </c>
      <c r="P79" s="32">
        <v>80.0</v>
      </c>
      <c r="Q79" s="32">
        <v>80.0</v>
      </c>
      <c r="R79" s="32">
        <v>98.0</v>
      </c>
      <c r="S79" s="32">
        <v>97.0</v>
      </c>
      <c r="T79" s="32">
        <v>95.0</v>
      </c>
      <c r="U79" s="32">
        <v>97.0</v>
      </c>
      <c r="V79" s="32">
        <v>98.0</v>
      </c>
    </row>
    <row r="80">
      <c r="A80" s="26" t="s">
        <v>790</v>
      </c>
      <c r="B80" s="26">
        <v>7.0</v>
      </c>
      <c r="C80" s="26" t="s">
        <v>791</v>
      </c>
      <c r="D80" s="26" t="s">
        <v>254</v>
      </c>
      <c r="E80" s="32">
        <v>3.0</v>
      </c>
      <c r="F80" s="32">
        <v>1.0</v>
      </c>
      <c r="G80" s="32">
        <v>2.0</v>
      </c>
      <c r="H80" s="32">
        <v>2.0</v>
      </c>
      <c r="I80" s="32">
        <v>0.0</v>
      </c>
      <c r="J80" s="32">
        <v>1.0</v>
      </c>
      <c r="K80" s="32">
        <v>1.0</v>
      </c>
      <c r="L80" s="32">
        <v>2.0</v>
      </c>
      <c r="M80" s="32">
        <v>3.0</v>
      </c>
      <c r="N80" s="32">
        <v>1.0</v>
      </c>
      <c r="O80" s="32">
        <v>3.0</v>
      </c>
      <c r="P80" s="32">
        <v>3.0</v>
      </c>
      <c r="Q80" s="32">
        <v>1.0</v>
      </c>
      <c r="R80" s="32">
        <v>4.0</v>
      </c>
      <c r="S80" s="32">
        <v>3.0</v>
      </c>
      <c r="T80" s="32">
        <v>2.0</v>
      </c>
      <c r="U80" s="32">
        <v>3.0</v>
      </c>
      <c r="V80" s="32">
        <v>3.0</v>
      </c>
    </row>
    <row r="81">
      <c r="A81" s="26" t="s">
        <v>794</v>
      </c>
      <c r="B81" s="26">
        <v>7.0</v>
      </c>
      <c r="C81" s="26" t="s">
        <v>795</v>
      </c>
      <c r="D81" s="26" t="s">
        <v>254</v>
      </c>
      <c r="E81" s="34"/>
      <c r="F81" s="32">
        <v>2.0</v>
      </c>
      <c r="G81" s="34"/>
      <c r="H81" s="34"/>
      <c r="I81" s="34"/>
      <c r="J81" s="34"/>
      <c r="K81" s="34"/>
      <c r="L81" s="34"/>
      <c r="M81" s="34"/>
      <c r="N81" s="32">
        <v>2.0</v>
      </c>
      <c r="O81" s="34"/>
      <c r="P81" s="34"/>
      <c r="Q81" s="32">
        <v>1.0</v>
      </c>
      <c r="R81" s="34"/>
      <c r="S81" s="34"/>
      <c r="T81" s="32">
        <v>3.0</v>
      </c>
      <c r="U81" s="34"/>
      <c r="V81" s="34"/>
    </row>
    <row r="82">
      <c r="A82" s="26" t="s">
        <v>798</v>
      </c>
      <c r="B82" s="26">
        <v>7.0</v>
      </c>
      <c r="C82" s="26" t="s">
        <v>799</v>
      </c>
      <c r="D82" s="26" t="s">
        <v>112</v>
      </c>
      <c r="E82" s="32">
        <v>35.0</v>
      </c>
      <c r="F82" s="32">
        <v>25.0</v>
      </c>
      <c r="G82" s="32">
        <v>10.0</v>
      </c>
      <c r="H82" s="32">
        <v>15.0</v>
      </c>
      <c r="I82" s="32">
        <v>30.0</v>
      </c>
      <c r="J82" s="32">
        <v>15.0</v>
      </c>
      <c r="K82" s="32">
        <v>5.0</v>
      </c>
      <c r="L82" s="32">
        <v>5.0</v>
      </c>
      <c r="M82" s="32">
        <v>10.0</v>
      </c>
      <c r="N82" s="32">
        <v>45.0</v>
      </c>
      <c r="O82" s="32">
        <v>5.0</v>
      </c>
      <c r="P82" s="32">
        <v>5.0</v>
      </c>
      <c r="Q82" s="32">
        <v>5.0</v>
      </c>
      <c r="R82" s="32">
        <v>5.0</v>
      </c>
      <c r="S82" s="32">
        <v>10.0</v>
      </c>
      <c r="T82" s="32">
        <v>25.0</v>
      </c>
      <c r="U82" s="32">
        <v>5.0</v>
      </c>
      <c r="V82" s="32">
        <v>5.0</v>
      </c>
    </row>
    <row r="83">
      <c r="A83" s="26" t="s">
        <v>802</v>
      </c>
      <c r="B83" s="26">
        <v>7.0</v>
      </c>
      <c r="C83" s="26" t="s">
        <v>803</v>
      </c>
      <c r="D83" s="26" t="s">
        <v>254</v>
      </c>
      <c r="E83" s="32">
        <v>0.0</v>
      </c>
      <c r="F83" s="32">
        <v>0.0</v>
      </c>
      <c r="G83" s="32">
        <v>0.0</v>
      </c>
      <c r="H83" s="32">
        <v>0.0</v>
      </c>
      <c r="I83" s="32">
        <v>0.0</v>
      </c>
      <c r="J83" s="32">
        <v>0.0</v>
      </c>
      <c r="K83" s="32">
        <v>0.0</v>
      </c>
      <c r="L83" s="32">
        <v>1.0</v>
      </c>
      <c r="M83" s="32">
        <v>1.0</v>
      </c>
      <c r="N83" s="32">
        <v>0.0</v>
      </c>
      <c r="O83" s="32">
        <v>1.0</v>
      </c>
      <c r="P83" s="32">
        <v>0.0</v>
      </c>
      <c r="Q83" s="32">
        <v>1.0</v>
      </c>
      <c r="R83" s="32">
        <v>0.0</v>
      </c>
      <c r="S83" s="32">
        <v>3.0</v>
      </c>
      <c r="T83" s="32">
        <v>1.0</v>
      </c>
      <c r="U83" s="32">
        <v>1.0</v>
      </c>
      <c r="V83" s="32">
        <v>1.0</v>
      </c>
    </row>
    <row r="84">
      <c r="A84" s="26" t="s">
        <v>807</v>
      </c>
      <c r="B84" s="26">
        <v>7.0</v>
      </c>
      <c r="C84" s="26" t="s">
        <v>808</v>
      </c>
      <c r="D84" s="26" t="s">
        <v>112</v>
      </c>
      <c r="E84" s="32">
        <v>3.0</v>
      </c>
      <c r="F84" s="32">
        <v>3.0</v>
      </c>
      <c r="G84" s="32">
        <v>2.0</v>
      </c>
      <c r="H84" s="32">
        <v>20.0</v>
      </c>
      <c r="I84" s="32">
        <v>15.0</v>
      </c>
      <c r="J84" s="32">
        <v>1.0</v>
      </c>
      <c r="K84" s="32">
        <v>10.0</v>
      </c>
      <c r="L84" s="32">
        <v>12.0</v>
      </c>
      <c r="M84" s="32">
        <v>2.0</v>
      </c>
      <c r="N84" s="32">
        <v>2.0</v>
      </c>
      <c r="O84" s="32">
        <v>15.0</v>
      </c>
      <c r="P84" s="32">
        <v>10.0</v>
      </c>
      <c r="Q84" s="32">
        <v>50.0</v>
      </c>
      <c r="R84" s="32">
        <v>90.0</v>
      </c>
      <c r="S84" s="32">
        <v>85.0</v>
      </c>
      <c r="T84" s="32">
        <v>20.0</v>
      </c>
      <c r="U84" s="32">
        <v>1.0</v>
      </c>
      <c r="V84" s="32">
        <v>5.0</v>
      </c>
    </row>
    <row r="85">
      <c r="A85" s="26" t="s">
        <v>811</v>
      </c>
      <c r="B85" s="26">
        <v>7.0</v>
      </c>
      <c r="C85" s="26" t="s">
        <v>812</v>
      </c>
      <c r="D85" s="26" t="s">
        <v>813</v>
      </c>
      <c r="E85" s="32">
        <v>0.41</v>
      </c>
      <c r="F85" s="32">
        <v>0.45</v>
      </c>
      <c r="G85" s="32">
        <v>0.36</v>
      </c>
      <c r="H85" s="32">
        <v>0.37</v>
      </c>
      <c r="I85" s="32">
        <v>0.3</v>
      </c>
      <c r="J85" s="32">
        <v>0.33</v>
      </c>
      <c r="K85" s="32">
        <v>0.32</v>
      </c>
      <c r="L85" s="32">
        <v>0.48</v>
      </c>
      <c r="M85" s="32">
        <v>0.5</v>
      </c>
      <c r="N85" s="32">
        <v>0.45</v>
      </c>
      <c r="O85" s="32">
        <v>0.38</v>
      </c>
      <c r="P85" s="32">
        <v>0.36</v>
      </c>
      <c r="Q85" s="32">
        <v>0.39</v>
      </c>
      <c r="R85" s="32">
        <v>0.42</v>
      </c>
      <c r="S85" s="32">
        <v>0.53</v>
      </c>
      <c r="T85" s="32">
        <v>0.52</v>
      </c>
      <c r="U85" s="32">
        <v>0.53</v>
      </c>
      <c r="V85" s="32">
        <v>0.52</v>
      </c>
    </row>
    <row r="86">
      <c r="A86" s="26" t="s">
        <v>816</v>
      </c>
      <c r="B86" s="26">
        <v>7.0</v>
      </c>
      <c r="C86" s="26" t="s">
        <v>817</v>
      </c>
      <c r="D86" s="26" t="s">
        <v>254</v>
      </c>
      <c r="E86" s="32">
        <v>1.0</v>
      </c>
      <c r="F86" s="32">
        <v>1.0</v>
      </c>
      <c r="G86" s="32">
        <v>3.0</v>
      </c>
      <c r="H86" s="32">
        <v>0.0</v>
      </c>
      <c r="I86" s="32">
        <v>4.0</v>
      </c>
      <c r="J86" s="32">
        <v>2.0</v>
      </c>
      <c r="K86" s="32">
        <v>2.0</v>
      </c>
      <c r="L86" s="32">
        <v>4.0</v>
      </c>
      <c r="M86" s="32">
        <v>4.0</v>
      </c>
      <c r="N86" s="32">
        <v>0.0</v>
      </c>
      <c r="O86" s="32">
        <v>0.0</v>
      </c>
      <c r="P86" s="32">
        <v>1.0</v>
      </c>
      <c r="Q86" s="32">
        <v>0.0</v>
      </c>
      <c r="R86" s="32">
        <v>1.0</v>
      </c>
      <c r="S86" s="32">
        <v>1.0</v>
      </c>
      <c r="T86" s="32">
        <v>2.0</v>
      </c>
      <c r="U86" s="32">
        <v>0.0</v>
      </c>
      <c r="V86" s="32">
        <v>2.0</v>
      </c>
    </row>
    <row r="87">
      <c r="A87" s="26" t="s">
        <v>821</v>
      </c>
      <c r="B87" s="26">
        <v>7.0</v>
      </c>
      <c r="C87" s="26" t="s">
        <v>822</v>
      </c>
      <c r="D87" s="26" t="s">
        <v>823</v>
      </c>
      <c r="E87" s="32">
        <v>1.0</v>
      </c>
      <c r="F87" s="32">
        <v>1.0</v>
      </c>
      <c r="G87" s="32">
        <v>1.0</v>
      </c>
      <c r="H87" s="32">
        <v>1.0</v>
      </c>
      <c r="I87" s="32">
        <v>1.0</v>
      </c>
      <c r="J87" s="32">
        <v>2.0</v>
      </c>
      <c r="K87" s="32">
        <v>1.0</v>
      </c>
      <c r="L87" s="32">
        <v>1.0</v>
      </c>
      <c r="M87" s="32">
        <v>2.0</v>
      </c>
      <c r="N87" s="32">
        <v>2.0</v>
      </c>
      <c r="O87" s="32">
        <v>1.0</v>
      </c>
      <c r="P87" s="32">
        <v>1.0</v>
      </c>
      <c r="Q87" s="32">
        <v>1.0</v>
      </c>
      <c r="R87" s="32">
        <v>6.0</v>
      </c>
      <c r="S87" s="32">
        <v>1.0</v>
      </c>
      <c r="T87" s="32">
        <v>1.0</v>
      </c>
      <c r="U87" s="32">
        <v>2.0</v>
      </c>
      <c r="V87" s="32">
        <v>3.0</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2" width="6.38"/>
    <col customWidth="1" min="3" max="3" width="41.38"/>
    <col customWidth="1" min="4" max="4" width="18.88"/>
    <col customWidth="1" min="5" max="22" width="11.63"/>
  </cols>
  <sheetData>
    <row r="1">
      <c r="A1" s="2" t="s">
        <v>827</v>
      </c>
    </row>
    <row r="2">
      <c r="A2" s="5" t="s">
        <v>829</v>
      </c>
    </row>
    <row r="4">
      <c r="A4" s="21" t="str">
        <f t="array" ref="A4:D87">Rulebook!A4:D87</f>
        <v>ID</v>
      </c>
      <c r="B4" s="21" t="s">
        <v>43</v>
      </c>
      <c r="C4" s="21" t="s">
        <v>68</v>
      </c>
      <c r="D4" s="21" t="s">
        <v>9</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26" t="s">
        <v>100</v>
      </c>
      <c r="B5" s="26">
        <v>1.0</v>
      </c>
      <c r="C5" s="26" t="s">
        <v>104</v>
      </c>
      <c r="D5" s="26" t="s">
        <v>105</v>
      </c>
    </row>
    <row r="6">
      <c r="A6" s="26" t="s">
        <v>129</v>
      </c>
      <c r="B6" s="26">
        <v>1.0</v>
      </c>
      <c r="C6" s="26" t="s">
        <v>133</v>
      </c>
      <c r="D6" s="26" t="s">
        <v>134</v>
      </c>
    </row>
    <row r="7">
      <c r="A7" s="26" t="s">
        <v>140</v>
      </c>
      <c r="B7" s="26">
        <v>1.0</v>
      </c>
      <c r="C7" s="26" t="s">
        <v>142</v>
      </c>
      <c r="D7" s="26" t="s">
        <v>37</v>
      </c>
      <c r="E7" s="26">
        <f>Inputs!E7*(1+Inputs!E9/100*E$90/100)/(1+E$92/100)+Assumptions!$B$30*ABS(E$92)</f>
        <v>36.04132653</v>
      </c>
      <c r="F7" s="26">
        <f>Inputs!F7*(1+Inputs!F9/100*F$90/100)/(1+F$92/100)+Assumptions!$B$30*ABS(F$92)</f>
        <v>65.62040816</v>
      </c>
      <c r="G7" s="26">
        <f>Inputs!G7*(1+Inputs!G9/100*G$90/100)/(1+G$92/100)+Assumptions!$B$30*ABS(G$92)</f>
        <v>107.4502041</v>
      </c>
      <c r="H7" s="26">
        <f>Inputs!H7*(1+Inputs!H9/100*H$90/100)/(1+H$92/100)+Assumptions!$B$30*ABS(H$92)</f>
        <v>71.63591837</v>
      </c>
      <c r="I7" s="26">
        <f>Inputs!I7*(1+Inputs!I9/100*I$90/100)/(1+I$92/100)+Assumptions!$B$30*ABS(I$92)</f>
        <v>179.1714286</v>
      </c>
      <c r="J7" s="26">
        <f>Inputs!J7*(1+Inputs!J9/100*J$90/100)/(1+J$92/100)+Assumptions!$B$30*ABS(J$92)</f>
        <v>204.0693878</v>
      </c>
      <c r="K7" s="26">
        <f>Inputs!K7*(1+Inputs!K9/100*K$90/100)/(1+K$92/100)+Assumptions!$B$30*ABS(K$92)</f>
        <v>49.15489796</v>
      </c>
      <c r="L7" s="26">
        <f>Inputs!L7*(1+Inputs!L9/100*L$90/100)/(1+L$92/100)+Assumptions!$B$30*ABS(L$92)</f>
        <v>86.03188776</v>
      </c>
      <c r="M7" s="26">
        <f>Inputs!M7*(1+Inputs!M9/100*M$90/100)/(1+M$92/100)+Assumptions!$B$30*ABS(M$92)</f>
        <v>78.25714286</v>
      </c>
      <c r="N7" s="26">
        <f>Inputs!N7*(1+Inputs!N9/100*N$90/100)/(1+N$92/100)+Assumptions!$B$30*ABS(N$92)</f>
        <v>66.51836735</v>
      </c>
      <c r="O7" s="26">
        <f>Inputs!O7*(1+Inputs!O9/100*O$90/100)/(1+O$92/100)+Assumptions!$B$30*ABS(O$92)</f>
        <v>100.3714286</v>
      </c>
      <c r="P7" s="26">
        <f>Inputs!P7*(1+Inputs!P9/100*P$90/100)/(1+P$92/100)+Assumptions!$B$30*ABS(P$92)</f>
        <v>77.67857143</v>
      </c>
      <c r="Q7" s="26">
        <f>Inputs!Q7*(1+Inputs!Q9/100*Q$90/100)/(1+Q$92/100)+Assumptions!$B$30*ABS(Q$92)</f>
        <v>65.56428571</v>
      </c>
      <c r="R7" s="26">
        <f>Inputs!R7*(1+Inputs!R9/100*R$90/100)/(1+R$92/100)+Assumptions!$B$30*ABS(R$92)</f>
        <v>174.3244898</v>
      </c>
      <c r="S7" s="26">
        <f>Inputs!S7*(1+Inputs!S9/100*S$90/100)/(1+S$92/100)+Assumptions!$B$30*ABS(S$92)</f>
        <v>58.43673469</v>
      </c>
      <c r="T7" s="26">
        <f>Inputs!T7*(1+Inputs!T9/100*T$90/100)/(1+T$92/100)+Assumptions!$B$30*ABS(T$92)</f>
        <v>123.0489796</v>
      </c>
      <c r="U7" s="26">
        <f>Inputs!U7*(1+Inputs!U9/100*U$90/100)/(1+U$92/100)+Assumptions!$B$30*ABS(U$92)</f>
        <v>120.6</v>
      </c>
      <c r="V7" s="26">
        <f>Inputs!V7*(1+Inputs!V9/100*V$90/100)/(1+V$92/100)+Assumptions!$B$30*ABS(V$92)</f>
        <v>86.31428571</v>
      </c>
    </row>
    <row r="8">
      <c r="A8" s="26" t="s">
        <v>149</v>
      </c>
      <c r="B8" s="26">
        <v>1.0</v>
      </c>
      <c r="C8" s="26" t="s">
        <v>151</v>
      </c>
      <c r="D8" s="26" t="s">
        <v>37</v>
      </c>
      <c r="E8" s="36">
        <f>Inputs!E8+Assumptions!$B$30*ABS(E$92)+Inputs!E7*Assumptions!$B$28*Assumptions!$B$29/100</f>
        <v>6.765</v>
      </c>
      <c r="F8" s="36">
        <f>Inputs!F8+Assumptions!$B$30*ABS(F$92)+Inputs!F7*Assumptions!$B$28*Assumptions!$B$29/100</f>
        <v>10.9</v>
      </c>
      <c r="G8" s="36">
        <f>Inputs!G8+Assumptions!$B$30*ABS(G$92)+Inputs!G7*Assumptions!$B$28*Assumptions!$B$29/100</f>
        <v>19.122</v>
      </c>
      <c r="H8" s="36">
        <f>Inputs!H8+Assumptions!$B$30*ABS(H$92)+Inputs!H7*Assumptions!$B$28*Assumptions!$B$29/100</f>
        <v>12.946</v>
      </c>
      <c r="I8" s="36">
        <f>Inputs!I8+Assumptions!$B$30*ABS(I$92)+Inputs!I7*Assumptions!$B$28*Assumptions!$B$29/100</f>
        <v>3.475</v>
      </c>
      <c r="J8" s="36">
        <f>Inputs!J8+Assumptions!$B$30*ABS(J$92)+Inputs!J7*Assumptions!$B$28*Assumptions!$B$29/100</f>
        <v>41.597</v>
      </c>
      <c r="K8" s="36">
        <f>Inputs!K8+Assumptions!$B$30*ABS(K$92)+Inputs!K7*Assumptions!$B$28*Assumptions!$B$29/100</f>
        <v>5.8365</v>
      </c>
      <c r="L8" s="36">
        <f>Inputs!L8+Assumptions!$B$30*ABS(L$92)+Inputs!L7*Assumptions!$B$28*Assumptions!$B$29/100</f>
        <v>15.0155</v>
      </c>
      <c r="M8" s="36">
        <f>Inputs!M8+Assumptions!$B$30*ABS(M$92)+Inputs!M7*Assumptions!$B$28*Assumptions!$B$29/100</f>
        <v>22.96</v>
      </c>
      <c r="N8" s="36">
        <f>Inputs!N8+Assumptions!$B$30*ABS(N$92)+Inputs!N7*Assumptions!$B$28*Assumptions!$B$29/100</f>
        <v>7.923</v>
      </c>
      <c r="O8" s="36">
        <f>Inputs!O8+Assumptions!$B$30*ABS(O$92)+Inputs!O7*Assumptions!$B$28*Assumptions!$B$29/100</f>
        <v>21.085</v>
      </c>
      <c r="P8" s="36">
        <f>Inputs!P8+Assumptions!$B$30*ABS(P$92)+Inputs!P7*Assumptions!$B$28*Assumptions!$B$29/100</f>
        <v>12.9465</v>
      </c>
      <c r="Q8" s="36">
        <f>Inputs!Q8+Assumptions!$B$30*ABS(Q$92)+Inputs!Q7*Assumptions!$B$28*Assumptions!$B$29/100</f>
        <v>9.8975</v>
      </c>
      <c r="R8" s="36">
        <f>Inputs!R8+Assumptions!$B$30*ABS(R$92)+Inputs!R7*Assumptions!$B$28*Assumptions!$B$29/100</f>
        <v>26.35</v>
      </c>
      <c r="S8" s="36">
        <f>Inputs!S8+Assumptions!$B$30*ABS(S$92)+Inputs!S7*Assumptions!$B$28*Assumptions!$B$29/100</f>
        <v>10.86</v>
      </c>
      <c r="T8" s="36">
        <f>Inputs!T8+Assumptions!$B$30*ABS(T$92)+Inputs!T7*Assumptions!$B$28*Assumptions!$B$29/100</f>
        <v>19.2</v>
      </c>
      <c r="U8" s="36">
        <f>Inputs!U8+Assumptions!$B$30*ABS(U$92)+Inputs!U7*Assumptions!$B$28*Assumptions!$B$29/100</f>
        <v>11.125</v>
      </c>
      <c r="V8" s="36">
        <f>Inputs!V8+Assumptions!$B$30*ABS(V$92)+Inputs!V7*Assumptions!$B$28*Assumptions!$B$29/100</f>
        <v>8.975</v>
      </c>
    </row>
    <row r="9">
      <c r="A9" s="26" t="s">
        <v>176</v>
      </c>
      <c r="B9" s="26">
        <v>1.0</v>
      </c>
      <c r="C9" s="26" t="s">
        <v>179</v>
      </c>
      <c r="D9" s="26" t="s">
        <v>182</v>
      </c>
    </row>
    <row r="10">
      <c r="A10" s="26" t="s">
        <v>202</v>
      </c>
      <c r="B10" s="26">
        <v>1.0</v>
      </c>
      <c r="C10" s="26" t="s">
        <v>205</v>
      </c>
      <c r="D10" s="26" t="s">
        <v>125</v>
      </c>
      <c r="E10" s="36">
        <f>Inputs!E10-Assumptions!$B$30*ABS(E$92)-Inputs!E7/100*(Assumptions!$B$28*Assumptions!$B$29+ABS(E$92))</f>
        <v>-0.925</v>
      </c>
      <c r="F10" s="36">
        <f>Inputs!F10-Assumptions!$B$30*ABS(F$92)-Inputs!F7/100*(Assumptions!$B$28*Assumptions!$B$29+ABS(F$92))</f>
        <v>-3.1</v>
      </c>
      <c r="G10" s="36">
        <f>Inputs!G10-Assumptions!$B$30*ABS(G$92)-Inputs!G7/100*(Assumptions!$B$28*Assumptions!$B$29+ABS(G$92))</f>
        <v>-7.71</v>
      </c>
      <c r="H10" s="36">
        <f>Inputs!H10-Assumptions!$B$30*ABS(H$92)-Inputs!H7/100*(Assumptions!$B$28*Assumptions!$B$29+ABS(H$92))</f>
        <v>-2.83</v>
      </c>
      <c r="I10" s="36">
        <f>Inputs!I10-Assumptions!$B$30*ABS(I$92)-Inputs!I7/100*(Assumptions!$B$28*Assumptions!$B$29+ABS(I$92))</f>
        <v>-2.975</v>
      </c>
      <c r="J10" s="36">
        <f>Inputs!J10-Assumptions!$B$30*ABS(J$92)-Inputs!J7/100*(Assumptions!$B$28*Assumptions!$B$29+ABS(J$92))</f>
        <v>-7.585</v>
      </c>
      <c r="K10" s="36">
        <f>Inputs!K10-Assumptions!$B$30*ABS(K$92)-Inputs!K7/100*(Assumptions!$B$28*Assumptions!$B$29+ABS(K$92))</f>
        <v>-2.2825</v>
      </c>
      <c r="L10" s="36">
        <f>Inputs!L10-Assumptions!$B$30*ABS(L$92)-Inputs!L7/100*(Assumptions!$B$28*Assumptions!$B$29+ABS(L$92))</f>
        <v>-4.1775</v>
      </c>
      <c r="M10" s="36">
        <f>Inputs!M10-Assumptions!$B$30*ABS(M$92)-Inputs!M7/100*(Assumptions!$B$28*Assumptions!$B$29+ABS(M$92))</f>
        <v>-1.4</v>
      </c>
      <c r="N10" s="36">
        <f>Inputs!N10-Assumptions!$B$30*ABS(N$92)-Inputs!N7/100*(Assumptions!$B$28*Assumptions!$B$29+ABS(N$92))</f>
        <v>-1.715</v>
      </c>
      <c r="O10" s="36">
        <f>Inputs!O10-Assumptions!$B$30*ABS(O$92)-Inputs!O7/100*(Assumptions!$B$28*Assumptions!$B$29+ABS(O$92))</f>
        <v>-4.525</v>
      </c>
      <c r="P10" s="36">
        <f>Inputs!P10-Assumptions!$B$30*ABS(P$92)-Inputs!P7/100*(Assumptions!$B$28*Assumptions!$B$29+ABS(P$92))</f>
        <v>-1.3325</v>
      </c>
      <c r="Q10" s="36">
        <f>Inputs!Q10-Assumptions!$B$30*ABS(Q$92)-Inputs!Q7/100*(Assumptions!$B$28*Assumptions!$B$29+ABS(Q$92))</f>
        <v>-4.5875</v>
      </c>
      <c r="R10" s="36">
        <f>Inputs!R10-Assumptions!$B$30*ABS(R$92)-Inputs!R7/100*(Assumptions!$B$28*Assumptions!$B$29+ABS(R$92))</f>
        <v>-9.35</v>
      </c>
      <c r="S10" s="36">
        <f>Inputs!S10-Assumptions!$B$30*ABS(S$92)-Inputs!S7/100*(Assumptions!$B$28*Assumptions!$B$29+ABS(S$92))</f>
        <v>-3.9</v>
      </c>
      <c r="T10" s="36">
        <f>Inputs!T10-Assumptions!$B$30*ABS(T$92)-Inputs!T7/100*(Assumptions!$B$28*Assumptions!$B$29+ABS(T$92))</f>
        <v>-6.6</v>
      </c>
      <c r="U10" s="36">
        <f>Inputs!U10-Assumptions!$B$30*ABS(U$92)-Inputs!U7/100*(Assumptions!$B$28*Assumptions!$B$29+ABS(U$92))</f>
        <v>-2.725</v>
      </c>
      <c r="V10" s="36">
        <f>Inputs!V10-Assumptions!$B$30*ABS(V$92)-Inputs!V7/100*(Assumptions!$B$28*Assumptions!$B$29+ABS(V$92))</f>
        <v>-3.475</v>
      </c>
    </row>
    <row r="11">
      <c r="A11" s="26" t="s">
        <v>220</v>
      </c>
      <c r="B11" s="26">
        <v>1.0</v>
      </c>
      <c r="C11" s="26" t="s">
        <v>221</v>
      </c>
      <c r="D11" s="26" t="s">
        <v>125</v>
      </c>
      <c r="E11" s="36">
        <f>Inputs!E11+(E7-Inputs!E7)</f>
        <v>-2.958673469</v>
      </c>
      <c r="F11" s="36">
        <f>Inputs!F11+(F7-Inputs!F7)</f>
        <v>7.620408163</v>
      </c>
      <c r="G11" s="36">
        <f>Inputs!G11+(G7-Inputs!G7)</f>
        <v>36.85020408</v>
      </c>
      <c r="H11" s="36">
        <f>Inputs!H11+(H7-Inputs!H7)</f>
        <v>3.935918367</v>
      </c>
      <c r="I11" s="36">
        <f>Inputs!I11+(I7-Inputs!I7)</f>
        <v>29.17142857</v>
      </c>
      <c r="J11" s="36">
        <f>Inputs!J11+(J7-Inputs!J7)</f>
        <v>-24.73061224</v>
      </c>
      <c r="K11" s="36">
        <f>Inputs!K11+(K7-Inputs!K7)</f>
        <v>3.254897959</v>
      </c>
      <c r="L11" s="36">
        <f>Inputs!L11+(L7-Inputs!L7)</f>
        <v>-4.368112245</v>
      </c>
      <c r="M11" s="36">
        <f>Inputs!M11+(M7-Inputs!M7)</f>
        <v>1.257142857</v>
      </c>
      <c r="N11" s="36">
        <f>Inputs!N11+(N7-Inputs!N7)</f>
        <v>-36.08163265</v>
      </c>
      <c r="O11" s="36">
        <f>Inputs!O11+(O7-Inputs!O7)</f>
        <v>4.371428571</v>
      </c>
      <c r="P11" s="36">
        <f>Inputs!P11+(P7-Inputs!P7)</f>
        <v>-26.12142857</v>
      </c>
      <c r="Q11" s="36">
        <f>Inputs!Q11+(Q7-Inputs!Q7)</f>
        <v>0.2642857143</v>
      </c>
      <c r="R11" s="36">
        <f>Inputs!R11+(R7-Inputs!R7)</f>
        <v>24.3244898</v>
      </c>
      <c r="S11" s="36">
        <f>Inputs!S11+(S7-Inputs!S7)</f>
        <v>21.43673469</v>
      </c>
      <c r="T11" s="36">
        <f>Inputs!T11+(T7-Inputs!T7)</f>
        <v>48.04897959</v>
      </c>
      <c r="U11" s="36">
        <f>Inputs!U11+(U7-Inputs!U7)</f>
        <v>-4.4</v>
      </c>
      <c r="V11" s="36">
        <f>Inputs!V11+(V7-Inputs!V7)</f>
        <v>-8.685714286</v>
      </c>
    </row>
    <row r="12">
      <c r="A12" s="26" t="s">
        <v>232</v>
      </c>
      <c r="B12" s="26">
        <v>1.0</v>
      </c>
      <c r="C12" s="26" t="s">
        <v>233</v>
      </c>
      <c r="D12" s="26" t="s">
        <v>235</v>
      </c>
    </row>
    <row r="13">
      <c r="A13" s="26" t="s">
        <v>250</v>
      </c>
      <c r="B13" s="26">
        <v>1.0</v>
      </c>
      <c r="C13" s="26" t="s">
        <v>253</v>
      </c>
      <c r="D13" s="26" t="s">
        <v>254</v>
      </c>
    </row>
    <row r="14">
      <c r="A14" s="26" t="s">
        <v>271</v>
      </c>
      <c r="B14" s="26">
        <v>2.0</v>
      </c>
      <c r="C14" s="26" t="s">
        <v>273</v>
      </c>
      <c r="D14" s="26" t="s">
        <v>277</v>
      </c>
      <c r="E14" s="36">
        <f>IF(OR('Country Profile'!E13="Peg",'Country Profile'!E13="Dollarized"),Inputs!E14*MAX(0,1-E$91/'Country Profile'!E9),Inputs!E14)</f>
        <v>75</v>
      </c>
      <c r="F14" s="36">
        <f>IF(OR('Country Profile'!F13="Peg",'Country Profile'!F13="Dollarized"),Inputs!F14*MAX(0,1-F$91/'Country Profile'!F9),Inputs!F14)</f>
        <v>160</v>
      </c>
      <c r="G14" s="36">
        <f>IF(OR('Country Profile'!G13="Peg",'Country Profile'!G13="Dollarized"),Inputs!G14*MAX(0,1-G$91/'Country Profile'!G9),Inputs!G14)</f>
        <v>120</v>
      </c>
      <c r="H14" s="36">
        <f>IF(OR('Country Profile'!H13="Peg",'Country Profile'!H13="Dollarized"),Inputs!H14*MAX(0,1-H$91/'Country Profile'!H9),Inputs!H14)</f>
        <v>110</v>
      </c>
      <c r="I14" s="36">
        <f>IF(OR('Country Profile'!I13="Peg",'Country Profile'!I13="Dollarized"),Inputs!I14*MAX(0,1-I$91/'Country Profile'!I9),Inputs!I14)</f>
        <v>250</v>
      </c>
      <c r="J14" s="36">
        <f>IF(OR('Country Profile'!J13="Peg",'Country Profile'!J13="Dollarized"),Inputs!J14*MAX(0,1-J$91/'Country Profile'!J9),Inputs!J14)</f>
        <v>300</v>
      </c>
      <c r="K14" s="36">
        <f>IF(OR('Country Profile'!K13="Peg",'Country Profile'!K13="Dollarized"),Inputs!K14*MAX(0,1-K$91/'Country Profile'!K9),Inputs!K14)</f>
        <v>100</v>
      </c>
      <c r="L14" s="36">
        <f>IF(OR('Country Profile'!L13="Peg",'Country Profile'!L13="Dollarized"),Inputs!L14*MAX(0,1-L$91/'Country Profile'!L9),Inputs!L14)</f>
        <v>150</v>
      </c>
      <c r="M14" s="36">
        <f>IF(OR('Country Profile'!M13="Peg",'Country Profile'!M13="Dollarized"),Inputs!M14*MAX(0,1-M$91/'Country Profile'!M9),Inputs!M14)</f>
        <v>40</v>
      </c>
      <c r="N14" s="26">
        <f>IF(OR('Country Profile'!N13="Peg",'Country Profile'!N13="Dollarized"),Inputs!N14*MAX(0,1-N$91/'Country Profile'!N9),Inputs!N14)</f>
        <v>33.21428571</v>
      </c>
      <c r="O14" s="36">
        <f>IF(OR('Country Profile'!O13="Peg",'Country Profile'!O13="Dollarized"),Inputs!O14*MAX(0,1-O$91/'Country Profile'!O9),Inputs!O14)</f>
        <v>140</v>
      </c>
      <c r="P14" s="36">
        <f>IF(OR('Country Profile'!P13="Peg",'Country Profile'!P13="Dollarized"),Inputs!P14*MAX(0,1-P$91/'Country Profile'!P9),Inputs!P14)</f>
        <v>30</v>
      </c>
      <c r="Q14" s="36">
        <f>IF(OR('Country Profile'!Q13="Peg",'Country Profile'!Q13="Dollarized"),Inputs!Q14*MAX(0,1-Q$91/'Country Profile'!Q9),Inputs!Q14)</f>
        <v>120</v>
      </c>
      <c r="R14" s="36">
        <f>IF(OR('Country Profile'!R13="Peg",'Country Profile'!R13="Dollarized"),Inputs!R14*MAX(0,1-R$91/'Country Profile'!R9),Inputs!R14)</f>
        <v>20</v>
      </c>
      <c r="S14" s="36">
        <f>IF(OR('Country Profile'!S13="Peg",'Country Profile'!S13="Dollarized"),Inputs!S14*MAX(0,1-S$91/'Country Profile'!S9),Inputs!S14)</f>
        <v>90</v>
      </c>
      <c r="T14" s="26">
        <f>IF(OR('Country Profile'!T13="Peg",'Country Profile'!T13="Dollarized"),Inputs!T14*MAX(0,1-T$91/'Country Profile'!T9),Inputs!T14)</f>
        <v>50.625</v>
      </c>
      <c r="U14" s="36">
        <f>IF(OR('Country Profile'!U13="Peg",'Country Profile'!U13="Dollarized"),Inputs!U14*MAX(0,1-U$91/'Country Profile'!U9),Inputs!U14)</f>
        <v>70</v>
      </c>
      <c r="V14" s="36">
        <f>IF(OR('Country Profile'!V13="Peg",'Country Profile'!V13="Dollarized"),Inputs!V14*MAX(0,1-V$91/'Country Profile'!V9),Inputs!V14)</f>
        <v>15</v>
      </c>
    </row>
    <row r="15">
      <c r="A15" s="26" t="s">
        <v>301</v>
      </c>
      <c r="B15" s="26">
        <v>2.0</v>
      </c>
      <c r="C15" s="26" t="s">
        <v>305</v>
      </c>
      <c r="D15" s="26" t="s">
        <v>307</v>
      </c>
    </row>
    <row r="16">
      <c r="A16" s="26" t="s">
        <v>322</v>
      </c>
      <c r="B16" s="26">
        <v>2.0</v>
      </c>
      <c r="C16" s="26" t="s">
        <v>324</v>
      </c>
      <c r="D16" s="26" t="s">
        <v>307</v>
      </c>
    </row>
    <row r="17">
      <c r="A17" s="26" t="s">
        <v>340</v>
      </c>
      <c r="B17" s="26">
        <v>2.0</v>
      </c>
      <c r="C17" s="26" t="s">
        <v>342</v>
      </c>
      <c r="D17" s="26" t="s">
        <v>344</v>
      </c>
    </row>
    <row r="18">
      <c r="A18" s="26" t="s">
        <v>358</v>
      </c>
      <c r="B18" s="26">
        <v>2.0</v>
      </c>
      <c r="C18" s="26" t="s">
        <v>361</v>
      </c>
      <c r="D18" s="26" t="s">
        <v>254</v>
      </c>
    </row>
    <row r="19">
      <c r="A19" s="26" t="s">
        <v>377</v>
      </c>
      <c r="B19" s="26">
        <v>2.0</v>
      </c>
      <c r="C19" s="26" t="s">
        <v>380</v>
      </c>
      <c r="D19" s="26" t="s">
        <v>254</v>
      </c>
    </row>
    <row r="20">
      <c r="A20" s="26" t="s">
        <v>396</v>
      </c>
      <c r="B20" s="26">
        <v>2.0</v>
      </c>
      <c r="C20" s="26" t="s">
        <v>398</v>
      </c>
      <c r="D20" s="26" t="s">
        <v>254</v>
      </c>
    </row>
    <row r="21">
      <c r="A21" s="26" t="s">
        <v>407</v>
      </c>
      <c r="B21" s="26">
        <v>2.0</v>
      </c>
      <c r="C21" s="26" t="s">
        <v>409</v>
      </c>
      <c r="D21" s="26" t="s">
        <v>37</v>
      </c>
      <c r="E21" s="36">
        <f>Inputs!E21-E$91</f>
        <v>0.85</v>
      </c>
      <c r="F21" s="36">
        <f>Inputs!F21-F$91</f>
        <v>-4.985</v>
      </c>
      <c r="G21" s="36">
        <f>Inputs!G21-G$91</f>
        <v>3.525</v>
      </c>
      <c r="H21" s="36">
        <f>Inputs!H21-H$91</f>
        <v>-1.22</v>
      </c>
      <c r="I21" s="36">
        <f>Inputs!I21-I$91</f>
        <v>12.75</v>
      </c>
      <c r="J21" s="36">
        <f>Inputs!J21-J$91</f>
        <v>4.06</v>
      </c>
      <c r="K21" s="36">
        <f>Inputs!K21-K$91</f>
        <v>2.9</v>
      </c>
      <c r="L21" s="36">
        <f>Inputs!L21-L$91</f>
        <v>-1.42</v>
      </c>
      <c r="M21" s="36">
        <f>Inputs!M21-M$91</f>
        <v>-1.05</v>
      </c>
      <c r="N21" s="36">
        <f>Inputs!N21-N$91</f>
        <v>-11.45</v>
      </c>
      <c r="O21" s="36">
        <f>Inputs!O21-O$91</f>
        <v>-3.165</v>
      </c>
      <c r="P21" s="36">
        <f>Inputs!P21-P$91</f>
        <v>-0.45</v>
      </c>
      <c r="Q21" s="36">
        <f>Inputs!Q21-Q$91</f>
        <v>-4.4</v>
      </c>
      <c r="R21" s="36">
        <f>Inputs!R21-R$91</f>
        <v>-4.375</v>
      </c>
      <c r="S21" s="36">
        <f>Inputs!S21-S$91</f>
        <v>-0.825</v>
      </c>
      <c r="T21" s="36">
        <f>Inputs!T21-T$91</f>
        <v>-9.875</v>
      </c>
      <c r="U21" s="36">
        <f>Inputs!U21-U$91</f>
        <v>-8</v>
      </c>
      <c r="V21" s="36">
        <f>Inputs!V21-V$91</f>
        <v>-3.25</v>
      </c>
    </row>
    <row r="22">
      <c r="A22" s="26" t="s">
        <v>419</v>
      </c>
      <c r="B22" s="26">
        <v>2.0</v>
      </c>
      <c r="C22" s="26" t="s">
        <v>420</v>
      </c>
      <c r="D22" s="26" t="s">
        <v>307</v>
      </c>
    </row>
    <row r="23">
      <c r="A23" s="26" t="s">
        <v>430</v>
      </c>
      <c r="B23" s="26">
        <v>2.0</v>
      </c>
      <c r="C23" s="26" t="s">
        <v>432</v>
      </c>
      <c r="D23" s="26" t="s">
        <v>433</v>
      </c>
    </row>
    <row r="24">
      <c r="A24" s="26" t="s">
        <v>441</v>
      </c>
      <c r="B24" s="26">
        <v>2.0</v>
      </c>
      <c r="C24" s="26" t="s">
        <v>445</v>
      </c>
      <c r="D24" s="26" t="s">
        <v>447</v>
      </c>
    </row>
    <row r="25">
      <c r="A25" s="26" t="s">
        <v>463</v>
      </c>
      <c r="B25" s="26">
        <v>2.0</v>
      </c>
      <c r="C25" s="26" t="s">
        <v>468</v>
      </c>
      <c r="D25" s="26" t="s">
        <v>470</v>
      </c>
    </row>
    <row r="26">
      <c r="A26" s="26" t="s">
        <v>481</v>
      </c>
      <c r="B26" s="26">
        <v>3.0</v>
      </c>
      <c r="C26" s="26" t="s">
        <v>483</v>
      </c>
      <c r="D26" s="26" t="s">
        <v>254</v>
      </c>
    </row>
    <row r="27">
      <c r="A27" s="26" t="s">
        <v>493</v>
      </c>
      <c r="B27" s="26">
        <v>3.0</v>
      </c>
      <c r="C27" s="26" t="s">
        <v>494</v>
      </c>
      <c r="D27" s="26" t="s">
        <v>254</v>
      </c>
    </row>
    <row r="28">
      <c r="A28" s="26" t="s">
        <v>499</v>
      </c>
      <c r="B28" s="26">
        <v>3.0</v>
      </c>
      <c r="C28" s="26" t="s">
        <v>500</v>
      </c>
      <c r="D28" s="26" t="s">
        <v>254</v>
      </c>
    </row>
    <row r="29">
      <c r="A29" s="26" t="s">
        <v>508</v>
      </c>
      <c r="B29" s="26">
        <v>3.0</v>
      </c>
      <c r="C29" s="26" t="s">
        <v>509</v>
      </c>
      <c r="D29" s="26" t="s">
        <v>510</v>
      </c>
    </row>
    <row r="30">
      <c r="A30" s="26" t="s">
        <v>517</v>
      </c>
      <c r="B30" s="26">
        <v>3.0</v>
      </c>
      <c r="C30" s="26" t="s">
        <v>518</v>
      </c>
      <c r="D30" s="26" t="s">
        <v>520</v>
      </c>
    </row>
    <row r="31">
      <c r="A31" s="26" t="s">
        <v>524</v>
      </c>
      <c r="B31" s="26">
        <v>3.0</v>
      </c>
      <c r="C31" s="26" t="s">
        <v>525</v>
      </c>
      <c r="D31" s="26" t="s">
        <v>526</v>
      </c>
    </row>
    <row r="32">
      <c r="A32" s="26" t="s">
        <v>529</v>
      </c>
      <c r="B32" s="26">
        <v>3.0</v>
      </c>
      <c r="C32" s="26" t="s">
        <v>530</v>
      </c>
      <c r="D32" s="26" t="s">
        <v>526</v>
      </c>
    </row>
    <row r="33">
      <c r="A33" s="26" t="s">
        <v>536</v>
      </c>
      <c r="B33" s="26">
        <v>3.0</v>
      </c>
      <c r="C33" s="26" t="s">
        <v>537</v>
      </c>
      <c r="D33" s="26" t="s">
        <v>254</v>
      </c>
    </row>
    <row r="34">
      <c r="A34" s="26" t="s">
        <v>544</v>
      </c>
      <c r="B34" s="26">
        <v>3.0</v>
      </c>
      <c r="C34" s="26" t="s">
        <v>548</v>
      </c>
      <c r="D34" s="26" t="s">
        <v>254</v>
      </c>
    </row>
    <row r="35">
      <c r="A35" s="26" t="s">
        <v>554</v>
      </c>
      <c r="B35" s="26">
        <v>3.0</v>
      </c>
      <c r="C35" s="26" t="s">
        <v>555</v>
      </c>
      <c r="D35" s="26" t="s">
        <v>254</v>
      </c>
    </row>
    <row r="36">
      <c r="A36" s="26" t="s">
        <v>561</v>
      </c>
      <c r="B36" s="26">
        <v>4.0</v>
      </c>
      <c r="C36" s="26" t="s">
        <v>562</v>
      </c>
      <c r="D36" s="26" t="s">
        <v>254</v>
      </c>
    </row>
    <row r="37">
      <c r="A37" s="26" t="s">
        <v>569</v>
      </c>
      <c r="B37" s="26">
        <v>4.0</v>
      </c>
      <c r="C37" s="26" t="s">
        <v>570</v>
      </c>
      <c r="D37" s="26" t="s">
        <v>254</v>
      </c>
    </row>
    <row r="38">
      <c r="A38" s="26" t="s">
        <v>577</v>
      </c>
      <c r="B38" s="26">
        <v>4.0</v>
      </c>
      <c r="C38" s="26" t="s">
        <v>578</v>
      </c>
      <c r="D38" s="26" t="s">
        <v>254</v>
      </c>
    </row>
    <row r="39">
      <c r="A39" s="26" t="s">
        <v>585</v>
      </c>
      <c r="B39" s="26">
        <v>4.0</v>
      </c>
      <c r="C39" s="26" t="s">
        <v>586</v>
      </c>
      <c r="D39" s="26" t="s">
        <v>254</v>
      </c>
    </row>
    <row r="40">
      <c r="A40" s="26" t="s">
        <v>593</v>
      </c>
      <c r="B40" s="26">
        <v>4.0</v>
      </c>
      <c r="C40" s="26" t="s">
        <v>594</v>
      </c>
      <c r="D40" s="26" t="s">
        <v>254</v>
      </c>
    </row>
    <row r="41">
      <c r="A41" s="26" t="s">
        <v>598</v>
      </c>
      <c r="B41" s="26">
        <v>4.0</v>
      </c>
      <c r="C41" s="26" t="s">
        <v>599</v>
      </c>
      <c r="D41" s="26" t="s">
        <v>254</v>
      </c>
    </row>
    <row r="42">
      <c r="A42" s="26" t="s">
        <v>606</v>
      </c>
      <c r="B42" s="26">
        <v>4.0</v>
      </c>
      <c r="C42" s="26" t="s">
        <v>607</v>
      </c>
      <c r="D42" s="26" t="s">
        <v>254</v>
      </c>
    </row>
    <row r="43">
      <c r="A43" s="26" t="s">
        <v>613</v>
      </c>
      <c r="B43" s="26">
        <v>4.0</v>
      </c>
      <c r="C43" s="26" t="s">
        <v>614</v>
      </c>
      <c r="D43" s="26" t="s">
        <v>254</v>
      </c>
    </row>
    <row r="44">
      <c r="A44" s="26" t="s">
        <v>617</v>
      </c>
      <c r="B44" s="26">
        <v>4.0</v>
      </c>
      <c r="C44" s="26" t="s">
        <v>618</v>
      </c>
      <c r="D44" s="26" t="s">
        <v>254</v>
      </c>
    </row>
    <row r="45">
      <c r="A45" s="26" t="s">
        <v>624</v>
      </c>
      <c r="B45" s="26">
        <v>4.0</v>
      </c>
      <c r="C45" s="26" t="s">
        <v>625</v>
      </c>
      <c r="D45" s="26" t="s">
        <v>254</v>
      </c>
    </row>
    <row r="46">
      <c r="A46" s="26" t="s">
        <v>629</v>
      </c>
      <c r="B46" s="26">
        <v>4.0</v>
      </c>
      <c r="C46" s="26" t="s">
        <v>630</v>
      </c>
      <c r="D46" s="26" t="s">
        <v>254</v>
      </c>
    </row>
    <row r="47">
      <c r="A47" s="26" t="s">
        <v>636</v>
      </c>
      <c r="B47" s="26">
        <v>5.0</v>
      </c>
      <c r="C47" s="26" t="s">
        <v>637</v>
      </c>
      <c r="D47" s="26" t="s">
        <v>638</v>
      </c>
    </row>
    <row r="48">
      <c r="A48" s="26" t="s">
        <v>643</v>
      </c>
      <c r="B48" s="26">
        <v>5.0</v>
      </c>
      <c r="C48" s="26" t="s">
        <v>646</v>
      </c>
      <c r="D48" s="26" t="s">
        <v>648</v>
      </c>
    </row>
    <row r="49">
      <c r="A49" s="26" t="s">
        <v>658</v>
      </c>
      <c r="B49" s="26">
        <v>5.0</v>
      </c>
      <c r="C49" s="26" t="s">
        <v>659</v>
      </c>
      <c r="D49" s="26" t="s">
        <v>254</v>
      </c>
    </row>
    <row r="50">
      <c r="A50" s="26" t="s">
        <v>662</v>
      </c>
      <c r="B50" s="26">
        <v>5.0</v>
      </c>
      <c r="C50" s="26" t="s">
        <v>663</v>
      </c>
      <c r="D50" s="26" t="s">
        <v>664</v>
      </c>
    </row>
    <row r="51">
      <c r="A51" s="26" t="s">
        <v>667</v>
      </c>
      <c r="B51" s="26">
        <v>5.0</v>
      </c>
      <c r="C51" s="26" t="s">
        <v>668</v>
      </c>
      <c r="D51" s="26" t="s">
        <v>112</v>
      </c>
      <c r="E51" s="36">
        <f>Inputs!E51+Assumptions!$B$34*E$90</f>
        <v>8</v>
      </c>
      <c r="F51" s="36">
        <f>Inputs!F51+Assumptions!$B$34*F$90</f>
        <v>8.5</v>
      </c>
      <c r="G51" s="36">
        <f>Inputs!G51+Assumptions!$B$34*G$90</f>
        <v>5.5</v>
      </c>
      <c r="H51" s="36">
        <f>Inputs!H51+Assumptions!$B$34*H$90</f>
        <v>8.2</v>
      </c>
      <c r="I51" s="36">
        <f>Inputs!I51+Assumptions!$B$34*I$90</f>
        <v>6</v>
      </c>
      <c r="J51" s="36">
        <f>Inputs!J51+Assumptions!$B$34*J$90</f>
        <v>8.5</v>
      </c>
      <c r="K51" s="36">
        <f>Inputs!K51+Assumptions!$B$34*K$90</f>
        <v>8</v>
      </c>
      <c r="L51" s="36">
        <f>Inputs!L51+Assumptions!$B$34*L$90</f>
        <v>8.3</v>
      </c>
      <c r="M51" s="36">
        <f>Inputs!M51+Assumptions!$B$34*M$90</f>
        <v>10.5</v>
      </c>
      <c r="N51" s="36">
        <f>Inputs!N51+Assumptions!$B$34*N$90</f>
        <v>3.5</v>
      </c>
      <c r="O51" s="36">
        <f>Inputs!O51+Assumptions!$B$34*O$90</f>
        <v>10.4</v>
      </c>
      <c r="P51" s="36">
        <f>Inputs!P51+Assumptions!$B$34*P$90</f>
        <v>37</v>
      </c>
      <c r="Q51" s="36">
        <f>Inputs!Q51+Assumptions!$B$34*Q$90</f>
        <v>12</v>
      </c>
      <c r="R51" s="36">
        <f>Inputs!R51+Assumptions!$B$34*R$90</f>
        <v>204.5</v>
      </c>
      <c r="S51" s="36">
        <f>Inputs!S51+Assumptions!$B$34*S$90</f>
        <v>28</v>
      </c>
      <c r="T51" s="36">
        <f>Inputs!T51+Assumptions!$B$34*T$90</f>
        <v>1.5</v>
      </c>
      <c r="U51" s="36">
        <f>Inputs!U51+Assumptions!$B$34*U$90</f>
        <v>18</v>
      </c>
      <c r="V51" s="36">
        <f>Inputs!V51+Assumptions!$B$34*V$90</f>
        <v>34.5</v>
      </c>
    </row>
    <row r="52">
      <c r="A52" s="26" t="s">
        <v>671</v>
      </c>
      <c r="B52" s="26">
        <v>5.0</v>
      </c>
      <c r="C52" s="26" t="s">
        <v>672</v>
      </c>
      <c r="D52" s="26" t="s">
        <v>112</v>
      </c>
      <c r="E52" s="36">
        <f>Inputs!E52+E$92</f>
        <v>4</v>
      </c>
      <c r="F52" s="36">
        <f>Inputs!F52+F$92</f>
        <v>3.8</v>
      </c>
      <c r="G52" s="36">
        <f>Inputs!G52+G$92</f>
        <v>2</v>
      </c>
      <c r="H52" s="36">
        <f>Inputs!H52+H$92</f>
        <v>2.2</v>
      </c>
      <c r="I52" s="36">
        <f>Inputs!I52+I$92</f>
        <v>0.3</v>
      </c>
      <c r="J52" s="36">
        <f>Inputs!J52+J$92</f>
        <v>-1.4</v>
      </c>
      <c r="K52" s="36">
        <f>Inputs!K52+K$92</f>
        <v>-0.1</v>
      </c>
      <c r="L52" s="36">
        <f>Inputs!L52+L$92</f>
        <v>4.4</v>
      </c>
      <c r="M52" s="36">
        <f>Inputs!M52+M$92</f>
        <v>1.8</v>
      </c>
      <c r="N52" s="36">
        <f>Inputs!N52+N$92</f>
        <v>0</v>
      </c>
      <c r="O52" s="36">
        <f>Inputs!O52+O$92</f>
        <v>-0.1</v>
      </c>
      <c r="P52" s="36">
        <f>Inputs!P52+P$92</f>
        <v>1.5</v>
      </c>
      <c r="Q52" s="36">
        <f>Inputs!Q52+Q$92</f>
        <v>0.3</v>
      </c>
      <c r="R52" s="36">
        <f>Inputs!R52+R$92</f>
        <v>-1</v>
      </c>
      <c r="S52" s="36">
        <f>Inputs!S52+S$92</f>
        <v>1.5</v>
      </c>
      <c r="T52" s="36">
        <f>Inputs!T52+T$92</f>
        <v>2.5</v>
      </c>
      <c r="U52" s="36">
        <f>Inputs!U52+U$92</f>
        <v>3.5</v>
      </c>
      <c r="V52" s="36">
        <f>Inputs!V52+V$92</f>
        <v>1</v>
      </c>
    </row>
    <row r="53">
      <c r="A53" s="26" t="s">
        <v>674</v>
      </c>
      <c r="B53" s="26">
        <v>5.0</v>
      </c>
      <c r="C53" s="26" t="s">
        <v>675</v>
      </c>
      <c r="D53" s="26" t="s">
        <v>638</v>
      </c>
    </row>
    <row r="54">
      <c r="A54" s="26" t="s">
        <v>678</v>
      </c>
      <c r="B54" s="26">
        <v>5.0</v>
      </c>
      <c r="C54" s="26" t="s">
        <v>679</v>
      </c>
      <c r="D54" s="26" t="s">
        <v>254</v>
      </c>
    </row>
    <row r="55">
      <c r="A55" s="26" t="s">
        <v>682</v>
      </c>
      <c r="B55" s="26">
        <v>5.0</v>
      </c>
      <c r="C55" s="26" t="s">
        <v>683</v>
      </c>
      <c r="D55" s="26" t="s">
        <v>125</v>
      </c>
    </row>
    <row r="56">
      <c r="A56" s="26" t="s">
        <v>686</v>
      </c>
      <c r="B56" s="26">
        <v>5.0</v>
      </c>
      <c r="C56" s="26" t="s">
        <v>687</v>
      </c>
      <c r="D56" s="26" t="s">
        <v>648</v>
      </c>
    </row>
    <row r="57">
      <c r="A57" s="26" t="s">
        <v>690</v>
      </c>
      <c r="B57" s="26">
        <v>5.0</v>
      </c>
      <c r="C57" s="26" t="s">
        <v>691</v>
      </c>
      <c r="D57" s="26" t="s">
        <v>112</v>
      </c>
    </row>
    <row r="58">
      <c r="A58" s="26" t="s">
        <v>694</v>
      </c>
      <c r="B58" s="26">
        <v>5.0</v>
      </c>
      <c r="C58" s="26" t="s">
        <v>695</v>
      </c>
      <c r="D58" s="26" t="s">
        <v>120</v>
      </c>
    </row>
    <row r="59">
      <c r="A59" s="26" t="s">
        <v>698</v>
      </c>
      <c r="B59" s="26">
        <v>5.0</v>
      </c>
      <c r="C59" s="26" t="s">
        <v>699</v>
      </c>
      <c r="D59" s="26" t="s">
        <v>112</v>
      </c>
    </row>
    <row r="60">
      <c r="A60" s="26" t="s">
        <v>703</v>
      </c>
      <c r="B60" s="26">
        <v>5.0</v>
      </c>
      <c r="C60" s="26" t="s">
        <v>704</v>
      </c>
      <c r="D60" s="26" t="s">
        <v>705</v>
      </c>
    </row>
    <row r="61">
      <c r="A61" s="26" t="s">
        <v>707</v>
      </c>
      <c r="B61" s="26">
        <v>6.0</v>
      </c>
      <c r="C61" s="26" t="s">
        <v>708</v>
      </c>
      <c r="D61" s="26" t="s">
        <v>254</v>
      </c>
    </row>
    <row r="62">
      <c r="A62" s="26" t="s">
        <v>712</v>
      </c>
      <c r="B62" s="26">
        <v>6.0</v>
      </c>
      <c r="C62" s="26" t="s">
        <v>713</v>
      </c>
      <c r="D62" s="26" t="s">
        <v>714</v>
      </c>
    </row>
    <row r="63">
      <c r="A63" s="26" t="s">
        <v>717</v>
      </c>
      <c r="B63" s="26">
        <v>6.0</v>
      </c>
      <c r="C63" s="26" t="s">
        <v>718</v>
      </c>
      <c r="D63" s="26" t="s">
        <v>254</v>
      </c>
    </row>
    <row r="64">
      <c r="A64" s="26" t="s">
        <v>721</v>
      </c>
      <c r="B64" s="26">
        <v>6.0</v>
      </c>
      <c r="C64" s="26" t="s">
        <v>722</v>
      </c>
      <c r="D64" s="26" t="s">
        <v>254</v>
      </c>
    </row>
    <row r="65">
      <c r="A65" s="26" t="s">
        <v>726</v>
      </c>
      <c r="B65" s="26">
        <v>6.0</v>
      </c>
      <c r="C65" s="26" t="s">
        <v>727</v>
      </c>
      <c r="D65" s="26" t="s">
        <v>254</v>
      </c>
    </row>
    <row r="66">
      <c r="A66" s="26" t="s">
        <v>730</v>
      </c>
      <c r="B66" s="26">
        <v>6.0</v>
      </c>
      <c r="C66" s="26" t="s">
        <v>731</v>
      </c>
      <c r="D66" s="26" t="s">
        <v>112</v>
      </c>
    </row>
    <row r="67">
      <c r="A67" s="26" t="s">
        <v>734</v>
      </c>
      <c r="B67" s="26">
        <v>6.0</v>
      </c>
      <c r="C67" s="26" t="s">
        <v>735</v>
      </c>
      <c r="D67" s="26" t="s">
        <v>736</v>
      </c>
    </row>
    <row r="68">
      <c r="A68" s="26" t="s">
        <v>739</v>
      </c>
      <c r="B68" s="26">
        <v>6.0</v>
      </c>
      <c r="C68" s="26" t="s">
        <v>740</v>
      </c>
      <c r="D68" s="26" t="s">
        <v>254</v>
      </c>
    </row>
    <row r="69">
      <c r="A69" s="26" t="s">
        <v>743</v>
      </c>
      <c r="B69" s="26">
        <v>6.0</v>
      </c>
      <c r="C69" s="26" t="s">
        <v>744</v>
      </c>
      <c r="D69" s="26" t="s">
        <v>745</v>
      </c>
    </row>
    <row r="70">
      <c r="A70" s="26" t="s">
        <v>748</v>
      </c>
      <c r="B70" s="26">
        <v>6.0</v>
      </c>
      <c r="C70" s="26" t="s">
        <v>749</v>
      </c>
      <c r="D70" s="26" t="s">
        <v>254</v>
      </c>
    </row>
    <row r="71">
      <c r="A71" s="26" t="s">
        <v>753</v>
      </c>
      <c r="B71" s="26">
        <v>6.0</v>
      </c>
      <c r="C71" s="26" t="s">
        <v>754</v>
      </c>
      <c r="D71" s="26" t="s">
        <v>112</v>
      </c>
    </row>
    <row r="72">
      <c r="A72" s="26" t="s">
        <v>757</v>
      </c>
      <c r="B72" s="26">
        <v>6.0</v>
      </c>
      <c r="C72" s="26" t="s">
        <v>758</v>
      </c>
      <c r="D72" s="26" t="s">
        <v>254</v>
      </c>
    </row>
    <row r="73">
      <c r="A73" s="26" t="s">
        <v>762</v>
      </c>
      <c r="B73" s="26">
        <v>6.0</v>
      </c>
      <c r="C73" s="26" t="s">
        <v>763</v>
      </c>
      <c r="D73" s="26" t="s">
        <v>764</v>
      </c>
    </row>
    <row r="74">
      <c r="A74" s="26" t="s">
        <v>767</v>
      </c>
      <c r="B74" s="26">
        <v>6.0</v>
      </c>
      <c r="C74" s="26" t="s">
        <v>768</v>
      </c>
      <c r="D74" s="26" t="s">
        <v>254</v>
      </c>
    </row>
    <row r="75">
      <c r="A75" s="26" t="s">
        <v>771</v>
      </c>
      <c r="B75" s="26">
        <v>7.0</v>
      </c>
      <c r="C75" s="26" t="s">
        <v>772</v>
      </c>
      <c r="D75" s="26" t="s">
        <v>37</v>
      </c>
    </row>
    <row r="76">
      <c r="A76" s="26" t="s">
        <v>775</v>
      </c>
      <c r="B76" s="26">
        <v>7.0</v>
      </c>
      <c r="C76" s="26" t="s">
        <v>776</v>
      </c>
      <c r="D76" s="26" t="s">
        <v>37</v>
      </c>
    </row>
    <row r="77">
      <c r="A77" s="26" t="s">
        <v>779</v>
      </c>
      <c r="B77" s="26">
        <v>7.0</v>
      </c>
      <c r="C77" s="26" t="s">
        <v>780</v>
      </c>
      <c r="D77" s="26" t="s">
        <v>112</v>
      </c>
    </row>
    <row r="78">
      <c r="A78" s="26" t="s">
        <v>783</v>
      </c>
      <c r="B78" s="26">
        <v>7.0</v>
      </c>
      <c r="C78" s="26" t="s">
        <v>784</v>
      </c>
      <c r="D78" s="26" t="s">
        <v>112</v>
      </c>
    </row>
    <row r="79">
      <c r="A79" s="26" t="s">
        <v>786</v>
      </c>
      <c r="B79" s="26">
        <v>7.0</v>
      </c>
      <c r="C79" s="26" t="s">
        <v>787</v>
      </c>
      <c r="D79" s="26" t="s">
        <v>112</v>
      </c>
    </row>
    <row r="80">
      <c r="A80" s="26" t="s">
        <v>790</v>
      </c>
      <c r="B80" s="26">
        <v>7.0</v>
      </c>
      <c r="C80" s="26" t="s">
        <v>791</v>
      </c>
      <c r="D80" s="26" t="s">
        <v>254</v>
      </c>
    </row>
    <row r="81">
      <c r="A81" s="26" t="s">
        <v>794</v>
      </c>
      <c r="B81" s="26">
        <v>7.0</v>
      </c>
      <c r="C81" s="26" t="s">
        <v>795</v>
      </c>
      <c r="D81" s="26" t="s">
        <v>254</v>
      </c>
    </row>
    <row r="82">
      <c r="A82" s="26" t="s">
        <v>798</v>
      </c>
      <c r="B82" s="26">
        <v>7.0</v>
      </c>
      <c r="C82" s="26" t="s">
        <v>799</v>
      </c>
      <c r="D82" s="26" t="s">
        <v>112</v>
      </c>
    </row>
    <row r="83">
      <c r="A83" s="26" t="s">
        <v>802</v>
      </c>
      <c r="B83" s="26">
        <v>7.0</v>
      </c>
      <c r="C83" s="26" t="s">
        <v>803</v>
      </c>
      <c r="D83" s="26" t="s">
        <v>254</v>
      </c>
    </row>
    <row r="84">
      <c r="A84" s="26" t="s">
        <v>807</v>
      </c>
      <c r="B84" s="26">
        <v>7.0</v>
      </c>
      <c r="C84" s="26" t="s">
        <v>808</v>
      </c>
      <c r="D84" s="26" t="s">
        <v>112</v>
      </c>
    </row>
    <row r="85">
      <c r="A85" s="26" t="s">
        <v>811</v>
      </c>
      <c r="B85" s="26">
        <v>7.0</v>
      </c>
      <c r="C85" s="7" t="s">
        <v>812</v>
      </c>
      <c r="D85" s="26" t="s">
        <v>813</v>
      </c>
    </row>
    <row r="86">
      <c r="A86" s="26" t="s">
        <v>816</v>
      </c>
      <c r="B86" s="26">
        <v>7.0</v>
      </c>
      <c r="C86" s="7" t="s">
        <v>817</v>
      </c>
      <c r="D86" s="7" t="s">
        <v>254</v>
      </c>
    </row>
    <row r="87">
      <c r="A87" s="26" t="s">
        <v>821</v>
      </c>
      <c r="B87" s="26">
        <v>7.0</v>
      </c>
      <c r="C87" s="7" t="s">
        <v>822</v>
      </c>
      <c r="D87" s="7" t="s">
        <v>823</v>
      </c>
    </row>
    <row r="88">
      <c r="C88" s="7"/>
      <c r="D88" s="7"/>
    </row>
    <row r="89">
      <c r="C89" s="7" t="s">
        <v>846</v>
      </c>
    </row>
    <row r="90">
      <c r="C90" s="7" t="s">
        <v>847</v>
      </c>
      <c r="D90" s="7" t="s">
        <v>112</v>
      </c>
      <c r="E90" s="26">
        <f>IFS('Country Profile'!E13="Float",Assumptions!$B$24,'Country Profile'!E13="Managed",Assumptions!$B$25,TRUE,Assumptions!$B$26)</f>
        <v>15</v>
      </c>
      <c r="F90" s="26">
        <f>IFS('Country Profile'!F13="Float",Assumptions!$B$24,'Country Profile'!F13="Managed",Assumptions!$B$25,TRUE,Assumptions!$B$26)</f>
        <v>20</v>
      </c>
      <c r="G90" s="26">
        <f>IFS('Country Profile'!G13="Float",Assumptions!$B$24,'Country Profile'!G13="Managed",Assumptions!$B$25,TRUE,Assumptions!$B$26)</f>
        <v>15</v>
      </c>
      <c r="H90" s="26">
        <f>IFS('Country Profile'!H13="Float",Assumptions!$B$24,'Country Profile'!H13="Managed",Assumptions!$B$25,TRUE,Assumptions!$B$26)</f>
        <v>20</v>
      </c>
      <c r="I90" s="26">
        <f>IFS('Country Profile'!I13="Float",Assumptions!$B$24,'Country Profile'!I13="Managed",Assumptions!$B$25,TRUE,Assumptions!$B$26)</f>
        <v>15</v>
      </c>
      <c r="J90" s="26">
        <f>IFS('Country Profile'!J13="Float",Assumptions!$B$24,'Country Profile'!J13="Managed",Assumptions!$B$25,TRUE,Assumptions!$B$26)</f>
        <v>20</v>
      </c>
      <c r="K90" s="26">
        <f>IFS('Country Profile'!K13="Float",Assumptions!$B$24,'Country Profile'!K13="Managed",Assumptions!$B$25,TRUE,Assumptions!$B$26)</f>
        <v>20</v>
      </c>
      <c r="L90" s="26">
        <f>IFS('Country Profile'!L13="Float",Assumptions!$B$24,'Country Profile'!L13="Managed",Assumptions!$B$25,TRUE,Assumptions!$B$26)</f>
        <v>15</v>
      </c>
      <c r="M90" s="26">
        <f>IFS('Country Profile'!M13="Float",Assumptions!$B$24,'Country Profile'!M13="Managed",Assumptions!$B$25,TRUE,Assumptions!$B$26)</f>
        <v>15</v>
      </c>
      <c r="N90" s="26">
        <f>IFS('Country Profile'!N13="Float",Assumptions!$B$24,'Country Profile'!N13="Managed",Assumptions!$B$25,TRUE,Assumptions!$B$26)</f>
        <v>0</v>
      </c>
      <c r="O90" s="26">
        <f>IFS('Country Profile'!O13="Float",Assumptions!$B$24,'Country Profile'!O13="Managed",Assumptions!$B$25,TRUE,Assumptions!$B$26)</f>
        <v>20</v>
      </c>
      <c r="P90" s="26">
        <f>IFS('Country Profile'!P13="Float",Assumptions!$B$24,'Country Profile'!P13="Managed",Assumptions!$B$25,TRUE,Assumptions!$B$26)</f>
        <v>15</v>
      </c>
      <c r="Q90" s="26">
        <f>IFS('Country Profile'!Q13="Float",Assumptions!$B$24,'Country Profile'!Q13="Managed",Assumptions!$B$25,TRUE,Assumptions!$B$26)</f>
        <v>20</v>
      </c>
      <c r="R90" s="26">
        <f>IFS('Country Profile'!R13="Float",Assumptions!$B$24,'Country Profile'!R13="Managed",Assumptions!$B$25,TRUE,Assumptions!$B$26)</f>
        <v>15</v>
      </c>
      <c r="S90" s="26">
        <f>IFS('Country Profile'!S13="Float",Assumptions!$B$24,'Country Profile'!S13="Managed",Assumptions!$B$25,TRUE,Assumptions!$B$26)</f>
        <v>20</v>
      </c>
      <c r="T90" s="26">
        <f>IFS('Country Profile'!T13="Float",Assumptions!$B$24,'Country Profile'!T13="Managed",Assumptions!$B$25,TRUE,Assumptions!$B$26)</f>
        <v>0</v>
      </c>
      <c r="U90" s="26">
        <f>IFS('Country Profile'!U13="Float",Assumptions!$B$24,'Country Profile'!U13="Managed",Assumptions!$B$25,TRUE,Assumptions!$B$26)</f>
        <v>20</v>
      </c>
      <c r="V90" s="26">
        <f>IFS('Country Profile'!V13="Float",Assumptions!$B$24,'Country Profile'!V13="Managed",Assumptions!$B$25,TRUE,Assumptions!$B$26)</f>
        <v>15</v>
      </c>
    </row>
    <row r="91">
      <c r="C91" s="7" t="s">
        <v>848</v>
      </c>
      <c r="D91" s="7" t="s">
        <v>37</v>
      </c>
      <c r="E91" s="26">
        <f>ABS(IFS('Country Profile'!E11="Commodity",Assumptions!$B$31,'Country Profile'!E11="Tourism",Assumptions!$B$32,TRUE,Assumptions!$B$33))/100*'Country Profile'!E8*Inputs!E24/100</f>
        <v>3.15</v>
      </c>
      <c r="F91" s="26">
        <f>ABS(IFS('Country Profile'!F11="Commodity",Assumptions!$B$31,'Country Profile'!F11="Tourism",Assumptions!$B$32,TRUE,Assumptions!$B$33))/100*'Country Profile'!F8*Inputs!F24/100</f>
        <v>1.485</v>
      </c>
      <c r="G91" s="26">
        <f>ABS(IFS('Country Profile'!G11="Commodity",Assumptions!$B$31,'Country Profile'!G11="Tourism",Assumptions!$B$32,TRUE,Assumptions!$B$33))/100*'Country Profile'!G8*Inputs!G24/100</f>
        <v>0.475</v>
      </c>
      <c r="H91" s="26">
        <f>ABS(IFS('Country Profile'!H11="Commodity",Assumptions!$B$31,'Country Profile'!H11="Tourism",Assumptions!$B$32,TRUE,Assumptions!$B$33))/100*'Country Profile'!H8*Inputs!H24/100</f>
        <v>2.72</v>
      </c>
      <c r="I91" s="26">
        <f>ABS(IFS('Country Profile'!I11="Commodity",Assumptions!$B$31,'Country Profile'!I11="Tourism",Assumptions!$B$32,TRUE,Assumptions!$B$33))/100*'Country Profile'!I8*Inputs!I24/100</f>
        <v>5.25</v>
      </c>
      <c r="J91" s="26">
        <f>ABS(IFS('Country Profile'!J11="Commodity",Assumptions!$B$31,'Country Profile'!J11="Tourism",Assumptions!$B$32,TRUE,Assumptions!$B$33))/100*'Country Profile'!J8*Inputs!J24/100</f>
        <v>0.44</v>
      </c>
      <c r="K91" s="26">
        <f>ABS(IFS('Country Profile'!K11="Commodity",Assumptions!$B$31,'Country Profile'!K11="Tourism",Assumptions!$B$32,TRUE,Assumptions!$B$33))/100*'Country Profile'!K8*Inputs!K24/100</f>
        <v>1.1</v>
      </c>
      <c r="L91" s="26">
        <f>ABS(IFS('Country Profile'!L11="Commodity",Assumptions!$B$31,'Country Profile'!L11="Tourism",Assumptions!$B$32,TRUE,Assumptions!$B$33))/100*'Country Profile'!L8*Inputs!L24/100</f>
        <v>0.42</v>
      </c>
      <c r="M91" s="26">
        <f>ABS(IFS('Country Profile'!M11="Commodity",Assumptions!$B$31,'Country Profile'!M11="Tourism",Assumptions!$B$32,TRUE,Assumptions!$B$33))/100*'Country Profile'!M8*Inputs!M24/100</f>
        <v>0.55</v>
      </c>
      <c r="N91" s="26">
        <f>ABS(IFS('Country Profile'!N11="Commodity",Assumptions!$B$31,'Country Profile'!N11="Tourism",Assumptions!$B$32,TRUE,Assumptions!$B$33))/100*'Country Profile'!N8*Inputs!N24/100</f>
        <v>6.25</v>
      </c>
      <c r="O91" s="26">
        <f>ABS(IFS('Country Profile'!O11="Commodity",Assumptions!$B$31,'Country Profile'!O11="Tourism",Assumptions!$B$32,TRUE,Assumptions!$B$33))/100*'Country Profile'!O8*Inputs!O24/100</f>
        <v>0.765</v>
      </c>
      <c r="P91" s="26">
        <f>ABS(IFS('Country Profile'!P11="Commodity",Assumptions!$B$31,'Country Profile'!P11="Tourism",Assumptions!$B$32,TRUE,Assumptions!$B$33))/100*'Country Profile'!P8*Inputs!P24/100</f>
        <v>1.05</v>
      </c>
      <c r="Q91" s="26">
        <f>ABS(IFS('Country Profile'!Q11="Commodity",Assumptions!$B$31,'Country Profile'!Q11="Tourism",Assumptions!$B$32,TRUE,Assumptions!$B$33))/100*'Country Profile'!Q8*Inputs!Q24/100</f>
        <v>1.8</v>
      </c>
      <c r="R91" s="26">
        <f>ABS(IFS('Country Profile'!R11="Commodity",Assumptions!$B$31,'Country Profile'!R11="Tourism",Assumptions!$B$32,TRUE,Assumptions!$B$33))/100*'Country Profile'!R8*Inputs!R24/100</f>
        <v>6.375</v>
      </c>
      <c r="S91" s="26">
        <f>ABS(IFS('Country Profile'!S11="Commodity",Assumptions!$B$31,'Country Profile'!S11="Tourism",Assumptions!$B$32,TRUE,Assumptions!$B$33))/100*'Country Profile'!S8*Inputs!S24/100</f>
        <v>3.825</v>
      </c>
      <c r="T91" s="26">
        <f>ABS(IFS('Country Profile'!T11="Commodity",Assumptions!$B$31,'Country Profile'!T11="Tourism",Assumptions!$B$32,TRUE,Assumptions!$B$33))/100*'Country Profile'!T8*Inputs!T24/100</f>
        <v>1.875</v>
      </c>
      <c r="U91" s="26">
        <f>ABS(IFS('Country Profile'!U11="Commodity",Assumptions!$B$31,'Country Profile'!U11="Tourism",Assumptions!$B$32,TRUE,Assumptions!$B$33))/100*'Country Profile'!U8*Inputs!U24/100</f>
        <v>9</v>
      </c>
      <c r="V91" s="26">
        <f>ABS(IFS('Country Profile'!V11="Commodity",Assumptions!$B$31,'Country Profile'!V11="Tourism",Assumptions!$B$32,TRUE,Assumptions!$B$33))/100*'Country Profile'!V8*Inputs!V24/100</f>
        <v>3.75</v>
      </c>
    </row>
    <row r="92">
      <c r="C92" s="7" t="s">
        <v>119</v>
      </c>
      <c r="D92" s="7" t="s">
        <v>120</v>
      </c>
      <c r="E92" s="26">
        <f>Assumptions!$B$27</f>
        <v>-2</v>
      </c>
      <c r="F92" s="26">
        <f>Assumptions!$B$27</f>
        <v>-2</v>
      </c>
      <c r="G92" s="26">
        <f>Assumptions!$B$27</f>
        <v>-2</v>
      </c>
      <c r="H92" s="26">
        <f>Assumptions!$B$27</f>
        <v>-2</v>
      </c>
      <c r="I92" s="26">
        <f>Assumptions!$B$27</f>
        <v>-2</v>
      </c>
      <c r="J92" s="26">
        <f>Assumptions!$B$27</f>
        <v>-2</v>
      </c>
      <c r="K92" s="26">
        <f>Assumptions!$B$27</f>
        <v>-2</v>
      </c>
      <c r="L92" s="26">
        <f>Assumptions!$B$27</f>
        <v>-2</v>
      </c>
      <c r="M92" s="26">
        <f>Assumptions!$B$27</f>
        <v>-2</v>
      </c>
      <c r="N92" s="26">
        <f>Assumptions!$B$27</f>
        <v>-2</v>
      </c>
      <c r="O92" s="26">
        <f>Assumptions!$B$27</f>
        <v>-2</v>
      </c>
      <c r="P92" s="26">
        <f>Assumptions!$B$27</f>
        <v>-2</v>
      </c>
      <c r="Q92" s="26">
        <f>Assumptions!$B$27</f>
        <v>-2</v>
      </c>
      <c r="R92" s="26">
        <f>Assumptions!$B$27</f>
        <v>-2</v>
      </c>
      <c r="S92" s="26">
        <f>Assumptions!$B$27</f>
        <v>-2</v>
      </c>
      <c r="T92" s="26">
        <f>Assumptions!$B$27</f>
        <v>-2</v>
      </c>
      <c r="U92" s="26">
        <f>Assumptions!$B$27</f>
        <v>-2</v>
      </c>
      <c r="V92" s="26">
        <f>Assumptions!$B$27</f>
        <v>-2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2" width="6.38"/>
    <col customWidth="1" min="3" max="3" width="41.38"/>
    <col customWidth="1" min="4" max="4" width="18.88"/>
    <col customWidth="1" min="5" max="22" width="11.63"/>
  </cols>
  <sheetData>
    <row r="1">
      <c r="A1" s="2" t="s">
        <v>826</v>
      </c>
    </row>
    <row r="2">
      <c r="A2" s="5" t="s">
        <v>830</v>
      </c>
    </row>
    <row r="4">
      <c r="A4" s="21" t="str">
        <f t="array" ref="A4:D87">Rulebook!A4:D87</f>
        <v>ID</v>
      </c>
      <c r="B4" s="21" t="s">
        <v>43</v>
      </c>
      <c r="C4" s="21" t="s">
        <v>68</v>
      </c>
      <c r="D4" s="21" t="s">
        <v>9</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26" t="s">
        <v>100</v>
      </c>
      <c r="B5" s="26">
        <v>1.0</v>
      </c>
      <c r="C5" s="26" t="s">
        <v>104</v>
      </c>
      <c r="D5" s="26" t="s">
        <v>105</v>
      </c>
      <c r="E5" s="35">
        <f>IF(Inputs!E5="","",LET(d,Rulebook!$L5,x,Inputs!E5*d,ta,Rulebook!$G5*d,tb,Rulebook!$H5*d,tc,Rulebook!$I5*d,te,Rulebook!$J5*d,tf,Rulebook!$K5*d,IFS(x&lt;=ta,0,x&lt;=tb,25*(x-ta)/(tb-ta),x&lt;=tc,25+25*(x-tb)/(tc-tb),x&lt;=te,50+25*(x-tc)/(te-tc),x&lt;tf,75+25*(x-te)/(tf-te),TRUE,100)))</f>
        <v>12.5</v>
      </c>
      <c r="F5" s="35">
        <f>IF(Inputs!F5="","",LET(d,Rulebook!$L5,x,Inputs!F5*d,ta,Rulebook!$G5*d,tb,Rulebook!$H5*d,tc,Rulebook!$I5*d,te,Rulebook!$J5*d,tf,Rulebook!$K5*d,IFS(x&lt;=ta,0,x&lt;=tb,25*(x-ta)/(tb-ta),x&lt;=tc,25+25*(x-tb)/(tc-tb),x&lt;=te,50+25*(x-tc)/(te-tc),x&lt;tf,75+25*(x-te)/(tf-te),TRUE,100)))</f>
        <v>66.66666667</v>
      </c>
      <c r="G5" s="35">
        <f>IF(Inputs!G5="","",LET(d,Rulebook!$L5,x,Inputs!G5*d,ta,Rulebook!$G5*d,tb,Rulebook!$H5*d,tc,Rulebook!$I5*d,te,Rulebook!$J5*d,tf,Rulebook!$K5*d,IFS(x&lt;=ta,0,x&lt;=tb,25*(x-ta)/(tb-ta),x&lt;=tc,25+25*(x-tb)/(tc-tb),x&lt;=te,50+25*(x-tc)/(te-tc),x&lt;tf,75+25*(x-te)/(tf-te),TRUE,100)))</f>
        <v>5</v>
      </c>
      <c r="H5" s="35">
        <f>IF(Inputs!H5="","",LET(d,Rulebook!$L5,x,Inputs!H5*d,ta,Rulebook!$G5*d,tb,Rulebook!$H5*d,tc,Rulebook!$I5*d,te,Rulebook!$J5*d,tf,Rulebook!$K5*d,IFS(x&lt;=ta,0,x&lt;=tb,25*(x-ta)/(tb-ta),x&lt;=tc,25+25*(x-tb)/(tc-tb),x&lt;=te,50+25*(x-tc)/(te-tc),x&lt;tf,75+25*(x-te)/(tf-te),TRUE,100)))</f>
        <v>50</v>
      </c>
      <c r="I5" s="35">
        <f>IF(Inputs!I5="","",LET(d,Rulebook!$L5,x,Inputs!I5*d,ta,Rulebook!$G5*d,tb,Rulebook!$H5*d,tc,Rulebook!$I5*d,te,Rulebook!$J5*d,tf,Rulebook!$K5*d,IFS(x&lt;=ta,0,x&lt;=tb,25*(x-ta)/(tb-ta),x&lt;=tc,25+25*(x-tb)/(tc-tb),x&lt;=te,50+25*(x-tc)/(te-tc),x&lt;tf,75+25*(x-te)/(tf-te),TRUE,100)))</f>
        <v>0</v>
      </c>
      <c r="J5" s="35">
        <f>IF(Inputs!J5="","",LET(d,Rulebook!$L5,x,Inputs!J5*d,ta,Rulebook!$G5*d,tb,Rulebook!$H5*d,tc,Rulebook!$I5*d,te,Rulebook!$J5*d,tf,Rulebook!$K5*d,IFS(x&lt;=ta,0,x&lt;=tb,25*(x-ta)/(tb-ta),x&lt;=tc,25+25*(x-tb)/(tc-tb),x&lt;=te,50+25*(x-tc)/(te-tc),x&lt;tf,75+25*(x-te)/(tf-te),TRUE,100)))</f>
        <v>50</v>
      </c>
      <c r="K5" s="35">
        <f>IF(Inputs!K5="","",LET(d,Rulebook!$L5,x,Inputs!K5*d,ta,Rulebook!$G5*d,tb,Rulebook!$H5*d,tc,Rulebook!$I5*d,te,Rulebook!$J5*d,tf,Rulebook!$K5*d,IFS(x&lt;=ta,0,x&lt;=tb,25*(x-ta)/(tb-ta),x&lt;=tc,25+25*(x-tb)/(tc-tb),x&lt;=te,50+25*(x-tc)/(te-tc),x&lt;tf,75+25*(x-te)/(tf-te),TRUE,100)))</f>
        <v>0</v>
      </c>
      <c r="L5" s="35">
        <f>IF(Inputs!L5="","",LET(d,Rulebook!$L5,x,Inputs!L5*d,ta,Rulebook!$G5*d,tb,Rulebook!$H5*d,tc,Rulebook!$I5*d,te,Rulebook!$J5*d,tf,Rulebook!$K5*d,IFS(x&lt;=ta,0,x&lt;=tb,25*(x-ta)/(tb-ta),x&lt;=tc,25+25*(x-tb)/(tc-tb),x&lt;=te,50+25*(x-tc)/(te-tc),x&lt;tf,75+25*(x-te)/(tf-te),TRUE,100)))</f>
        <v>75</v>
      </c>
      <c r="M5" s="35">
        <f>IF(Inputs!M5="","",LET(d,Rulebook!$L5,x,Inputs!M5*d,ta,Rulebook!$G5*d,tb,Rulebook!$H5*d,tc,Rulebook!$I5*d,te,Rulebook!$J5*d,tf,Rulebook!$K5*d,IFS(x&lt;=ta,0,x&lt;=tb,25*(x-ta)/(tb-ta),x&lt;=tc,25+25*(x-tb)/(tc-tb),x&lt;=te,50+25*(x-tc)/(te-tc),x&lt;tf,75+25*(x-te)/(tf-te),TRUE,100)))</f>
        <v>100</v>
      </c>
      <c r="N5" s="35">
        <f>IF(Inputs!N5="","",LET(d,Rulebook!$L5,x,Inputs!N5*d,ta,Rulebook!$G5*d,tb,Rulebook!$H5*d,tc,Rulebook!$I5*d,te,Rulebook!$J5*d,tf,Rulebook!$K5*d,IFS(x&lt;=ta,0,x&lt;=tb,25*(x-ta)/(tb-ta),x&lt;=tc,25+25*(x-tb)/(tc-tb),x&lt;=te,50+25*(x-tc)/(te-tc),x&lt;tf,75+25*(x-te)/(tf-te),TRUE,100)))</f>
        <v>25</v>
      </c>
      <c r="O5" s="35">
        <f>IF(Inputs!O5="","",LET(d,Rulebook!$L5,x,Inputs!O5*d,ta,Rulebook!$G5*d,tb,Rulebook!$H5*d,tc,Rulebook!$I5*d,te,Rulebook!$J5*d,tf,Rulebook!$K5*d,IFS(x&lt;=ta,0,x&lt;=tb,25*(x-ta)/(tb-ta),x&lt;=tc,25+25*(x-tb)/(tc-tb),x&lt;=te,50+25*(x-tc)/(te-tc),x&lt;tf,75+25*(x-te)/(tf-te),TRUE,100)))</f>
        <v>66.66666667</v>
      </c>
      <c r="P5" s="35">
        <f>IF(Inputs!P5="","",LET(d,Rulebook!$L5,x,Inputs!P5*d,ta,Rulebook!$G5*d,tb,Rulebook!$H5*d,tc,Rulebook!$I5*d,te,Rulebook!$J5*d,tf,Rulebook!$K5*d,IFS(x&lt;=ta,0,x&lt;=tb,25*(x-ta)/(tb-ta),x&lt;=tc,25+25*(x-tb)/(tc-tb),x&lt;=te,50+25*(x-tc)/(te-tc),x&lt;tf,75+25*(x-te)/(tf-te),TRUE,100)))</f>
        <v>50</v>
      </c>
      <c r="Q5" s="35">
        <f>IF(Inputs!Q5="","",LET(d,Rulebook!$L5,x,Inputs!Q5*d,ta,Rulebook!$G5*d,tb,Rulebook!$H5*d,tc,Rulebook!$I5*d,te,Rulebook!$J5*d,tf,Rulebook!$K5*d,IFS(x&lt;=ta,0,x&lt;=tb,25*(x-ta)/(tb-ta),x&lt;=tc,25+25*(x-tb)/(tc-tb),x&lt;=te,50+25*(x-tc)/(te-tc),x&lt;tf,75+25*(x-te)/(tf-te),TRUE,100)))</f>
        <v>58.33333333</v>
      </c>
      <c r="R5" s="35">
        <f>IF(Inputs!R5="","",LET(d,Rulebook!$L5,x,Inputs!R5*d,ta,Rulebook!$G5*d,tb,Rulebook!$H5*d,tc,Rulebook!$I5*d,te,Rulebook!$J5*d,tf,Rulebook!$K5*d,IFS(x&lt;=ta,0,x&lt;=tb,25*(x-ta)/(tb-ta),x&lt;=tc,25+25*(x-tb)/(tc-tb),x&lt;=te,50+25*(x-tc)/(te-tc),x&lt;tf,75+25*(x-te)/(tf-te),TRUE,100)))</f>
        <v>100</v>
      </c>
      <c r="S5" s="35">
        <f>IF(Inputs!S5="","",LET(d,Rulebook!$L5,x,Inputs!S5*d,ta,Rulebook!$G5*d,tb,Rulebook!$H5*d,tc,Rulebook!$I5*d,te,Rulebook!$J5*d,tf,Rulebook!$K5*d,IFS(x&lt;=ta,0,x&lt;=tb,25*(x-ta)/(tb-ta),x&lt;=tc,25+25*(x-tb)/(tc-tb),x&lt;=te,50+25*(x-tc)/(te-tc),x&lt;tf,75+25*(x-te)/(tf-te),TRUE,100)))</f>
        <v>100</v>
      </c>
      <c r="T5" s="35">
        <f>IF(Inputs!T5="","",LET(d,Rulebook!$L5,x,Inputs!T5*d,ta,Rulebook!$G5*d,tb,Rulebook!$H5*d,tc,Rulebook!$I5*d,te,Rulebook!$J5*d,tf,Rulebook!$K5*d,IFS(x&lt;=ta,0,x&lt;=tb,25*(x-ta)/(tb-ta),x&lt;=tc,25+25*(x-tb)/(tc-tb),x&lt;=te,50+25*(x-tc)/(te-tc),x&lt;tf,75+25*(x-te)/(tf-te),TRUE,100)))</f>
        <v>75</v>
      </c>
      <c r="U5" s="35">
        <f>IF(Inputs!U5="","",LET(d,Rulebook!$L5,x,Inputs!U5*d,ta,Rulebook!$G5*d,tb,Rulebook!$H5*d,tc,Rulebook!$I5*d,te,Rulebook!$J5*d,tf,Rulebook!$K5*d,IFS(x&lt;=ta,0,x&lt;=tb,25*(x-ta)/(tb-ta),x&lt;=tc,25+25*(x-tb)/(tc-tb),x&lt;=te,50+25*(x-tc)/(te-tc),x&lt;tf,75+25*(x-te)/(tf-te),TRUE,100)))</f>
        <v>66.66666667</v>
      </c>
      <c r="V5" s="35">
        <f>IF(Inputs!V5="","",LET(d,Rulebook!$L5,x,Inputs!V5*d,ta,Rulebook!$G5*d,tb,Rulebook!$H5*d,tc,Rulebook!$I5*d,te,Rulebook!$J5*d,tf,Rulebook!$K5*d,IFS(x&lt;=ta,0,x&lt;=tb,25*(x-ta)/(tb-ta),x&lt;=tc,25+25*(x-tb)/(tc-tb),x&lt;=te,50+25*(x-tc)/(te-tc),x&lt;tf,75+25*(x-te)/(tf-te),TRUE,100)))</f>
        <v>58.33333333</v>
      </c>
    </row>
    <row r="6">
      <c r="A6" s="26" t="s">
        <v>129</v>
      </c>
      <c r="B6" s="26">
        <v>1.0</v>
      </c>
      <c r="C6" s="26" t="s">
        <v>133</v>
      </c>
      <c r="D6" s="26" t="s">
        <v>134</v>
      </c>
      <c r="E6" s="35">
        <f>IF(Inputs!E6="","",LET(d,Rulebook!$L6,x,Inputs!E6*d,ta,Rulebook!$G6*d,tb,Rulebook!$H6*d,tc,Rulebook!$I6*d,te,Rulebook!$J6*d,tf,Rulebook!$K6*d,IFS(x&lt;=ta,0,x&lt;=tb,25*(x-ta)/(tb-ta),x&lt;=tc,25+25*(x-tb)/(tc-tb),x&lt;=te,50+25*(x-tc)/(te-tc),x&lt;tf,75+25*(x-te)/(tf-te),TRUE,100)))</f>
        <v>0</v>
      </c>
      <c r="F6" s="35">
        <f>IF(Inputs!F6="","",LET(d,Rulebook!$L6,x,Inputs!F6*d,ta,Rulebook!$G6*d,tb,Rulebook!$H6*d,tc,Rulebook!$I6*d,te,Rulebook!$J6*d,tf,Rulebook!$K6*d,IFS(x&lt;=ta,0,x&lt;=tb,25*(x-ta)/(tb-ta),x&lt;=tc,25+25*(x-tb)/(tc-tb),x&lt;=te,50+25*(x-tc)/(te-tc),x&lt;tf,75+25*(x-te)/(tf-te),TRUE,100)))</f>
        <v>8.333333333</v>
      </c>
      <c r="G6" s="35">
        <f>IF(Inputs!G6="","",LET(d,Rulebook!$L6,x,Inputs!G6*d,ta,Rulebook!$G6*d,tb,Rulebook!$H6*d,tc,Rulebook!$I6*d,te,Rulebook!$J6*d,tf,Rulebook!$K6*d,IFS(x&lt;=ta,0,x&lt;=tb,25*(x-ta)/(tb-ta),x&lt;=tc,25+25*(x-tb)/(tc-tb),x&lt;=te,50+25*(x-tc)/(te-tc),x&lt;tf,75+25*(x-te)/(tf-te),TRUE,100)))</f>
        <v>0</v>
      </c>
      <c r="H6" s="35">
        <f>IF(Inputs!H6="","",LET(d,Rulebook!$L6,x,Inputs!H6*d,ta,Rulebook!$G6*d,tb,Rulebook!$H6*d,tc,Rulebook!$I6*d,te,Rulebook!$J6*d,tf,Rulebook!$K6*d,IFS(x&lt;=ta,0,x&lt;=tb,25*(x-ta)/(tb-ta),x&lt;=tc,25+25*(x-tb)/(tc-tb),x&lt;=te,50+25*(x-tc)/(te-tc),x&lt;tf,75+25*(x-te)/(tf-te),TRUE,100)))</f>
        <v>0</v>
      </c>
      <c r="I6" s="35">
        <f>IF(Inputs!I6="","",LET(d,Rulebook!$L6,x,Inputs!I6*d,ta,Rulebook!$G6*d,tb,Rulebook!$H6*d,tc,Rulebook!$I6*d,te,Rulebook!$J6*d,tf,Rulebook!$K6*d,IFS(x&lt;=ta,0,x&lt;=tb,25*(x-ta)/(tb-ta),x&lt;=tc,25+25*(x-tb)/(tc-tb),x&lt;=te,50+25*(x-tc)/(te-tc),x&lt;tf,75+25*(x-te)/(tf-te),TRUE,100)))</f>
        <v>0</v>
      </c>
      <c r="J6" s="35">
        <f>IF(Inputs!J6="","",LET(d,Rulebook!$L6,x,Inputs!J6*d,ta,Rulebook!$G6*d,tb,Rulebook!$H6*d,tc,Rulebook!$I6*d,te,Rulebook!$J6*d,tf,Rulebook!$K6*d,IFS(x&lt;=ta,0,x&lt;=tb,25*(x-ta)/(tb-ta),x&lt;=tc,25+25*(x-tb)/(tc-tb),x&lt;=te,50+25*(x-tc)/(te-tc),x&lt;tf,75+25*(x-te)/(tf-te),TRUE,100)))</f>
        <v>0</v>
      </c>
      <c r="K6" s="35">
        <f>IF(Inputs!K6="","",LET(d,Rulebook!$L6,x,Inputs!K6*d,ta,Rulebook!$G6*d,tb,Rulebook!$H6*d,tc,Rulebook!$I6*d,te,Rulebook!$J6*d,tf,Rulebook!$K6*d,IFS(x&lt;=ta,0,x&lt;=tb,25*(x-ta)/(tb-ta),x&lt;=tc,25+25*(x-tb)/(tc-tb),x&lt;=te,50+25*(x-tc)/(te-tc),x&lt;tf,75+25*(x-te)/(tf-te),TRUE,100)))</f>
        <v>0</v>
      </c>
      <c r="L6" s="35">
        <f>IF(Inputs!L6="","",LET(d,Rulebook!$L6,x,Inputs!L6*d,ta,Rulebook!$G6*d,tb,Rulebook!$H6*d,tc,Rulebook!$I6*d,te,Rulebook!$J6*d,tf,Rulebook!$K6*d,IFS(x&lt;=ta,0,x&lt;=tb,25*(x-ta)/(tb-ta),x&lt;=tc,25+25*(x-tb)/(tc-tb),x&lt;=te,50+25*(x-tc)/(te-tc),x&lt;tf,75+25*(x-te)/(tf-te),TRUE,100)))</f>
        <v>0</v>
      </c>
      <c r="M6" s="35">
        <f>IF(Inputs!M6="","",LET(d,Rulebook!$L6,x,Inputs!M6*d,ta,Rulebook!$G6*d,tb,Rulebook!$H6*d,tc,Rulebook!$I6*d,te,Rulebook!$J6*d,tf,Rulebook!$K6*d,IFS(x&lt;=ta,0,x&lt;=tb,25*(x-ta)/(tb-ta),x&lt;=tc,25+25*(x-tb)/(tc-tb),x&lt;=te,50+25*(x-tc)/(te-tc),x&lt;tf,75+25*(x-te)/(tf-te),TRUE,100)))</f>
        <v>100</v>
      </c>
      <c r="N6" s="35">
        <f>IF(Inputs!N6="","",LET(d,Rulebook!$L6,x,Inputs!N6*d,ta,Rulebook!$G6*d,tb,Rulebook!$H6*d,tc,Rulebook!$I6*d,te,Rulebook!$J6*d,tf,Rulebook!$K6*d,IFS(x&lt;=ta,0,x&lt;=tb,25*(x-ta)/(tb-ta),x&lt;=tc,25+25*(x-tb)/(tc-tb),x&lt;=te,50+25*(x-tc)/(te-tc),x&lt;tf,75+25*(x-te)/(tf-te),TRUE,100)))</f>
        <v>30</v>
      </c>
      <c r="O6" s="35">
        <f>IF(Inputs!O6="","",LET(d,Rulebook!$L6,x,Inputs!O6*d,ta,Rulebook!$G6*d,tb,Rulebook!$H6*d,tc,Rulebook!$I6*d,te,Rulebook!$J6*d,tf,Rulebook!$K6*d,IFS(x&lt;=ta,0,x&lt;=tb,25*(x-ta)/(tb-ta),x&lt;=tc,25+25*(x-tb)/(tc-tb),x&lt;=te,50+25*(x-tc)/(te-tc),x&lt;tf,75+25*(x-te)/(tf-te),TRUE,100)))</f>
        <v>0</v>
      </c>
      <c r="P6" s="35">
        <f>IF(Inputs!P6="","",LET(d,Rulebook!$L6,x,Inputs!P6*d,ta,Rulebook!$G6*d,tb,Rulebook!$H6*d,tc,Rulebook!$I6*d,te,Rulebook!$J6*d,tf,Rulebook!$K6*d,IFS(x&lt;=ta,0,x&lt;=tb,25*(x-ta)/(tb-ta),x&lt;=tc,25+25*(x-tb)/(tc-tb),x&lt;=te,50+25*(x-tc)/(te-tc),x&lt;tf,75+25*(x-te)/(tf-te),TRUE,100)))</f>
        <v>90</v>
      </c>
      <c r="Q6" s="35">
        <f>IF(Inputs!Q6="","",LET(d,Rulebook!$L6,x,Inputs!Q6*d,ta,Rulebook!$G6*d,tb,Rulebook!$H6*d,tc,Rulebook!$I6*d,te,Rulebook!$J6*d,tf,Rulebook!$K6*d,IFS(x&lt;=ta,0,x&lt;=tb,25*(x-ta)/(tb-ta),x&lt;=tc,25+25*(x-tb)/(tc-tb),x&lt;=te,50+25*(x-tc)/(te-tc),x&lt;tf,75+25*(x-te)/(tf-te),TRUE,100)))</f>
        <v>25</v>
      </c>
      <c r="R6" s="35">
        <f>IF(Inputs!R6="","",LET(d,Rulebook!$L6,x,Inputs!R6*d,ta,Rulebook!$G6*d,tb,Rulebook!$H6*d,tc,Rulebook!$I6*d,te,Rulebook!$J6*d,tf,Rulebook!$K6*d,IFS(x&lt;=ta,0,x&lt;=tb,25*(x-ta)/(tb-ta),x&lt;=tc,25+25*(x-tb)/(tc-tb),x&lt;=te,50+25*(x-tc)/(te-tc),x&lt;tf,75+25*(x-te)/(tf-te),TRUE,100)))</f>
        <v>100</v>
      </c>
      <c r="S6" s="35">
        <f>IF(Inputs!S6="","",LET(d,Rulebook!$L6,x,Inputs!S6*d,ta,Rulebook!$G6*d,tb,Rulebook!$H6*d,tc,Rulebook!$I6*d,te,Rulebook!$J6*d,tf,Rulebook!$K6*d,IFS(x&lt;=ta,0,x&lt;=tb,25*(x-ta)/(tb-ta),x&lt;=tc,25+25*(x-tb)/(tc-tb),x&lt;=te,50+25*(x-tc)/(te-tc),x&lt;tf,75+25*(x-te)/(tf-te),TRUE,100)))</f>
        <v>30</v>
      </c>
      <c r="T6" s="35">
        <f>IF(Inputs!T6="","",LET(d,Rulebook!$L6,x,Inputs!T6*d,ta,Rulebook!$G6*d,tb,Rulebook!$H6*d,tc,Rulebook!$I6*d,te,Rulebook!$J6*d,tf,Rulebook!$K6*d,IFS(x&lt;=ta,0,x&lt;=tb,25*(x-ta)/(tb-ta),x&lt;=tc,25+25*(x-tb)/(tc-tb),x&lt;=te,50+25*(x-tc)/(te-tc),x&lt;tf,75+25*(x-te)/(tf-te),TRUE,100)))</f>
        <v>80</v>
      </c>
      <c r="U6" s="35">
        <f>IF(Inputs!U6="","",LET(d,Rulebook!$L6,x,Inputs!U6*d,ta,Rulebook!$G6*d,tb,Rulebook!$H6*d,tc,Rulebook!$I6*d,te,Rulebook!$J6*d,tf,Rulebook!$K6*d,IFS(x&lt;=ta,0,x&lt;=tb,25*(x-ta)/(tb-ta),x&lt;=tc,25+25*(x-tb)/(tc-tb),x&lt;=te,50+25*(x-tc)/(te-tc),x&lt;tf,75+25*(x-te)/(tf-te),TRUE,100)))</f>
        <v>40</v>
      </c>
      <c r="V6" s="35">
        <f>IF(Inputs!V6="","",LET(d,Rulebook!$L6,x,Inputs!V6*d,ta,Rulebook!$G6*d,tb,Rulebook!$H6*d,tc,Rulebook!$I6*d,te,Rulebook!$J6*d,tf,Rulebook!$K6*d,IFS(x&lt;=ta,0,x&lt;=tb,25*(x-ta)/(tb-ta),x&lt;=tc,25+25*(x-tb)/(tc-tb),x&lt;=te,50+25*(x-tc)/(te-tc),x&lt;tf,75+25*(x-te)/(tf-te),TRUE,100)))</f>
        <v>100</v>
      </c>
    </row>
    <row r="7">
      <c r="A7" s="26" t="s">
        <v>140</v>
      </c>
      <c r="B7" s="26">
        <v>1.0</v>
      </c>
      <c r="C7" s="26" t="s">
        <v>142</v>
      </c>
      <c r="D7" s="26" t="s">
        <v>37</v>
      </c>
      <c r="E7" s="35">
        <f>IF(Inputs!E7="","",LET(d,Rulebook!$L7,x,Inputs!E7*d,ta,Rulebook!$G7*d,tb,Rulebook!$H7*d,tc,Rulebook!$I7*d,te,Rulebook!$J7*d,tf,Rulebook!$K7*d,IFS(x&lt;=ta,0,x&lt;=tb,25*(x-ta)/(tb-ta),x&lt;=tc,25+25*(x-tb)/(tc-tb),x&lt;=te,50+25*(x-tc)/(te-tc),x&lt;tf,75+25*(x-te)/(tf-te),TRUE,100)))</f>
        <v>5</v>
      </c>
      <c r="F7" s="35">
        <f>IF(Inputs!F7="","",LET(d,Rulebook!$L7,x,Inputs!F7*d,ta,Rulebook!$G7*d,tb,Rulebook!$H7*d,tc,Rulebook!$I7*d,te,Rulebook!$J7*d,tf,Rulebook!$K7*d,IFS(x&lt;=ta,0,x&lt;=tb,25*(x-ta)/(tb-ta),x&lt;=tc,25+25*(x-tb)/(tc-tb),x&lt;=te,50+25*(x-tc)/(te-tc),x&lt;tf,75+25*(x-te)/(tf-te),TRUE,100)))</f>
        <v>50</v>
      </c>
      <c r="G7" s="35">
        <f>IF(Inputs!G7="","",LET(d,Rulebook!$L7,x,Inputs!G7*d,ta,Rulebook!$G7*d,tb,Rulebook!$H7*d,tc,Rulebook!$I7*d,te,Rulebook!$J7*d,tf,Rulebook!$K7*d,IFS(x&lt;=ta,0,x&lt;=tb,25*(x-ta)/(tb-ta),x&lt;=tc,25+25*(x-tb)/(tc-tb),x&lt;=te,50+25*(x-tc)/(te-tc),x&lt;tf,75+25*(x-te)/(tf-te),TRUE,100)))</f>
        <v>100</v>
      </c>
      <c r="H7" s="35">
        <f>IF(Inputs!H7="","",LET(d,Rulebook!$L7,x,Inputs!H7*d,ta,Rulebook!$G7*d,tb,Rulebook!$H7*d,tc,Rulebook!$I7*d,te,Rulebook!$J7*d,tf,Rulebook!$K7*d,IFS(x&lt;=ta,0,x&lt;=tb,25*(x-ta)/(tb-ta),x&lt;=tc,25+25*(x-tb)/(tc-tb),x&lt;=te,50+25*(x-tc)/(te-tc),x&lt;tf,75+25*(x-te)/(tf-te),TRUE,100)))</f>
        <v>61.5</v>
      </c>
      <c r="I7" s="35">
        <f>IF(Inputs!I7="","",LET(d,Rulebook!$L7,x,Inputs!I7*d,ta,Rulebook!$G7*d,tb,Rulebook!$H7*d,tc,Rulebook!$I7*d,te,Rulebook!$J7*d,tf,Rulebook!$K7*d,IFS(x&lt;=ta,0,x&lt;=tb,25*(x-ta)/(tb-ta),x&lt;=tc,25+25*(x-tb)/(tc-tb),x&lt;=te,50+25*(x-tc)/(te-tc),x&lt;tf,75+25*(x-te)/(tf-te),TRUE,100)))</f>
        <v>100</v>
      </c>
      <c r="J7" s="35">
        <f>IF(Inputs!J7="","",LET(d,Rulebook!$L7,x,Inputs!J7*d,ta,Rulebook!$G7*d,tb,Rulebook!$H7*d,tc,Rulebook!$I7*d,te,Rulebook!$J7*d,tf,Rulebook!$K7*d,IFS(x&lt;=ta,0,x&lt;=tb,25*(x-ta)/(tb-ta),x&lt;=tc,25+25*(x-tb)/(tc-tb),x&lt;=te,50+25*(x-tc)/(te-tc),x&lt;tf,75+25*(x-te)/(tf-te),TRUE,100)))</f>
        <v>100</v>
      </c>
      <c r="K7" s="35">
        <f>IF(Inputs!K7="","",LET(d,Rulebook!$L7,x,Inputs!K7*d,ta,Rulebook!$G7*d,tb,Rulebook!$H7*d,tc,Rulebook!$I7*d,te,Rulebook!$J7*d,tf,Rulebook!$K7*d,IFS(x&lt;=ta,0,x&lt;=tb,25*(x-ta)/(tb-ta),x&lt;=tc,25+25*(x-tb)/(tc-tb),x&lt;=te,50+25*(x-tc)/(te-tc),x&lt;tf,75+25*(x-te)/(tf-te),TRUE,100)))</f>
        <v>28.83333333</v>
      </c>
      <c r="L7" s="35">
        <f>IF(Inputs!L7="","",LET(d,Rulebook!$L7,x,Inputs!L7*d,ta,Rulebook!$G7*d,tb,Rulebook!$H7*d,tc,Rulebook!$I7*d,te,Rulebook!$J7*d,tf,Rulebook!$K7*d,IFS(x&lt;=ta,0,x&lt;=tb,25*(x-ta)/(tb-ta),x&lt;=tc,25+25*(x-tb)/(tc-tb),x&lt;=te,50+25*(x-tc)/(te-tc),x&lt;tf,75+25*(x-te)/(tf-te),TRUE,100)))</f>
        <v>78.875</v>
      </c>
      <c r="M7" s="35">
        <f>IF(Inputs!M7="","",LET(d,Rulebook!$L7,x,Inputs!M7*d,ta,Rulebook!$G7*d,tb,Rulebook!$H7*d,tc,Rulebook!$I7*d,te,Rulebook!$J7*d,tf,Rulebook!$K7*d,IFS(x&lt;=ta,0,x&lt;=tb,25*(x-ta)/(tb-ta),x&lt;=tc,25+25*(x-tb)/(tc-tb),x&lt;=te,50+25*(x-tc)/(te-tc),x&lt;tf,75+25*(x-te)/(tf-te),TRUE,100)))</f>
        <v>65</v>
      </c>
      <c r="N7" s="35">
        <f>IF(Inputs!N7="","",LET(d,Rulebook!$L7,x,Inputs!N7*d,ta,Rulebook!$G7*d,tb,Rulebook!$H7*d,tc,Rulebook!$I7*d,te,Rulebook!$J7*d,tf,Rulebook!$K7*d,IFS(x&lt;=ta,0,x&lt;=tb,25*(x-ta)/(tb-ta),x&lt;=tc,25+25*(x-tb)/(tc-tb),x&lt;=te,50+25*(x-tc)/(te-tc),x&lt;tf,75+25*(x-te)/(tf-te),TRUE,100)))</f>
        <v>55.75</v>
      </c>
      <c r="O7" s="35">
        <f>IF(Inputs!O7="","",LET(d,Rulebook!$L7,x,Inputs!O7*d,ta,Rulebook!$G7*d,tb,Rulebook!$H7*d,tc,Rulebook!$I7*d,te,Rulebook!$J7*d,tf,Rulebook!$K7*d,IFS(x&lt;=ta,0,x&lt;=tb,25*(x-ta)/(tb-ta),x&lt;=tc,25+25*(x-tb)/(tc-tb),x&lt;=te,50+25*(x-tc)/(te-tc),x&lt;tf,75+25*(x-te)/(tf-te),TRUE,100)))</f>
        <v>96.25</v>
      </c>
      <c r="P7" s="35">
        <f>IF(Inputs!P7="","",LET(d,Rulebook!$L7,x,Inputs!P7*d,ta,Rulebook!$G7*d,tb,Rulebook!$H7*d,tc,Rulebook!$I7*d,te,Rulebook!$J7*d,tf,Rulebook!$K7*d,IFS(x&lt;=ta,0,x&lt;=tb,25*(x-ta)/(tb-ta),x&lt;=tc,25+25*(x-tb)/(tc-tb),x&lt;=te,50+25*(x-tc)/(te-tc),x&lt;tf,75+25*(x-te)/(tf-te),TRUE,100)))</f>
        <v>61.625</v>
      </c>
      <c r="Q7" s="35">
        <f>IF(Inputs!Q7="","",LET(d,Rulebook!$L7,x,Inputs!Q7*d,ta,Rulebook!$G7*d,tb,Rulebook!$H7*d,tc,Rulebook!$I7*d,te,Rulebook!$J7*d,tf,Rulebook!$K7*d,IFS(x&lt;=ta,0,x&lt;=tb,25*(x-ta)/(tb-ta),x&lt;=tc,25+25*(x-tb)/(tc-tb),x&lt;=te,50+25*(x-tc)/(te-tc),x&lt;tf,75+25*(x-te)/(tf-te),TRUE,100)))</f>
        <v>49.16666667</v>
      </c>
      <c r="R7" s="35">
        <f>IF(Inputs!R7="","",LET(d,Rulebook!$L7,x,Inputs!R7*d,ta,Rulebook!$G7*d,tb,Rulebook!$H7*d,tc,Rulebook!$I7*d,te,Rulebook!$J7*d,tf,Rulebook!$K7*d,IFS(x&lt;=ta,0,x&lt;=tb,25*(x-ta)/(tb-ta),x&lt;=tc,25+25*(x-tb)/(tc-tb),x&lt;=te,50+25*(x-tc)/(te-tc),x&lt;tf,75+25*(x-te)/(tf-te),TRUE,100)))</f>
        <v>100</v>
      </c>
      <c r="S7" s="35">
        <f>IF(Inputs!S7="","",LET(d,Rulebook!$L7,x,Inputs!S7*d,ta,Rulebook!$G7*d,tb,Rulebook!$H7*d,tc,Rulebook!$I7*d,te,Rulebook!$J7*d,tf,Rulebook!$K7*d,IFS(x&lt;=ta,0,x&lt;=tb,25*(x-ta)/(tb-ta),x&lt;=tc,25+25*(x-tb)/(tc-tb),x&lt;=te,50+25*(x-tc)/(te-tc),x&lt;tf,75+25*(x-te)/(tf-te),TRUE,100)))</f>
        <v>36.66666667</v>
      </c>
      <c r="T7" s="35">
        <f>IF(Inputs!T7="","",LET(d,Rulebook!$L7,x,Inputs!T7*d,ta,Rulebook!$G7*d,tb,Rulebook!$H7*d,tc,Rulebook!$I7*d,te,Rulebook!$J7*d,tf,Rulebook!$K7*d,IFS(x&lt;=ta,0,x&lt;=tb,25*(x-ta)/(tb-ta),x&lt;=tc,25+25*(x-tb)/(tc-tb),x&lt;=te,50+25*(x-tc)/(te-tc),x&lt;tf,75+25*(x-te)/(tf-te),TRUE,100)))</f>
        <v>100</v>
      </c>
      <c r="U7" s="35">
        <f>IF(Inputs!U7="","",LET(d,Rulebook!$L7,x,Inputs!U7*d,ta,Rulebook!$G7*d,tb,Rulebook!$H7*d,tc,Rulebook!$I7*d,te,Rulebook!$J7*d,tf,Rulebook!$K7*d,IFS(x&lt;=ta,0,x&lt;=tb,25*(x-ta)/(tb-ta),x&lt;=tc,25+25*(x-tb)/(tc-tb),x&lt;=te,50+25*(x-tc)/(te-tc),x&lt;tf,75+25*(x-te)/(tf-te),TRUE,100)))</f>
        <v>100</v>
      </c>
      <c r="V7" s="35">
        <f>IF(Inputs!V7="","",LET(d,Rulebook!$L7,x,Inputs!V7*d,ta,Rulebook!$G7*d,tb,Rulebook!$H7*d,tc,Rulebook!$I7*d,te,Rulebook!$J7*d,tf,Rulebook!$K7*d,IFS(x&lt;=ta,0,x&lt;=tb,25*(x-ta)/(tb-ta),x&lt;=tc,25+25*(x-tb)/(tc-tb),x&lt;=te,50+25*(x-tc)/(te-tc),x&lt;tf,75+25*(x-te)/(tf-te),TRUE,100)))</f>
        <v>68.75</v>
      </c>
    </row>
    <row r="8">
      <c r="A8" s="26" t="s">
        <v>149</v>
      </c>
      <c r="B8" s="26">
        <v>1.0</v>
      </c>
      <c r="C8" s="26" t="s">
        <v>151</v>
      </c>
      <c r="D8" s="26" t="s">
        <v>37</v>
      </c>
      <c r="E8" s="35">
        <f>IF(Inputs!E8="","",LET(d,Rulebook!$L8,x,Inputs!E8*d,ta,Rulebook!$G8*d,tb,Rulebook!$H8*d,tc,Rulebook!$I8*d,te,Rulebook!$J8*d,tf,Rulebook!$K8*d,IFS(x&lt;=ta,0,x&lt;=tb,25*(x-ta)/(tb-ta),x&lt;=tc,25+25*(x-tb)/(tc-tb),x&lt;=te,50+25*(x-tc)/(te-tc),x&lt;tf,75+25*(x-te)/(tf-te),TRUE,100)))</f>
        <v>5</v>
      </c>
      <c r="F8" s="35">
        <f>IF(Inputs!F8="","",LET(d,Rulebook!$L8,x,Inputs!F8*d,ta,Rulebook!$G8*d,tb,Rulebook!$H8*d,tc,Rulebook!$I8*d,te,Rulebook!$J8*d,tf,Rulebook!$K8*d,IFS(x&lt;=ta,0,x&lt;=tb,25*(x-ta)/(tb-ta),x&lt;=tc,25+25*(x-tb)/(tc-tb),x&lt;=te,50+25*(x-tc)/(te-tc),x&lt;tf,75+25*(x-te)/(tf-te),TRUE,100)))</f>
        <v>25</v>
      </c>
      <c r="G8" s="35">
        <f>IF(Inputs!G8="","",LET(d,Rulebook!$L8,x,Inputs!G8*d,ta,Rulebook!$G8*d,tb,Rulebook!$H8*d,tc,Rulebook!$I8*d,te,Rulebook!$J8*d,tf,Rulebook!$K8*d,IFS(x&lt;=ta,0,x&lt;=tb,25*(x-ta)/(tb-ta),x&lt;=tc,25+25*(x-tb)/(tc-tb),x&lt;=te,50+25*(x-tc)/(te-tc),x&lt;tf,75+25*(x-te)/(tf-te),TRUE,100)))</f>
        <v>65</v>
      </c>
      <c r="H8" s="35">
        <f>IF(Inputs!H8="","",LET(d,Rulebook!$L8,x,Inputs!H8*d,ta,Rulebook!$G8*d,tb,Rulebook!$H8*d,tc,Rulebook!$I8*d,te,Rulebook!$J8*d,tf,Rulebook!$K8*d,IFS(x&lt;=ta,0,x&lt;=tb,25*(x-ta)/(tb-ta),x&lt;=tc,25+25*(x-tb)/(tc-tb),x&lt;=te,50+25*(x-tc)/(te-tc),x&lt;tf,75+25*(x-te)/(tf-te),TRUE,100)))</f>
        <v>35</v>
      </c>
      <c r="I8" s="35">
        <f>IF(Inputs!I8="","",LET(d,Rulebook!$L8,x,Inputs!I8*d,ta,Rulebook!$G8*d,tb,Rulebook!$H8*d,tc,Rulebook!$I8*d,te,Rulebook!$J8*d,tf,Rulebook!$K8*d,IFS(x&lt;=ta,0,x&lt;=tb,25*(x-ta)/(tb-ta),x&lt;=tc,25+25*(x-tb)/(tc-tb),x&lt;=te,50+25*(x-tc)/(te-tc),x&lt;tf,75+25*(x-te)/(tf-te),TRUE,100)))</f>
        <v>0</v>
      </c>
      <c r="J8" s="35">
        <f>IF(Inputs!J8="","",LET(d,Rulebook!$L8,x,Inputs!J8*d,ta,Rulebook!$G8*d,tb,Rulebook!$H8*d,tc,Rulebook!$I8*d,te,Rulebook!$J8*d,tf,Rulebook!$K8*d,IFS(x&lt;=ta,0,x&lt;=tb,25*(x-ta)/(tb-ta),x&lt;=tc,25+25*(x-tb)/(tc-tb),x&lt;=te,50+25*(x-tc)/(te-tc),x&lt;tf,75+25*(x-te)/(tf-te),TRUE,100)))</f>
        <v>100</v>
      </c>
      <c r="K8" s="35">
        <f>IF(Inputs!K8="","",LET(d,Rulebook!$L8,x,Inputs!K8*d,ta,Rulebook!$G8*d,tb,Rulebook!$H8*d,tc,Rulebook!$I8*d,te,Rulebook!$J8*d,tf,Rulebook!$K8*d,IFS(x&lt;=ta,0,x&lt;=tb,25*(x-ta)/(tb-ta),x&lt;=tc,25+25*(x-tb)/(tc-tb),x&lt;=te,50+25*(x-tc)/(te-tc),x&lt;tf,75+25*(x-te)/(tf-te),TRUE,100)))</f>
        <v>0</v>
      </c>
      <c r="L8" s="35">
        <f>IF(Inputs!L8="","",LET(d,Rulebook!$L8,x,Inputs!L8*d,ta,Rulebook!$G8*d,tb,Rulebook!$H8*d,tc,Rulebook!$I8*d,te,Rulebook!$J8*d,tf,Rulebook!$K8*d,IFS(x&lt;=ta,0,x&lt;=tb,25*(x-ta)/(tb-ta),x&lt;=tc,25+25*(x-tb)/(tc-tb),x&lt;=te,50+25*(x-tc)/(te-tc),x&lt;tf,75+25*(x-te)/(tf-te),TRUE,100)))</f>
        <v>45</v>
      </c>
      <c r="M8" s="35">
        <f>IF(Inputs!M8="","",LET(d,Rulebook!$L8,x,Inputs!M8*d,ta,Rulebook!$G8*d,tb,Rulebook!$H8*d,tc,Rulebook!$I8*d,te,Rulebook!$J8*d,tf,Rulebook!$K8*d,IFS(x&lt;=ta,0,x&lt;=tb,25*(x-ta)/(tb-ta),x&lt;=tc,25+25*(x-tb)/(tc-tb),x&lt;=te,50+25*(x-tc)/(te-tc),x&lt;tf,75+25*(x-te)/(tf-te),TRUE,100)))</f>
        <v>85</v>
      </c>
      <c r="N8" s="35">
        <f>IF(Inputs!N8="","",LET(d,Rulebook!$L8,x,Inputs!N8*d,ta,Rulebook!$G8*d,tb,Rulebook!$H8*d,tc,Rulebook!$I8*d,te,Rulebook!$J8*d,tf,Rulebook!$K8*d,IFS(x&lt;=ta,0,x&lt;=tb,25*(x-ta)/(tb-ta),x&lt;=tc,25+25*(x-tb)/(tc-tb),x&lt;=te,50+25*(x-tc)/(te-tc),x&lt;tf,75+25*(x-te)/(tf-te),TRUE,100)))</f>
        <v>10</v>
      </c>
      <c r="O8" s="35">
        <f>IF(Inputs!O8="","",LET(d,Rulebook!$L8,x,Inputs!O8*d,ta,Rulebook!$G8*d,tb,Rulebook!$H8*d,tc,Rulebook!$I8*d,te,Rulebook!$J8*d,tf,Rulebook!$K8*d,IFS(x&lt;=ta,0,x&lt;=tb,25*(x-ta)/(tb-ta),x&lt;=tc,25+25*(x-tb)/(tc-tb),x&lt;=te,50+25*(x-tc)/(te-tc),x&lt;tf,75+25*(x-te)/(tf-te),TRUE,100)))</f>
        <v>75</v>
      </c>
      <c r="P8" s="35">
        <f>IF(Inputs!P8="","",LET(d,Rulebook!$L8,x,Inputs!P8*d,ta,Rulebook!$G8*d,tb,Rulebook!$H8*d,tc,Rulebook!$I8*d,te,Rulebook!$J8*d,tf,Rulebook!$K8*d,IFS(x&lt;=ta,0,x&lt;=tb,25*(x-ta)/(tb-ta),x&lt;=tc,25+25*(x-tb)/(tc-tb),x&lt;=te,50+25*(x-tc)/(te-tc),x&lt;tf,75+25*(x-te)/(tf-te),TRUE,100)))</f>
        <v>35</v>
      </c>
      <c r="Q8" s="35">
        <f>IF(Inputs!Q8="","",LET(d,Rulebook!$L8,x,Inputs!Q8*d,ta,Rulebook!$G8*d,tb,Rulebook!$H8*d,tc,Rulebook!$I8*d,te,Rulebook!$J8*d,tf,Rulebook!$K8*d,IFS(x&lt;=ta,0,x&lt;=tb,25*(x-ta)/(tb-ta),x&lt;=tc,25+25*(x-tb)/(tc-tb),x&lt;=te,50+25*(x-tc)/(te-tc),x&lt;tf,75+25*(x-te)/(tf-te),TRUE,100)))</f>
        <v>20</v>
      </c>
      <c r="R8" s="35">
        <f>IF(Inputs!R8="","",LET(d,Rulebook!$L8,x,Inputs!R8*d,ta,Rulebook!$G8*d,tb,Rulebook!$H8*d,tc,Rulebook!$I8*d,te,Rulebook!$J8*d,tf,Rulebook!$K8*d,IFS(x&lt;=ta,0,x&lt;=tb,25*(x-ta)/(tb-ta),x&lt;=tc,25+25*(x-tb)/(tc-tb),x&lt;=te,50+25*(x-tc)/(te-tc),x&lt;tf,75+25*(x-te)/(tf-te),TRUE,100)))</f>
        <v>100</v>
      </c>
      <c r="S8" s="35">
        <f>IF(Inputs!S8="","",LET(d,Rulebook!$L8,x,Inputs!S8*d,ta,Rulebook!$G8*d,tb,Rulebook!$H8*d,tc,Rulebook!$I8*d,te,Rulebook!$J8*d,tf,Rulebook!$K8*d,IFS(x&lt;=ta,0,x&lt;=tb,25*(x-ta)/(tb-ta),x&lt;=tc,25+25*(x-tb)/(tc-tb),x&lt;=te,50+25*(x-tc)/(te-tc),x&lt;tf,75+25*(x-te)/(tf-te),TRUE,100)))</f>
        <v>25</v>
      </c>
      <c r="T8" s="35">
        <f>IF(Inputs!T8="","",LET(d,Rulebook!$L8,x,Inputs!T8*d,ta,Rulebook!$G8*d,tb,Rulebook!$H8*d,tc,Rulebook!$I8*d,te,Rulebook!$J8*d,tf,Rulebook!$K8*d,IFS(x&lt;=ta,0,x&lt;=tb,25*(x-ta)/(tb-ta),x&lt;=tc,25+25*(x-tb)/(tc-tb),x&lt;=te,50+25*(x-tc)/(te-tc),x&lt;tf,75+25*(x-te)/(tf-te),TRUE,100)))</f>
        <v>65</v>
      </c>
      <c r="U8" s="35">
        <f>IF(Inputs!U8="","",LET(d,Rulebook!$L8,x,Inputs!U8*d,ta,Rulebook!$G8*d,tb,Rulebook!$H8*d,tc,Rulebook!$I8*d,te,Rulebook!$J8*d,tf,Rulebook!$K8*d,IFS(x&lt;=ta,0,x&lt;=tb,25*(x-ta)/(tb-ta),x&lt;=tc,25+25*(x-tb)/(tc-tb),x&lt;=te,50+25*(x-tc)/(te-tc),x&lt;tf,75+25*(x-te)/(tf-te),TRUE,100)))</f>
        <v>25</v>
      </c>
      <c r="V8" s="35">
        <f>IF(Inputs!V8="","",LET(d,Rulebook!$L8,x,Inputs!V8*d,ta,Rulebook!$G8*d,tb,Rulebook!$H8*d,tc,Rulebook!$I8*d,te,Rulebook!$J8*d,tf,Rulebook!$K8*d,IFS(x&lt;=ta,0,x&lt;=tb,25*(x-ta)/(tb-ta),x&lt;=tc,25+25*(x-tb)/(tc-tb),x&lt;=te,50+25*(x-tc)/(te-tc),x&lt;tf,75+25*(x-te)/(tf-te),TRUE,100)))</f>
        <v>15</v>
      </c>
    </row>
    <row r="9">
      <c r="A9" s="26" t="s">
        <v>176</v>
      </c>
      <c r="B9" s="26">
        <v>1.0</v>
      </c>
      <c r="C9" s="26" t="s">
        <v>179</v>
      </c>
      <c r="D9" s="26" t="s">
        <v>182</v>
      </c>
      <c r="E9" s="35">
        <f>IF(Inputs!E9="","",LET(d,Rulebook!$L9,x,Inputs!E9*d,ta,Rulebook!$G9*d,tb,Rulebook!$H9*d,tc,Rulebook!$I9*d,te,Rulebook!$J9*d,tf,Rulebook!$K9*d,IFS(x&lt;=ta,0,x&lt;=tb,25*(x-ta)/(tb-ta),x&lt;=tc,25+25*(x-tb)/(tc-tb),x&lt;=te,50+25*(x-tc)/(te-tc),x&lt;tf,75+25*(x-te)/(tf-te),TRUE,100)))</f>
        <v>25</v>
      </c>
      <c r="F9" s="35">
        <f>IF(Inputs!F9="","",LET(d,Rulebook!$L9,x,Inputs!F9*d,ta,Rulebook!$G9*d,tb,Rulebook!$H9*d,tc,Rulebook!$I9*d,te,Rulebook!$J9*d,tf,Rulebook!$K9*d,IFS(x&lt;=ta,0,x&lt;=tb,25*(x-ta)/(tb-ta),x&lt;=tc,25+25*(x-tb)/(tc-tb),x&lt;=te,50+25*(x-tc)/(te-tc),x&lt;tf,75+25*(x-te)/(tf-te),TRUE,100)))</f>
        <v>18.33333333</v>
      </c>
      <c r="G9" s="35">
        <f>IF(Inputs!G9="","",LET(d,Rulebook!$L9,x,Inputs!G9*d,ta,Rulebook!$G9*d,tb,Rulebook!$H9*d,tc,Rulebook!$I9*d,te,Rulebook!$J9*d,tf,Rulebook!$K9*d,IFS(x&lt;=ta,0,x&lt;=tb,25*(x-ta)/(tb-ta),x&lt;=tc,25+25*(x-tb)/(tc-tb),x&lt;=te,50+25*(x-tc)/(te-tc),x&lt;tf,75+25*(x-te)/(tf-te),TRUE,100)))</f>
        <v>0</v>
      </c>
      <c r="H9" s="35">
        <f>IF(Inputs!H9="","",LET(d,Rulebook!$L9,x,Inputs!H9*d,ta,Rulebook!$G9*d,tb,Rulebook!$H9*d,tc,Rulebook!$I9*d,te,Rulebook!$J9*d,tf,Rulebook!$K9*d,IFS(x&lt;=ta,0,x&lt;=tb,25*(x-ta)/(tb-ta),x&lt;=tc,25+25*(x-tb)/(tc-tb),x&lt;=te,50+25*(x-tc)/(te-tc),x&lt;tf,75+25*(x-te)/(tf-te),TRUE,100)))</f>
        <v>0</v>
      </c>
      <c r="I9" s="35">
        <f>IF(Inputs!I9="","",LET(d,Rulebook!$L9,x,Inputs!I9*d,ta,Rulebook!$G9*d,tb,Rulebook!$H9*d,tc,Rulebook!$I9*d,te,Rulebook!$J9*d,tf,Rulebook!$K9*d,IFS(x&lt;=ta,0,x&lt;=tb,25*(x-ta)/(tb-ta),x&lt;=tc,25+25*(x-tb)/(tc-tb),x&lt;=te,50+25*(x-tc)/(te-tc),x&lt;tf,75+25*(x-te)/(tf-te),TRUE,100)))</f>
        <v>0</v>
      </c>
      <c r="J9" s="35">
        <f>IF(Inputs!J9="","",LET(d,Rulebook!$L9,x,Inputs!J9*d,ta,Rulebook!$G9*d,tb,Rulebook!$H9*d,tc,Rulebook!$I9*d,te,Rulebook!$J9*d,tf,Rulebook!$K9*d,IFS(x&lt;=ta,0,x&lt;=tb,25*(x-ta)/(tb-ta),x&lt;=tc,25+25*(x-tb)/(tc-tb),x&lt;=te,50+25*(x-tc)/(te-tc),x&lt;tf,75+25*(x-te)/(tf-te),TRUE,100)))</f>
        <v>0</v>
      </c>
      <c r="K9" s="35">
        <f>IF(Inputs!K9="","",LET(d,Rulebook!$L9,x,Inputs!K9*d,ta,Rulebook!$G9*d,tb,Rulebook!$H9*d,tc,Rulebook!$I9*d,te,Rulebook!$J9*d,tf,Rulebook!$K9*d,IFS(x&lt;=ta,0,x&lt;=tb,25*(x-ta)/(tb-ta),x&lt;=tc,25+25*(x-tb)/(tc-tb),x&lt;=te,50+25*(x-tc)/(te-tc),x&lt;tf,75+25*(x-te)/(tf-te),TRUE,100)))</f>
        <v>0</v>
      </c>
      <c r="L9" s="35">
        <f>IF(Inputs!L9="","",LET(d,Rulebook!$L9,x,Inputs!L9*d,ta,Rulebook!$G9*d,tb,Rulebook!$H9*d,tc,Rulebook!$I9*d,te,Rulebook!$J9*d,tf,Rulebook!$K9*d,IFS(x&lt;=ta,0,x&lt;=tb,25*(x-ta)/(tb-ta),x&lt;=tc,25+25*(x-tb)/(tc-tb),x&lt;=te,50+25*(x-tc)/(te-tc),x&lt;tf,75+25*(x-te)/(tf-te),TRUE,100)))</f>
        <v>0</v>
      </c>
      <c r="M9" s="35">
        <f>IF(Inputs!M9="","",LET(d,Rulebook!$L9,x,Inputs!M9*d,ta,Rulebook!$G9*d,tb,Rulebook!$H9*d,tc,Rulebook!$I9*d,te,Rulebook!$J9*d,tf,Rulebook!$K9*d,IFS(x&lt;=ta,0,x&lt;=tb,25*(x-ta)/(tb-ta),x&lt;=tc,25+25*(x-tb)/(tc-tb),x&lt;=te,50+25*(x-tc)/(te-tc),x&lt;tf,75+25*(x-te)/(tf-te),TRUE,100)))</f>
        <v>30</v>
      </c>
      <c r="N9" s="35">
        <f>IF(Inputs!N9="","",LET(d,Rulebook!$L9,x,Inputs!N9*d,ta,Rulebook!$G9*d,tb,Rulebook!$H9*d,tc,Rulebook!$I9*d,te,Rulebook!$J9*d,tf,Rulebook!$K9*d,IFS(x&lt;=ta,0,x&lt;=tb,25*(x-ta)/(tb-ta),x&lt;=tc,25+25*(x-tb)/(tc-tb),x&lt;=te,50+25*(x-tc)/(te-tc),x&lt;tf,75+25*(x-te)/(tf-te),TRUE,100)))</f>
        <v>73</v>
      </c>
      <c r="O9" s="35">
        <f>IF(Inputs!O9="","",LET(d,Rulebook!$L9,x,Inputs!O9*d,ta,Rulebook!$G9*d,tb,Rulebook!$H9*d,tc,Rulebook!$I9*d,te,Rulebook!$J9*d,tf,Rulebook!$K9*d,IFS(x&lt;=ta,0,x&lt;=tb,25*(x-ta)/(tb-ta),x&lt;=tc,25+25*(x-tb)/(tc-tb),x&lt;=te,50+25*(x-tc)/(te-tc),x&lt;tf,75+25*(x-te)/(tf-te),TRUE,100)))</f>
        <v>0</v>
      </c>
      <c r="P9" s="35">
        <f>IF(Inputs!P9="","",LET(d,Rulebook!$L9,x,Inputs!P9*d,ta,Rulebook!$G9*d,tb,Rulebook!$H9*d,tc,Rulebook!$I9*d,te,Rulebook!$J9*d,tf,Rulebook!$K9*d,IFS(x&lt;=ta,0,x&lt;=tb,25*(x-ta)/(tb-ta),x&lt;=tc,25+25*(x-tb)/(tc-tb),x&lt;=te,50+25*(x-tc)/(te-tc),x&lt;tf,75+25*(x-te)/(tf-te),TRUE,100)))</f>
        <v>66.66666667</v>
      </c>
      <c r="Q9" s="35">
        <f>IF(Inputs!Q9="","",LET(d,Rulebook!$L9,x,Inputs!Q9*d,ta,Rulebook!$G9*d,tb,Rulebook!$H9*d,tc,Rulebook!$I9*d,te,Rulebook!$J9*d,tf,Rulebook!$K9*d,IFS(x&lt;=ta,0,x&lt;=tb,25*(x-ta)/(tb-ta),x&lt;=tc,25+25*(x-tb)/(tc-tb),x&lt;=te,50+25*(x-tc)/(te-tc),x&lt;tf,75+25*(x-te)/(tf-te),TRUE,100)))</f>
        <v>25</v>
      </c>
      <c r="R9" s="35">
        <f>IF(Inputs!R9="","",LET(d,Rulebook!$L9,x,Inputs!R9*d,ta,Rulebook!$G9*d,tb,Rulebook!$H9*d,tc,Rulebook!$I9*d,te,Rulebook!$J9*d,tf,Rulebook!$K9*d,IFS(x&lt;=ta,0,x&lt;=tb,25*(x-ta)/(tb-ta),x&lt;=tc,25+25*(x-tb)/(tc-tb),x&lt;=te,50+25*(x-tc)/(te-tc),x&lt;tf,75+25*(x-te)/(tf-te),TRUE,100)))</f>
        <v>100</v>
      </c>
      <c r="S9" s="35">
        <f>IF(Inputs!S9="","",LET(d,Rulebook!$L9,x,Inputs!S9*d,ta,Rulebook!$G9*d,tb,Rulebook!$H9*d,tc,Rulebook!$I9*d,te,Rulebook!$J9*d,tf,Rulebook!$K9*d,IFS(x&lt;=ta,0,x&lt;=tb,25*(x-ta)/(tb-ta),x&lt;=tc,25+25*(x-tb)/(tc-tb),x&lt;=te,50+25*(x-tc)/(te-tc),x&lt;tf,75+25*(x-te)/(tf-te),TRUE,100)))</f>
        <v>41.66666667</v>
      </c>
      <c r="T9" s="35">
        <f>IF(Inputs!T9="","",LET(d,Rulebook!$L9,x,Inputs!T9*d,ta,Rulebook!$G9*d,tb,Rulebook!$H9*d,tc,Rulebook!$I9*d,te,Rulebook!$J9*d,tf,Rulebook!$K9*d,IFS(x&lt;=ta,0,x&lt;=tb,25*(x-ta)/(tb-ta),x&lt;=tc,25+25*(x-tb)/(tc-tb),x&lt;=te,50+25*(x-tc)/(te-tc),x&lt;tf,75+25*(x-te)/(tf-te),TRUE,100)))</f>
        <v>83.33333333</v>
      </c>
      <c r="U9" s="35">
        <f>IF(Inputs!U9="","",LET(d,Rulebook!$L9,x,Inputs!U9*d,ta,Rulebook!$G9*d,tb,Rulebook!$H9*d,tc,Rulebook!$I9*d,te,Rulebook!$J9*d,tf,Rulebook!$K9*d,IFS(x&lt;=ta,0,x&lt;=tb,25*(x-ta)/(tb-ta),x&lt;=tc,25+25*(x-tb)/(tc-tb),x&lt;=te,50+25*(x-tc)/(te-tc),x&lt;tf,75+25*(x-te)/(tf-te),TRUE,100)))</f>
        <v>66.66666667</v>
      </c>
      <c r="V9" s="35">
        <f>IF(Inputs!V9="","",LET(d,Rulebook!$L9,x,Inputs!V9*d,ta,Rulebook!$G9*d,tb,Rulebook!$H9*d,tc,Rulebook!$I9*d,te,Rulebook!$J9*d,tf,Rulebook!$K9*d,IFS(x&lt;=ta,0,x&lt;=tb,25*(x-ta)/(tb-ta),x&lt;=tc,25+25*(x-tb)/(tc-tb),x&lt;=te,50+25*(x-tc)/(te-tc),x&lt;tf,75+25*(x-te)/(tf-te),TRUE,100)))</f>
        <v>100</v>
      </c>
    </row>
    <row r="10">
      <c r="A10" s="26" t="s">
        <v>202</v>
      </c>
      <c r="B10" s="26">
        <v>1.0</v>
      </c>
      <c r="C10" s="26" t="s">
        <v>205</v>
      </c>
      <c r="D10" s="26" t="s">
        <v>125</v>
      </c>
      <c r="E10" s="35">
        <f>IF(Inputs!E10="","",LET(d,Rulebook!$L10,x,Inputs!E10*d,ta,Rulebook!$G10*d,tb,Rulebook!$H10*d,tc,Rulebook!$I10*d,te,Rulebook!$J10*d,tf,Rulebook!$K10*d,IFS(x&lt;=ta,0,x&lt;=tb,25*(x-ta)/(tb-ta),x&lt;=tc,25+25*(x-tb)/(tc-tb),x&lt;=te,50+25*(x-tc)/(te-tc),x&lt;tf,75+25*(x-te)/(tf-te),TRUE,100)))</f>
        <v>0</v>
      </c>
      <c r="F10" s="35">
        <f>IF(Inputs!F10="","",LET(d,Rulebook!$L10,x,Inputs!F10*d,ta,Rulebook!$G10*d,tb,Rulebook!$H10*d,tc,Rulebook!$I10*d,te,Rulebook!$J10*d,tf,Rulebook!$K10*d,IFS(x&lt;=ta,0,x&lt;=tb,25*(x-ta)/(tb-ta),x&lt;=tc,25+25*(x-tb)/(tc-tb),x&lt;=te,50+25*(x-tc)/(te-tc),x&lt;tf,75+25*(x-te)/(tf-te),TRUE,100)))</f>
        <v>25</v>
      </c>
      <c r="G10" s="35">
        <f>IF(Inputs!G10="","",LET(d,Rulebook!$L10,x,Inputs!G10*d,ta,Rulebook!$G10*d,tb,Rulebook!$H10*d,tc,Rulebook!$I10*d,te,Rulebook!$J10*d,tf,Rulebook!$K10*d,IFS(x&lt;=ta,0,x&lt;=tb,25*(x-ta)/(tb-ta),x&lt;=tc,25+25*(x-tb)/(tc-tb),x&lt;=te,50+25*(x-tc)/(te-tc),x&lt;tf,75+25*(x-te)/(tf-te),TRUE,100)))</f>
        <v>91.66666667</v>
      </c>
      <c r="H10" s="35">
        <f>IF(Inputs!H10="","",LET(d,Rulebook!$L10,x,Inputs!H10*d,ta,Rulebook!$G10*d,tb,Rulebook!$H10*d,tc,Rulebook!$I10*d,te,Rulebook!$J10*d,tf,Rulebook!$K10*d,IFS(x&lt;=ta,0,x&lt;=tb,25*(x-ta)/(tb-ta),x&lt;=tc,25+25*(x-tb)/(tc-tb),x&lt;=te,50+25*(x-tc)/(te-tc),x&lt;tf,75+25*(x-te)/(tf-te),TRUE,100)))</f>
        <v>12.5</v>
      </c>
      <c r="I10" s="35">
        <f>IF(Inputs!I10="","",LET(d,Rulebook!$L10,x,Inputs!I10*d,ta,Rulebook!$G10*d,tb,Rulebook!$H10*d,tc,Rulebook!$I10*d,te,Rulebook!$J10*d,tf,Rulebook!$K10*d,IFS(x&lt;=ta,0,x&lt;=tb,25*(x-ta)/(tb-ta),x&lt;=tc,25+25*(x-tb)/(tc-tb),x&lt;=te,50+25*(x-tc)/(te-tc),x&lt;tf,75+25*(x-te)/(tf-te),TRUE,100)))</f>
        <v>0</v>
      </c>
      <c r="J10" s="35">
        <f>IF(Inputs!J10="","",LET(d,Rulebook!$L10,x,Inputs!J10*d,ta,Rulebook!$G10*d,tb,Rulebook!$H10*d,tc,Rulebook!$I10*d,te,Rulebook!$J10*d,tf,Rulebook!$K10*d,IFS(x&lt;=ta,0,x&lt;=tb,25*(x-ta)/(tb-ta),x&lt;=tc,25+25*(x-tb)/(tc-tb),x&lt;=te,50+25*(x-tc)/(te-tc),x&lt;tf,75+25*(x-te)/(tf-te),TRUE,100)))</f>
        <v>50</v>
      </c>
      <c r="K10" s="35">
        <f>IF(Inputs!K10="","",LET(d,Rulebook!$L10,x,Inputs!K10*d,ta,Rulebook!$G10*d,tb,Rulebook!$H10*d,tc,Rulebook!$I10*d,te,Rulebook!$J10*d,tf,Rulebook!$K10*d,IFS(x&lt;=ta,0,x&lt;=tb,25*(x-ta)/(tb-ta),x&lt;=tc,25+25*(x-tb)/(tc-tb),x&lt;=te,50+25*(x-tc)/(te-tc),x&lt;tf,75+25*(x-te)/(tf-te),TRUE,100)))</f>
        <v>12.5</v>
      </c>
      <c r="L10" s="35">
        <f>IF(Inputs!L10="","",LET(d,Rulebook!$L10,x,Inputs!L10*d,ta,Rulebook!$G10*d,tb,Rulebook!$H10*d,tc,Rulebook!$I10*d,te,Rulebook!$J10*d,tf,Rulebook!$K10*d,IFS(x&lt;=ta,0,x&lt;=tb,25*(x-ta)/(tb-ta),x&lt;=tc,25+25*(x-tb)/(tc-tb),x&lt;=te,50+25*(x-tc)/(te-tc),x&lt;tf,75+25*(x-te)/(tf-te),TRUE,100)))</f>
        <v>37.5</v>
      </c>
      <c r="M10" s="35">
        <f>IF(Inputs!M10="","",LET(d,Rulebook!$L10,x,Inputs!M10*d,ta,Rulebook!$G10*d,tb,Rulebook!$H10*d,tc,Rulebook!$I10*d,te,Rulebook!$J10*d,tf,Rulebook!$K10*d,IFS(x&lt;=ta,0,x&lt;=tb,25*(x-ta)/(tb-ta),x&lt;=tc,25+25*(x-tb)/(tc-tb),x&lt;=te,50+25*(x-tc)/(te-tc),x&lt;tf,75+25*(x-te)/(tf-te),TRUE,100)))</f>
        <v>0</v>
      </c>
      <c r="N10" s="35">
        <f>IF(Inputs!N10="","",LET(d,Rulebook!$L10,x,Inputs!N10*d,ta,Rulebook!$G10*d,tb,Rulebook!$H10*d,tc,Rulebook!$I10*d,te,Rulebook!$J10*d,tf,Rulebook!$K10*d,IFS(x&lt;=ta,0,x&lt;=tb,25*(x-ta)/(tb-ta),x&lt;=tc,25+25*(x-tb)/(tc-tb),x&lt;=te,50+25*(x-tc)/(te-tc),x&lt;tf,75+25*(x-te)/(tf-te),TRUE,100)))</f>
        <v>0</v>
      </c>
      <c r="O10" s="35">
        <f>IF(Inputs!O10="","",LET(d,Rulebook!$L10,x,Inputs!O10*d,ta,Rulebook!$G10*d,tb,Rulebook!$H10*d,tc,Rulebook!$I10*d,te,Rulebook!$J10*d,tf,Rulebook!$K10*d,IFS(x&lt;=ta,0,x&lt;=tb,25*(x-ta)/(tb-ta),x&lt;=tc,25+25*(x-tb)/(tc-tb),x&lt;=te,50+25*(x-tc)/(te-tc),x&lt;tf,75+25*(x-te)/(tf-te),TRUE,100)))</f>
        <v>37.5</v>
      </c>
      <c r="P10" s="35">
        <f>IF(Inputs!P10="","",LET(d,Rulebook!$L10,x,Inputs!P10*d,ta,Rulebook!$G10*d,tb,Rulebook!$H10*d,tc,Rulebook!$I10*d,te,Rulebook!$J10*d,tf,Rulebook!$K10*d,IFS(x&lt;=ta,0,x&lt;=tb,25*(x-ta)/(tb-ta),x&lt;=tc,25+25*(x-tb)/(tc-tb),x&lt;=te,50+25*(x-tc)/(te-tc),x&lt;tf,75+25*(x-te)/(tf-te),TRUE,100)))</f>
        <v>0</v>
      </c>
      <c r="Q10" s="35">
        <f>IF(Inputs!Q10="","",LET(d,Rulebook!$L10,x,Inputs!Q10*d,ta,Rulebook!$G10*d,tb,Rulebook!$H10*d,tc,Rulebook!$I10*d,te,Rulebook!$J10*d,tf,Rulebook!$K10*d,IFS(x&lt;=ta,0,x&lt;=tb,25*(x-ta)/(tb-ta),x&lt;=tc,25+25*(x-tb)/(tc-tb),x&lt;=te,50+25*(x-tc)/(te-tc),x&lt;tf,75+25*(x-te)/(tf-te),TRUE,100)))</f>
        <v>58.33333333</v>
      </c>
      <c r="R10" s="35">
        <f>IF(Inputs!R10="","",LET(d,Rulebook!$L10,x,Inputs!R10*d,ta,Rulebook!$G10*d,tb,Rulebook!$H10*d,tc,Rulebook!$I10*d,te,Rulebook!$J10*d,tf,Rulebook!$K10*d,IFS(x&lt;=ta,0,x&lt;=tb,25*(x-ta)/(tb-ta),x&lt;=tc,25+25*(x-tb)/(tc-tb),x&lt;=te,50+25*(x-tc)/(te-tc),x&lt;tf,75+25*(x-te)/(tf-te),TRUE,100)))</f>
        <v>100</v>
      </c>
      <c r="S10" s="35">
        <f>IF(Inputs!S10="","",LET(d,Rulebook!$L10,x,Inputs!S10*d,ta,Rulebook!$G10*d,tb,Rulebook!$H10*d,tc,Rulebook!$I10*d,te,Rulebook!$J10*d,tf,Rulebook!$K10*d,IFS(x&lt;=ta,0,x&lt;=tb,25*(x-ta)/(tb-ta),x&lt;=tc,25+25*(x-tb)/(tc-tb),x&lt;=te,50+25*(x-tc)/(te-tc),x&lt;tf,75+25*(x-te)/(tf-te),TRUE,100)))</f>
        <v>50</v>
      </c>
      <c r="T10" s="35">
        <f>IF(Inputs!T10="","",LET(d,Rulebook!$L10,x,Inputs!T10*d,ta,Rulebook!$G10*d,tb,Rulebook!$H10*d,tc,Rulebook!$I10*d,te,Rulebook!$J10*d,tf,Rulebook!$K10*d,IFS(x&lt;=ta,0,x&lt;=tb,25*(x-ta)/(tb-ta),x&lt;=tc,25+25*(x-tb)/(tc-tb),x&lt;=te,50+25*(x-tc)/(te-tc),x&lt;tf,75+25*(x-te)/(tf-te),TRUE,100)))</f>
        <v>66.66666667</v>
      </c>
      <c r="U10" s="35">
        <f>IF(Inputs!U10="","",LET(d,Rulebook!$L10,x,Inputs!U10*d,ta,Rulebook!$G10*d,tb,Rulebook!$H10*d,tc,Rulebook!$I10*d,te,Rulebook!$J10*d,tf,Rulebook!$K10*d,IFS(x&lt;=ta,0,x&lt;=tb,25*(x-ta)/(tb-ta),x&lt;=tc,25+25*(x-tb)/(tc-tb),x&lt;=te,50+25*(x-tc)/(te-tc),x&lt;tf,75+25*(x-te)/(tf-te),TRUE,100)))</f>
        <v>0</v>
      </c>
      <c r="V10" s="35">
        <f>IF(Inputs!V10="","",LET(d,Rulebook!$L10,x,Inputs!V10*d,ta,Rulebook!$G10*d,tb,Rulebook!$H10*d,tc,Rulebook!$I10*d,te,Rulebook!$J10*d,tf,Rulebook!$K10*d,IFS(x&lt;=ta,0,x&lt;=tb,25*(x-ta)/(tb-ta),x&lt;=tc,25+25*(x-tb)/(tc-tb),x&lt;=te,50+25*(x-tc)/(te-tc),x&lt;tf,75+25*(x-te)/(tf-te),TRUE,100)))</f>
        <v>25</v>
      </c>
    </row>
    <row r="11">
      <c r="A11" s="26" t="s">
        <v>220</v>
      </c>
      <c r="B11" s="26">
        <v>1.0</v>
      </c>
      <c r="C11" s="26" t="s">
        <v>221</v>
      </c>
      <c r="D11" s="26" t="s">
        <v>125</v>
      </c>
      <c r="E11" s="35">
        <f>IF(Inputs!E11="","",LET(d,Rulebook!$L11,x,Inputs!E11*d,ta,Rulebook!$G11*d,tb,Rulebook!$H11*d,tc,Rulebook!$I11*d,te,Rulebook!$J11*d,tf,Rulebook!$K11*d,IFS(x&lt;=ta,0,x&lt;=tb,25*(x-ta)/(tb-ta),x&lt;=tc,25+25*(x-tb)/(tc-tb),x&lt;=te,50+25*(x-tc)/(te-tc),x&lt;tf,75+25*(x-te)/(tf-te),TRUE,100)))</f>
        <v>0</v>
      </c>
      <c r="F11" s="35">
        <f>IF(Inputs!F11="","",LET(d,Rulebook!$L11,x,Inputs!F11*d,ta,Rulebook!$G11*d,tb,Rulebook!$H11*d,tc,Rulebook!$I11*d,te,Rulebook!$J11*d,tf,Rulebook!$K11*d,IFS(x&lt;=ta,0,x&lt;=tb,25*(x-ta)/(tb-ta),x&lt;=tc,25+25*(x-tb)/(tc-tb),x&lt;=te,50+25*(x-tc)/(te-tc),x&lt;tf,75+25*(x-te)/(tf-te),TRUE,100)))</f>
        <v>35</v>
      </c>
      <c r="G11" s="35">
        <f>IF(Inputs!G11="","",LET(d,Rulebook!$L11,x,Inputs!G11*d,ta,Rulebook!$G11*d,tb,Rulebook!$H11*d,tc,Rulebook!$I11*d,te,Rulebook!$J11*d,tf,Rulebook!$K11*d,IFS(x&lt;=ta,0,x&lt;=tb,25*(x-ta)/(tb-ta),x&lt;=tc,25+25*(x-tb)/(tc-tb),x&lt;=te,50+25*(x-tc)/(te-tc),x&lt;tf,75+25*(x-te)/(tf-te),TRUE,100)))</f>
        <v>100</v>
      </c>
      <c r="H11" s="35">
        <f>IF(Inputs!H11="","",LET(d,Rulebook!$L11,x,Inputs!H11*d,ta,Rulebook!$G11*d,tb,Rulebook!$H11*d,tc,Rulebook!$I11*d,te,Rulebook!$J11*d,tf,Rulebook!$K11*d,IFS(x&lt;=ta,0,x&lt;=tb,25*(x-ta)/(tb-ta),x&lt;=tc,25+25*(x-tb)/(tc-tb),x&lt;=te,50+25*(x-tc)/(te-tc),x&lt;tf,75+25*(x-te)/(tf-te),TRUE,100)))</f>
        <v>32.5</v>
      </c>
      <c r="I11" s="35">
        <f>IF(Inputs!I11="","",LET(d,Rulebook!$L11,x,Inputs!I11*d,ta,Rulebook!$G11*d,tb,Rulebook!$H11*d,tc,Rulebook!$I11*d,te,Rulebook!$J11*d,tf,Rulebook!$K11*d,IFS(x&lt;=ta,0,x&lt;=tb,25*(x-ta)/(tb-ta),x&lt;=tc,25+25*(x-tb)/(tc-tb),x&lt;=te,50+25*(x-tc)/(te-tc),x&lt;tf,75+25*(x-te)/(tf-te),TRUE,100)))</f>
        <v>100</v>
      </c>
      <c r="J11" s="35">
        <f>IF(Inputs!J11="","",LET(d,Rulebook!$L11,x,Inputs!J11*d,ta,Rulebook!$G11*d,tb,Rulebook!$H11*d,tc,Rulebook!$I11*d,te,Rulebook!$J11*d,tf,Rulebook!$K11*d,IFS(x&lt;=ta,0,x&lt;=tb,25*(x-ta)/(tb-ta),x&lt;=tc,25+25*(x-tb)/(tc-tb),x&lt;=te,50+25*(x-tc)/(te-tc),x&lt;tf,75+25*(x-te)/(tf-te),TRUE,100)))</f>
        <v>0</v>
      </c>
      <c r="K11" s="35">
        <f>IF(Inputs!K11="","",LET(d,Rulebook!$L11,x,Inputs!K11*d,ta,Rulebook!$G11*d,tb,Rulebook!$H11*d,tc,Rulebook!$I11*d,te,Rulebook!$J11*d,tf,Rulebook!$K11*d,IFS(x&lt;=ta,0,x&lt;=tb,25*(x-ta)/(tb-ta),x&lt;=tc,25+25*(x-tb)/(tc-tb),x&lt;=te,50+25*(x-tc)/(te-tc),x&lt;tf,75+25*(x-te)/(tf-te),TRUE,100)))</f>
        <v>32</v>
      </c>
      <c r="L11" s="35">
        <f>IF(Inputs!L11="","",LET(d,Rulebook!$L11,x,Inputs!L11*d,ta,Rulebook!$G11*d,tb,Rulebook!$H11*d,tc,Rulebook!$I11*d,te,Rulebook!$J11*d,tf,Rulebook!$K11*d,IFS(x&lt;=ta,0,x&lt;=tb,25*(x-ta)/(tb-ta),x&lt;=tc,25+25*(x-tb)/(tc-tb),x&lt;=te,50+25*(x-tc)/(te-tc),x&lt;tf,75+25*(x-te)/(tf-te),TRUE,100)))</f>
        <v>0</v>
      </c>
      <c r="M11" s="35">
        <f>IF(Inputs!M11="","",LET(d,Rulebook!$L11,x,Inputs!M11*d,ta,Rulebook!$G11*d,tb,Rulebook!$H11*d,tc,Rulebook!$I11*d,te,Rulebook!$J11*d,tf,Rulebook!$K11*d,IFS(x&lt;=ta,0,x&lt;=tb,25*(x-ta)/(tb-ta),x&lt;=tc,25+25*(x-tb)/(tc-tb),x&lt;=te,50+25*(x-tc)/(te-tc),x&lt;tf,75+25*(x-te)/(tf-te),TRUE,100)))</f>
        <v>0</v>
      </c>
      <c r="N11" s="35">
        <f>IF(Inputs!N11="","",LET(d,Rulebook!$L11,x,Inputs!N11*d,ta,Rulebook!$G11*d,tb,Rulebook!$H11*d,tc,Rulebook!$I11*d,te,Rulebook!$J11*d,tf,Rulebook!$K11*d,IFS(x&lt;=ta,0,x&lt;=tb,25*(x-ta)/(tb-ta),x&lt;=tc,25+25*(x-tb)/(tc-tb),x&lt;=te,50+25*(x-tc)/(te-tc),x&lt;tf,75+25*(x-te)/(tf-te),TRUE,100)))</f>
        <v>0</v>
      </c>
      <c r="O11" s="35">
        <f>IF(Inputs!O11="","",LET(d,Rulebook!$L11,x,Inputs!O11*d,ta,Rulebook!$G11*d,tb,Rulebook!$H11*d,tc,Rulebook!$I11*d,te,Rulebook!$J11*d,tf,Rulebook!$K11*d,IFS(x&lt;=ta,0,x&lt;=tb,25*(x-ta)/(tb-ta),x&lt;=tc,25+25*(x-tb)/(tc-tb),x&lt;=te,50+25*(x-tc)/(te-tc),x&lt;tf,75+25*(x-te)/(tf-te),TRUE,100)))</f>
        <v>30</v>
      </c>
      <c r="P11" s="35">
        <f>IF(Inputs!P11="","",LET(d,Rulebook!$L11,x,Inputs!P11*d,ta,Rulebook!$G11*d,tb,Rulebook!$H11*d,tc,Rulebook!$I11*d,te,Rulebook!$J11*d,tf,Rulebook!$K11*d,IFS(x&lt;=ta,0,x&lt;=tb,25*(x-ta)/(tb-ta),x&lt;=tc,25+25*(x-tb)/(tc-tb),x&lt;=te,50+25*(x-tc)/(te-tc),x&lt;tf,75+25*(x-te)/(tf-te),TRUE,100)))</f>
        <v>0</v>
      </c>
      <c r="Q11" s="35">
        <f>IF(Inputs!Q11="","",LET(d,Rulebook!$L11,x,Inputs!Q11*d,ta,Rulebook!$G11*d,tb,Rulebook!$H11*d,tc,Rulebook!$I11*d,te,Rulebook!$J11*d,tf,Rulebook!$K11*d,IFS(x&lt;=ta,0,x&lt;=tb,25*(x-ta)/(tb-ta),x&lt;=tc,25+25*(x-tb)/(tc-tb),x&lt;=te,50+25*(x-tc)/(te-tc),x&lt;tf,75+25*(x-te)/(tf-te),TRUE,100)))</f>
        <v>0</v>
      </c>
      <c r="R11" s="35">
        <f>IF(Inputs!R11="","",LET(d,Rulebook!$L11,x,Inputs!R11*d,ta,Rulebook!$G11*d,tb,Rulebook!$H11*d,tc,Rulebook!$I11*d,te,Rulebook!$J11*d,tf,Rulebook!$K11*d,IFS(x&lt;=ta,0,x&lt;=tb,25*(x-ta)/(tb-ta),x&lt;=tc,25+25*(x-tb)/(tc-tb),x&lt;=te,50+25*(x-tc)/(te-tc),x&lt;tf,75+25*(x-te)/(tf-te),TRUE,100)))</f>
        <v>25</v>
      </c>
      <c r="S11" s="35">
        <f>IF(Inputs!S11="","",LET(d,Rulebook!$L11,x,Inputs!S11*d,ta,Rulebook!$G11*d,tb,Rulebook!$H11*d,tc,Rulebook!$I11*d,te,Rulebook!$J11*d,tf,Rulebook!$K11*d,IFS(x&lt;=ta,0,x&lt;=tb,25*(x-ta)/(tb-ta),x&lt;=tc,25+25*(x-tb)/(tc-tb),x&lt;=te,50+25*(x-tc)/(te-tc),x&lt;tf,75+25*(x-te)/(tf-te),TRUE,100)))</f>
        <v>100</v>
      </c>
      <c r="T11" s="35">
        <f>IF(Inputs!T11="","",LET(d,Rulebook!$L11,x,Inputs!T11*d,ta,Rulebook!$G11*d,tb,Rulebook!$H11*d,tc,Rulebook!$I11*d,te,Rulebook!$J11*d,tf,Rulebook!$K11*d,IFS(x&lt;=ta,0,x&lt;=tb,25*(x-ta)/(tb-ta),x&lt;=tc,25+25*(x-tb)/(tc-tb),x&lt;=te,50+25*(x-tc)/(te-tc),x&lt;tf,75+25*(x-te)/(tf-te),TRUE,100)))</f>
        <v>100</v>
      </c>
      <c r="U11" s="35">
        <f>IF(Inputs!U11="","",LET(d,Rulebook!$L11,x,Inputs!U11*d,ta,Rulebook!$G11*d,tb,Rulebook!$H11*d,tc,Rulebook!$I11*d,te,Rulebook!$J11*d,tf,Rulebook!$K11*d,IFS(x&lt;=ta,0,x&lt;=tb,25*(x-ta)/(tb-ta),x&lt;=tc,25+25*(x-tb)/(tc-tb),x&lt;=te,50+25*(x-tc)/(te-tc),x&lt;tf,75+25*(x-te)/(tf-te),TRUE,100)))</f>
        <v>0</v>
      </c>
      <c r="V11" s="35">
        <f>IF(Inputs!V11="","",LET(d,Rulebook!$L11,x,Inputs!V11*d,ta,Rulebook!$G11*d,tb,Rulebook!$H11*d,tc,Rulebook!$I11*d,te,Rulebook!$J11*d,tf,Rulebook!$K11*d,IFS(x&lt;=ta,0,x&lt;=tb,25*(x-ta)/(tb-ta),x&lt;=tc,25+25*(x-tb)/(tc-tb),x&lt;=te,50+25*(x-tc)/(te-tc),x&lt;tf,75+25*(x-te)/(tf-te),TRUE,100)))</f>
        <v>0</v>
      </c>
    </row>
    <row r="12">
      <c r="A12" s="26" t="s">
        <v>232</v>
      </c>
      <c r="B12" s="26">
        <v>1.0</v>
      </c>
      <c r="C12" s="26" t="s">
        <v>233</v>
      </c>
      <c r="D12" s="26" t="s">
        <v>235</v>
      </c>
      <c r="E12" s="35">
        <f>IF(Inputs!E12="","",LET(d,Rulebook!$L12,x,Inputs!E12*d,ta,Rulebook!$G12*d,tb,Rulebook!$H12*d,tc,Rulebook!$I12*d,te,Rulebook!$J12*d,tf,Rulebook!$K12*d,IFS(x&lt;=ta,0,x&lt;=tb,25*(x-ta)/(tb-ta),x&lt;=tc,25+25*(x-tb)/(tc-tb),x&lt;=te,50+25*(x-tc)/(te-tc),x&lt;tf,75+25*(x-te)/(tf-te),TRUE,100)))</f>
        <v>0</v>
      </c>
      <c r="F12" s="35">
        <f>IF(Inputs!F12="","",LET(d,Rulebook!$L12,x,Inputs!F12*d,ta,Rulebook!$G12*d,tb,Rulebook!$H12*d,tc,Rulebook!$I12*d,te,Rulebook!$J12*d,tf,Rulebook!$K12*d,IFS(x&lt;=ta,0,x&lt;=tb,25*(x-ta)/(tb-ta),x&lt;=tc,25+25*(x-tb)/(tc-tb),x&lt;=te,50+25*(x-tc)/(te-tc),x&lt;tf,75+25*(x-te)/(tf-te),TRUE,100)))</f>
        <v>0</v>
      </c>
      <c r="G12" s="35">
        <f>IF(Inputs!G12="","",LET(d,Rulebook!$L12,x,Inputs!G12*d,ta,Rulebook!$G12*d,tb,Rulebook!$H12*d,tc,Rulebook!$I12*d,te,Rulebook!$J12*d,tf,Rulebook!$K12*d,IFS(x&lt;=ta,0,x&lt;=tb,25*(x-ta)/(tb-ta),x&lt;=tc,25+25*(x-tb)/(tc-tb),x&lt;=te,50+25*(x-tc)/(te-tc),x&lt;tf,75+25*(x-te)/(tf-te),TRUE,100)))</f>
        <v>0</v>
      </c>
      <c r="H12" s="35">
        <f>IF(Inputs!H12="","",LET(d,Rulebook!$L12,x,Inputs!H12*d,ta,Rulebook!$G12*d,tb,Rulebook!$H12*d,tc,Rulebook!$I12*d,te,Rulebook!$J12*d,tf,Rulebook!$K12*d,IFS(x&lt;=ta,0,x&lt;=tb,25*(x-ta)/(tb-ta),x&lt;=tc,25+25*(x-tb)/(tc-tb),x&lt;=te,50+25*(x-tc)/(te-tc),x&lt;tf,75+25*(x-te)/(tf-te),TRUE,100)))</f>
        <v>0</v>
      </c>
      <c r="I12" s="35">
        <f>IF(Inputs!I12="","",LET(d,Rulebook!$L12,x,Inputs!I12*d,ta,Rulebook!$G12*d,tb,Rulebook!$H12*d,tc,Rulebook!$I12*d,te,Rulebook!$J12*d,tf,Rulebook!$K12*d,IFS(x&lt;=ta,0,x&lt;=tb,25*(x-ta)/(tb-ta),x&lt;=tc,25+25*(x-tb)/(tc-tb),x&lt;=te,50+25*(x-tc)/(te-tc),x&lt;tf,75+25*(x-te)/(tf-te),TRUE,100)))</f>
        <v>0</v>
      </c>
      <c r="J12" s="35">
        <f>IF(Inputs!J12="","",LET(d,Rulebook!$L12,x,Inputs!J12*d,ta,Rulebook!$G12*d,tb,Rulebook!$H12*d,tc,Rulebook!$I12*d,te,Rulebook!$J12*d,tf,Rulebook!$K12*d,IFS(x&lt;=ta,0,x&lt;=tb,25*(x-ta)/(tb-ta),x&lt;=tc,25+25*(x-tb)/(tc-tb),x&lt;=te,50+25*(x-tc)/(te-tc),x&lt;tf,75+25*(x-te)/(tf-te),TRUE,100)))</f>
        <v>0</v>
      </c>
      <c r="K12" s="35">
        <f>IF(Inputs!K12="","",LET(d,Rulebook!$L12,x,Inputs!K12*d,ta,Rulebook!$G12*d,tb,Rulebook!$H12*d,tc,Rulebook!$I12*d,te,Rulebook!$J12*d,tf,Rulebook!$K12*d,IFS(x&lt;=ta,0,x&lt;=tb,25*(x-ta)/(tb-ta),x&lt;=tc,25+25*(x-tb)/(tc-tb),x&lt;=te,50+25*(x-tc)/(te-tc),x&lt;tf,75+25*(x-te)/(tf-te),TRUE,100)))</f>
        <v>0</v>
      </c>
      <c r="L12" s="35">
        <f>IF(Inputs!L12="","",LET(d,Rulebook!$L12,x,Inputs!L12*d,ta,Rulebook!$G12*d,tb,Rulebook!$H12*d,tc,Rulebook!$I12*d,te,Rulebook!$J12*d,tf,Rulebook!$K12*d,IFS(x&lt;=ta,0,x&lt;=tb,25*(x-ta)/(tb-ta),x&lt;=tc,25+25*(x-tb)/(tc-tb),x&lt;=te,50+25*(x-tc)/(te-tc),x&lt;tf,75+25*(x-te)/(tf-te),TRUE,100)))</f>
        <v>0</v>
      </c>
      <c r="M12" s="35">
        <f>IF(Inputs!M12="","",LET(d,Rulebook!$L12,x,Inputs!M12*d,ta,Rulebook!$G12*d,tb,Rulebook!$H12*d,tc,Rulebook!$I12*d,te,Rulebook!$J12*d,tf,Rulebook!$K12*d,IFS(x&lt;=ta,0,x&lt;=tb,25*(x-ta)/(tb-ta),x&lt;=tc,25+25*(x-tb)/(tc-tb),x&lt;=te,50+25*(x-tc)/(te-tc),x&lt;tf,75+25*(x-te)/(tf-te),TRUE,100)))</f>
        <v>0</v>
      </c>
      <c r="N12" s="35">
        <f>IF(Inputs!N12="","",LET(d,Rulebook!$L12,x,Inputs!N12*d,ta,Rulebook!$G12*d,tb,Rulebook!$H12*d,tc,Rulebook!$I12*d,te,Rulebook!$J12*d,tf,Rulebook!$K12*d,IFS(x&lt;=ta,0,x&lt;=tb,25*(x-ta)/(tb-ta),x&lt;=tc,25+25*(x-tb)/(tc-tb),x&lt;=te,50+25*(x-tc)/(te-tc),x&lt;tf,75+25*(x-te)/(tf-te),TRUE,100)))</f>
        <v>100</v>
      </c>
      <c r="O12" s="35">
        <f>IF(Inputs!O12="","",LET(d,Rulebook!$L12,x,Inputs!O12*d,ta,Rulebook!$G12*d,tb,Rulebook!$H12*d,tc,Rulebook!$I12*d,te,Rulebook!$J12*d,tf,Rulebook!$K12*d,IFS(x&lt;=ta,0,x&lt;=tb,25*(x-ta)/(tb-ta),x&lt;=tc,25+25*(x-tb)/(tc-tb),x&lt;=te,50+25*(x-tc)/(te-tc),x&lt;tf,75+25*(x-te)/(tf-te),TRUE,100)))</f>
        <v>0</v>
      </c>
      <c r="P12" s="35">
        <f>IF(Inputs!P12="","",LET(d,Rulebook!$L12,x,Inputs!P12*d,ta,Rulebook!$G12*d,tb,Rulebook!$H12*d,tc,Rulebook!$I12*d,te,Rulebook!$J12*d,tf,Rulebook!$K12*d,IFS(x&lt;=ta,0,x&lt;=tb,25*(x-ta)/(tb-ta),x&lt;=tc,25+25*(x-tb)/(tc-tb),x&lt;=te,50+25*(x-tc)/(te-tc),x&lt;tf,75+25*(x-te)/(tf-te),TRUE,100)))</f>
        <v>100</v>
      </c>
      <c r="Q12" s="35">
        <f>IF(Inputs!Q12="","",LET(d,Rulebook!$L12,x,Inputs!Q12*d,ta,Rulebook!$G12*d,tb,Rulebook!$H12*d,tc,Rulebook!$I12*d,te,Rulebook!$J12*d,tf,Rulebook!$K12*d,IFS(x&lt;=ta,0,x&lt;=tb,25*(x-ta)/(tb-ta),x&lt;=tc,25+25*(x-tb)/(tc-tb),x&lt;=te,50+25*(x-tc)/(te-tc),x&lt;tf,75+25*(x-te)/(tf-te),TRUE,100)))</f>
        <v>0</v>
      </c>
      <c r="R12" s="35">
        <f>IF(Inputs!R12="","",LET(d,Rulebook!$L12,x,Inputs!R12*d,ta,Rulebook!$G12*d,tb,Rulebook!$H12*d,tc,Rulebook!$I12*d,te,Rulebook!$J12*d,tf,Rulebook!$K12*d,IFS(x&lt;=ta,0,x&lt;=tb,25*(x-ta)/(tb-ta),x&lt;=tc,25+25*(x-tb)/(tc-tb),x&lt;=te,50+25*(x-tc)/(te-tc),x&lt;tf,75+25*(x-te)/(tf-te),TRUE,100)))</f>
        <v>50</v>
      </c>
      <c r="S12" s="35">
        <f>IF(Inputs!S12="","",LET(d,Rulebook!$L12,x,Inputs!S12*d,ta,Rulebook!$G12*d,tb,Rulebook!$H12*d,tc,Rulebook!$I12*d,te,Rulebook!$J12*d,tf,Rulebook!$K12*d,IFS(x&lt;=ta,0,x&lt;=tb,25*(x-ta)/(tb-ta),x&lt;=tc,25+25*(x-tb)/(tc-tb),x&lt;=te,50+25*(x-tc)/(te-tc),x&lt;tf,75+25*(x-te)/(tf-te),TRUE,100)))</f>
        <v>0</v>
      </c>
      <c r="T12" s="35">
        <f>IF(Inputs!T12="","",LET(d,Rulebook!$L12,x,Inputs!T12*d,ta,Rulebook!$G12*d,tb,Rulebook!$H12*d,tc,Rulebook!$I12*d,te,Rulebook!$J12*d,tf,Rulebook!$K12*d,IFS(x&lt;=ta,0,x&lt;=tb,25*(x-ta)/(tb-ta),x&lt;=tc,25+25*(x-tb)/(tc-tb),x&lt;=te,50+25*(x-tc)/(te-tc),x&lt;tf,75+25*(x-te)/(tf-te),TRUE,100)))</f>
        <v>0</v>
      </c>
      <c r="U12" s="35">
        <f>IF(Inputs!U12="","",LET(d,Rulebook!$L12,x,Inputs!U12*d,ta,Rulebook!$G12*d,tb,Rulebook!$H12*d,tc,Rulebook!$I12*d,te,Rulebook!$J12*d,tf,Rulebook!$K12*d,IFS(x&lt;=ta,0,x&lt;=tb,25*(x-ta)/(tb-ta),x&lt;=tc,25+25*(x-tb)/(tc-tb),x&lt;=te,50+25*(x-tc)/(te-tc),x&lt;tf,75+25*(x-te)/(tf-te),TRUE,100)))</f>
        <v>50</v>
      </c>
      <c r="V12" s="35">
        <f>IF(Inputs!V12="","",LET(d,Rulebook!$L12,x,Inputs!V12*d,ta,Rulebook!$G12*d,tb,Rulebook!$H12*d,tc,Rulebook!$I12*d,te,Rulebook!$J12*d,tf,Rulebook!$K12*d,IFS(x&lt;=ta,0,x&lt;=tb,25*(x-ta)/(tb-ta),x&lt;=tc,25+25*(x-tb)/(tc-tb),x&lt;=te,50+25*(x-tc)/(te-tc),x&lt;tf,75+25*(x-te)/(tf-te),TRUE,100)))</f>
        <v>50</v>
      </c>
    </row>
    <row r="13">
      <c r="A13" s="26" t="s">
        <v>250</v>
      </c>
      <c r="B13" s="26">
        <v>1.0</v>
      </c>
      <c r="C13" s="26" t="s">
        <v>253</v>
      </c>
      <c r="D13" s="26" t="s">
        <v>254</v>
      </c>
      <c r="E13" s="35">
        <f>IF(Inputs!E13="","",LET(d,Rulebook!$L13,x,Inputs!E13*d,ta,Rulebook!$G13*d,tb,Rulebook!$H13*d,tc,Rulebook!$I13*d,te,Rulebook!$J13*d,tf,Rulebook!$K13*d,IFS(x&lt;=ta,0,x&lt;=tb,25*(x-ta)/(tb-ta),x&lt;=tc,25+25*(x-tb)/(tc-tb),x&lt;=te,50+25*(x-tc)/(te-tc),x&lt;tf,75+25*(x-te)/(tf-te),TRUE,100)))</f>
        <v>50</v>
      </c>
      <c r="F13" s="35">
        <f>IF(Inputs!F13="","",LET(d,Rulebook!$L13,x,Inputs!F13*d,ta,Rulebook!$G13*d,tb,Rulebook!$H13*d,tc,Rulebook!$I13*d,te,Rulebook!$J13*d,tf,Rulebook!$K13*d,IFS(x&lt;=ta,0,x&lt;=tb,25*(x-ta)/(tb-ta),x&lt;=tc,25+25*(x-tb)/(tc-tb),x&lt;=te,50+25*(x-tc)/(te-tc),x&lt;tf,75+25*(x-te)/(tf-te),TRUE,100)))</f>
        <v>25</v>
      </c>
      <c r="G13" s="35">
        <f>IF(Inputs!G13="","",LET(d,Rulebook!$L13,x,Inputs!G13*d,ta,Rulebook!$G13*d,tb,Rulebook!$H13*d,tc,Rulebook!$I13*d,te,Rulebook!$J13*d,tf,Rulebook!$K13*d,IFS(x&lt;=ta,0,x&lt;=tb,25*(x-ta)/(tb-ta),x&lt;=tc,25+25*(x-tb)/(tc-tb),x&lt;=te,50+25*(x-tc)/(te-tc),x&lt;tf,75+25*(x-te)/(tf-te),TRUE,100)))</f>
        <v>100</v>
      </c>
      <c r="H13" s="35">
        <f>IF(Inputs!H13="","",LET(d,Rulebook!$L13,x,Inputs!H13*d,ta,Rulebook!$G13*d,tb,Rulebook!$H13*d,tc,Rulebook!$I13*d,te,Rulebook!$J13*d,tf,Rulebook!$K13*d,IFS(x&lt;=ta,0,x&lt;=tb,25*(x-ta)/(tb-ta),x&lt;=tc,25+25*(x-tb)/(tc-tb),x&lt;=te,50+25*(x-tc)/(te-tc),x&lt;tf,75+25*(x-te)/(tf-te),TRUE,100)))</f>
        <v>50</v>
      </c>
      <c r="I13" s="35">
        <f>IF(Inputs!I13="","",LET(d,Rulebook!$L13,x,Inputs!I13*d,ta,Rulebook!$G13*d,tb,Rulebook!$H13*d,tc,Rulebook!$I13*d,te,Rulebook!$J13*d,tf,Rulebook!$K13*d,IFS(x&lt;=ta,0,x&lt;=tb,25*(x-ta)/(tb-ta),x&lt;=tc,25+25*(x-tb)/(tc-tb),x&lt;=te,50+25*(x-tc)/(te-tc),x&lt;tf,75+25*(x-te)/(tf-te),TRUE,100)))</f>
        <v>0</v>
      </c>
      <c r="J13" s="35">
        <f>IF(Inputs!J13="","",LET(d,Rulebook!$L13,x,Inputs!J13*d,ta,Rulebook!$G13*d,tb,Rulebook!$H13*d,tc,Rulebook!$I13*d,te,Rulebook!$J13*d,tf,Rulebook!$K13*d,IFS(x&lt;=ta,0,x&lt;=tb,25*(x-ta)/(tb-ta),x&lt;=tc,25+25*(x-tb)/(tc-tb),x&lt;=te,50+25*(x-tc)/(te-tc),x&lt;tf,75+25*(x-te)/(tf-te),TRUE,100)))</f>
        <v>25</v>
      </c>
      <c r="K13" s="35">
        <f>IF(Inputs!K13="","",LET(d,Rulebook!$L13,x,Inputs!K13*d,ta,Rulebook!$G13*d,tb,Rulebook!$H13*d,tc,Rulebook!$I13*d,te,Rulebook!$J13*d,tf,Rulebook!$K13*d,IFS(x&lt;=ta,0,x&lt;=tb,25*(x-ta)/(tb-ta),x&lt;=tc,25+25*(x-tb)/(tc-tb),x&lt;=te,50+25*(x-tc)/(te-tc),x&lt;tf,75+25*(x-te)/(tf-te),TRUE,100)))</f>
        <v>50</v>
      </c>
      <c r="L13" s="35">
        <f>IF(Inputs!L13="","",LET(d,Rulebook!$L13,x,Inputs!L13*d,ta,Rulebook!$G13*d,tb,Rulebook!$H13*d,tc,Rulebook!$I13*d,te,Rulebook!$J13*d,tf,Rulebook!$K13*d,IFS(x&lt;=ta,0,x&lt;=tb,25*(x-ta)/(tb-ta),x&lt;=tc,25+25*(x-tb)/(tc-tb),x&lt;=te,50+25*(x-tc)/(te-tc),x&lt;tf,75+25*(x-te)/(tf-te),TRUE,100)))</f>
        <v>50</v>
      </c>
      <c r="M13" s="35">
        <f>IF(Inputs!M13="","",LET(d,Rulebook!$L13,x,Inputs!M13*d,ta,Rulebook!$G13*d,tb,Rulebook!$H13*d,tc,Rulebook!$I13*d,te,Rulebook!$J13*d,tf,Rulebook!$K13*d,IFS(x&lt;=ta,0,x&lt;=tb,25*(x-ta)/(tb-ta),x&lt;=tc,25+25*(x-tb)/(tc-tb),x&lt;=te,50+25*(x-tc)/(te-tc),x&lt;tf,75+25*(x-te)/(tf-te),TRUE,100)))</f>
        <v>75</v>
      </c>
      <c r="N13" s="35">
        <f>IF(Inputs!N13="","",LET(d,Rulebook!$L13,x,Inputs!N13*d,ta,Rulebook!$G13*d,tb,Rulebook!$H13*d,tc,Rulebook!$I13*d,te,Rulebook!$J13*d,tf,Rulebook!$K13*d,IFS(x&lt;=ta,0,x&lt;=tb,25*(x-ta)/(tb-ta),x&lt;=tc,25+25*(x-tb)/(tc-tb),x&lt;=te,50+25*(x-tc)/(te-tc),x&lt;tf,75+25*(x-te)/(tf-te),TRUE,100)))</f>
        <v>25</v>
      </c>
      <c r="O13" s="35">
        <f>IF(Inputs!O13="","",LET(d,Rulebook!$L13,x,Inputs!O13*d,ta,Rulebook!$G13*d,tb,Rulebook!$H13*d,tc,Rulebook!$I13*d,te,Rulebook!$J13*d,tf,Rulebook!$K13*d,IFS(x&lt;=ta,0,x&lt;=tb,25*(x-ta)/(tb-ta),x&lt;=tc,25+25*(x-tb)/(tc-tb),x&lt;=te,50+25*(x-tc)/(te-tc),x&lt;tf,75+25*(x-te)/(tf-te),TRUE,100)))</f>
        <v>50</v>
      </c>
      <c r="P13" s="35">
        <f>IF(Inputs!P13="","",LET(d,Rulebook!$L13,x,Inputs!P13*d,ta,Rulebook!$G13*d,tb,Rulebook!$H13*d,tc,Rulebook!$I13*d,te,Rulebook!$J13*d,tf,Rulebook!$K13*d,IFS(x&lt;=ta,0,x&lt;=tb,25*(x-ta)/(tb-ta),x&lt;=tc,25+25*(x-tb)/(tc-tb),x&lt;=te,50+25*(x-tc)/(te-tc),x&lt;tf,75+25*(x-te)/(tf-te),TRUE,100)))</f>
        <v>50</v>
      </c>
      <c r="Q13" s="35">
        <f>IF(Inputs!Q13="","",LET(d,Rulebook!$L13,x,Inputs!Q13*d,ta,Rulebook!$G13*d,tb,Rulebook!$H13*d,tc,Rulebook!$I13*d,te,Rulebook!$J13*d,tf,Rulebook!$K13*d,IFS(x&lt;=ta,0,x&lt;=tb,25*(x-ta)/(tb-ta),x&lt;=tc,25+25*(x-tb)/(tc-tb),x&lt;=te,50+25*(x-tc)/(te-tc),x&lt;tf,75+25*(x-te)/(tf-te),TRUE,100)))</f>
        <v>50</v>
      </c>
      <c r="R13" s="35">
        <f>IF(Inputs!R13="","",LET(d,Rulebook!$L13,x,Inputs!R13*d,ta,Rulebook!$G13*d,tb,Rulebook!$H13*d,tc,Rulebook!$I13*d,te,Rulebook!$J13*d,tf,Rulebook!$K13*d,IFS(x&lt;=ta,0,x&lt;=tb,25*(x-ta)/(tb-ta),x&lt;=tc,25+25*(x-tb)/(tc-tb),x&lt;=te,50+25*(x-tc)/(te-tc),x&lt;tf,75+25*(x-te)/(tf-te),TRUE,100)))</f>
        <v>100</v>
      </c>
      <c r="S13" s="35">
        <f>IF(Inputs!S13="","",LET(d,Rulebook!$L13,x,Inputs!S13*d,ta,Rulebook!$G13*d,tb,Rulebook!$H13*d,tc,Rulebook!$I13*d,te,Rulebook!$J13*d,tf,Rulebook!$K13*d,IFS(x&lt;=ta,0,x&lt;=tb,25*(x-ta)/(tb-ta),x&lt;=tc,25+25*(x-tb)/(tc-tb),x&lt;=te,50+25*(x-tc)/(te-tc),x&lt;tf,75+25*(x-te)/(tf-te),TRUE,100)))</f>
        <v>75</v>
      </c>
      <c r="T13" s="35">
        <f>IF(Inputs!T13="","",LET(d,Rulebook!$L13,x,Inputs!T13*d,ta,Rulebook!$G13*d,tb,Rulebook!$H13*d,tc,Rulebook!$I13*d,te,Rulebook!$J13*d,tf,Rulebook!$K13*d,IFS(x&lt;=ta,0,x&lt;=tb,25*(x-ta)/(tb-ta),x&lt;=tc,25+25*(x-tb)/(tc-tb),x&lt;=te,50+25*(x-tc)/(te-tc),x&lt;tf,75+25*(x-te)/(tf-te),TRUE,100)))</f>
        <v>100</v>
      </c>
      <c r="U13" s="35">
        <f>IF(Inputs!U13="","",LET(d,Rulebook!$L13,x,Inputs!U13*d,ta,Rulebook!$G13*d,tb,Rulebook!$H13*d,tc,Rulebook!$I13*d,te,Rulebook!$J13*d,tf,Rulebook!$K13*d,IFS(x&lt;=ta,0,x&lt;=tb,25*(x-ta)/(tb-ta),x&lt;=tc,25+25*(x-tb)/(tc-tb),x&lt;=te,50+25*(x-tc)/(te-tc),x&lt;tf,75+25*(x-te)/(tf-te),TRUE,100)))</f>
        <v>75</v>
      </c>
      <c r="V13" s="35">
        <f>IF(Inputs!V13="","",LET(d,Rulebook!$L13,x,Inputs!V13*d,ta,Rulebook!$G13*d,tb,Rulebook!$H13*d,tc,Rulebook!$I13*d,te,Rulebook!$J13*d,tf,Rulebook!$K13*d,IFS(x&lt;=ta,0,x&lt;=tb,25*(x-ta)/(tb-ta),x&lt;=tc,25+25*(x-tb)/(tc-tb),x&lt;=te,50+25*(x-tc)/(te-tc),x&lt;tf,75+25*(x-te)/(tf-te),TRUE,100)))</f>
        <v>100</v>
      </c>
    </row>
    <row r="14">
      <c r="A14" s="26" t="s">
        <v>271</v>
      </c>
      <c r="B14" s="26">
        <v>2.0</v>
      </c>
      <c r="C14" s="26" t="s">
        <v>273</v>
      </c>
      <c r="D14" s="26" t="s">
        <v>277</v>
      </c>
      <c r="E14" s="35">
        <f>IF(Inputs!E14="","",LET(d,Rulebook!$L14,x,Inputs!E14*d,ta,Rulebook!$G14*d,tb,Rulebook!$H14*d,tc,Rulebook!$I14*d,te,Rulebook!$J14*d,tf,Rulebook!$K14*d,IFS(x&lt;=ta,0,x&lt;=tb,25*(x-ta)/(tb-ta),x&lt;=tc,25+25*(x-tb)/(tc-tb),x&lt;=te,50+25*(x-tc)/(te-tc),x&lt;tf,75+25*(x-te)/(tf-te),TRUE,100)))</f>
        <v>75</v>
      </c>
      <c r="F14" s="35">
        <f>IF(Inputs!F14="","",LET(d,Rulebook!$L14,x,Inputs!F14*d,ta,Rulebook!$G14*d,tb,Rulebook!$H14*d,tc,Rulebook!$I14*d,te,Rulebook!$J14*d,tf,Rulebook!$K14*d,IFS(x&lt;=ta,0,x&lt;=tb,25*(x-ta)/(tb-ta),x&lt;=tc,25+25*(x-tb)/(tc-tb),x&lt;=te,50+25*(x-tc)/(te-tc),x&lt;tf,75+25*(x-te)/(tf-te),TRUE,100)))</f>
        <v>0</v>
      </c>
      <c r="G14" s="35">
        <f>IF(Inputs!G14="","",LET(d,Rulebook!$L14,x,Inputs!G14*d,ta,Rulebook!$G14*d,tb,Rulebook!$H14*d,tc,Rulebook!$I14*d,te,Rulebook!$J14*d,tf,Rulebook!$K14*d,IFS(x&lt;=ta,0,x&lt;=tb,25*(x-ta)/(tb-ta),x&lt;=tc,25+25*(x-tb)/(tc-tb),x&lt;=te,50+25*(x-tc)/(te-tc),x&lt;tf,75+25*(x-te)/(tf-te),TRUE,100)))</f>
        <v>30</v>
      </c>
      <c r="H14" s="35">
        <f>IF(Inputs!H14="","",LET(d,Rulebook!$L14,x,Inputs!H14*d,ta,Rulebook!$G14*d,tb,Rulebook!$H14*d,tc,Rulebook!$I14*d,te,Rulebook!$J14*d,tf,Rulebook!$K14*d,IFS(x&lt;=ta,0,x&lt;=tb,25*(x-ta)/(tb-ta),x&lt;=tc,25+25*(x-tb)/(tc-tb),x&lt;=te,50+25*(x-tc)/(te-tc),x&lt;tf,75+25*(x-te)/(tf-te),TRUE,100)))</f>
        <v>40</v>
      </c>
      <c r="I14" s="35">
        <f>IF(Inputs!I14="","",LET(d,Rulebook!$L14,x,Inputs!I14*d,ta,Rulebook!$G14*d,tb,Rulebook!$H14*d,tc,Rulebook!$I14*d,te,Rulebook!$J14*d,tf,Rulebook!$K14*d,IFS(x&lt;=ta,0,x&lt;=tb,25*(x-ta)/(tb-ta),x&lt;=tc,25+25*(x-tb)/(tc-tb),x&lt;=te,50+25*(x-tc)/(te-tc),x&lt;tf,75+25*(x-te)/(tf-te),TRUE,100)))</f>
        <v>0</v>
      </c>
      <c r="J14" s="35">
        <f>IF(Inputs!J14="","",LET(d,Rulebook!$L14,x,Inputs!J14*d,ta,Rulebook!$G14*d,tb,Rulebook!$H14*d,tc,Rulebook!$I14*d,te,Rulebook!$J14*d,tf,Rulebook!$K14*d,IFS(x&lt;=ta,0,x&lt;=tb,25*(x-ta)/(tb-ta),x&lt;=tc,25+25*(x-tb)/(tc-tb),x&lt;=te,50+25*(x-tc)/(te-tc),x&lt;tf,75+25*(x-te)/(tf-te),TRUE,100)))</f>
        <v>0</v>
      </c>
      <c r="K14" s="35">
        <f>IF(Inputs!K14="","",LET(d,Rulebook!$L14,x,Inputs!K14*d,ta,Rulebook!$G14*d,tb,Rulebook!$H14*d,tc,Rulebook!$I14*d,te,Rulebook!$J14*d,tf,Rulebook!$K14*d,IFS(x&lt;=ta,0,x&lt;=tb,25*(x-ta)/(tb-ta),x&lt;=tc,25+25*(x-tb)/(tc-tb),x&lt;=te,50+25*(x-tc)/(te-tc),x&lt;tf,75+25*(x-te)/(tf-te),TRUE,100)))</f>
        <v>50</v>
      </c>
      <c r="L14" s="35">
        <f>IF(Inputs!L14="","",LET(d,Rulebook!$L14,x,Inputs!L14*d,ta,Rulebook!$G14*d,tb,Rulebook!$H14*d,tc,Rulebook!$I14*d,te,Rulebook!$J14*d,tf,Rulebook!$K14*d,IFS(x&lt;=ta,0,x&lt;=tb,25*(x-ta)/(tb-ta),x&lt;=tc,25+25*(x-tb)/(tc-tb),x&lt;=te,50+25*(x-tc)/(te-tc),x&lt;tf,75+25*(x-te)/(tf-te),TRUE,100)))</f>
        <v>0</v>
      </c>
      <c r="M14" s="35">
        <f>IF(Inputs!M14="","",LET(d,Rulebook!$L14,x,Inputs!M14*d,ta,Rulebook!$G14*d,tb,Rulebook!$H14*d,tc,Rulebook!$I14*d,te,Rulebook!$J14*d,tf,Rulebook!$K14*d,IFS(x&lt;=ta,0,x&lt;=tb,25*(x-ta)/(tb-ta),x&lt;=tc,25+25*(x-tb)/(tc-tb),x&lt;=te,50+25*(x-tc)/(te-tc),x&lt;tf,75+25*(x-te)/(tf-te),TRUE,100)))</f>
        <v>100</v>
      </c>
      <c r="N14" s="35">
        <f>IF(Inputs!N14="","",LET(d,Rulebook!$L14,x,Inputs!N14*d,ta,Rulebook!$G14*d,tb,Rulebook!$H14*d,tc,Rulebook!$I14*d,te,Rulebook!$J14*d,tf,Rulebook!$K14*d,IFS(x&lt;=ta,0,x&lt;=tb,25*(x-ta)/(tb-ta),x&lt;=tc,25+25*(x-tb)/(tc-tb),x&lt;=te,50+25*(x-tc)/(te-tc),x&lt;tf,75+25*(x-te)/(tf-te),TRUE,100)))</f>
        <v>90</v>
      </c>
      <c r="O14" s="35">
        <f>IF(Inputs!O14="","",LET(d,Rulebook!$L14,x,Inputs!O14*d,ta,Rulebook!$G14*d,tb,Rulebook!$H14*d,tc,Rulebook!$I14*d,te,Rulebook!$J14*d,tf,Rulebook!$K14*d,IFS(x&lt;=ta,0,x&lt;=tb,25*(x-ta)/(tb-ta),x&lt;=tc,25+25*(x-tb)/(tc-tb),x&lt;=te,50+25*(x-tc)/(te-tc),x&lt;tf,75+25*(x-te)/(tf-te),TRUE,100)))</f>
        <v>10</v>
      </c>
      <c r="P14" s="35">
        <f>IF(Inputs!P14="","",LET(d,Rulebook!$L14,x,Inputs!P14*d,ta,Rulebook!$G14*d,tb,Rulebook!$H14*d,tc,Rulebook!$I14*d,te,Rulebook!$J14*d,tf,Rulebook!$K14*d,IFS(x&lt;=ta,0,x&lt;=tb,25*(x-ta)/(tb-ta),x&lt;=tc,25+25*(x-tb)/(tc-tb),x&lt;=te,50+25*(x-tc)/(te-tc),x&lt;tf,75+25*(x-te)/(tf-te),TRUE,100)))</f>
        <v>100</v>
      </c>
      <c r="Q14" s="35">
        <f>IF(Inputs!Q14="","",LET(d,Rulebook!$L14,x,Inputs!Q14*d,ta,Rulebook!$G14*d,tb,Rulebook!$H14*d,tc,Rulebook!$I14*d,te,Rulebook!$J14*d,tf,Rulebook!$K14*d,IFS(x&lt;=ta,0,x&lt;=tb,25*(x-ta)/(tb-ta),x&lt;=tc,25+25*(x-tb)/(tc-tb),x&lt;=te,50+25*(x-tc)/(te-tc),x&lt;tf,75+25*(x-te)/(tf-te),TRUE,100)))</f>
        <v>30</v>
      </c>
      <c r="R14" s="35">
        <f>IF(Inputs!R14="","",LET(d,Rulebook!$L14,x,Inputs!R14*d,ta,Rulebook!$G14*d,tb,Rulebook!$H14*d,tc,Rulebook!$I14*d,te,Rulebook!$J14*d,tf,Rulebook!$K14*d,IFS(x&lt;=ta,0,x&lt;=tb,25*(x-ta)/(tb-ta),x&lt;=tc,25+25*(x-tb)/(tc-tb),x&lt;=te,50+25*(x-tc)/(te-tc),x&lt;tf,75+25*(x-te)/(tf-te),TRUE,100)))</f>
        <v>100</v>
      </c>
      <c r="S14" s="35">
        <f>IF(Inputs!S14="","",LET(d,Rulebook!$L14,x,Inputs!S14*d,ta,Rulebook!$G14*d,tb,Rulebook!$H14*d,tc,Rulebook!$I14*d,te,Rulebook!$J14*d,tf,Rulebook!$K14*d,IFS(x&lt;=ta,0,x&lt;=tb,25*(x-ta)/(tb-ta),x&lt;=tc,25+25*(x-tb)/(tc-tb),x&lt;=te,50+25*(x-tc)/(te-tc),x&lt;tf,75+25*(x-te)/(tf-te),TRUE,100)))</f>
        <v>60</v>
      </c>
      <c r="T14" s="35">
        <f>IF(Inputs!T14="","",LET(d,Rulebook!$L14,x,Inputs!T14*d,ta,Rulebook!$G14*d,tb,Rulebook!$H14*d,tc,Rulebook!$I14*d,te,Rulebook!$J14*d,tf,Rulebook!$K14*d,IFS(x&lt;=ta,0,x&lt;=tb,25*(x-ta)/(tb-ta),x&lt;=tc,25+25*(x-tb)/(tc-tb),x&lt;=te,50+25*(x-tc)/(te-tc),x&lt;tf,75+25*(x-te)/(tf-te),TRUE,100)))</f>
        <v>90</v>
      </c>
      <c r="U14" s="35">
        <f>IF(Inputs!U14="","",LET(d,Rulebook!$L14,x,Inputs!U14*d,ta,Rulebook!$G14*d,tb,Rulebook!$H14*d,tc,Rulebook!$I14*d,te,Rulebook!$J14*d,tf,Rulebook!$K14*d,IFS(x&lt;=ta,0,x&lt;=tb,25*(x-ta)/(tb-ta),x&lt;=tc,25+25*(x-tb)/(tc-tb),x&lt;=te,50+25*(x-tc)/(te-tc),x&lt;tf,75+25*(x-te)/(tf-te),TRUE,100)))</f>
        <v>80</v>
      </c>
      <c r="V14" s="35">
        <f>IF(Inputs!V14="","",LET(d,Rulebook!$L14,x,Inputs!V14*d,ta,Rulebook!$G14*d,tb,Rulebook!$H14*d,tc,Rulebook!$I14*d,te,Rulebook!$J14*d,tf,Rulebook!$K14*d,IFS(x&lt;=ta,0,x&lt;=tb,25*(x-ta)/(tb-ta),x&lt;=tc,25+25*(x-tb)/(tc-tb),x&lt;=te,50+25*(x-tc)/(te-tc),x&lt;tf,75+25*(x-te)/(tf-te),TRUE,100)))</f>
        <v>100</v>
      </c>
    </row>
    <row r="15">
      <c r="A15" s="26" t="s">
        <v>301</v>
      </c>
      <c r="B15" s="26">
        <v>2.0</v>
      </c>
      <c r="C15" s="26" t="s">
        <v>305</v>
      </c>
      <c r="D15" s="26" t="s">
        <v>307</v>
      </c>
      <c r="E15" s="35">
        <f>IF(Inputs!E15="","",LET(d,Rulebook!$L15,x,Inputs!E15*d,ta,Rulebook!$G15*d,tb,Rulebook!$H15*d,tc,Rulebook!$I15*d,te,Rulebook!$J15*d,tf,Rulebook!$K15*d,IFS(x&lt;=ta,0,x&lt;=tb,25*(x-ta)/(tb-ta),x&lt;=tc,25+25*(x-tb)/(tc-tb),x&lt;=te,50+25*(x-tc)/(te-tc),x&lt;tf,75+25*(x-te)/(tf-te),TRUE,100)))</f>
        <v>0</v>
      </c>
      <c r="F15" s="35">
        <f>IF(Inputs!F15="","",LET(d,Rulebook!$L15,x,Inputs!F15*d,ta,Rulebook!$G15*d,tb,Rulebook!$H15*d,tc,Rulebook!$I15*d,te,Rulebook!$J15*d,tf,Rulebook!$K15*d,IFS(x&lt;=ta,0,x&lt;=tb,25*(x-ta)/(tb-ta),x&lt;=tc,25+25*(x-tb)/(tc-tb),x&lt;=te,50+25*(x-tc)/(te-tc),x&lt;tf,75+25*(x-te)/(tf-te),TRUE,100)))</f>
        <v>0</v>
      </c>
      <c r="G15" s="35">
        <f>IF(Inputs!G15="","",LET(d,Rulebook!$L15,x,Inputs!G15*d,ta,Rulebook!$G15*d,tb,Rulebook!$H15*d,tc,Rulebook!$I15*d,te,Rulebook!$J15*d,tf,Rulebook!$K15*d,IFS(x&lt;=ta,0,x&lt;=tb,25*(x-ta)/(tb-ta),x&lt;=tc,25+25*(x-tb)/(tc-tb),x&lt;=te,50+25*(x-tc)/(te-tc),x&lt;tf,75+25*(x-te)/(tf-te),TRUE,100)))</f>
        <v>0</v>
      </c>
      <c r="H15" s="35">
        <f>IF(Inputs!H15="","",LET(d,Rulebook!$L15,x,Inputs!H15*d,ta,Rulebook!$G15*d,tb,Rulebook!$H15*d,tc,Rulebook!$I15*d,te,Rulebook!$J15*d,tf,Rulebook!$K15*d,IFS(x&lt;=ta,0,x&lt;=tb,25*(x-ta)/(tb-ta),x&lt;=tc,25+25*(x-tb)/(tc-tb),x&lt;=te,50+25*(x-tc)/(te-tc),x&lt;tf,75+25*(x-te)/(tf-te),TRUE,100)))</f>
        <v>10</v>
      </c>
      <c r="I15" s="35">
        <f>IF(Inputs!I15="","",LET(d,Rulebook!$L15,x,Inputs!I15*d,ta,Rulebook!$G15*d,tb,Rulebook!$H15*d,tc,Rulebook!$I15*d,te,Rulebook!$J15*d,tf,Rulebook!$K15*d,IFS(x&lt;=ta,0,x&lt;=tb,25*(x-ta)/(tb-ta),x&lt;=tc,25+25*(x-tb)/(tc-tb),x&lt;=te,50+25*(x-tc)/(te-tc),x&lt;tf,75+25*(x-te)/(tf-te),TRUE,100)))</f>
        <v>0</v>
      </c>
      <c r="J15" s="35">
        <f>IF(Inputs!J15="","",LET(d,Rulebook!$L15,x,Inputs!J15*d,ta,Rulebook!$G15*d,tb,Rulebook!$H15*d,tc,Rulebook!$I15*d,te,Rulebook!$J15*d,tf,Rulebook!$K15*d,IFS(x&lt;=ta,0,x&lt;=tb,25*(x-ta)/(tb-ta),x&lt;=tc,25+25*(x-tb)/(tc-tb),x&lt;=te,50+25*(x-tc)/(te-tc),x&lt;tf,75+25*(x-te)/(tf-te),TRUE,100)))</f>
        <v>0</v>
      </c>
      <c r="K15" s="35">
        <f>IF(Inputs!K15="","",LET(d,Rulebook!$L15,x,Inputs!K15*d,ta,Rulebook!$G15*d,tb,Rulebook!$H15*d,tc,Rulebook!$I15*d,te,Rulebook!$J15*d,tf,Rulebook!$K15*d,IFS(x&lt;=ta,0,x&lt;=tb,25*(x-ta)/(tb-ta),x&lt;=tc,25+25*(x-tb)/(tc-tb),x&lt;=te,50+25*(x-tc)/(te-tc),x&lt;tf,75+25*(x-te)/(tf-te),TRUE,100)))</f>
        <v>0</v>
      </c>
      <c r="L15" s="35">
        <f>IF(Inputs!L15="","",LET(d,Rulebook!$L15,x,Inputs!L15*d,ta,Rulebook!$G15*d,tb,Rulebook!$H15*d,tc,Rulebook!$I15*d,te,Rulebook!$J15*d,tf,Rulebook!$K15*d,IFS(x&lt;=ta,0,x&lt;=tb,25*(x-ta)/(tb-ta),x&lt;=tc,25+25*(x-tb)/(tc-tb),x&lt;=te,50+25*(x-tc)/(te-tc),x&lt;tf,75+25*(x-te)/(tf-te),TRUE,100)))</f>
        <v>0</v>
      </c>
      <c r="M15" s="35">
        <f>IF(Inputs!M15="","",LET(d,Rulebook!$L15,x,Inputs!M15*d,ta,Rulebook!$G15*d,tb,Rulebook!$H15*d,tc,Rulebook!$I15*d,te,Rulebook!$J15*d,tf,Rulebook!$K15*d,IFS(x&lt;=ta,0,x&lt;=tb,25*(x-ta)/(tb-ta),x&lt;=tc,25+25*(x-tb)/(tc-tb),x&lt;=te,50+25*(x-tc)/(te-tc),x&lt;tf,75+25*(x-te)/(tf-te),TRUE,100)))</f>
        <v>100</v>
      </c>
      <c r="N15" s="35">
        <f>IF(Inputs!N15="","",LET(d,Rulebook!$L15,x,Inputs!N15*d,ta,Rulebook!$G15*d,tb,Rulebook!$H15*d,tc,Rulebook!$I15*d,te,Rulebook!$J15*d,tf,Rulebook!$K15*d,IFS(x&lt;=ta,0,x&lt;=tb,25*(x-ta)/(tb-ta),x&lt;=tc,25+25*(x-tb)/(tc-tb),x&lt;=te,50+25*(x-tc)/(te-tc),x&lt;tf,75+25*(x-te)/(tf-te),TRUE,100)))</f>
        <v>60</v>
      </c>
      <c r="O15" s="35">
        <f>IF(Inputs!O15="","",LET(d,Rulebook!$L15,x,Inputs!O15*d,ta,Rulebook!$G15*d,tb,Rulebook!$H15*d,tc,Rulebook!$I15*d,te,Rulebook!$J15*d,tf,Rulebook!$K15*d,IFS(x&lt;=ta,0,x&lt;=tb,25*(x-ta)/(tb-ta),x&lt;=tc,25+25*(x-tb)/(tc-tb),x&lt;=te,50+25*(x-tc)/(te-tc),x&lt;tf,75+25*(x-te)/(tf-te),TRUE,100)))</f>
        <v>0</v>
      </c>
      <c r="P15" s="35">
        <f>IF(Inputs!P15="","",LET(d,Rulebook!$L15,x,Inputs!P15*d,ta,Rulebook!$G15*d,tb,Rulebook!$H15*d,tc,Rulebook!$I15*d,te,Rulebook!$J15*d,tf,Rulebook!$K15*d,IFS(x&lt;=ta,0,x&lt;=tb,25*(x-ta)/(tb-ta),x&lt;=tc,25+25*(x-tb)/(tc-tb),x&lt;=te,50+25*(x-tc)/(te-tc),x&lt;tf,75+25*(x-te)/(tf-te),TRUE,100)))</f>
        <v>100</v>
      </c>
      <c r="Q15" s="35">
        <f>IF(Inputs!Q15="","",LET(d,Rulebook!$L15,x,Inputs!Q15*d,ta,Rulebook!$G15*d,tb,Rulebook!$H15*d,tc,Rulebook!$I15*d,te,Rulebook!$J15*d,tf,Rulebook!$K15*d,IFS(x&lt;=ta,0,x&lt;=tb,25*(x-ta)/(tb-ta),x&lt;=tc,25+25*(x-tb)/(tc-tb),x&lt;=te,50+25*(x-tc)/(te-tc),x&lt;tf,75+25*(x-te)/(tf-te),TRUE,100)))</f>
        <v>40</v>
      </c>
      <c r="R15" s="35">
        <f>IF(Inputs!R15="","",LET(d,Rulebook!$L15,x,Inputs!R15*d,ta,Rulebook!$G15*d,tb,Rulebook!$H15*d,tc,Rulebook!$I15*d,te,Rulebook!$J15*d,tf,Rulebook!$K15*d,IFS(x&lt;=ta,0,x&lt;=tb,25*(x-ta)/(tb-ta),x&lt;=tc,25+25*(x-tb)/(tc-tb),x&lt;=te,50+25*(x-tc)/(te-tc),x&lt;tf,75+25*(x-te)/(tf-te),TRUE,100)))</f>
        <v>100</v>
      </c>
      <c r="S15" s="35">
        <f>IF(Inputs!S15="","",LET(d,Rulebook!$L15,x,Inputs!S15*d,ta,Rulebook!$G15*d,tb,Rulebook!$H15*d,tc,Rulebook!$I15*d,te,Rulebook!$J15*d,tf,Rulebook!$K15*d,IFS(x&lt;=ta,0,x&lt;=tb,25*(x-ta)/(tb-ta),x&lt;=tc,25+25*(x-tb)/(tc-tb),x&lt;=te,50+25*(x-tc)/(te-tc),x&lt;tf,75+25*(x-te)/(tf-te),TRUE,100)))</f>
        <v>10</v>
      </c>
      <c r="T15" s="35">
        <f>IF(Inputs!T15="","",LET(d,Rulebook!$L15,x,Inputs!T15*d,ta,Rulebook!$G15*d,tb,Rulebook!$H15*d,tc,Rulebook!$I15*d,te,Rulebook!$J15*d,tf,Rulebook!$K15*d,IFS(x&lt;=ta,0,x&lt;=tb,25*(x-ta)/(tb-ta),x&lt;=tc,25+25*(x-tb)/(tc-tb),x&lt;=te,50+25*(x-tc)/(te-tc),x&lt;tf,75+25*(x-te)/(tf-te),TRUE,100)))</f>
        <v>100</v>
      </c>
      <c r="U15" s="35">
        <f>IF(Inputs!U15="","",LET(d,Rulebook!$L15,x,Inputs!U15*d,ta,Rulebook!$G15*d,tb,Rulebook!$H15*d,tc,Rulebook!$I15*d,te,Rulebook!$J15*d,tf,Rulebook!$K15*d,IFS(x&lt;=ta,0,x&lt;=tb,25*(x-ta)/(tb-ta),x&lt;=tc,25+25*(x-tb)/(tc-tb),x&lt;=te,50+25*(x-tc)/(te-tc),x&lt;tf,75+25*(x-te)/(tf-te),TRUE,100)))</f>
        <v>55</v>
      </c>
      <c r="V15" s="35">
        <f>IF(Inputs!V15="","",LET(d,Rulebook!$L15,x,Inputs!V15*d,ta,Rulebook!$G15*d,tb,Rulebook!$H15*d,tc,Rulebook!$I15*d,te,Rulebook!$J15*d,tf,Rulebook!$K15*d,IFS(x&lt;=ta,0,x&lt;=tb,25*(x-ta)/(tb-ta),x&lt;=tc,25+25*(x-tb)/(tc-tb),x&lt;=te,50+25*(x-tc)/(te-tc),x&lt;tf,75+25*(x-te)/(tf-te),TRUE,100)))</f>
        <v>100</v>
      </c>
    </row>
    <row r="16">
      <c r="A16" s="26" t="s">
        <v>322</v>
      </c>
      <c r="B16" s="26">
        <v>2.0</v>
      </c>
      <c r="C16" s="26" t="s">
        <v>324</v>
      </c>
      <c r="D16" s="26" t="s">
        <v>307</v>
      </c>
      <c r="E16" s="35">
        <f>IF(Inputs!E16="","",LET(d,Rulebook!$L16,x,Inputs!E16*d,ta,Rulebook!$G16*d,tb,Rulebook!$H16*d,tc,Rulebook!$I16*d,te,Rulebook!$J16*d,tf,Rulebook!$K16*d,IFS(x&lt;=ta,0,x&lt;=tb,25*(x-ta)/(tb-ta),x&lt;=tc,25+25*(x-tb)/(tc-tb),x&lt;=te,50+25*(x-tc)/(te-tc),x&lt;tf,75+25*(x-te)/(tf-te),TRUE,100)))</f>
        <v>0</v>
      </c>
      <c r="F16" s="35">
        <f>IF(Inputs!F16="","",LET(d,Rulebook!$L16,x,Inputs!F16*d,ta,Rulebook!$G16*d,tb,Rulebook!$H16*d,tc,Rulebook!$I16*d,te,Rulebook!$J16*d,tf,Rulebook!$K16*d,IFS(x&lt;=ta,0,x&lt;=tb,25*(x-ta)/(tb-ta),x&lt;=tc,25+25*(x-tb)/(tc-tb),x&lt;=te,50+25*(x-tc)/(te-tc),x&lt;tf,75+25*(x-te)/(tf-te),TRUE,100)))</f>
        <v>8.333333333</v>
      </c>
      <c r="G16" s="35">
        <f>IF(Inputs!G16="","",LET(d,Rulebook!$L16,x,Inputs!G16*d,ta,Rulebook!$G16*d,tb,Rulebook!$H16*d,tc,Rulebook!$I16*d,te,Rulebook!$J16*d,tf,Rulebook!$K16*d,IFS(x&lt;=ta,0,x&lt;=tb,25*(x-ta)/(tb-ta),x&lt;=tc,25+25*(x-tb)/(tc-tb),x&lt;=te,50+25*(x-tc)/(te-tc),x&lt;tf,75+25*(x-te)/(tf-te),TRUE,100)))</f>
        <v>0</v>
      </c>
      <c r="H16" s="35">
        <f>IF(Inputs!H16="","",LET(d,Rulebook!$L16,x,Inputs!H16*d,ta,Rulebook!$G16*d,tb,Rulebook!$H16*d,tc,Rulebook!$I16*d,te,Rulebook!$J16*d,tf,Rulebook!$K16*d,IFS(x&lt;=ta,0,x&lt;=tb,25*(x-ta)/(tb-ta),x&lt;=tc,25+25*(x-tb)/(tc-tb),x&lt;=te,50+25*(x-tc)/(te-tc),x&lt;tf,75+25*(x-te)/(tf-te),TRUE,100)))</f>
        <v>60</v>
      </c>
      <c r="I16" s="35">
        <f>IF(Inputs!I16="","",LET(d,Rulebook!$L16,x,Inputs!I16*d,ta,Rulebook!$G16*d,tb,Rulebook!$H16*d,tc,Rulebook!$I16*d,te,Rulebook!$J16*d,tf,Rulebook!$K16*d,IFS(x&lt;=ta,0,x&lt;=tb,25*(x-ta)/(tb-ta),x&lt;=tc,25+25*(x-tb)/(tc-tb),x&lt;=te,50+25*(x-tc)/(te-tc),x&lt;tf,75+25*(x-te)/(tf-te),TRUE,100)))</f>
        <v>0</v>
      </c>
      <c r="J16" s="35">
        <f>IF(Inputs!J16="","",LET(d,Rulebook!$L16,x,Inputs!J16*d,ta,Rulebook!$G16*d,tb,Rulebook!$H16*d,tc,Rulebook!$I16*d,te,Rulebook!$J16*d,tf,Rulebook!$K16*d,IFS(x&lt;=ta,0,x&lt;=tb,25*(x-ta)/(tb-ta),x&lt;=tc,25+25*(x-tb)/(tc-tb),x&lt;=te,50+25*(x-tc)/(te-tc),x&lt;tf,75+25*(x-te)/(tf-te),TRUE,100)))</f>
        <v>8.333333333</v>
      </c>
      <c r="K16" s="35">
        <f>IF(Inputs!K16="","",LET(d,Rulebook!$L16,x,Inputs!K16*d,ta,Rulebook!$G16*d,tb,Rulebook!$H16*d,tc,Rulebook!$I16*d,te,Rulebook!$J16*d,tf,Rulebook!$K16*d,IFS(x&lt;=ta,0,x&lt;=tb,25*(x-ta)/(tb-ta),x&lt;=tc,25+25*(x-tb)/(tc-tb),x&lt;=te,50+25*(x-tc)/(te-tc),x&lt;tf,75+25*(x-te)/(tf-te),TRUE,100)))</f>
        <v>40</v>
      </c>
      <c r="L16" s="35">
        <f>IF(Inputs!L16="","",LET(d,Rulebook!$L16,x,Inputs!L16*d,ta,Rulebook!$G16*d,tb,Rulebook!$H16*d,tc,Rulebook!$I16*d,te,Rulebook!$J16*d,tf,Rulebook!$K16*d,IFS(x&lt;=ta,0,x&lt;=tb,25*(x-ta)/(tb-ta),x&lt;=tc,25+25*(x-tb)/(tc-tb),x&lt;=te,50+25*(x-tc)/(te-tc),x&lt;tf,75+25*(x-te)/(tf-te),TRUE,100)))</f>
        <v>16.66666667</v>
      </c>
      <c r="M16" s="35">
        <f>IF(Inputs!M16="","",LET(d,Rulebook!$L16,x,Inputs!M16*d,ta,Rulebook!$G16*d,tb,Rulebook!$H16*d,tc,Rulebook!$I16*d,te,Rulebook!$J16*d,tf,Rulebook!$K16*d,IFS(x&lt;=ta,0,x&lt;=tb,25*(x-ta)/(tb-ta),x&lt;=tc,25+25*(x-tb)/(tc-tb),x&lt;=te,50+25*(x-tc)/(te-tc),x&lt;tf,75+25*(x-te)/(tf-te),TRUE,100)))</f>
        <v>16.66666667</v>
      </c>
      <c r="N16" s="35">
        <f>IF(Inputs!N16="","",LET(d,Rulebook!$L16,x,Inputs!N16*d,ta,Rulebook!$G16*d,tb,Rulebook!$H16*d,tc,Rulebook!$I16*d,te,Rulebook!$J16*d,tf,Rulebook!$K16*d,IFS(x&lt;=ta,0,x&lt;=tb,25*(x-ta)/(tb-ta),x&lt;=tc,25+25*(x-tb)/(tc-tb),x&lt;=te,50+25*(x-tc)/(te-tc),x&lt;tf,75+25*(x-te)/(tf-te),TRUE,100)))</f>
        <v>0</v>
      </c>
      <c r="O16" s="35">
        <f>IF(Inputs!O16="","",LET(d,Rulebook!$L16,x,Inputs!O16*d,ta,Rulebook!$G16*d,tb,Rulebook!$H16*d,tc,Rulebook!$I16*d,te,Rulebook!$J16*d,tf,Rulebook!$K16*d,IFS(x&lt;=ta,0,x&lt;=tb,25*(x-ta)/(tb-ta),x&lt;=tc,25+25*(x-tb)/(tc-tb),x&lt;=te,50+25*(x-tc)/(te-tc),x&lt;tf,75+25*(x-te)/(tf-te),TRUE,100)))</f>
        <v>60</v>
      </c>
      <c r="P16" s="35">
        <f>IF(Inputs!P16="","",LET(d,Rulebook!$L16,x,Inputs!P16*d,ta,Rulebook!$G16*d,tb,Rulebook!$H16*d,tc,Rulebook!$I16*d,te,Rulebook!$J16*d,tf,Rulebook!$K16*d,IFS(x&lt;=ta,0,x&lt;=tb,25*(x-ta)/(tb-ta),x&lt;=tc,25+25*(x-tb)/(tc-tb),x&lt;=te,50+25*(x-tc)/(te-tc),x&lt;tf,75+25*(x-te)/(tf-te),TRUE,100)))</f>
        <v>80</v>
      </c>
      <c r="Q16" s="35">
        <f>IF(Inputs!Q16="","",LET(d,Rulebook!$L16,x,Inputs!Q16*d,ta,Rulebook!$G16*d,tb,Rulebook!$H16*d,tc,Rulebook!$I16*d,te,Rulebook!$J16*d,tf,Rulebook!$K16*d,IFS(x&lt;=ta,0,x&lt;=tb,25*(x-ta)/(tb-ta),x&lt;=tc,25+25*(x-tb)/(tc-tb),x&lt;=te,50+25*(x-tc)/(te-tc),x&lt;tf,75+25*(x-te)/(tf-te),TRUE,100)))</f>
        <v>50</v>
      </c>
      <c r="R16" s="35">
        <f>IF(Inputs!R16="","",LET(d,Rulebook!$L16,x,Inputs!R16*d,ta,Rulebook!$G16*d,tb,Rulebook!$H16*d,tc,Rulebook!$I16*d,te,Rulebook!$J16*d,tf,Rulebook!$K16*d,IFS(x&lt;=ta,0,x&lt;=tb,25*(x-ta)/(tb-ta),x&lt;=tc,25+25*(x-tb)/(tc-tb),x&lt;=te,50+25*(x-tc)/(te-tc),x&lt;tf,75+25*(x-te)/(tf-te),TRUE,100)))</f>
        <v>0</v>
      </c>
      <c r="S16" s="35">
        <f>IF(Inputs!S16="","",LET(d,Rulebook!$L16,x,Inputs!S16*d,ta,Rulebook!$G16*d,tb,Rulebook!$H16*d,tc,Rulebook!$I16*d,te,Rulebook!$J16*d,tf,Rulebook!$K16*d,IFS(x&lt;=ta,0,x&lt;=tb,25*(x-ta)/(tb-ta),x&lt;=tc,25+25*(x-tb)/(tc-tb),x&lt;=te,50+25*(x-tc)/(te-tc),x&lt;tf,75+25*(x-te)/(tf-te),TRUE,100)))</f>
        <v>60</v>
      </c>
      <c r="T16" s="35">
        <f>IF(Inputs!T16="","",LET(d,Rulebook!$L16,x,Inputs!T16*d,ta,Rulebook!$G16*d,tb,Rulebook!$H16*d,tc,Rulebook!$I16*d,te,Rulebook!$J16*d,tf,Rulebook!$K16*d,IFS(x&lt;=ta,0,x&lt;=tb,25*(x-ta)/(tb-ta),x&lt;=tc,25+25*(x-tb)/(tc-tb),x&lt;=te,50+25*(x-tc)/(te-tc),x&lt;tf,75+25*(x-te)/(tf-te),TRUE,100)))</f>
        <v>16.66666667</v>
      </c>
      <c r="U16" s="35">
        <f>IF(Inputs!U16="","",LET(d,Rulebook!$L16,x,Inputs!U16*d,ta,Rulebook!$G16*d,tb,Rulebook!$H16*d,tc,Rulebook!$I16*d,te,Rulebook!$J16*d,tf,Rulebook!$K16*d,IFS(x&lt;=ta,0,x&lt;=tb,25*(x-ta)/(tb-ta),x&lt;=tc,25+25*(x-tb)/(tc-tb),x&lt;=te,50+25*(x-tc)/(te-tc),x&lt;tf,75+25*(x-te)/(tf-te),TRUE,100)))</f>
        <v>25</v>
      </c>
      <c r="V16" s="35">
        <f>IF(Inputs!V16="","",LET(d,Rulebook!$L16,x,Inputs!V16*d,ta,Rulebook!$G16*d,tb,Rulebook!$H16*d,tc,Rulebook!$I16*d,te,Rulebook!$J16*d,tf,Rulebook!$K16*d,IFS(x&lt;=ta,0,x&lt;=tb,25*(x-ta)/(tb-ta),x&lt;=tc,25+25*(x-tb)/(tc-tb),x&lt;=te,50+25*(x-tc)/(te-tc),x&lt;tf,75+25*(x-te)/(tf-te),TRUE,100)))</f>
        <v>0</v>
      </c>
    </row>
    <row r="17">
      <c r="A17" s="26" t="s">
        <v>340</v>
      </c>
      <c r="B17" s="26">
        <v>2.0</v>
      </c>
      <c r="C17" s="26" t="s">
        <v>342</v>
      </c>
      <c r="D17" s="26" t="s">
        <v>344</v>
      </c>
      <c r="E17" s="35">
        <f>IF(Inputs!E17="","",LET(d,Rulebook!$L17,x,Inputs!E17*d,ta,Rulebook!$G17*d,tb,Rulebook!$H17*d,tc,Rulebook!$I17*d,te,Rulebook!$J17*d,tf,Rulebook!$K17*d,IFS(x&lt;=ta,0,x&lt;=tb,25*(x-ta)/(tb-ta),x&lt;=tc,25+25*(x-tb)/(tc-tb),x&lt;=te,50+25*(x-tc)/(te-tc),x&lt;tf,75+25*(x-te)/(tf-te),TRUE,100)))</f>
        <v>0</v>
      </c>
      <c r="F17" s="35">
        <f>IF(Inputs!F17="","",LET(d,Rulebook!$L17,x,Inputs!F17*d,ta,Rulebook!$G17*d,tb,Rulebook!$H17*d,tc,Rulebook!$I17*d,te,Rulebook!$J17*d,tf,Rulebook!$K17*d,IFS(x&lt;=ta,0,x&lt;=tb,25*(x-ta)/(tb-ta),x&lt;=tc,25+25*(x-tb)/(tc-tb),x&lt;=te,50+25*(x-tc)/(te-tc),x&lt;tf,75+25*(x-te)/(tf-te),TRUE,100)))</f>
        <v>16.66666667</v>
      </c>
      <c r="G17" s="35">
        <f>IF(Inputs!G17="","",LET(d,Rulebook!$L17,x,Inputs!G17*d,ta,Rulebook!$G17*d,tb,Rulebook!$H17*d,tc,Rulebook!$I17*d,te,Rulebook!$J17*d,tf,Rulebook!$K17*d,IFS(x&lt;=ta,0,x&lt;=tb,25*(x-ta)/(tb-ta),x&lt;=tc,25+25*(x-tb)/(tc-tb),x&lt;=te,50+25*(x-tc)/(te-tc),x&lt;tf,75+25*(x-te)/(tf-te),TRUE,100)))</f>
        <v>0</v>
      </c>
      <c r="H17" s="35">
        <f>IF(Inputs!H17="","",LET(d,Rulebook!$L17,x,Inputs!H17*d,ta,Rulebook!$G17*d,tb,Rulebook!$H17*d,tc,Rulebook!$I17*d,te,Rulebook!$J17*d,tf,Rulebook!$K17*d,IFS(x&lt;=ta,0,x&lt;=tb,25*(x-ta)/(tb-ta),x&lt;=tc,25+25*(x-tb)/(tc-tb),x&lt;=te,50+25*(x-tc)/(te-tc),x&lt;tf,75+25*(x-te)/(tf-te),TRUE,100)))</f>
        <v>0</v>
      </c>
      <c r="I17" s="35">
        <f>IF(Inputs!I17="","",LET(d,Rulebook!$L17,x,Inputs!I17*d,ta,Rulebook!$G17*d,tb,Rulebook!$H17*d,tc,Rulebook!$I17*d,te,Rulebook!$J17*d,tf,Rulebook!$K17*d,IFS(x&lt;=ta,0,x&lt;=tb,25*(x-ta)/(tb-ta),x&lt;=tc,25+25*(x-tb)/(tc-tb),x&lt;=te,50+25*(x-tc)/(te-tc),x&lt;tf,75+25*(x-te)/(tf-te),TRUE,100)))</f>
        <v>41.66666667</v>
      </c>
      <c r="J17" s="35">
        <f>IF(Inputs!J17="","",LET(d,Rulebook!$L17,x,Inputs!J17*d,ta,Rulebook!$G17*d,tb,Rulebook!$H17*d,tc,Rulebook!$I17*d,te,Rulebook!$J17*d,tf,Rulebook!$K17*d,IFS(x&lt;=ta,0,x&lt;=tb,25*(x-ta)/(tb-ta),x&lt;=tc,25+25*(x-tb)/(tc-tb),x&lt;=te,50+25*(x-tc)/(te-tc),x&lt;tf,75+25*(x-te)/(tf-te),TRUE,100)))</f>
        <v>0</v>
      </c>
      <c r="K17" s="35">
        <f>IF(Inputs!K17="","",LET(d,Rulebook!$L17,x,Inputs!K17*d,ta,Rulebook!$G17*d,tb,Rulebook!$H17*d,tc,Rulebook!$I17*d,te,Rulebook!$J17*d,tf,Rulebook!$K17*d,IFS(x&lt;=ta,0,x&lt;=tb,25*(x-ta)/(tb-ta),x&lt;=tc,25+25*(x-tb)/(tc-tb),x&lt;=te,50+25*(x-tc)/(te-tc),x&lt;tf,75+25*(x-te)/(tf-te),TRUE,100)))</f>
        <v>0</v>
      </c>
      <c r="L17" s="35">
        <f>IF(Inputs!L17="","",LET(d,Rulebook!$L17,x,Inputs!L17*d,ta,Rulebook!$G17*d,tb,Rulebook!$H17*d,tc,Rulebook!$I17*d,te,Rulebook!$J17*d,tf,Rulebook!$K17*d,IFS(x&lt;=ta,0,x&lt;=tb,25*(x-ta)/(tb-ta),x&lt;=tc,25+25*(x-tb)/(tc-tb),x&lt;=te,50+25*(x-tc)/(te-tc),x&lt;tf,75+25*(x-te)/(tf-te),TRUE,100)))</f>
        <v>0</v>
      </c>
      <c r="M17" s="35">
        <f>IF(Inputs!M17="","",LET(d,Rulebook!$L17,x,Inputs!M17*d,ta,Rulebook!$G17*d,tb,Rulebook!$H17*d,tc,Rulebook!$I17*d,te,Rulebook!$J17*d,tf,Rulebook!$K17*d,IFS(x&lt;=ta,0,x&lt;=tb,25*(x-ta)/(tb-ta),x&lt;=tc,25+25*(x-tb)/(tc-tb),x&lt;=te,50+25*(x-tc)/(te-tc),x&lt;tf,75+25*(x-te)/(tf-te),TRUE,100)))</f>
        <v>3.333333333</v>
      </c>
      <c r="N17" s="35">
        <f>IF(Inputs!N17="","",LET(d,Rulebook!$L17,x,Inputs!N17*d,ta,Rulebook!$G17*d,tb,Rulebook!$H17*d,tc,Rulebook!$I17*d,te,Rulebook!$J17*d,tf,Rulebook!$K17*d,IFS(x&lt;=ta,0,x&lt;=tb,25*(x-ta)/(tb-ta),x&lt;=tc,25+25*(x-tb)/(tc-tb),x&lt;=te,50+25*(x-tc)/(te-tc),x&lt;tf,75+25*(x-te)/(tf-te),TRUE,100)))</f>
        <v>0</v>
      </c>
      <c r="O17" s="35">
        <f>IF(Inputs!O17="","",LET(d,Rulebook!$L17,x,Inputs!O17*d,ta,Rulebook!$G17*d,tb,Rulebook!$H17*d,tc,Rulebook!$I17*d,te,Rulebook!$J17*d,tf,Rulebook!$K17*d,IFS(x&lt;=ta,0,x&lt;=tb,25*(x-ta)/(tb-ta),x&lt;=tc,25+25*(x-tb)/(tc-tb),x&lt;=te,50+25*(x-tc)/(te-tc),x&lt;tf,75+25*(x-te)/(tf-te),TRUE,100)))</f>
        <v>0</v>
      </c>
      <c r="P17" s="35">
        <f>IF(Inputs!P17="","",LET(d,Rulebook!$L17,x,Inputs!P17*d,ta,Rulebook!$G17*d,tb,Rulebook!$H17*d,tc,Rulebook!$I17*d,te,Rulebook!$J17*d,tf,Rulebook!$K17*d,IFS(x&lt;=ta,0,x&lt;=tb,25*(x-ta)/(tb-ta),x&lt;=tc,25+25*(x-tb)/(tc-tb),x&lt;=te,50+25*(x-tc)/(te-tc),x&lt;tf,75+25*(x-te)/(tf-te),TRUE,100)))</f>
        <v>41.66666667</v>
      </c>
      <c r="Q17" s="35">
        <f>IF(Inputs!Q17="","",LET(d,Rulebook!$L17,x,Inputs!Q17*d,ta,Rulebook!$G17*d,tb,Rulebook!$H17*d,tc,Rulebook!$I17*d,te,Rulebook!$J17*d,tf,Rulebook!$K17*d,IFS(x&lt;=ta,0,x&lt;=tb,25*(x-ta)/(tb-ta),x&lt;=tc,25+25*(x-tb)/(tc-tb),x&lt;=te,50+25*(x-tc)/(te-tc),x&lt;tf,75+25*(x-te)/(tf-te),TRUE,100)))</f>
        <v>0</v>
      </c>
      <c r="R17" s="35">
        <f>IF(Inputs!R17="","",LET(d,Rulebook!$L17,x,Inputs!R17*d,ta,Rulebook!$G17*d,tb,Rulebook!$H17*d,tc,Rulebook!$I17*d,te,Rulebook!$J17*d,tf,Rulebook!$K17*d,IFS(x&lt;=ta,0,x&lt;=tb,25*(x-ta)/(tb-ta),x&lt;=tc,25+25*(x-tb)/(tc-tb),x&lt;=te,50+25*(x-tc)/(te-tc),x&lt;tf,75+25*(x-te)/(tf-te),TRUE,100)))</f>
        <v>83.33333333</v>
      </c>
      <c r="S17" s="35">
        <f>IF(Inputs!S17="","",LET(d,Rulebook!$L17,x,Inputs!S17*d,ta,Rulebook!$G17*d,tb,Rulebook!$H17*d,tc,Rulebook!$I17*d,te,Rulebook!$J17*d,tf,Rulebook!$K17*d,IFS(x&lt;=ta,0,x&lt;=tb,25*(x-ta)/(tb-ta),x&lt;=tc,25+25*(x-tb)/(tc-tb),x&lt;=te,50+25*(x-tc)/(te-tc),x&lt;tf,75+25*(x-te)/(tf-te),TRUE,100)))</f>
        <v>50</v>
      </c>
      <c r="T17" s="35">
        <f>IF(Inputs!T17="","",LET(d,Rulebook!$L17,x,Inputs!T17*d,ta,Rulebook!$G17*d,tb,Rulebook!$H17*d,tc,Rulebook!$I17*d,te,Rulebook!$J17*d,tf,Rulebook!$K17*d,IFS(x&lt;=ta,0,x&lt;=tb,25*(x-ta)/(tb-ta),x&lt;=tc,25+25*(x-tb)/(tc-tb),x&lt;=te,50+25*(x-tc)/(te-tc),x&lt;tf,75+25*(x-te)/(tf-te),TRUE,100)))</f>
        <v>0</v>
      </c>
      <c r="U17" s="35">
        <f>IF(Inputs!U17="","",LET(d,Rulebook!$L17,x,Inputs!U17*d,ta,Rulebook!$G17*d,tb,Rulebook!$H17*d,tc,Rulebook!$I17*d,te,Rulebook!$J17*d,tf,Rulebook!$K17*d,IFS(x&lt;=ta,0,x&lt;=tb,25*(x-ta)/(tb-ta),x&lt;=tc,25+25*(x-tb)/(tc-tb),x&lt;=te,50+25*(x-tc)/(te-tc),x&lt;tf,75+25*(x-te)/(tf-te),TRUE,100)))</f>
        <v>50</v>
      </c>
      <c r="V17" s="35">
        <f>IF(Inputs!V17="","",LET(d,Rulebook!$L17,x,Inputs!V17*d,ta,Rulebook!$G17*d,tb,Rulebook!$H17*d,tc,Rulebook!$I17*d,te,Rulebook!$J17*d,tf,Rulebook!$K17*d,IFS(x&lt;=ta,0,x&lt;=tb,25*(x-ta)/(tb-ta),x&lt;=tc,25+25*(x-tb)/(tc-tb),x&lt;=te,50+25*(x-tc)/(te-tc),x&lt;tf,75+25*(x-te)/(tf-te),TRUE,100)))</f>
        <v>100</v>
      </c>
    </row>
    <row r="18">
      <c r="A18" s="26" t="s">
        <v>358</v>
      </c>
      <c r="B18" s="26">
        <v>2.0</v>
      </c>
      <c r="C18" s="26" t="s">
        <v>361</v>
      </c>
      <c r="D18" s="26" t="s">
        <v>254</v>
      </c>
      <c r="E18" s="35">
        <f>IF(Inputs!E18="","",LET(d,Rulebook!$L18,x,Inputs!E18*d,ta,Rulebook!$G18*d,tb,Rulebook!$H18*d,tc,Rulebook!$I18*d,te,Rulebook!$J18*d,tf,Rulebook!$K18*d,IFS(x&lt;=ta,0,x&lt;=tb,25*(x-ta)/(tb-ta),x&lt;=tc,25+25*(x-tb)/(tc-tb),x&lt;=te,50+25*(x-tc)/(te-tc),x&lt;tf,75+25*(x-te)/(tf-te),TRUE,100)))</f>
        <v>50</v>
      </c>
      <c r="F18" s="35">
        <f>IF(Inputs!F18="","",LET(d,Rulebook!$L18,x,Inputs!F18*d,ta,Rulebook!$G18*d,tb,Rulebook!$H18*d,tc,Rulebook!$I18*d,te,Rulebook!$J18*d,tf,Rulebook!$K18*d,IFS(x&lt;=ta,0,x&lt;=tb,25*(x-ta)/(tb-ta),x&lt;=tc,25+25*(x-tb)/(tc-tb),x&lt;=te,50+25*(x-tc)/(te-tc),x&lt;tf,75+25*(x-te)/(tf-te),TRUE,100)))</f>
        <v>25</v>
      </c>
      <c r="G18" s="35">
        <f>IF(Inputs!G18="","",LET(d,Rulebook!$L18,x,Inputs!G18*d,ta,Rulebook!$G18*d,tb,Rulebook!$H18*d,tc,Rulebook!$I18*d,te,Rulebook!$J18*d,tf,Rulebook!$K18*d,IFS(x&lt;=ta,0,x&lt;=tb,25*(x-ta)/(tb-ta),x&lt;=tc,25+25*(x-tb)/(tc-tb),x&lt;=te,50+25*(x-tc)/(te-tc),x&lt;tf,75+25*(x-te)/(tf-te),TRUE,100)))</f>
        <v>75</v>
      </c>
      <c r="H18" s="35">
        <f>IF(Inputs!H18="","",LET(d,Rulebook!$L18,x,Inputs!H18*d,ta,Rulebook!$G18*d,tb,Rulebook!$H18*d,tc,Rulebook!$I18*d,te,Rulebook!$J18*d,tf,Rulebook!$K18*d,IFS(x&lt;=ta,0,x&lt;=tb,25*(x-ta)/(tb-ta),x&lt;=tc,25+25*(x-tb)/(tc-tb),x&lt;=te,50+25*(x-tc)/(te-tc),x&lt;tf,75+25*(x-te)/(tf-te),TRUE,100)))</f>
        <v>25</v>
      </c>
      <c r="I18" s="35">
        <f>IF(Inputs!I18="","",LET(d,Rulebook!$L18,x,Inputs!I18*d,ta,Rulebook!$G18*d,tb,Rulebook!$H18*d,tc,Rulebook!$I18*d,te,Rulebook!$J18*d,tf,Rulebook!$K18*d,IFS(x&lt;=ta,0,x&lt;=tb,25*(x-ta)/(tb-ta),x&lt;=tc,25+25*(x-tb)/(tc-tb),x&lt;=te,50+25*(x-tc)/(te-tc),x&lt;tf,75+25*(x-te)/(tf-te),TRUE,100)))</f>
        <v>25</v>
      </c>
      <c r="J18" s="35">
        <f>IF(Inputs!J18="","",LET(d,Rulebook!$L18,x,Inputs!J18*d,ta,Rulebook!$G18*d,tb,Rulebook!$H18*d,tc,Rulebook!$I18*d,te,Rulebook!$J18*d,tf,Rulebook!$K18*d,IFS(x&lt;=ta,0,x&lt;=tb,25*(x-ta)/(tb-ta),x&lt;=tc,25+25*(x-tb)/(tc-tb),x&lt;=te,50+25*(x-tc)/(te-tc),x&lt;tf,75+25*(x-te)/(tf-te),TRUE,100)))</f>
        <v>0</v>
      </c>
      <c r="K18" s="35">
        <f>IF(Inputs!K18="","",LET(d,Rulebook!$L18,x,Inputs!K18*d,ta,Rulebook!$G18*d,tb,Rulebook!$H18*d,tc,Rulebook!$I18*d,te,Rulebook!$J18*d,tf,Rulebook!$K18*d,IFS(x&lt;=ta,0,x&lt;=tb,25*(x-ta)/(tb-ta),x&lt;=tc,25+25*(x-tb)/(tc-tb),x&lt;=te,50+25*(x-tc)/(te-tc),x&lt;tf,75+25*(x-te)/(tf-te),TRUE,100)))</f>
        <v>0</v>
      </c>
      <c r="L18" s="35">
        <f>IF(Inputs!L18="","",LET(d,Rulebook!$L18,x,Inputs!L18*d,ta,Rulebook!$G18*d,tb,Rulebook!$H18*d,tc,Rulebook!$I18*d,te,Rulebook!$J18*d,tf,Rulebook!$K18*d,IFS(x&lt;=ta,0,x&lt;=tb,25*(x-ta)/(tb-ta),x&lt;=tc,25+25*(x-tb)/(tc-tb),x&lt;=te,50+25*(x-tc)/(te-tc),x&lt;tf,75+25*(x-te)/(tf-te),TRUE,100)))</f>
        <v>25</v>
      </c>
      <c r="M18" s="35">
        <f>IF(Inputs!M18="","",LET(d,Rulebook!$L18,x,Inputs!M18*d,ta,Rulebook!$G18*d,tb,Rulebook!$H18*d,tc,Rulebook!$I18*d,te,Rulebook!$J18*d,tf,Rulebook!$K18*d,IFS(x&lt;=ta,0,x&lt;=tb,25*(x-ta)/(tb-ta),x&lt;=tc,25+25*(x-tb)/(tc-tb),x&lt;=te,50+25*(x-tc)/(te-tc),x&lt;tf,75+25*(x-te)/(tf-te),TRUE,100)))</f>
        <v>50</v>
      </c>
      <c r="N18" s="35">
        <f>IF(Inputs!N18="","",LET(d,Rulebook!$L18,x,Inputs!N18*d,ta,Rulebook!$G18*d,tb,Rulebook!$H18*d,tc,Rulebook!$I18*d,te,Rulebook!$J18*d,tf,Rulebook!$K18*d,IFS(x&lt;=ta,0,x&lt;=tb,25*(x-ta)/(tb-ta),x&lt;=tc,25+25*(x-tb)/(tc-tb),x&lt;=te,50+25*(x-tc)/(te-tc),x&lt;tf,75+25*(x-te)/(tf-te),TRUE,100)))</f>
        <v>75</v>
      </c>
      <c r="O18" s="35">
        <f>IF(Inputs!O18="","",LET(d,Rulebook!$L18,x,Inputs!O18*d,ta,Rulebook!$G18*d,tb,Rulebook!$H18*d,tc,Rulebook!$I18*d,te,Rulebook!$J18*d,tf,Rulebook!$K18*d,IFS(x&lt;=ta,0,x&lt;=tb,25*(x-ta)/(tb-ta),x&lt;=tc,25+25*(x-tb)/(tc-tb),x&lt;=te,50+25*(x-tc)/(te-tc),x&lt;tf,75+25*(x-te)/(tf-te),TRUE,100)))</f>
        <v>0</v>
      </c>
      <c r="P18" s="35">
        <f>IF(Inputs!P18="","",LET(d,Rulebook!$L18,x,Inputs!P18*d,ta,Rulebook!$G18*d,tb,Rulebook!$H18*d,tc,Rulebook!$I18*d,te,Rulebook!$J18*d,tf,Rulebook!$K18*d,IFS(x&lt;=ta,0,x&lt;=tb,25*(x-ta)/(tb-ta),x&lt;=tc,25+25*(x-tb)/(tc-tb),x&lt;=te,50+25*(x-tc)/(te-tc),x&lt;tf,75+25*(x-te)/(tf-te),TRUE,100)))</f>
        <v>75</v>
      </c>
      <c r="Q18" s="35">
        <f>IF(Inputs!Q18="","",LET(d,Rulebook!$L18,x,Inputs!Q18*d,ta,Rulebook!$G18*d,tb,Rulebook!$H18*d,tc,Rulebook!$I18*d,te,Rulebook!$J18*d,tf,Rulebook!$K18*d,IFS(x&lt;=ta,0,x&lt;=tb,25*(x-ta)/(tb-ta),x&lt;=tc,25+25*(x-tb)/(tc-tb),x&lt;=te,50+25*(x-tc)/(te-tc),x&lt;tf,75+25*(x-te)/(tf-te),TRUE,100)))</f>
        <v>0</v>
      </c>
      <c r="R18" s="35">
        <f>IF(Inputs!R18="","",LET(d,Rulebook!$L18,x,Inputs!R18*d,ta,Rulebook!$G18*d,tb,Rulebook!$H18*d,tc,Rulebook!$I18*d,te,Rulebook!$J18*d,tf,Rulebook!$K18*d,IFS(x&lt;=ta,0,x&lt;=tb,25*(x-ta)/(tb-ta),x&lt;=tc,25+25*(x-tb)/(tc-tb),x&lt;=te,50+25*(x-tc)/(te-tc),x&lt;tf,75+25*(x-te)/(tf-te),TRUE,100)))</f>
        <v>100</v>
      </c>
      <c r="S18" s="35">
        <f>IF(Inputs!S18="","",LET(d,Rulebook!$L18,x,Inputs!S18*d,ta,Rulebook!$G18*d,tb,Rulebook!$H18*d,tc,Rulebook!$I18*d,te,Rulebook!$J18*d,tf,Rulebook!$K18*d,IFS(x&lt;=ta,0,x&lt;=tb,25*(x-ta)/(tb-ta),x&lt;=tc,25+25*(x-tb)/(tc-tb),x&lt;=te,50+25*(x-tc)/(te-tc),x&lt;tf,75+25*(x-te)/(tf-te),TRUE,100)))</f>
        <v>50</v>
      </c>
      <c r="T18" s="35">
        <f>IF(Inputs!T18="","",LET(d,Rulebook!$L18,x,Inputs!T18*d,ta,Rulebook!$G18*d,tb,Rulebook!$H18*d,tc,Rulebook!$I18*d,te,Rulebook!$J18*d,tf,Rulebook!$K18*d,IFS(x&lt;=ta,0,x&lt;=tb,25*(x-ta)/(tb-ta),x&lt;=tc,25+25*(x-tb)/(tc-tb),x&lt;=te,50+25*(x-tc)/(te-tc),x&lt;tf,75+25*(x-te)/(tf-te),TRUE,100)))</f>
        <v>50</v>
      </c>
      <c r="U18" s="35">
        <f>IF(Inputs!U18="","",LET(d,Rulebook!$L18,x,Inputs!U18*d,ta,Rulebook!$G18*d,tb,Rulebook!$H18*d,tc,Rulebook!$I18*d,te,Rulebook!$J18*d,tf,Rulebook!$K18*d,IFS(x&lt;=ta,0,x&lt;=tb,25*(x-ta)/(tb-ta),x&lt;=tc,25+25*(x-tb)/(tc-tb),x&lt;=te,50+25*(x-tc)/(te-tc),x&lt;tf,75+25*(x-te)/(tf-te),TRUE,100)))</f>
        <v>0</v>
      </c>
      <c r="V18" s="35">
        <f>IF(Inputs!V18="","",LET(d,Rulebook!$L18,x,Inputs!V18*d,ta,Rulebook!$G18*d,tb,Rulebook!$H18*d,tc,Rulebook!$I18*d,te,Rulebook!$J18*d,tf,Rulebook!$K18*d,IFS(x&lt;=ta,0,x&lt;=tb,25*(x-ta)/(tb-ta),x&lt;=tc,25+25*(x-tb)/(tc-tb),x&lt;=te,50+25*(x-tc)/(te-tc),x&lt;tf,75+25*(x-te)/(tf-te),TRUE,100)))</f>
        <v>100</v>
      </c>
    </row>
    <row r="19">
      <c r="A19" s="26" t="s">
        <v>377</v>
      </c>
      <c r="B19" s="26">
        <v>2.0</v>
      </c>
      <c r="C19" s="26" t="s">
        <v>380</v>
      </c>
      <c r="D19" s="26" t="s">
        <v>254</v>
      </c>
      <c r="E19" s="35">
        <f>IF(Inputs!E19="","",LET(d,Rulebook!$L19,x,Inputs!E19*d,ta,Rulebook!$G19*d,tb,Rulebook!$H19*d,tc,Rulebook!$I19*d,te,Rulebook!$J19*d,tf,Rulebook!$K19*d,IFS(x&lt;=ta,0,x&lt;=tb,25*(x-ta)/(tb-ta),x&lt;=tc,25+25*(x-tb)/(tc-tb),x&lt;=te,50+25*(x-tc)/(te-tc),x&lt;tf,75+25*(x-te)/(tf-te),TRUE,100)))</f>
        <v>50</v>
      </c>
      <c r="F19" s="35">
        <f>IF(Inputs!F19="","",LET(d,Rulebook!$L19,x,Inputs!F19*d,ta,Rulebook!$G19*d,tb,Rulebook!$H19*d,tc,Rulebook!$I19*d,te,Rulebook!$J19*d,tf,Rulebook!$K19*d,IFS(x&lt;=ta,0,x&lt;=tb,25*(x-ta)/(tb-ta),x&lt;=tc,25+25*(x-tb)/(tc-tb),x&lt;=te,50+25*(x-tc)/(te-tc),x&lt;tf,75+25*(x-te)/(tf-te),TRUE,100)))</f>
        <v>50</v>
      </c>
      <c r="G19" s="35">
        <f>IF(Inputs!G19="","",LET(d,Rulebook!$L19,x,Inputs!G19*d,ta,Rulebook!$G19*d,tb,Rulebook!$H19*d,tc,Rulebook!$I19*d,te,Rulebook!$J19*d,tf,Rulebook!$K19*d,IFS(x&lt;=ta,0,x&lt;=tb,25*(x-ta)/(tb-ta),x&lt;=tc,25+25*(x-tb)/(tc-tb),x&lt;=te,50+25*(x-tc)/(te-tc),x&lt;tf,75+25*(x-te)/(tf-te),TRUE,100)))</f>
        <v>0</v>
      </c>
      <c r="H19" s="35">
        <f>IF(Inputs!H19="","",LET(d,Rulebook!$L19,x,Inputs!H19*d,ta,Rulebook!$G19*d,tb,Rulebook!$H19*d,tc,Rulebook!$I19*d,te,Rulebook!$J19*d,tf,Rulebook!$K19*d,IFS(x&lt;=ta,0,x&lt;=tb,25*(x-ta)/(tb-ta),x&lt;=tc,25+25*(x-tb)/(tc-tb),x&lt;=te,50+25*(x-tc)/(te-tc),x&lt;tf,75+25*(x-te)/(tf-te),TRUE,100)))</f>
        <v>50</v>
      </c>
      <c r="I19" s="35">
        <f>IF(Inputs!I19="","",LET(d,Rulebook!$L19,x,Inputs!I19*d,ta,Rulebook!$G19*d,tb,Rulebook!$H19*d,tc,Rulebook!$I19*d,te,Rulebook!$J19*d,tf,Rulebook!$K19*d,IFS(x&lt;=ta,0,x&lt;=tb,25*(x-ta)/(tb-ta),x&lt;=tc,25+25*(x-tb)/(tc-tb),x&lt;=te,50+25*(x-tc)/(te-tc),x&lt;tf,75+25*(x-te)/(tf-te),TRUE,100)))</f>
        <v>0</v>
      </c>
      <c r="J19" s="35">
        <f>IF(Inputs!J19="","",LET(d,Rulebook!$L19,x,Inputs!J19*d,ta,Rulebook!$G19*d,tb,Rulebook!$H19*d,tc,Rulebook!$I19*d,te,Rulebook!$J19*d,tf,Rulebook!$K19*d,IFS(x&lt;=ta,0,x&lt;=tb,25*(x-ta)/(tb-ta),x&lt;=tc,25+25*(x-tb)/(tc-tb),x&lt;=te,50+25*(x-tc)/(te-tc),x&lt;tf,75+25*(x-te)/(tf-te),TRUE,100)))</f>
        <v>0</v>
      </c>
      <c r="K19" s="35">
        <f>IF(Inputs!K19="","",LET(d,Rulebook!$L19,x,Inputs!K19*d,ta,Rulebook!$G19*d,tb,Rulebook!$H19*d,tc,Rulebook!$I19*d,te,Rulebook!$J19*d,tf,Rulebook!$K19*d,IFS(x&lt;=ta,0,x&lt;=tb,25*(x-ta)/(tb-ta),x&lt;=tc,25+25*(x-tb)/(tc-tb),x&lt;=te,50+25*(x-tc)/(te-tc),x&lt;tf,75+25*(x-te)/(tf-te),TRUE,100)))</f>
        <v>25</v>
      </c>
      <c r="L19" s="35">
        <f>IF(Inputs!L19="","",LET(d,Rulebook!$L19,x,Inputs!L19*d,ta,Rulebook!$G19*d,tb,Rulebook!$H19*d,tc,Rulebook!$I19*d,te,Rulebook!$J19*d,tf,Rulebook!$K19*d,IFS(x&lt;=ta,0,x&lt;=tb,25*(x-ta)/(tb-ta),x&lt;=tc,25+25*(x-tb)/(tc-tb),x&lt;=te,50+25*(x-tc)/(te-tc),x&lt;tf,75+25*(x-te)/(tf-te),TRUE,100)))</f>
        <v>25</v>
      </c>
      <c r="M19" s="35">
        <f>IF(Inputs!M19="","",LET(d,Rulebook!$L19,x,Inputs!M19*d,ta,Rulebook!$G19*d,tb,Rulebook!$H19*d,tc,Rulebook!$I19*d,te,Rulebook!$J19*d,tf,Rulebook!$K19*d,IFS(x&lt;=ta,0,x&lt;=tb,25*(x-ta)/(tb-ta),x&lt;=tc,25+25*(x-tb)/(tc-tb),x&lt;=te,50+25*(x-tc)/(te-tc),x&lt;tf,75+25*(x-te)/(tf-te),TRUE,100)))</f>
        <v>75</v>
      </c>
      <c r="N19" s="35">
        <f>IF(Inputs!N19="","",LET(d,Rulebook!$L19,x,Inputs!N19*d,ta,Rulebook!$G19*d,tb,Rulebook!$H19*d,tc,Rulebook!$I19*d,te,Rulebook!$J19*d,tf,Rulebook!$K19*d,IFS(x&lt;=ta,0,x&lt;=tb,25*(x-ta)/(tb-ta),x&lt;=tc,25+25*(x-tb)/(tc-tb),x&lt;=te,50+25*(x-tc)/(te-tc),x&lt;tf,75+25*(x-te)/(tf-te),TRUE,100)))</f>
        <v>50</v>
      </c>
      <c r="O19" s="35">
        <f>IF(Inputs!O19="","",LET(d,Rulebook!$L19,x,Inputs!O19*d,ta,Rulebook!$G19*d,tb,Rulebook!$H19*d,tc,Rulebook!$I19*d,te,Rulebook!$J19*d,tf,Rulebook!$K19*d,IFS(x&lt;=ta,0,x&lt;=tb,25*(x-ta)/(tb-ta),x&lt;=tc,25+25*(x-tb)/(tc-tb),x&lt;=te,50+25*(x-tc)/(te-tc),x&lt;tf,75+25*(x-te)/(tf-te),TRUE,100)))</f>
        <v>50</v>
      </c>
      <c r="P19" s="35">
        <f>IF(Inputs!P19="","",LET(d,Rulebook!$L19,x,Inputs!P19*d,ta,Rulebook!$G19*d,tb,Rulebook!$H19*d,tc,Rulebook!$I19*d,te,Rulebook!$J19*d,tf,Rulebook!$K19*d,IFS(x&lt;=ta,0,x&lt;=tb,25*(x-ta)/(tb-ta),x&lt;=tc,25+25*(x-tb)/(tc-tb),x&lt;=te,50+25*(x-tc)/(te-tc),x&lt;tf,75+25*(x-te)/(tf-te),TRUE,100)))</f>
        <v>75</v>
      </c>
      <c r="Q19" s="35">
        <f>IF(Inputs!Q19="","",LET(d,Rulebook!$L19,x,Inputs!Q19*d,ta,Rulebook!$G19*d,tb,Rulebook!$H19*d,tc,Rulebook!$I19*d,te,Rulebook!$J19*d,tf,Rulebook!$K19*d,IFS(x&lt;=ta,0,x&lt;=tb,25*(x-ta)/(tb-ta),x&lt;=tc,25+25*(x-tb)/(tc-tb),x&lt;=te,50+25*(x-tc)/(te-tc),x&lt;tf,75+25*(x-te)/(tf-te),TRUE,100)))</f>
        <v>50</v>
      </c>
      <c r="R19" s="35">
        <f>IF(Inputs!R19="","",LET(d,Rulebook!$L19,x,Inputs!R19*d,ta,Rulebook!$G19*d,tb,Rulebook!$H19*d,tc,Rulebook!$I19*d,te,Rulebook!$J19*d,tf,Rulebook!$K19*d,IFS(x&lt;=ta,0,x&lt;=tb,25*(x-ta)/(tb-ta),x&lt;=tc,25+25*(x-tb)/(tc-tb),x&lt;=te,50+25*(x-tc)/(te-tc),x&lt;tf,75+25*(x-te)/(tf-te),TRUE,100)))</f>
        <v>100</v>
      </c>
      <c r="S19" s="35">
        <f>IF(Inputs!S19="","",LET(d,Rulebook!$L19,x,Inputs!S19*d,ta,Rulebook!$G19*d,tb,Rulebook!$H19*d,tc,Rulebook!$I19*d,te,Rulebook!$J19*d,tf,Rulebook!$K19*d,IFS(x&lt;=ta,0,x&lt;=tb,25*(x-ta)/(tb-ta),x&lt;=tc,25+25*(x-tb)/(tc-tb),x&lt;=te,50+25*(x-tc)/(te-tc),x&lt;tf,75+25*(x-te)/(tf-te),TRUE,100)))</f>
        <v>50</v>
      </c>
      <c r="T19" s="35">
        <f>IF(Inputs!T19="","",LET(d,Rulebook!$L19,x,Inputs!T19*d,ta,Rulebook!$G19*d,tb,Rulebook!$H19*d,tc,Rulebook!$I19*d,te,Rulebook!$J19*d,tf,Rulebook!$K19*d,IFS(x&lt;=ta,0,x&lt;=tb,25*(x-ta)/(tb-ta),x&lt;=tc,25+25*(x-tb)/(tc-tb),x&lt;=te,50+25*(x-tc)/(te-tc),x&lt;tf,75+25*(x-te)/(tf-te),TRUE,100)))</f>
        <v>100</v>
      </c>
      <c r="U19" s="35">
        <f>IF(Inputs!U19="","",LET(d,Rulebook!$L19,x,Inputs!U19*d,ta,Rulebook!$G19*d,tb,Rulebook!$H19*d,tc,Rulebook!$I19*d,te,Rulebook!$J19*d,tf,Rulebook!$K19*d,IFS(x&lt;=ta,0,x&lt;=tb,25*(x-ta)/(tb-ta),x&lt;=tc,25+25*(x-tb)/(tc-tb),x&lt;=te,50+25*(x-tc)/(te-tc),x&lt;tf,75+25*(x-te)/(tf-te),TRUE,100)))</f>
        <v>25</v>
      </c>
      <c r="V19" s="35">
        <f>IF(Inputs!V19="","",LET(d,Rulebook!$L19,x,Inputs!V19*d,ta,Rulebook!$G19*d,tb,Rulebook!$H19*d,tc,Rulebook!$I19*d,te,Rulebook!$J19*d,tf,Rulebook!$K19*d,IFS(x&lt;=ta,0,x&lt;=tb,25*(x-ta)/(tb-ta),x&lt;=tc,25+25*(x-tb)/(tc-tb),x&lt;=te,50+25*(x-tc)/(te-tc),x&lt;tf,75+25*(x-te)/(tf-te),TRUE,100)))</f>
        <v>75</v>
      </c>
    </row>
    <row r="20">
      <c r="A20" s="26" t="s">
        <v>396</v>
      </c>
      <c r="B20" s="26">
        <v>2.0</v>
      </c>
      <c r="C20" s="26" t="s">
        <v>398</v>
      </c>
      <c r="D20" s="26" t="s">
        <v>254</v>
      </c>
      <c r="E20" s="35">
        <f>IF(Inputs!E20="","",LET(d,Rulebook!$L20,x,Inputs!E20*d,ta,Rulebook!$G20*d,tb,Rulebook!$H20*d,tc,Rulebook!$I20*d,te,Rulebook!$J20*d,tf,Rulebook!$K20*d,IFS(x&lt;=ta,0,x&lt;=tb,25*(x-ta)/(tb-ta),x&lt;=tc,25+25*(x-tb)/(tc-tb),x&lt;=te,50+25*(x-tc)/(te-tc),x&lt;tf,75+25*(x-te)/(tf-te),TRUE,100)))</f>
        <v>50</v>
      </c>
      <c r="F20" s="35">
        <f>IF(Inputs!F20="","",LET(d,Rulebook!$L20,x,Inputs!F20*d,ta,Rulebook!$G20*d,tb,Rulebook!$H20*d,tc,Rulebook!$I20*d,te,Rulebook!$J20*d,tf,Rulebook!$K20*d,IFS(x&lt;=ta,0,x&lt;=tb,25*(x-ta)/(tb-ta),x&lt;=tc,25+25*(x-tb)/(tc-tb),x&lt;=te,50+25*(x-tc)/(te-tc),x&lt;tf,75+25*(x-te)/(tf-te),TRUE,100)))</f>
        <v>0</v>
      </c>
      <c r="G20" s="35">
        <f>IF(Inputs!G20="","",LET(d,Rulebook!$L20,x,Inputs!G20*d,ta,Rulebook!$G20*d,tb,Rulebook!$H20*d,tc,Rulebook!$I20*d,te,Rulebook!$J20*d,tf,Rulebook!$K20*d,IFS(x&lt;=ta,0,x&lt;=tb,25*(x-ta)/(tb-ta),x&lt;=tc,25+25*(x-tb)/(tc-tb),x&lt;=te,50+25*(x-tc)/(te-tc),x&lt;tf,75+25*(x-te)/(tf-te),TRUE,100)))</f>
        <v>25</v>
      </c>
      <c r="H20" s="35">
        <f>IF(Inputs!H20="","",LET(d,Rulebook!$L20,x,Inputs!H20*d,ta,Rulebook!$G20*d,tb,Rulebook!$H20*d,tc,Rulebook!$I20*d,te,Rulebook!$J20*d,tf,Rulebook!$K20*d,IFS(x&lt;=ta,0,x&lt;=tb,25*(x-ta)/(tb-ta),x&lt;=tc,25+25*(x-tb)/(tc-tb),x&lt;=te,50+25*(x-tc)/(te-tc),x&lt;tf,75+25*(x-te)/(tf-te),TRUE,100)))</f>
        <v>0</v>
      </c>
      <c r="I20" s="35">
        <f>IF(Inputs!I20="","",LET(d,Rulebook!$L20,x,Inputs!I20*d,ta,Rulebook!$G20*d,tb,Rulebook!$H20*d,tc,Rulebook!$I20*d,te,Rulebook!$J20*d,tf,Rulebook!$K20*d,IFS(x&lt;=ta,0,x&lt;=tb,25*(x-ta)/(tb-ta),x&lt;=tc,25+25*(x-tb)/(tc-tb),x&lt;=te,50+25*(x-tc)/(te-tc),x&lt;tf,75+25*(x-te)/(tf-te),TRUE,100)))</f>
        <v>0</v>
      </c>
      <c r="J20" s="35">
        <f>IF(Inputs!J20="","",LET(d,Rulebook!$L20,x,Inputs!J20*d,ta,Rulebook!$G20*d,tb,Rulebook!$H20*d,tc,Rulebook!$I20*d,te,Rulebook!$J20*d,tf,Rulebook!$K20*d,IFS(x&lt;=ta,0,x&lt;=tb,25*(x-ta)/(tb-ta),x&lt;=tc,25+25*(x-tb)/(tc-tb),x&lt;=te,50+25*(x-tc)/(te-tc),x&lt;tf,75+25*(x-te)/(tf-te),TRUE,100)))</f>
        <v>0</v>
      </c>
      <c r="K20" s="35">
        <f>IF(Inputs!K20="","",LET(d,Rulebook!$L20,x,Inputs!K20*d,ta,Rulebook!$G20*d,tb,Rulebook!$H20*d,tc,Rulebook!$I20*d,te,Rulebook!$J20*d,tf,Rulebook!$K20*d,IFS(x&lt;=ta,0,x&lt;=tb,25*(x-ta)/(tb-ta),x&lt;=tc,25+25*(x-tb)/(tc-tb),x&lt;=te,50+25*(x-tc)/(te-tc),x&lt;tf,75+25*(x-te)/(tf-te),TRUE,100)))</f>
        <v>0</v>
      </c>
      <c r="L20" s="35">
        <f>IF(Inputs!L20="","",LET(d,Rulebook!$L20,x,Inputs!L20*d,ta,Rulebook!$G20*d,tb,Rulebook!$H20*d,tc,Rulebook!$I20*d,te,Rulebook!$J20*d,tf,Rulebook!$K20*d,IFS(x&lt;=ta,0,x&lt;=tb,25*(x-ta)/(tb-ta),x&lt;=tc,25+25*(x-tb)/(tc-tb),x&lt;=te,50+25*(x-tc)/(te-tc),x&lt;tf,75+25*(x-te)/(tf-te),TRUE,100)))</f>
        <v>0</v>
      </c>
      <c r="M20" s="35">
        <f>IF(Inputs!M20="","",LET(d,Rulebook!$L20,x,Inputs!M20*d,ta,Rulebook!$G20*d,tb,Rulebook!$H20*d,tc,Rulebook!$I20*d,te,Rulebook!$J20*d,tf,Rulebook!$K20*d,IFS(x&lt;=ta,0,x&lt;=tb,25*(x-ta)/(tb-ta),x&lt;=tc,25+25*(x-tb)/(tc-tb),x&lt;=te,50+25*(x-tc)/(te-tc),x&lt;tf,75+25*(x-te)/(tf-te),TRUE,100)))</f>
        <v>25</v>
      </c>
      <c r="N20" s="35">
        <f>IF(Inputs!N20="","",LET(d,Rulebook!$L20,x,Inputs!N20*d,ta,Rulebook!$G20*d,tb,Rulebook!$H20*d,tc,Rulebook!$I20*d,te,Rulebook!$J20*d,tf,Rulebook!$K20*d,IFS(x&lt;=ta,0,x&lt;=tb,25*(x-ta)/(tb-ta),x&lt;=tc,25+25*(x-tb)/(tc-tb),x&lt;=te,50+25*(x-tc)/(te-tc),x&lt;tf,75+25*(x-te)/(tf-te),TRUE,100)))</f>
        <v>25</v>
      </c>
      <c r="O20" s="35">
        <f>IF(Inputs!O20="","",LET(d,Rulebook!$L20,x,Inputs!O20*d,ta,Rulebook!$G20*d,tb,Rulebook!$H20*d,tc,Rulebook!$I20*d,te,Rulebook!$J20*d,tf,Rulebook!$K20*d,IFS(x&lt;=ta,0,x&lt;=tb,25*(x-ta)/(tb-ta),x&lt;=tc,25+25*(x-tb)/(tc-tb),x&lt;=te,50+25*(x-tc)/(te-tc),x&lt;tf,75+25*(x-te)/(tf-te),TRUE,100)))</f>
        <v>0</v>
      </c>
      <c r="P20" s="35">
        <f>IF(Inputs!P20="","",LET(d,Rulebook!$L20,x,Inputs!P20*d,ta,Rulebook!$G20*d,tb,Rulebook!$H20*d,tc,Rulebook!$I20*d,te,Rulebook!$J20*d,tf,Rulebook!$K20*d,IFS(x&lt;=ta,0,x&lt;=tb,25*(x-ta)/(tb-ta),x&lt;=tc,25+25*(x-tb)/(tc-tb),x&lt;=te,50+25*(x-tc)/(te-tc),x&lt;tf,75+25*(x-te)/(tf-te),TRUE,100)))</f>
        <v>0</v>
      </c>
      <c r="Q20" s="35">
        <f>IF(Inputs!Q20="","",LET(d,Rulebook!$L20,x,Inputs!Q20*d,ta,Rulebook!$G20*d,tb,Rulebook!$H20*d,tc,Rulebook!$I20*d,te,Rulebook!$J20*d,tf,Rulebook!$K20*d,IFS(x&lt;=ta,0,x&lt;=tb,25*(x-ta)/(tb-ta),x&lt;=tc,25+25*(x-tb)/(tc-tb),x&lt;=te,50+25*(x-tc)/(te-tc),x&lt;tf,75+25*(x-te)/(tf-te),TRUE,100)))</f>
        <v>0</v>
      </c>
      <c r="R20" s="35">
        <f>IF(Inputs!R20="","",LET(d,Rulebook!$L20,x,Inputs!R20*d,ta,Rulebook!$G20*d,tb,Rulebook!$H20*d,tc,Rulebook!$I20*d,te,Rulebook!$J20*d,tf,Rulebook!$K20*d,IFS(x&lt;=ta,0,x&lt;=tb,25*(x-ta)/(tb-ta),x&lt;=tc,25+25*(x-tb)/(tc-tb),x&lt;=te,50+25*(x-tc)/(te-tc),x&lt;tf,75+25*(x-te)/(tf-te),TRUE,100)))</f>
        <v>100</v>
      </c>
      <c r="S20" s="35">
        <f>IF(Inputs!S20="","",LET(d,Rulebook!$L20,x,Inputs!S20*d,ta,Rulebook!$G20*d,tb,Rulebook!$H20*d,tc,Rulebook!$I20*d,te,Rulebook!$J20*d,tf,Rulebook!$K20*d,IFS(x&lt;=ta,0,x&lt;=tb,25*(x-ta)/(tb-ta),x&lt;=tc,25+25*(x-tb)/(tc-tb),x&lt;=te,50+25*(x-tc)/(te-tc),x&lt;tf,75+25*(x-te)/(tf-te),TRUE,100)))</f>
        <v>25</v>
      </c>
      <c r="T20" s="35">
        <f>IF(Inputs!T20="","",LET(d,Rulebook!$L20,x,Inputs!T20*d,ta,Rulebook!$G20*d,tb,Rulebook!$H20*d,tc,Rulebook!$I20*d,te,Rulebook!$J20*d,tf,Rulebook!$K20*d,IFS(x&lt;=ta,0,x&lt;=tb,25*(x-ta)/(tb-ta),x&lt;=tc,25+25*(x-tb)/(tc-tb),x&lt;=te,50+25*(x-tc)/(te-tc),x&lt;tf,75+25*(x-te)/(tf-te),TRUE,100)))</f>
        <v>0</v>
      </c>
      <c r="U20" s="35">
        <f>IF(Inputs!U20="","",LET(d,Rulebook!$L20,x,Inputs!U20*d,ta,Rulebook!$G20*d,tb,Rulebook!$H20*d,tc,Rulebook!$I20*d,te,Rulebook!$J20*d,tf,Rulebook!$K20*d,IFS(x&lt;=ta,0,x&lt;=tb,25*(x-ta)/(tb-ta),x&lt;=tc,25+25*(x-tb)/(tc-tb),x&lt;=te,50+25*(x-tc)/(te-tc),x&lt;tf,75+25*(x-te)/(tf-te),TRUE,100)))</f>
        <v>25</v>
      </c>
      <c r="V20" s="35">
        <f>IF(Inputs!V20="","",LET(d,Rulebook!$L20,x,Inputs!V20*d,ta,Rulebook!$G20*d,tb,Rulebook!$H20*d,tc,Rulebook!$I20*d,te,Rulebook!$J20*d,tf,Rulebook!$K20*d,IFS(x&lt;=ta,0,x&lt;=tb,25*(x-ta)/(tb-ta),x&lt;=tc,25+25*(x-tb)/(tc-tb),x&lt;=te,50+25*(x-tc)/(te-tc),x&lt;tf,75+25*(x-te)/(tf-te),TRUE,100)))</f>
        <v>75</v>
      </c>
    </row>
    <row r="21">
      <c r="A21" s="26" t="s">
        <v>407</v>
      </c>
      <c r="B21" s="26">
        <v>2.0</v>
      </c>
      <c r="C21" s="26" t="s">
        <v>409</v>
      </c>
      <c r="D21" s="26" t="s">
        <v>37</v>
      </c>
      <c r="E21" s="35">
        <f>IF(Inputs!E21="","",LET(d,Rulebook!$L21,x,Inputs!E21*d,ta,Rulebook!$G21*d,tb,Rulebook!$H21*d,tc,Rulebook!$I21*d,te,Rulebook!$J21*d,tf,Rulebook!$K21*d,IFS(x&lt;=ta,0,x&lt;=tb,25*(x-ta)/(tb-ta),x&lt;=tc,25+25*(x-tb)/(tc-tb),x&lt;=te,50+25*(x-tc)/(te-tc),x&lt;tf,75+25*(x-te)/(tf-te),TRUE,100)))</f>
        <v>0</v>
      </c>
      <c r="F21" s="35">
        <f>IF(Inputs!F21="","",LET(d,Rulebook!$L21,x,Inputs!F21*d,ta,Rulebook!$G21*d,tb,Rulebook!$H21*d,tc,Rulebook!$I21*d,te,Rulebook!$J21*d,tf,Rulebook!$K21*d,IFS(x&lt;=ta,0,x&lt;=tb,25*(x-ta)/(tb-ta),x&lt;=tc,25+25*(x-tb)/(tc-tb),x&lt;=te,50+25*(x-tc)/(te-tc),x&lt;tf,75+25*(x-te)/(tf-te),TRUE,100)))</f>
        <v>43.75</v>
      </c>
      <c r="G21" s="35">
        <f>IF(Inputs!G21="","",LET(d,Rulebook!$L21,x,Inputs!G21*d,ta,Rulebook!$G21*d,tb,Rulebook!$H21*d,tc,Rulebook!$I21*d,te,Rulebook!$J21*d,tf,Rulebook!$K21*d,IFS(x&lt;=ta,0,x&lt;=tb,25*(x-ta)/(tb-ta),x&lt;=tc,25+25*(x-tb)/(tc-tb),x&lt;=te,50+25*(x-tc)/(te-tc),x&lt;tf,75+25*(x-te)/(tf-te),TRUE,100)))</f>
        <v>0</v>
      </c>
      <c r="H21" s="35">
        <f>IF(Inputs!H21="","",LET(d,Rulebook!$L21,x,Inputs!H21*d,ta,Rulebook!$G21*d,tb,Rulebook!$H21*d,tc,Rulebook!$I21*d,te,Rulebook!$J21*d,tf,Rulebook!$K21*d,IFS(x&lt;=ta,0,x&lt;=tb,25*(x-ta)/(tb-ta),x&lt;=tc,25+25*(x-tb)/(tc-tb),x&lt;=te,50+25*(x-tc)/(te-tc),x&lt;tf,75+25*(x-te)/(tf-te),TRUE,100)))</f>
        <v>0</v>
      </c>
      <c r="I21" s="35">
        <f>IF(Inputs!I21="","",LET(d,Rulebook!$L21,x,Inputs!I21*d,ta,Rulebook!$G21*d,tb,Rulebook!$H21*d,tc,Rulebook!$I21*d,te,Rulebook!$J21*d,tf,Rulebook!$K21*d,IFS(x&lt;=ta,0,x&lt;=tb,25*(x-ta)/(tb-ta),x&lt;=tc,25+25*(x-tb)/(tc-tb),x&lt;=te,50+25*(x-tc)/(te-tc),x&lt;tf,75+25*(x-te)/(tf-te),TRUE,100)))</f>
        <v>0</v>
      </c>
      <c r="J21" s="35">
        <f>IF(Inputs!J21="","",LET(d,Rulebook!$L21,x,Inputs!J21*d,ta,Rulebook!$G21*d,tb,Rulebook!$H21*d,tc,Rulebook!$I21*d,te,Rulebook!$J21*d,tf,Rulebook!$K21*d,IFS(x&lt;=ta,0,x&lt;=tb,25*(x-ta)/(tb-ta),x&lt;=tc,25+25*(x-tb)/(tc-tb),x&lt;=te,50+25*(x-tc)/(te-tc),x&lt;tf,75+25*(x-te)/(tf-te),TRUE,100)))</f>
        <v>0</v>
      </c>
      <c r="K21" s="35">
        <f>IF(Inputs!K21="","",LET(d,Rulebook!$L21,x,Inputs!K21*d,ta,Rulebook!$G21*d,tb,Rulebook!$H21*d,tc,Rulebook!$I21*d,te,Rulebook!$J21*d,tf,Rulebook!$K21*d,IFS(x&lt;=ta,0,x&lt;=tb,25*(x-ta)/(tb-ta),x&lt;=tc,25+25*(x-tb)/(tc-tb),x&lt;=te,50+25*(x-tc)/(te-tc),x&lt;tf,75+25*(x-te)/(tf-te),TRUE,100)))</f>
        <v>0</v>
      </c>
      <c r="L21" s="35">
        <f>IF(Inputs!L21="","",LET(d,Rulebook!$L21,x,Inputs!L21*d,ta,Rulebook!$G21*d,tb,Rulebook!$H21*d,tc,Rulebook!$I21*d,te,Rulebook!$J21*d,tf,Rulebook!$K21*d,IFS(x&lt;=ta,0,x&lt;=tb,25*(x-ta)/(tb-ta),x&lt;=tc,25+25*(x-tb)/(tc-tb),x&lt;=te,50+25*(x-tc)/(te-tc),x&lt;tf,75+25*(x-te)/(tf-te),TRUE,100)))</f>
        <v>12.5</v>
      </c>
      <c r="M21" s="35">
        <f>IF(Inputs!M21="","",LET(d,Rulebook!$L21,x,Inputs!M21*d,ta,Rulebook!$G21*d,tb,Rulebook!$H21*d,tc,Rulebook!$I21*d,te,Rulebook!$J21*d,tf,Rulebook!$K21*d,IFS(x&lt;=ta,0,x&lt;=tb,25*(x-ta)/(tb-ta),x&lt;=tc,25+25*(x-tb)/(tc-tb),x&lt;=te,50+25*(x-tc)/(te-tc),x&lt;tf,75+25*(x-te)/(tf-te),TRUE,100)))</f>
        <v>6.25</v>
      </c>
      <c r="N21" s="35">
        <f>IF(Inputs!N21="","",LET(d,Rulebook!$L21,x,Inputs!N21*d,ta,Rulebook!$G21*d,tb,Rulebook!$H21*d,tc,Rulebook!$I21*d,te,Rulebook!$J21*d,tf,Rulebook!$K21*d,IFS(x&lt;=ta,0,x&lt;=tb,25*(x-ta)/(tb-ta),x&lt;=tc,25+25*(x-tb)/(tc-tb),x&lt;=te,50+25*(x-tc)/(te-tc),x&lt;tf,75+25*(x-te)/(tf-te),TRUE,100)))</f>
        <v>65</v>
      </c>
      <c r="O21" s="35">
        <f>IF(Inputs!O21="","",LET(d,Rulebook!$L21,x,Inputs!O21*d,ta,Rulebook!$G21*d,tb,Rulebook!$H21*d,tc,Rulebook!$I21*d,te,Rulebook!$J21*d,tf,Rulebook!$K21*d,IFS(x&lt;=ta,0,x&lt;=tb,25*(x-ta)/(tb-ta),x&lt;=tc,25+25*(x-tb)/(tc-tb),x&lt;=te,50+25*(x-tc)/(te-tc),x&lt;tf,75+25*(x-te)/(tf-te),TRUE,100)))</f>
        <v>30</v>
      </c>
      <c r="P21" s="35">
        <f>IF(Inputs!P21="","",LET(d,Rulebook!$L21,x,Inputs!P21*d,ta,Rulebook!$G21*d,tb,Rulebook!$H21*d,tc,Rulebook!$I21*d,te,Rulebook!$J21*d,tf,Rulebook!$K21*d,IFS(x&lt;=ta,0,x&lt;=tb,25*(x-ta)/(tb-ta),x&lt;=tc,25+25*(x-tb)/(tc-tb),x&lt;=te,50+25*(x-tc)/(te-tc),x&lt;tf,75+25*(x-te)/(tf-te),TRUE,100)))</f>
        <v>0</v>
      </c>
      <c r="Q21" s="35">
        <f>IF(Inputs!Q21="","",LET(d,Rulebook!$L21,x,Inputs!Q21*d,ta,Rulebook!$G21*d,tb,Rulebook!$H21*d,tc,Rulebook!$I21*d,te,Rulebook!$J21*d,tf,Rulebook!$K21*d,IFS(x&lt;=ta,0,x&lt;=tb,25*(x-ta)/(tb-ta),x&lt;=tc,25+25*(x-tb)/(tc-tb),x&lt;=te,50+25*(x-tc)/(te-tc),x&lt;tf,75+25*(x-te)/(tf-te),TRUE,100)))</f>
        <v>32.5</v>
      </c>
      <c r="R21" s="35">
        <f>IF(Inputs!R21="","",LET(d,Rulebook!$L21,x,Inputs!R21*d,ta,Rulebook!$G21*d,tb,Rulebook!$H21*d,tc,Rulebook!$I21*d,te,Rulebook!$J21*d,tf,Rulebook!$K21*d,IFS(x&lt;=ta,0,x&lt;=tb,25*(x-ta)/(tb-ta),x&lt;=tc,25+25*(x-tb)/(tc-tb),x&lt;=te,50+25*(x-tc)/(te-tc),x&lt;tf,75+25*(x-te)/(tf-te),TRUE,100)))</f>
        <v>0</v>
      </c>
      <c r="S21" s="35">
        <f>IF(Inputs!S21="","",LET(d,Rulebook!$L21,x,Inputs!S21*d,ta,Rulebook!$G21*d,tb,Rulebook!$H21*d,tc,Rulebook!$I21*d,te,Rulebook!$J21*d,tf,Rulebook!$K21*d,IFS(x&lt;=ta,0,x&lt;=tb,25*(x-ta)/(tb-ta),x&lt;=tc,25+25*(x-tb)/(tc-tb),x&lt;=te,50+25*(x-tc)/(te-tc),x&lt;tf,75+25*(x-te)/(tf-te),TRUE,100)))</f>
        <v>0</v>
      </c>
      <c r="T21" s="35">
        <f>IF(Inputs!T21="","",LET(d,Rulebook!$L21,x,Inputs!T21*d,ta,Rulebook!$G21*d,tb,Rulebook!$H21*d,tc,Rulebook!$I21*d,te,Rulebook!$J21*d,tf,Rulebook!$K21*d,IFS(x&lt;=ta,0,x&lt;=tb,25*(x-ta)/(tb-ta),x&lt;=tc,25+25*(x-tb)/(tc-tb),x&lt;=te,50+25*(x-tc)/(te-tc),x&lt;tf,75+25*(x-te)/(tf-te),TRUE,100)))</f>
        <v>100</v>
      </c>
      <c r="U21" s="35">
        <f>IF(Inputs!U21="","",LET(d,Rulebook!$L21,x,Inputs!U21*d,ta,Rulebook!$G21*d,tb,Rulebook!$H21*d,tc,Rulebook!$I21*d,te,Rulebook!$J21*d,tf,Rulebook!$K21*d,IFS(x&lt;=ta,0,x&lt;=tb,25*(x-ta)/(tb-ta),x&lt;=tc,25+25*(x-tb)/(tc-tb),x&lt;=te,50+25*(x-tc)/(te-tc),x&lt;tf,75+25*(x-te)/(tf-te),TRUE,100)))</f>
        <v>0</v>
      </c>
      <c r="V21" s="35">
        <f>IF(Inputs!V21="","",LET(d,Rulebook!$L21,x,Inputs!V21*d,ta,Rulebook!$G21*d,tb,Rulebook!$H21*d,tc,Rulebook!$I21*d,te,Rulebook!$J21*d,tf,Rulebook!$K21*d,IFS(x&lt;=ta,0,x&lt;=tb,25*(x-ta)/(tb-ta),x&lt;=tc,25+25*(x-tb)/(tc-tb),x&lt;=te,50+25*(x-tc)/(te-tc),x&lt;tf,75+25*(x-te)/(tf-te),TRUE,100)))</f>
        <v>0</v>
      </c>
    </row>
    <row r="22">
      <c r="A22" s="26" t="s">
        <v>419</v>
      </c>
      <c r="B22" s="26">
        <v>2.0</v>
      </c>
      <c r="C22" s="26" t="s">
        <v>420</v>
      </c>
      <c r="D22" s="26" t="s">
        <v>307</v>
      </c>
      <c r="E22" s="35">
        <f>IF(Inputs!E22="","",LET(d,Rulebook!$L22,x,Inputs!E22*d,ta,Rulebook!$G22*d,tb,Rulebook!$H22*d,tc,Rulebook!$I22*d,te,Rulebook!$J22*d,tf,Rulebook!$K22*d,IFS(x&lt;=ta,0,x&lt;=tb,25*(x-ta)/(tb-ta),x&lt;=tc,25+25*(x-tb)/(tc-tb),x&lt;=te,50+25*(x-tc)/(te-tc),x&lt;tf,75+25*(x-te)/(tf-te),TRUE,100)))</f>
        <v>45</v>
      </c>
      <c r="F22" s="35">
        <f>IF(Inputs!F22="","",LET(d,Rulebook!$L22,x,Inputs!F22*d,ta,Rulebook!$G22*d,tb,Rulebook!$H22*d,tc,Rulebook!$I22*d,te,Rulebook!$J22*d,tf,Rulebook!$K22*d,IFS(x&lt;=ta,0,x&lt;=tb,25*(x-ta)/(tb-ta),x&lt;=tc,25+25*(x-tb)/(tc-tb),x&lt;=te,50+25*(x-tc)/(te-tc),x&lt;tf,75+25*(x-te)/(tf-te),TRUE,100)))</f>
        <v>16.66666667</v>
      </c>
      <c r="G22" s="35">
        <f>IF(Inputs!G22="","",LET(d,Rulebook!$L22,x,Inputs!G22*d,ta,Rulebook!$G22*d,tb,Rulebook!$H22*d,tc,Rulebook!$I22*d,te,Rulebook!$J22*d,tf,Rulebook!$K22*d,IFS(x&lt;=ta,0,x&lt;=tb,25*(x-ta)/(tb-ta),x&lt;=tc,25+25*(x-tb)/(tc-tb),x&lt;=te,50+25*(x-tc)/(te-tc),x&lt;tf,75+25*(x-te)/(tf-te),TRUE,100)))</f>
        <v>36</v>
      </c>
      <c r="H22" s="35">
        <f>IF(Inputs!H22="","",LET(d,Rulebook!$L22,x,Inputs!H22*d,ta,Rulebook!$G22*d,tb,Rulebook!$H22*d,tc,Rulebook!$I22*d,te,Rulebook!$J22*d,tf,Rulebook!$K22*d,IFS(x&lt;=ta,0,x&lt;=tb,25*(x-ta)/(tb-ta),x&lt;=tc,25+25*(x-tb)/(tc-tb),x&lt;=te,50+25*(x-tc)/(te-tc),x&lt;tf,75+25*(x-te)/(tf-te),TRUE,100)))</f>
        <v>90</v>
      </c>
      <c r="I22" s="35">
        <f>IF(Inputs!I22="","",LET(d,Rulebook!$L22,x,Inputs!I22*d,ta,Rulebook!$G22*d,tb,Rulebook!$H22*d,tc,Rulebook!$I22*d,te,Rulebook!$J22*d,tf,Rulebook!$K22*d,IFS(x&lt;=ta,0,x&lt;=tb,25*(x-ta)/(tb-ta),x&lt;=tc,25+25*(x-tb)/(tc-tb),x&lt;=te,50+25*(x-tc)/(te-tc),x&lt;tf,75+25*(x-te)/(tf-te),TRUE,100)))</f>
        <v>50</v>
      </c>
      <c r="J22" s="35">
        <f>IF(Inputs!J22="","",LET(d,Rulebook!$L22,x,Inputs!J22*d,ta,Rulebook!$G22*d,tb,Rulebook!$H22*d,tc,Rulebook!$I22*d,te,Rulebook!$J22*d,tf,Rulebook!$K22*d,IFS(x&lt;=ta,0,x&lt;=tb,25*(x-ta)/(tb-ta),x&lt;=tc,25+25*(x-tb)/(tc-tb),x&lt;=te,50+25*(x-tc)/(te-tc),x&lt;tf,75+25*(x-te)/(tf-te),TRUE,100)))</f>
        <v>30</v>
      </c>
      <c r="K22" s="35">
        <f>IF(Inputs!K22="","",LET(d,Rulebook!$L22,x,Inputs!K22*d,ta,Rulebook!$G22*d,tb,Rulebook!$H22*d,tc,Rulebook!$I22*d,te,Rulebook!$J22*d,tf,Rulebook!$K22*d,IFS(x&lt;=ta,0,x&lt;=tb,25*(x-ta)/(tb-ta),x&lt;=tc,25+25*(x-tb)/(tc-tb),x&lt;=te,50+25*(x-tc)/(te-tc),x&lt;tf,75+25*(x-te)/(tf-te),TRUE,100)))</f>
        <v>35</v>
      </c>
      <c r="L22" s="35">
        <f>IF(Inputs!L22="","",LET(d,Rulebook!$L22,x,Inputs!L22*d,ta,Rulebook!$G22*d,tb,Rulebook!$H22*d,tc,Rulebook!$I22*d,te,Rulebook!$J22*d,tf,Rulebook!$K22*d,IFS(x&lt;=ta,0,x&lt;=tb,25*(x-ta)/(tb-ta),x&lt;=tc,25+25*(x-tb)/(tc-tb),x&lt;=te,50+25*(x-tc)/(te-tc),x&lt;tf,75+25*(x-te)/(tf-te),TRUE,100)))</f>
        <v>16.66666667</v>
      </c>
      <c r="M22" s="35">
        <f>IF(Inputs!M22="","",LET(d,Rulebook!$L22,x,Inputs!M22*d,ta,Rulebook!$G22*d,tb,Rulebook!$H22*d,tc,Rulebook!$I22*d,te,Rulebook!$J22*d,tf,Rulebook!$K22*d,IFS(x&lt;=ta,0,x&lt;=tb,25*(x-ta)/(tb-ta),x&lt;=tc,25+25*(x-tb)/(tc-tb),x&lt;=te,50+25*(x-tc)/(te-tc),x&lt;tf,75+25*(x-te)/(tf-te),TRUE,100)))</f>
        <v>80</v>
      </c>
      <c r="N22" s="35">
        <f>IF(Inputs!N22="","",LET(d,Rulebook!$L22,x,Inputs!N22*d,ta,Rulebook!$G22*d,tb,Rulebook!$H22*d,tc,Rulebook!$I22*d,te,Rulebook!$J22*d,tf,Rulebook!$K22*d,IFS(x&lt;=ta,0,x&lt;=tb,25*(x-ta)/(tb-ta),x&lt;=tc,25+25*(x-tb)/(tc-tb),x&lt;=te,50+25*(x-tc)/(te-tc),x&lt;tf,75+25*(x-te)/(tf-te),TRUE,100)))</f>
        <v>16.66666667</v>
      </c>
      <c r="O22" s="35">
        <f>IF(Inputs!O22="","",LET(d,Rulebook!$L22,x,Inputs!O22*d,ta,Rulebook!$G22*d,tb,Rulebook!$H22*d,tc,Rulebook!$I22*d,te,Rulebook!$J22*d,tf,Rulebook!$K22*d,IFS(x&lt;=ta,0,x&lt;=tb,25*(x-ta)/(tb-ta),x&lt;=tc,25+25*(x-tb)/(tc-tb),x&lt;=te,50+25*(x-tc)/(te-tc),x&lt;tf,75+25*(x-te)/(tf-te),TRUE,100)))</f>
        <v>16.66666667</v>
      </c>
      <c r="P22" s="35">
        <f>IF(Inputs!P22="","",LET(d,Rulebook!$L22,x,Inputs!P22*d,ta,Rulebook!$G22*d,tb,Rulebook!$H22*d,tc,Rulebook!$I22*d,te,Rulebook!$J22*d,tf,Rulebook!$K22*d,IFS(x&lt;=ta,0,x&lt;=tb,25*(x-ta)/(tb-ta),x&lt;=tc,25+25*(x-tb)/(tc-tb),x&lt;=te,50+25*(x-tc)/(te-tc),x&lt;tf,75+25*(x-te)/(tf-te),TRUE,100)))</f>
        <v>100</v>
      </c>
      <c r="Q22" s="35">
        <f>IF(Inputs!Q22="","",LET(d,Rulebook!$L22,x,Inputs!Q22*d,ta,Rulebook!$G22*d,tb,Rulebook!$H22*d,tc,Rulebook!$I22*d,te,Rulebook!$J22*d,tf,Rulebook!$K22*d,IFS(x&lt;=ta,0,x&lt;=tb,25*(x-ta)/(tb-ta),x&lt;=tc,25+25*(x-tb)/(tc-tb),x&lt;=te,50+25*(x-tc)/(te-tc),x&lt;tf,75+25*(x-te)/(tf-te),TRUE,100)))</f>
        <v>30</v>
      </c>
      <c r="R22" s="35">
        <f>IF(Inputs!R22="","",LET(d,Rulebook!$L22,x,Inputs!R22*d,ta,Rulebook!$G22*d,tb,Rulebook!$H22*d,tc,Rulebook!$I22*d,te,Rulebook!$J22*d,tf,Rulebook!$K22*d,IFS(x&lt;=ta,0,x&lt;=tb,25*(x-ta)/(tb-ta),x&lt;=tc,25+25*(x-tb)/(tc-tb),x&lt;=te,50+25*(x-tc)/(te-tc),x&lt;tf,75+25*(x-te)/(tf-te),TRUE,100)))</f>
        <v>100</v>
      </c>
      <c r="S22" s="35">
        <f>IF(Inputs!S22="","",LET(d,Rulebook!$L22,x,Inputs!S22*d,ta,Rulebook!$G22*d,tb,Rulebook!$H22*d,tc,Rulebook!$I22*d,te,Rulebook!$J22*d,tf,Rulebook!$K22*d,IFS(x&lt;=ta,0,x&lt;=tb,25*(x-ta)/(tb-ta),x&lt;=tc,25+25*(x-tb)/(tc-tb),x&lt;=te,50+25*(x-tc)/(te-tc),x&lt;tf,75+25*(x-te)/(tf-te),TRUE,100)))</f>
        <v>25</v>
      </c>
      <c r="T22" s="35">
        <f>IF(Inputs!T22="","",LET(d,Rulebook!$L22,x,Inputs!T22*d,ta,Rulebook!$G22*d,tb,Rulebook!$H22*d,tc,Rulebook!$I22*d,te,Rulebook!$J22*d,tf,Rulebook!$K22*d,IFS(x&lt;=ta,0,x&lt;=tb,25*(x-ta)/(tb-ta),x&lt;=tc,25+25*(x-tb)/(tc-tb),x&lt;=te,50+25*(x-tc)/(te-tc),x&lt;tf,75+25*(x-te)/(tf-te),TRUE,100)))</f>
        <v>50</v>
      </c>
      <c r="U22" s="35">
        <f>IF(Inputs!U22="","",LET(d,Rulebook!$L22,x,Inputs!U22*d,ta,Rulebook!$G22*d,tb,Rulebook!$H22*d,tc,Rulebook!$I22*d,te,Rulebook!$J22*d,tf,Rulebook!$K22*d,IFS(x&lt;=ta,0,x&lt;=tb,25*(x-ta)/(tb-ta),x&lt;=tc,25+25*(x-tb)/(tc-tb),x&lt;=te,50+25*(x-tc)/(te-tc),x&lt;tf,75+25*(x-te)/(tf-te),TRUE,100)))</f>
        <v>40</v>
      </c>
      <c r="V22" s="35">
        <f>IF(Inputs!V22="","",LET(d,Rulebook!$L22,x,Inputs!V22*d,ta,Rulebook!$G22*d,tb,Rulebook!$H22*d,tc,Rulebook!$I22*d,te,Rulebook!$J22*d,tf,Rulebook!$K22*d,IFS(x&lt;=ta,0,x&lt;=tb,25*(x-ta)/(tb-ta),x&lt;=tc,25+25*(x-tb)/(tc-tb),x&lt;=te,50+25*(x-tc)/(te-tc),x&lt;tf,75+25*(x-te)/(tf-te),TRUE,100)))</f>
        <v>100</v>
      </c>
    </row>
    <row r="23">
      <c r="A23" s="26" t="s">
        <v>430</v>
      </c>
      <c r="B23" s="26">
        <v>2.0</v>
      </c>
      <c r="C23" s="26" t="s">
        <v>432</v>
      </c>
      <c r="D23" s="26" t="s">
        <v>433</v>
      </c>
      <c r="E23" s="35">
        <f>IF(Inputs!E23="","",LET(d,Rulebook!$L23,x,Inputs!E23*d,ta,Rulebook!$G23*d,tb,Rulebook!$H23*d,tc,Rulebook!$I23*d,te,Rulebook!$J23*d,tf,Rulebook!$K23*d,IFS(x&lt;=ta,0,x&lt;=tb,25*(x-ta)/(tb-ta),x&lt;=tc,25+25*(x-tb)/(tc-tb),x&lt;=te,50+25*(x-tc)/(te-tc),x&lt;tf,75+25*(x-te)/(tf-te),TRUE,100)))</f>
        <v>0</v>
      </c>
      <c r="F23" s="35">
        <f>IF(Inputs!F23="","",LET(d,Rulebook!$L23,x,Inputs!F23*d,ta,Rulebook!$G23*d,tb,Rulebook!$H23*d,tc,Rulebook!$I23*d,te,Rulebook!$J23*d,tf,Rulebook!$K23*d,IFS(x&lt;=ta,0,x&lt;=tb,25*(x-ta)/(tb-ta),x&lt;=tc,25+25*(x-tb)/(tc-tb),x&lt;=te,50+25*(x-tc)/(te-tc),x&lt;tf,75+25*(x-te)/(tf-te),TRUE,100)))</f>
        <v>0</v>
      </c>
      <c r="G23" s="35">
        <f>IF(Inputs!G23="","",LET(d,Rulebook!$L23,x,Inputs!G23*d,ta,Rulebook!$G23*d,tb,Rulebook!$H23*d,tc,Rulebook!$I23*d,te,Rulebook!$J23*d,tf,Rulebook!$K23*d,IFS(x&lt;=ta,0,x&lt;=tb,25*(x-ta)/(tb-ta),x&lt;=tc,25+25*(x-tb)/(tc-tb),x&lt;=te,50+25*(x-tc)/(te-tc),x&lt;tf,75+25*(x-te)/(tf-te),TRUE,100)))</f>
        <v>0</v>
      </c>
      <c r="H23" s="35">
        <f>IF(Inputs!H23="","",LET(d,Rulebook!$L23,x,Inputs!H23*d,ta,Rulebook!$G23*d,tb,Rulebook!$H23*d,tc,Rulebook!$I23*d,te,Rulebook!$J23*d,tf,Rulebook!$K23*d,IFS(x&lt;=ta,0,x&lt;=tb,25*(x-ta)/(tb-ta),x&lt;=tc,25+25*(x-tb)/(tc-tb),x&lt;=te,50+25*(x-tc)/(te-tc),x&lt;tf,75+25*(x-te)/(tf-te),TRUE,100)))</f>
        <v>5</v>
      </c>
      <c r="I23" s="35">
        <f>IF(Inputs!I23="","",LET(d,Rulebook!$L23,x,Inputs!I23*d,ta,Rulebook!$G23*d,tb,Rulebook!$H23*d,tc,Rulebook!$I23*d,te,Rulebook!$J23*d,tf,Rulebook!$K23*d,IFS(x&lt;=ta,0,x&lt;=tb,25*(x-ta)/(tb-ta),x&lt;=tc,25+25*(x-tb)/(tc-tb),x&lt;=te,50+25*(x-tc)/(te-tc),x&lt;tf,75+25*(x-te)/(tf-te),TRUE,100)))</f>
        <v>0</v>
      </c>
      <c r="J23" s="35">
        <f>IF(Inputs!J23="","",LET(d,Rulebook!$L23,x,Inputs!J23*d,ta,Rulebook!$G23*d,tb,Rulebook!$H23*d,tc,Rulebook!$I23*d,te,Rulebook!$J23*d,tf,Rulebook!$K23*d,IFS(x&lt;=ta,0,x&lt;=tb,25*(x-ta)/(tb-ta),x&lt;=tc,25+25*(x-tb)/(tc-tb),x&lt;=te,50+25*(x-tc)/(te-tc),x&lt;tf,75+25*(x-te)/(tf-te),TRUE,100)))</f>
        <v>25</v>
      </c>
      <c r="K23" s="35">
        <f>IF(Inputs!K23="","",LET(d,Rulebook!$L23,x,Inputs!K23*d,ta,Rulebook!$G23*d,tb,Rulebook!$H23*d,tc,Rulebook!$I23*d,te,Rulebook!$J23*d,tf,Rulebook!$K23*d,IFS(x&lt;=ta,0,x&lt;=tb,25*(x-ta)/(tb-ta),x&lt;=tc,25+25*(x-tb)/(tc-tb),x&lt;=te,50+25*(x-tc)/(te-tc),x&lt;tf,75+25*(x-te)/(tf-te),TRUE,100)))</f>
        <v>0</v>
      </c>
      <c r="L23" s="35">
        <f>IF(Inputs!L23="","",LET(d,Rulebook!$L23,x,Inputs!L23*d,ta,Rulebook!$G23*d,tb,Rulebook!$H23*d,tc,Rulebook!$I23*d,te,Rulebook!$J23*d,tf,Rulebook!$K23*d,IFS(x&lt;=ta,0,x&lt;=tb,25*(x-ta)/(tb-ta),x&lt;=tc,25+25*(x-tb)/(tc-tb),x&lt;=te,50+25*(x-tc)/(te-tc),x&lt;tf,75+25*(x-te)/(tf-te),TRUE,100)))</f>
        <v>0</v>
      </c>
      <c r="M23" s="35">
        <f>IF(Inputs!M23="","",LET(d,Rulebook!$L23,x,Inputs!M23*d,ta,Rulebook!$G23*d,tb,Rulebook!$H23*d,tc,Rulebook!$I23*d,te,Rulebook!$J23*d,tf,Rulebook!$K23*d,IFS(x&lt;=ta,0,x&lt;=tb,25*(x-ta)/(tb-ta),x&lt;=tc,25+25*(x-tb)/(tc-tb),x&lt;=te,50+25*(x-tc)/(te-tc),x&lt;tf,75+25*(x-te)/(tf-te),TRUE,100)))</f>
        <v>80</v>
      </c>
      <c r="N23" s="35">
        <f>IF(Inputs!N23="","",LET(d,Rulebook!$L23,x,Inputs!N23*d,ta,Rulebook!$G23*d,tb,Rulebook!$H23*d,tc,Rulebook!$I23*d,te,Rulebook!$J23*d,tf,Rulebook!$K23*d,IFS(x&lt;=ta,0,x&lt;=tb,25*(x-ta)/(tb-ta),x&lt;=tc,25+25*(x-tb)/(tc-tb),x&lt;=te,50+25*(x-tc)/(te-tc),x&lt;tf,75+25*(x-te)/(tf-te),TRUE,100)))</f>
        <v>20</v>
      </c>
      <c r="O23" s="35">
        <f>IF(Inputs!O23="","",LET(d,Rulebook!$L23,x,Inputs!O23*d,ta,Rulebook!$G23*d,tb,Rulebook!$H23*d,tc,Rulebook!$I23*d,te,Rulebook!$J23*d,tf,Rulebook!$K23*d,IFS(x&lt;=ta,0,x&lt;=tb,25*(x-ta)/(tb-ta),x&lt;=tc,25+25*(x-tb)/(tc-tb),x&lt;=te,50+25*(x-tc)/(te-tc),x&lt;tf,75+25*(x-te)/(tf-te),TRUE,100)))</f>
        <v>15</v>
      </c>
      <c r="P23" s="35">
        <f>IF(Inputs!P23="","",LET(d,Rulebook!$L23,x,Inputs!P23*d,ta,Rulebook!$G23*d,tb,Rulebook!$H23*d,tc,Rulebook!$I23*d,te,Rulebook!$J23*d,tf,Rulebook!$K23*d,IFS(x&lt;=ta,0,x&lt;=tb,25*(x-ta)/(tb-ta),x&lt;=tc,25+25*(x-tb)/(tc-tb),x&lt;=te,50+25*(x-tc)/(te-tc),x&lt;tf,75+25*(x-te)/(tf-te),TRUE,100)))</f>
        <v>70</v>
      </c>
      <c r="Q23" s="35">
        <f>IF(Inputs!Q23="","",LET(d,Rulebook!$L23,x,Inputs!Q23*d,ta,Rulebook!$G23*d,tb,Rulebook!$H23*d,tc,Rulebook!$I23*d,te,Rulebook!$J23*d,tf,Rulebook!$K23*d,IFS(x&lt;=ta,0,x&lt;=tb,25*(x-ta)/(tb-ta),x&lt;=tc,25+25*(x-tb)/(tc-tb),x&lt;=te,50+25*(x-tc)/(te-tc),x&lt;tf,75+25*(x-te)/(tf-te),TRUE,100)))</f>
        <v>65</v>
      </c>
      <c r="R23" s="35">
        <f>IF(Inputs!R23="","",LET(d,Rulebook!$L23,x,Inputs!R23*d,ta,Rulebook!$G23*d,tb,Rulebook!$H23*d,tc,Rulebook!$I23*d,te,Rulebook!$J23*d,tf,Rulebook!$K23*d,IFS(x&lt;=ta,0,x&lt;=tb,25*(x-ta)/(tb-ta),x&lt;=tc,25+25*(x-tb)/(tc-tb),x&lt;=te,50+25*(x-tc)/(te-tc),x&lt;tf,75+25*(x-te)/(tf-te),TRUE,100)))</f>
        <v>100</v>
      </c>
      <c r="S23" s="35">
        <f>IF(Inputs!S23="","",LET(d,Rulebook!$L23,x,Inputs!S23*d,ta,Rulebook!$G23*d,tb,Rulebook!$H23*d,tc,Rulebook!$I23*d,te,Rulebook!$J23*d,tf,Rulebook!$K23*d,IFS(x&lt;=ta,0,x&lt;=tb,25*(x-ta)/(tb-ta),x&lt;=tc,25+25*(x-tb)/(tc-tb),x&lt;=te,50+25*(x-tc)/(te-tc),x&lt;tf,75+25*(x-te)/(tf-te),TRUE,100)))</f>
        <v>5</v>
      </c>
      <c r="T23" s="35">
        <f>IF(Inputs!T23="","",LET(d,Rulebook!$L23,x,Inputs!T23*d,ta,Rulebook!$G23*d,tb,Rulebook!$H23*d,tc,Rulebook!$I23*d,te,Rulebook!$J23*d,tf,Rulebook!$K23*d,IFS(x&lt;=ta,0,x&lt;=tb,25*(x-ta)/(tb-ta),x&lt;=tc,25+25*(x-tb)/(tc-tb),x&lt;=te,50+25*(x-tc)/(te-tc),x&lt;tf,75+25*(x-te)/(tf-te),TRUE,100)))</f>
        <v>100</v>
      </c>
      <c r="U23" s="35">
        <f>IF(Inputs!U23="","",LET(d,Rulebook!$L23,x,Inputs!U23*d,ta,Rulebook!$G23*d,tb,Rulebook!$H23*d,tc,Rulebook!$I23*d,te,Rulebook!$J23*d,tf,Rulebook!$K23*d,IFS(x&lt;=ta,0,x&lt;=tb,25*(x-ta)/(tb-ta),x&lt;=tc,25+25*(x-tb)/(tc-tb),x&lt;=te,50+25*(x-tc)/(te-tc),x&lt;tf,75+25*(x-te)/(tf-te),TRUE,100)))</f>
        <v>30</v>
      </c>
      <c r="V23" s="35">
        <f>IF(Inputs!V23="","",LET(d,Rulebook!$L23,x,Inputs!V23*d,ta,Rulebook!$G23*d,tb,Rulebook!$H23*d,tc,Rulebook!$I23*d,te,Rulebook!$J23*d,tf,Rulebook!$K23*d,IFS(x&lt;=ta,0,x&lt;=tb,25*(x-ta)/(tb-ta),x&lt;=tc,25+25*(x-tb)/(tc-tb),x&lt;=te,50+25*(x-tc)/(te-tc),x&lt;tf,75+25*(x-te)/(tf-te),TRUE,100)))</f>
        <v>30</v>
      </c>
    </row>
    <row r="24">
      <c r="A24" s="26" t="s">
        <v>441</v>
      </c>
      <c r="B24" s="26">
        <v>2.0</v>
      </c>
      <c r="C24" s="26" t="s">
        <v>445</v>
      </c>
      <c r="D24" s="26" t="s">
        <v>447</v>
      </c>
      <c r="E24" s="35">
        <f>IF(Inputs!E24="","",LET(d,Rulebook!$L24,x,Inputs!E24*d,ta,Rulebook!$G24*d,tb,Rulebook!$H24*d,tc,Rulebook!$I24*d,te,Rulebook!$J24*d,tf,Rulebook!$K24*d,IFS(x&lt;=ta,0,x&lt;=tb,25*(x-ta)/(tb-ta),x&lt;=tc,25+25*(x-tb)/(tc-tb),x&lt;=te,50+25*(x-tc)/(te-tc),x&lt;tf,75+25*(x-te)/(tf-te),TRUE,100)))</f>
        <v>25</v>
      </c>
      <c r="F24" s="35">
        <f>IF(Inputs!F24="","",LET(d,Rulebook!$L24,x,Inputs!F24*d,ta,Rulebook!$G24*d,tb,Rulebook!$H24*d,tc,Rulebook!$I24*d,te,Rulebook!$J24*d,tf,Rulebook!$K24*d,IFS(x&lt;=ta,0,x&lt;=tb,25*(x-ta)/(tb-ta),x&lt;=tc,25+25*(x-tb)/(tc-tb),x&lt;=te,50+25*(x-tc)/(te-tc),x&lt;tf,75+25*(x-te)/(tf-te),TRUE,100)))</f>
        <v>58.33333333</v>
      </c>
      <c r="G24" s="35">
        <f>IF(Inputs!G24="","",LET(d,Rulebook!$L24,x,Inputs!G24*d,ta,Rulebook!$G24*d,tb,Rulebook!$H24*d,tc,Rulebook!$I24*d,te,Rulebook!$J24*d,tf,Rulebook!$K24*d,IFS(x&lt;=ta,0,x&lt;=tb,25*(x-ta)/(tb-ta),x&lt;=tc,25+25*(x-tb)/(tc-tb),x&lt;=te,50+25*(x-tc)/(te-tc),x&lt;tf,75+25*(x-te)/(tf-te),TRUE,100)))</f>
        <v>8.333333333</v>
      </c>
      <c r="H24" s="35">
        <f>IF(Inputs!H24="","",LET(d,Rulebook!$L24,x,Inputs!H24*d,ta,Rulebook!$G24*d,tb,Rulebook!$H24*d,tc,Rulebook!$I24*d,te,Rulebook!$J24*d,tf,Rulebook!$K24*d,IFS(x&lt;=ta,0,x&lt;=tb,25*(x-ta)/(tb-ta),x&lt;=tc,25+25*(x-tb)/(tc-tb),x&lt;=te,50+25*(x-tc)/(te-tc),x&lt;tf,75+25*(x-te)/(tf-te),TRUE,100)))</f>
        <v>33.33333333</v>
      </c>
      <c r="I24" s="35">
        <f>IF(Inputs!I24="","",LET(d,Rulebook!$L24,x,Inputs!I24*d,ta,Rulebook!$G24*d,tb,Rulebook!$H24*d,tc,Rulebook!$I24*d,te,Rulebook!$J24*d,tf,Rulebook!$K24*d,IFS(x&lt;=ta,0,x&lt;=tb,25*(x-ta)/(tb-ta),x&lt;=tc,25+25*(x-tb)/(tc-tb),x&lt;=te,50+25*(x-tc)/(te-tc),x&lt;tf,75+25*(x-te)/(tf-te),TRUE,100)))</f>
        <v>16.66666667</v>
      </c>
      <c r="J24" s="35">
        <f>IF(Inputs!J24="","",LET(d,Rulebook!$L24,x,Inputs!J24*d,ta,Rulebook!$G24*d,tb,Rulebook!$H24*d,tc,Rulebook!$I24*d,te,Rulebook!$J24*d,tf,Rulebook!$K24*d,IFS(x&lt;=ta,0,x&lt;=tb,25*(x-ta)/(tb-ta),x&lt;=tc,25+25*(x-tb)/(tc-tb),x&lt;=te,50+25*(x-tc)/(te-tc),x&lt;tf,75+25*(x-te)/(tf-te),TRUE,100)))</f>
        <v>0</v>
      </c>
      <c r="K24" s="35">
        <f>IF(Inputs!K24="","",LET(d,Rulebook!$L24,x,Inputs!K24*d,ta,Rulebook!$G24*d,tb,Rulebook!$H24*d,tc,Rulebook!$I24*d,te,Rulebook!$J24*d,tf,Rulebook!$K24*d,IFS(x&lt;=ta,0,x&lt;=tb,25*(x-ta)/(tb-ta),x&lt;=tc,25+25*(x-tb)/(tc-tb),x&lt;=te,50+25*(x-tc)/(te-tc),x&lt;tf,75+25*(x-te)/(tf-te),TRUE,100)))</f>
        <v>8.333333333</v>
      </c>
      <c r="L24" s="35">
        <f>IF(Inputs!L24="","",LET(d,Rulebook!$L24,x,Inputs!L24*d,ta,Rulebook!$G24*d,tb,Rulebook!$H24*d,tc,Rulebook!$I24*d,te,Rulebook!$J24*d,tf,Rulebook!$K24*d,IFS(x&lt;=ta,0,x&lt;=tb,25*(x-ta)/(tb-ta),x&lt;=tc,25+25*(x-tb)/(tc-tb),x&lt;=te,50+25*(x-tc)/(te-tc),x&lt;tf,75+25*(x-te)/(tf-te),TRUE,100)))</f>
        <v>0</v>
      </c>
      <c r="M24" s="35">
        <f>IF(Inputs!M24="","",LET(d,Rulebook!$L24,x,Inputs!M24*d,ta,Rulebook!$G24*d,tb,Rulebook!$H24*d,tc,Rulebook!$I24*d,te,Rulebook!$J24*d,tf,Rulebook!$K24*d,IFS(x&lt;=ta,0,x&lt;=tb,25*(x-ta)/(tb-ta),x&lt;=tc,25+25*(x-tb)/(tc-tb),x&lt;=te,50+25*(x-tc)/(te-tc),x&lt;tf,75+25*(x-te)/(tf-te),TRUE,100)))</f>
        <v>58.33333333</v>
      </c>
      <c r="N24" s="35">
        <f>IF(Inputs!N24="","",LET(d,Rulebook!$L24,x,Inputs!N24*d,ta,Rulebook!$G24*d,tb,Rulebook!$H24*d,tc,Rulebook!$I24*d,te,Rulebook!$J24*d,tf,Rulebook!$K24*d,IFS(x&lt;=ta,0,x&lt;=tb,25*(x-ta)/(tb-ta),x&lt;=tc,25+25*(x-tb)/(tc-tb),x&lt;=te,50+25*(x-tc)/(te-tc),x&lt;tf,75+25*(x-te)/(tf-te),TRUE,100)))</f>
        <v>50</v>
      </c>
      <c r="O24" s="35">
        <f>IF(Inputs!O24="","",LET(d,Rulebook!$L24,x,Inputs!O24*d,ta,Rulebook!$G24*d,tb,Rulebook!$H24*d,tc,Rulebook!$I24*d,te,Rulebook!$J24*d,tf,Rulebook!$K24*d,IFS(x&lt;=ta,0,x&lt;=tb,25*(x-ta)/(tb-ta),x&lt;=tc,25+25*(x-tb)/(tc-tb),x&lt;=te,50+25*(x-tc)/(te-tc),x&lt;tf,75+25*(x-te)/(tf-te),TRUE,100)))</f>
        <v>0</v>
      </c>
      <c r="P24" s="35">
        <f>IF(Inputs!P24="","",LET(d,Rulebook!$L24,x,Inputs!P24*d,ta,Rulebook!$G24*d,tb,Rulebook!$H24*d,tc,Rulebook!$I24*d,te,Rulebook!$J24*d,tf,Rulebook!$K24*d,IFS(x&lt;=ta,0,x&lt;=tb,25*(x-ta)/(tb-ta),x&lt;=tc,25+25*(x-tb)/(tc-tb),x&lt;=te,50+25*(x-tc)/(te-tc),x&lt;tf,75+25*(x-te)/(tf-te),TRUE,100)))</f>
        <v>8.333333333</v>
      </c>
      <c r="Q24" s="35">
        <f>IF(Inputs!Q24="","",LET(d,Rulebook!$L24,x,Inputs!Q24*d,ta,Rulebook!$G24*d,tb,Rulebook!$H24*d,tc,Rulebook!$I24*d,te,Rulebook!$J24*d,tf,Rulebook!$K24*d,IFS(x&lt;=ta,0,x&lt;=tb,25*(x-ta)/(tb-ta),x&lt;=tc,25+25*(x-tb)/(tc-tb),x&lt;=te,50+25*(x-tc)/(te-tc),x&lt;tf,75+25*(x-te)/(tf-te),TRUE,100)))</f>
        <v>33.33333333</v>
      </c>
      <c r="R24" s="35">
        <f>IF(Inputs!R24="","",LET(d,Rulebook!$L24,x,Inputs!R24*d,ta,Rulebook!$G24*d,tb,Rulebook!$H24*d,tc,Rulebook!$I24*d,te,Rulebook!$J24*d,tf,Rulebook!$K24*d,IFS(x&lt;=ta,0,x&lt;=tb,25*(x-ta)/(tb-ta),x&lt;=tc,25+25*(x-tb)/(tc-tb),x&lt;=te,50+25*(x-tc)/(te-tc),x&lt;tf,75+25*(x-te)/(tf-te),TRUE,100)))</f>
        <v>100</v>
      </c>
      <c r="S24" s="35">
        <f>IF(Inputs!S24="","",LET(d,Rulebook!$L24,x,Inputs!S24*d,ta,Rulebook!$G24*d,tb,Rulebook!$H24*d,tc,Rulebook!$I24*d,te,Rulebook!$J24*d,tf,Rulebook!$K24*d,IFS(x&lt;=ta,0,x&lt;=tb,25*(x-ta)/(tb-ta),x&lt;=tc,25+25*(x-tb)/(tc-tb),x&lt;=te,50+25*(x-tc)/(te-tc),x&lt;tf,75+25*(x-te)/(tf-te),TRUE,100)))</f>
        <v>100</v>
      </c>
      <c r="T24" s="35">
        <f>IF(Inputs!T24="","",LET(d,Rulebook!$L24,x,Inputs!T24*d,ta,Rulebook!$G24*d,tb,Rulebook!$H24*d,tc,Rulebook!$I24*d,te,Rulebook!$J24*d,tf,Rulebook!$K24*d,IFS(x&lt;=ta,0,x&lt;=tb,25*(x-ta)/(tb-ta),x&lt;=tc,25+25*(x-tb)/(tc-tb),x&lt;=te,50+25*(x-tc)/(te-tc),x&lt;tf,75+25*(x-te)/(tf-te),TRUE,100)))</f>
        <v>8.333333333</v>
      </c>
      <c r="U24" s="35">
        <f>IF(Inputs!U24="","",LET(d,Rulebook!$L24,x,Inputs!U24*d,ta,Rulebook!$G24*d,tb,Rulebook!$H24*d,tc,Rulebook!$I24*d,te,Rulebook!$J24*d,tf,Rulebook!$K24*d,IFS(x&lt;=ta,0,x&lt;=tb,25*(x-ta)/(tb-ta),x&lt;=tc,25+25*(x-tb)/(tc-tb),x&lt;=te,50+25*(x-tc)/(te-tc),x&lt;tf,75+25*(x-te)/(tf-te),TRUE,100)))</f>
        <v>91.66666667</v>
      </c>
      <c r="V24" s="35">
        <f>IF(Inputs!V24="","",LET(d,Rulebook!$L24,x,Inputs!V24*d,ta,Rulebook!$G24*d,tb,Rulebook!$H24*d,tc,Rulebook!$I24*d,te,Rulebook!$J24*d,tf,Rulebook!$K24*d,IFS(x&lt;=ta,0,x&lt;=tb,25*(x-ta)/(tb-ta),x&lt;=tc,25+25*(x-tb)/(tc-tb),x&lt;=te,50+25*(x-tc)/(te-tc),x&lt;tf,75+25*(x-te)/(tf-te),TRUE,100)))</f>
        <v>50</v>
      </c>
    </row>
    <row r="25">
      <c r="A25" s="26" t="s">
        <v>463</v>
      </c>
      <c r="B25" s="26">
        <v>2.0</v>
      </c>
      <c r="C25" s="26" t="s">
        <v>468</v>
      </c>
      <c r="D25" s="26" t="s">
        <v>470</v>
      </c>
      <c r="E25" s="35">
        <f>IF(Inputs!E25="","",LET(d,Rulebook!$L25,x,Inputs!E25*d,ta,Rulebook!$G25*d,tb,Rulebook!$H25*d,tc,Rulebook!$I25*d,te,Rulebook!$J25*d,tf,Rulebook!$K25*d,IFS(x&lt;=ta,0,x&lt;=tb,25*(x-ta)/(tb-ta),x&lt;=tc,25+25*(x-tb)/(tc-tb),x&lt;=te,50+25*(x-tc)/(te-tc),x&lt;tf,75+25*(x-te)/(tf-te),TRUE,100)))</f>
        <v>25</v>
      </c>
      <c r="F25" s="35">
        <f>IF(Inputs!F25="","",LET(d,Rulebook!$L25,x,Inputs!F25*d,ta,Rulebook!$G25*d,tb,Rulebook!$H25*d,tc,Rulebook!$I25*d,te,Rulebook!$J25*d,tf,Rulebook!$K25*d,IFS(x&lt;=ta,0,x&lt;=tb,25*(x-ta)/(tb-ta),x&lt;=tc,25+25*(x-tb)/(tc-tb),x&lt;=te,50+25*(x-tc)/(te-tc),x&lt;tf,75+25*(x-te)/(tf-te),TRUE,100)))</f>
        <v>0</v>
      </c>
      <c r="G25" s="35">
        <f>IF(Inputs!G25="","",LET(d,Rulebook!$L25,x,Inputs!G25*d,ta,Rulebook!$G25*d,tb,Rulebook!$H25*d,tc,Rulebook!$I25*d,te,Rulebook!$J25*d,tf,Rulebook!$K25*d,IFS(x&lt;=ta,0,x&lt;=tb,25*(x-ta)/(tb-ta),x&lt;=tc,25+25*(x-tb)/(tc-tb),x&lt;=te,50+25*(x-tc)/(te-tc),x&lt;tf,75+25*(x-te)/(tf-te),TRUE,100)))</f>
        <v>0</v>
      </c>
      <c r="H25" s="35">
        <f>IF(Inputs!H25="","",LET(d,Rulebook!$L25,x,Inputs!H25*d,ta,Rulebook!$G25*d,tb,Rulebook!$H25*d,tc,Rulebook!$I25*d,te,Rulebook!$J25*d,tf,Rulebook!$K25*d,IFS(x&lt;=ta,0,x&lt;=tb,25*(x-ta)/(tb-ta),x&lt;=tc,25+25*(x-tb)/(tc-tb),x&lt;=te,50+25*(x-tc)/(te-tc),x&lt;tf,75+25*(x-te)/(tf-te),TRUE,100)))</f>
        <v>0</v>
      </c>
      <c r="I25" s="35">
        <f>IF(Inputs!I25="","",LET(d,Rulebook!$L25,x,Inputs!I25*d,ta,Rulebook!$G25*d,tb,Rulebook!$H25*d,tc,Rulebook!$I25*d,te,Rulebook!$J25*d,tf,Rulebook!$K25*d,IFS(x&lt;=ta,0,x&lt;=tb,25*(x-ta)/(tb-ta),x&lt;=tc,25+25*(x-tb)/(tc-tb),x&lt;=te,50+25*(x-tc)/(te-tc),x&lt;tf,75+25*(x-te)/(tf-te),TRUE,100)))</f>
        <v>40</v>
      </c>
      <c r="J25" s="35">
        <f>IF(Inputs!J25="","",LET(d,Rulebook!$L25,x,Inputs!J25*d,ta,Rulebook!$G25*d,tb,Rulebook!$H25*d,tc,Rulebook!$I25*d,te,Rulebook!$J25*d,tf,Rulebook!$K25*d,IFS(x&lt;=ta,0,x&lt;=tb,25*(x-ta)/(tb-ta),x&lt;=tc,25+25*(x-tb)/(tc-tb),x&lt;=te,50+25*(x-tc)/(te-tc),x&lt;tf,75+25*(x-te)/(tf-te),TRUE,100)))</f>
        <v>0</v>
      </c>
      <c r="K25" s="35">
        <f>IF(Inputs!K25="","",LET(d,Rulebook!$L25,x,Inputs!K25*d,ta,Rulebook!$G25*d,tb,Rulebook!$H25*d,tc,Rulebook!$I25*d,te,Rulebook!$J25*d,tf,Rulebook!$K25*d,IFS(x&lt;=ta,0,x&lt;=tb,25*(x-ta)/(tb-ta),x&lt;=tc,25+25*(x-tb)/(tc-tb),x&lt;=te,50+25*(x-tc)/(te-tc),x&lt;tf,75+25*(x-te)/(tf-te),TRUE,100)))</f>
        <v>0</v>
      </c>
      <c r="L25" s="35">
        <f>IF(Inputs!L25="","",LET(d,Rulebook!$L25,x,Inputs!L25*d,ta,Rulebook!$G25*d,tb,Rulebook!$H25*d,tc,Rulebook!$I25*d,te,Rulebook!$J25*d,tf,Rulebook!$K25*d,IFS(x&lt;=ta,0,x&lt;=tb,25*(x-ta)/(tb-ta),x&lt;=tc,25+25*(x-tb)/(tc-tb),x&lt;=te,50+25*(x-tc)/(te-tc),x&lt;tf,75+25*(x-te)/(tf-te),TRUE,100)))</f>
        <v>0</v>
      </c>
      <c r="M25" s="35">
        <f>IF(Inputs!M25="","",LET(d,Rulebook!$L25,x,Inputs!M25*d,ta,Rulebook!$G25*d,tb,Rulebook!$H25*d,tc,Rulebook!$I25*d,te,Rulebook!$J25*d,tf,Rulebook!$K25*d,IFS(x&lt;=ta,0,x&lt;=tb,25*(x-ta)/(tb-ta),x&lt;=tc,25+25*(x-tb)/(tc-tb),x&lt;=te,50+25*(x-tc)/(te-tc),x&lt;tf,75+25*(x-te)/(tf-te),TRUE,100)))</f>
        <v>25</v>
      </c>
      <c r="N25" s="35">
        <f>IF(Inputs!N25="","",LET(d,Rulebook!$L25,x,Inputs!N25*d,ta,Rulebook!$G25*d,tb,Rulebook!$H25*d,tc,Rulebook!$I25*d,te,Rulebook!$J25*d,tf,Rulebook!$K25*d,IFS(x&lt;=ta,0,x&lt;=tb,25*(x-ta)/(tb-ta),x&lt;=tc,25+25*(x-tb)/(tc-tb),x&lt;=te,50+25*(x-tc)/(te-tc),x&lt;tf,75+25*(x-te)/(tf-te),TRUE,100)))</f>
        <v>0</v>
      </c>
      <c r="O25" s="35">
        <f>IF(Inputs!O25="","",LET(d,Rulebook!$L25,x,Inputs!O25*d,ta,Rulebook!$G25*d,tb,Rulebook!$H25*d,tc,Rulebook!$I25*d,te,Rulebook!$J25*d,tf,Rulebook!$K25*d,IFS(x&lt;=ta,0,x&lt;=tb,25*(x-ta)/(tb-ta),x&lt;=tc,25+25*(x-tb)/(tc-tb),x&lt;=te,50+25*(x-tc)/(te-tc),x&lt;tf,75+25*(x-te)/(tf-te),TRUE,100)))</f>
        <v>0</v>
      </c>
      <c r="P25" s="35">
        <f>IF(Inputs!P25="","",LET(d,Rulebook!$L25,x,Inputs!P25*d,ta,Rulebook!$G25*d,tb,Rulebook!$H25*d,tc,Rulebook!$I25*d,te,Rulebook!$J25*d,tf,Rulebook!$K25*d,IFS(x&lt;=ta,0,x&lt;=tb,25*(x-ta)/(tb-ta),x&lt;=tc,25+25*(x-tb)/(tc-tb),x&lt;=te,50+25*(x-tc)/(te-tc),x&lt;tf,75+25*(x-te)/(tf-te),TRUE,100)))</f>
        <v>82.14285714</v>
      </c>
      <c r="Q25" s="35">
        <f>IF(Inputs!Q25="","",LET(d,Rulebook!$L25,x,Inputs!Q25*d,ta,Rulebook!$G25*d,tb,Rulebook!$H25*d,tc,Rulebook!$I25*d,te,Rulebook!$J25*d,tf,Rulebook!$K25*d,IFS(x&lt;=ta,0,x&lt;=tb,25*(x-ta)/(tb-ta),x&lt;=tc,25+25*(x-tb)/(tc-tb),x&lt;=te,50+25*(x-tc)/(te-tc),x&lt;tf,75+25*(x-te)/(tf-te),TRUE,100)))</f>
        <v>0</v>
      </c>
      <c r="R25" s="35">
        <f>IF(Inputs!R25="","",LET(d,Rulebook!$L25,x,Inputs!R25*d,ta,Rulebook!$G25*d,tb,Rulebook!$H25*d,tc,Rulebook!$I25*d,te,Rulebook!$J25*d,tf,Rulebook!$K25*d,IFS(x&lt;=ta,0,x&lt;=tb,25*(x-ta)/(tb-ta),x&lt;=tc,25+25*(x-tb)/(tc-tb),x&lt;=te,50+25*(x-tc)/(te-tc),x&lt;tf,75+25*(x-te)/(tf-te),TRUE,100)))</f>
        <v>100</v>
      </c>
      <c r="S25" s="35">
        <f>IF(Inputs!S25="","",LET(d,Rulebook!$L25,x,Inputs!S25*d,ta,Rulebook!$G25*d,tb,Rulebook!$H25*d,tc,Rulebook!$I25*d,te,Rulebook!$J25*d,tf,Rulebook!$K25*d,IFS(x&lt;=ta,0,x&lt;=tb,25*(x-ta)/(tb-ta),x&lt;=tc,25+25*(x-tb)/(tc-tb),x&lt;=te,50+25*(x-tc)/(te-tc),x&lt;tf,75+25*(x-te)/(tf-te),TRUE,100)))</f>
        <v>0</v>
      </c>
      <c r="T25" s="35">
        <f>IF(Inputs!T25="","",LET(d,Rulebook!$L25,x,Inputs!T25*d,ta,Rulebook!$G25*d,tb,Rulebook!$H25*d,tc,Rulebook!$I25*d,te,Rulebook!$J25*d,tf,Rulebook!$K25*d,IFS(x&lt;=ta,0,x&lt;=tb,25*(x-ta)/(tb-ta),x&lt;=tc,25+25*(x-tb)/(tc-tb),x&lt;=te,50+25*(x-tc)/(te-tc),x&lt;tf,75+25*(x-te)/(tf-te),TRUE,100)))</f>
        <v>0</v>
      </c>
      <c r="U25" s="35">
        <f>IF(Inputs!U25="","",LET(d,Rulebook!$L25,x,Inputs!U25*d,ta,Rulebook!$G25*d,tb,Rulebook!$H25*d,tc,Rulebook!$I25*d,te,Rulebook!$J25*d,tf,Rulebook!$K25*d,IFS(x&lt;=ta,0,x&lt;=tb,25*(x-ta)/(tb-ta),x&lt;=tc,25+25*(x-tb)/(tc-tb),x&lt;=te,50+25*(x-tc)/(te-tc),x&lt;tf,75+25*(x-te)/(tf-te),TRUE,100)))</f>
        <v>0</v>
      </c>
      <c r="V25" s="35">
        <f>IF(Inputs!V25="","",LET(d,Rulebook!$L25,x,Inputs!V25*d,ta,Rulebook!$G25*d,tb,Rulebook!$H25*d,tc,Rulebook!$I25*d,te,Rulebook!$J25*d,tf,Rulebook!$K25*d,IFS(x&lt;=ta,0,x&lt;=tb,25*(x-ta)/(tb-ta),x&lt;=tc,25+25*(x-tb)/(tc-tb),x&lt;=te,50+25*(x-tc)/(te-tc),x&lt;tf,75+25*(x-te)/(tf-te),TRUE,100)))</f>
        <v>82.14285714</v>
      </c>
    </row>
    <row r="26">
      <c r="A26" s="26" t="s">
        <v>481</v>
      </c>
      <c r="B26" s="26">
        <v>3.0</v>
      </c>
      <c r="C26" s="26" t="s">
        <v>483</v>
      </c>
      <c r="D26" s="26" t="s">
        <v>254</v>
      </c>
      <c r="E26" s="35">
        <f>IF(Inputs!E26="","",LET(d,Rulebook!$L26,x,Inputs!E26*d,ta,Rulebook!$G26*d,tb,Rulebook!$H26*d,tc,Rulebook!$I26*d,te,Rulebook!$J26*d,tf,Rulebook!$K26*d,IFS(x&lt;=ta,0,x&lt;=tb,25*(x-ta)/(tb-ta),x&lt;=tc,25+25*(x-tb)/(tc-tb),x&lt;=te,50+25*(x-tc)/(te-tc),x&lt;tf,75+25*(x-te)/(tf-te),TRUE,100)))</f>
        <v>25</v>
      </c>
      <c r="F26" s="35">
        <f>IF(Inputs!F26="","",LET(d,Rulebook!$L26,x,Inputs!F26*d,ta,Rulebook!$G26*d,tb,Rulebook!$H26*d,tc,Rulebook!$I26*d,te,Rulebook!$J26*d,tf,Rulebook!$K26*d,IFS(x&lt;=ta,0,x&lt;=tb,25*(x-ta)/(tb-ta),x&lt;=tc,25+25*(x-tb)/(tc-tb),x&lt;=te,50+25*(x-tc)/(te-tc),x&lt;tf,75+25*(x-te)/(tf-te),TRUE,100)))</f>
        <v>25</v>
      </c>
      <c r="G26" s="35">
        <f>IF(Inputs!G26="","",LET(d,Rulebook!$L26,x,Inputs!G26*d,ta,Rulebook!$G26*d,tb,Rulebook!$H26*d,tc,Rulebook!$I26*d,te,Rulebook!$J26*d,tf,Rulebook!$K26*d,IFS(x&lt;=ta,0,x&lt;=tb,25*(x-ta)/(tb-ta),x&lt;=tc,25+25*(x-tb)/(tc-tb),x&lt;=te,50+25*(x-tc)/(te-tc),x&lt;tf,75+25*(x-te)/(tf-te),TRUE,100)))</f>
        <v>50</v>
      </c>
      <c r="H26" s="35">
        <f>IF(Inputs!H26="","",LET(d,Rulebook!$L26,x,Inputs!H26*d,ta,Rulebook!$G26*d,tb,Rulebook!$H26*d,tc,Rulebook!$I26*d,te,Rulebook!$J26*d,tf,Rulebook!$K26*d,IFS(x&lt;=ta,0,x&lt;=tb,25*(x-ta)/(tb-ta),x&lt;=tc,25+25*(x-tb)/(tc-tb),x&lt;=te,50+25*(x-tc)/(te-tc),x&lt;tf,75+25*(x-te)/(tf-te),TRUE,100)))</f>
        <v>25</v>
      </c>
      <c r="I26" s="35">
        <f>IF(Inputs!I26="","",LET(d,Rulebook!$L26,x,Inputs!I26*d,ta,Rulebook!$G26*d,tb,Rulebook!$H26*d,tc,Rulebook!$I26*d,te,Rulebook!$J26*d,tf,Rulebook!$K26*d,IFS(x&lt;=ta,0,x&lt;=tb,25*(x-ta)/(tb-ta),x&lt;=tc,25+25*(x-tb)/(tc-tb),x&lt;=te,50+25*(x-tc)/(te-tc),x&lt;tf,75+25*(x-te)/(tf-te),TRUE,100)))</f>
        <v>0</v>
      </c>
      <c r="J26" s="35">
        <f>IF(Inputs!J26="","",LET(d,Rulebook!$L26,x,Inputs!J26*d,ta,Rulebook!$G26*d,tb,Rulebook!$H26*d,tc,Rulebook!$I26*d,te,Rulebook!$J26*d,tf,Rulebook!$K26*d,IFS(x&lt;=ta,0,x&lt;=tb,25*(x-ta)/(tb-ta),x&lt;=tc,25+25*(x-tb)/(tc-tb),x&lt;=te,50+25*(x-tc)/(te-tc),x&lt;tf,75+25*(x-te)/(tf-te),TRUE,100)))</f>
        <v>0</v>
      </c>
      <c r="K26" s="35">
        <f>IF(Inputs!K26="","",LET(d,Rulebook!$L26,x,Inputs!K26*d,ta,Rulebook!$G26*d,tb,Rulebook!$H26*d,tc,Rulebook!$I26*d,te,Rulebook!$J26*d,tf,Rulebook!$K26*d,IFS(x&lt;=ta,0,x&lt;=tb,25*(x-ta)/(tb-ta),x&lt;=tc,25+25*(x-tb)/(tc-tb),x&lt;=te,50+25*(x-tc)/(te-tc),x&lt;tf,75+25*(x-te)/(tf-te),TRUE,100)))</f>
        <v>25</v>
      </c>
      <c r="L26" s="35">
        <f>IF(Inputs!L26="","",LET(d,Rulebook!$L26,x,Inputs!L26*d,ta,Rulebook!$G26*d,tb,Rulebook!$H26*d,tc,Rulebook!$I26*d,te,Rulebook!$J26*d,tf,Rulebook!$K26*d,IFS(x&lt;=ta,0,x&lt;=tb,25*(x-ta)/(tb-ta),x&lt;=tc,25+25*(x-tb)/(tc-tb),x&lt;=te,50+25*(x-tc)/(te-tc),x&lt;tf,75+25*(x-te)/(tf-te),TRUE,100)))</f>
        <v>50</v>
      </c>
      <c r="M26" s="35">
        <f>IF(Inputs!M26="","",LET(d,Rulebook!$L26,x,Inputs!M26*d,ta,Rulebook!$G26*d,tb,Rulebook!$H26*d,tc,Rulebook!$I26*d,te,Rulebook!$J26*d,tf,Rulebook!$K26*d,IFS(x&lt;=ta,0,x&lt;=tb,25*(x-ta)/(tb-ta),x&lt;=tc,25+25*(x-tb)/(tc-tb),x&lt;=te,50+25*(x-tc)/(te-tc),x&lt;tf,75+25*(x-te)/(tf-te),TRUE,100)))</f>
        <v>75</v>
      </c>
      <c r="N26" s="35">
        <f>IF(Inputs!N26="","",LET(d,Rulebook!$L26,x,Inputs!N26*d,ta,Rulebook!$G26*d,tb,Rulebook!$H26*d,tc,Rulebook!$I26*d,te,Rulebook!$J26*d,tf,Rulebook!$K26*d,IFS(x&lt;=ta,0,x&lt;=tb,25*(x-ta)/(tb-ta),x&lt;=tc,25+25*(x-tb)/(tc-tb),x&lt;=te,50+25*(x-tc)/(te-tc),x&lt;tf,75+25*(x-te)/(tf-te),TRUE,100)))</f>
        <v>75</v>
      </c>
      <c r="O26" s="35">
        <f>IF(Inputs!O26="","",LET(d,Rulebook!$L26,x,Inputs!O26*d,ta,Rulebook!$G26*d,tb,Rulebook!$H26*d,tc,Rulebook!$I26*d,te,Rulebook!$J26*d,tf,Rulebook!$K26*d,IFS(x&lt;=ta,0,x&lt;=tb,25*(x-ta)/(tb-ta),x&lt;=tc,25+25*(x-tb)/(tc-tb),x&lt;=te,50+25*(x-tc)/(te-tc),x&lt;tf,75+25*(x-te)/(tf-te),TRUE,100)))</f>
        <v>25</v>
      </c>
      <c r="P26" s="35">
        <f>IF(Inputs!P26="","",LET(d,Rulebook!$L26,x,Inputs!P26*d,ta,Rulebook!$G26*d,tb,Rulebook!$H26*d,tc,Rulebook!$I26*d,te,Rulebook!$J26*d,tf,Rulebook!$K26*d,IFS(x&lt;=ta,0,x&lt;=tb,25*(x-ta)/(tb-ta),x&lt;=tc,25+25*(x-tb)/(tc-tb),x&lt;=te,50+25*(x-tc)/(te-tc),x&lt;tf,75+25*(x-te)/(tf-te),TRUE,100)))</f>
        <v>75</v>
      </c>
      <c r="Q26" s="35">
        <f>IF(Inputs!Q26="","",LET(d,Rulebook!$L26,x,Inputs!Q26*d,ta,Rulebook!$G26*d,tb,Rulebook!$H26*d,tc,Rulebook!$I26*d,te,Rulebook!$J26*d,tf,Rulebook!$K26*d,IFS(x&lt;=ta,0,x&lt;=tb,25*(x-ta)/(tb-ta),x&lt;=tc,25+25*(x-tb)/(tc-tb),x&lt;=te,50+25*(x-tc)/(te-tc),x&lt;tf,75+25*(x-te)/(tf-te),TRUE,100)))</f>
        <v>25</v>
      </c>
      <c r="R26" s="35">
        <f>IF(Inputs!R26="","",LET(d,Rulebook!$L26,x,Inputs!R26*d,ta,Rulebook!$G26*d,tb,Rulebook!$H26*d,tc,Rulebook!$I26*d,te,Rulebook!$J26*d,tf,Rulebook!$K26*d,IFS(x&lt;=ta,0,x&lt;=tb,25*(x-ta)/(tb-ta),x&lt;=tc,25+25*(x-tb)/(tc-tb),x&lt;=te,50+25*(x-tc)/(te-tc),x&lt;tf,75+25*(x-te)/(tf-te),TRUE,100)))</f>
        <v>100</v>
      </c>
      <c r="S26" s="35">
        <f>IF(Inputs!S26="","",LET(d,Rulebook!$L26,x,Inputs!S26*d,ta,Rulebook!$G26*d,tb,Rulebook!$H26*d,tc,Rulebook!$I26*d,te,Rulebook!$J26*d,tf,Rulebook!$K26*d,IFS(x&lt;=ta,0,x&lt;=tb,25*(x-ta)/(tb-ta),x&lt;=tc,25+25*(x-tb)/(tc-tb),x&lt;=te,50+25*(x-tc)/(te-tc),x&lt;tf,75+25*(x-te)/(tf-te),TRUE,100)))</f>
        <v>50</v>
      </c>
      <c r="T26" s="35">
        <f>IF(Inputs!T26="","",LET(d,Rulebook!$L26,x,Inputs!T26*d,ta,Rulebook!$G26*d,tb,Rulebook!$H26*d,tc,Rulebook!$I26*d,te,Rulebook!$J26*d,tf,Rulebook!$K26*d,IFS(x&lt;=ta,0,x&lt;=tb,25*(x-ta)/(tb-ta),x&lt;=tc,25+25*(x-tb)/(tc-tb),x&lt;=te,50+25*(x-tc)/(te-tc),x&lt;tf,75+25*(x-te)/(tf-te),TRUE,100)))</f>
        <v>50</v>
      </c>
      <c r="U26" s="35">
        <f>IF(Inputs!U26="","",LET(d,Rulebook!$L26,x,Inputs!U26*d,ta,Rulebook!$G26*d,tb,Rulebook!$H26*d,tc,Rulebook!$I26*d,te,Rulebook!$J26*d,tf,Rulebook!$K26*d,IFS(x&lt;=ta,0,x&lt;=tb,25*(x-ta)/(tb-ta),x&lt;=tc,25+25*(x-tb)/(tc-tb),x&lt;=te,50+25*(x-tc)/(te-tc),x&lt;tf,75+25*(x-te)/(tf-te),TRUE,100)))</f>
        <v>75</v>
      </c>
      <c r="V26" s="35">
        <f>IF(Inputs!V26="","",LET(d,Rulebook!$L26,x,Inputs!V26*d,ta,Rulebook!$G26*d,tb,Rulebook!$H26*d,tc,Rulebook!$I26*d,te,Rulebook!$J26*d,tf,Rulebook!$K26*d,IFS(x&lt;=ta,0,x&lt;=tb,25*(x-ta)/(tb-ta),x&lt;=tc,25+25*(x-tb)/(tc-tb),x&lt;=te,50+25*(x-tc)/(te-tc),x&lt;tf,75+25*(x-te)/(tf-te),TRUE,100)))</f>
        <v>100</v>
      </c>
    </row>
    <row r="27">
      <c r="A27" s="26" t="s">
        <v>493</v>
      </c>
      <c r="B27" s="26">
        <v>3.0</v>
      </c>
      <c r="C27" s="26" t="s">
        <v>494</v>
      </c>
      <c r="D27" s="26" t="s">
        <v>254</v>
      </c>
      <c r="E27" s="35">
        <f>IF(Inputs!E27="","",LET(d,Rulebook!$L27,x,Inputs!E27*d,ta,Rulebook!$G27*d,tb,Rulebook!$H27*d,tc,Rulebook!$I27*d,te,Rulebook!$J27*d,tf,Rulebook!$K27*d,IFS(x&lt;=ta,0,x&lt;=tb,25*(x-ta)/(tb-ta),x&lt;=tc,25+25*(x-tb)/(tc-tb),x&lt;=te,50+25*(x-tc)/(te-tc),x&lt;tf,75+25*(x-te)/(tf-te),TRUE,100)))</f>
        <v>0</v>
      </c>
      <c r="F27" s="35">
        <f>IF(Inputs!F27="","",LET(d,Rulebook!$L27,x,Inputs!F27*d,ta,Rulebook!$G27*d,tb,Rulebook!$H27*d,tc,Rulebook!$I27*d,te,Rulebook!$J27*d,tf,Rulebook!$K27*d,IFS(x&lt;=ta,0,x&lt;=tb,25*(x-ta)/(tb-ta),x&lt;=tc,25+25*(x-tb)/(tc-tb),x&lt;=te,50+25*(x-tc)/(te-tc),x&lt;tf,75+25*(x-te)/(tf-te),TRUE,100)))</f>
        <v>25</v>
      </c>
      <c r="G27" s="35">
        <f>IF(Inputs!G27="","",LET(d,Rulebook!$L27,x,Inputs!G27*d,ta,Rulebook!$G27*d,tb,Rulebook!$H27*d,tc,Rulebook!$I27*d,te,Rulebook!$J27*d,tf,Rulebook!$K27*d,IFS(x&lt;=ta,0,x&lt;=tb,25*(x-ta)/(tb-ta),x&lt;=tc,25+25*(x-tb)/(tc-tb),x&lt;=te,50+25*(x-tc)/(te-tc),x&lt;tf,75+25*(x-te)/(tf-te),TRUE,100)))</f>
        <v>0</v>
      </c>
      <c r="H27" s="35">
        <f>IF(Inputs!H27="","",LET(d,Rulebook!$L27,x,Inputs!H27*d,ta,Rulebook!$G27*d,tb,Rulebook!$H27*d,tc,Rulebook!$I27*d,te,Rulebook!$J27*d,tf,Rulebook!$K27*d,IFS(x&lt;=ta,0,x&lt;=tb,25*(x-ta)/(tb-ta),x&lt;=tc,25+25*(x-tb)/(tc-tb),x&lt;=te,50+25*(x-tc)/(te-tc),x&lt;tf,75+25*(x-te)/(tf-te),TRUE,100)))</f>
        <v>25</v>
      </c>
      <c r="I27" s="35">
        <f>IF(Inputs!I27="","",LET(d,Rulebook!$L27,x,Inputs!I27*d,ta,Rulebook!$G27*d,tb,Rulebook!$H27*d,tc,Rulebook!$I27*d,te,Rulebook!$J27*d,tf,Rulebook!$K27*d,IFS(x&lt;=ta,0,x&lt;=tb,25*(x-ta)/(tb-ta),x&lt;=tc,25+25*(x-tb)/(tc-tb),x&lt;=te,50+25*(x-tc)/(te-tc),x&lt;tf,75+25*(x-te)/(tf-te),TRUE,100)))</f>
        <v>0</v>
      </c>
      <c r="J27" s="35">
        <f>IF(Inputs!J27="","",LET(d,Rulebook!$L27,x,Inputs!J27*d,ta,Rulebook!$G27*d,tb,Rulebook!$H27*d,tc,Rulebook!$I27*d,te,Rulebook!$J27*d,tf,Rulebook!$K27*d,IFS(x&lt;=ta,0,x&lt;=tb,25*(x-ta)/(tb-ta),x&lt;=tc,25+25*(x-tb)/(tc-tb),x&lt;=te,50+25*(x-tc)/(te-tc),x&lt;tf,75+25*(x-te)/(tf-te),TRUE,100)))</f>
        <v>0</v>
      </c>
      <c r="K27" s="35">
        <f>IF(Inputs!K27="","",LET(d,Rulebook!$L27,x,Inputs!K27*d,ta,Rulebook!$G27*d,tb,Rulebook!$H27*d,tc,Rulebook!$I27*d,te,Rulebook!$J27*d,tf,Rulebook!$K27*d,IFS(x&lt;=ta,0,x&lt;=tb,25*(x-ta)/(tb-ta),x&lt;=tc,25+25*(x-tb)/(tc-tb),x&lt;=te,50+25*(x-tc)/(te-tc),x&lt;tf,75+25*(x-te)/(tf-te),TRUE,100)))</f>
        <v>25</v>
      </c>
      <c r="L27" s="35">
        <f>IF(Inputs!L27="","",LET(d,Rulebook!$L27,x,Inputs!L27*d,ta,Rulebook!$G27*d,tb,Rulebook!$H27*d,tc,Rulebook!$I27*d,te,Rulebook!$J27*d,tf,Rulebook!$K27*d,IFS(x&lt;=ta,0,x&lt;=tb,25*(x-ta)/(tb-ta),x&lt;=tc,25+25*(x-tb)/(tc-tb),x&lt;=te,50+25*(x-tc)/(te-tc),x&lt;tf,75+25*(x-te)/(tf-te),TRUE,100)))</f>
        <v>50</v>
      </c>
      <c r="M27" s="35">
        <f>IF(Inputs!M27="","",LET(d,Rulebook!$L27,x,Inputs!M27*d,ta,Rulebook!$G27*d,tb,Rulebook!$H27*d,tc,Rulebook!$I27*d,te,Rulebook!$J27*d,tf,Rulebook!$K27*d,IFS(x&lt;=ta,0,x&lt;=tb,25*(x-ta)/(tb-ta),x&lt;=tc,25+25*(x-tb)/(tc-tb),x&lt;=te,50+25*(x-tc)/(te-tc),x&lt;tf,75+25*(x-te)/(tf-te),TRUE,100)))</f>
        <v>50</v>
      </c>
      <c r="N27" s="35">
        <f>IF(Inputs!N27="","",LET(d,Rulebook!$L27,x,Inputs!N27*d,ta,Rulebook!$G27*d,tb,Rulebook!$H27*d,tc,Rulebook!$I27*d,te,Rulebook!$J27*d,tf,Rulebook!$K27*d,IFS(x&lt;=ta,0,x&lt;=tb,25*(x-ta)/(tb-ta),x&lt;=tc,25+25*(x-tb)/(tc-tb),x&lt;=te,50+25*(x-tc)/(te-tc),x&lt;tf,75+25*(x-te)/(tf-te),TRUE,100)))</f>
        <v>75</v>
      </c>
      <c r="O27" s="35">
        <f>IF(Inputs!O27="","",LET(d,Rulebook!$L27,x,Inputs!O27*d,ta,Rulebook!$G27*d,tb,Rulebook!$H27*d,tc,Rulebook!$I27*d,te,Rulebook!$J27*d,tf,Rulebook!$K27*d,IFS(x&lt;=ta,0,x&lt;=tb,25*(x-ta)/(tb-ta),x&lt;=tc,25+25*(x-tb)/(tc-tb),x&lt;=te,50+25*(x-tc)/(te-tc),x&lt;tf,75+25*(x-te)/(tf-te),TRUE,100)))</f>
        <v>0</v>
      </c>
      <c r="P27" s="35">
        <f>IF(Inputs!P27="","",LET(d,Rulebook!$L27,x,Inputs!P27*d,ta,Rulebook!$G27*d,tb,Rulebook!$H27*d,tc,Rulebook!$I27*d,te,Rulebook!$J27*d,tf,Rulebook!$K27*d,IFS(x&lt;=ta,0,x&lt;=tb,25*(x-ta)/(tb-ta),x&lt;=tc,25+25*(x-tb)/(tc-tb),x&lt;=te,50+25*(x-tc)/(te-tc),x&lt;tf,75+25*(x-te)/(tf-te),TRUE,100)))</f>
        <v>75</v>
      </c>
      <c r="Q27" s="35">
        <f>IF(Inputs!Q27="","",LET(d,Rulebook!$L27,x,Inputs!Q27*d,ta,Rulebook!$G27*d,tb,Rulebook!$H27*d,tc,Rulebook!$I27*d,te,Rulebook!$J27*d,tf,Rulebook!$K27*d,IFS(x&lt;=ta,0,x&lt;=tb,25*(x-ta)/(tb-ta),x&lt;=tc,25+25*(x-tb)/(tc-tb),x&lt;=te,50+25*(x-tc)/(te-tc),x&lt;tf,75+25*(x-te)/(tf-te),TRUE,100)))</f>
        <v>25</v>
      </c>
      <c r="R27" s="35">
        <f>IF(Inputs!R27="","",LET(d,Rulebook!$L27,x,Inputs!R27*d,ta,Rulebook!$G27*d,tb,Rulebook!$H27*d,tc,Rulebook!$I27*d,te,Rulebook!$J27*d,tf,Rulebook!$K27*d,IFS(x&lt;=ta,0,x&lt;=tb,25*(x-ta)/(tb-ta),x&lt;=tc,25+25*(x-tb)/(tc-tb),x&lt;=te,50+25*(x-tc)/(te-tc),x&lt;tf,75+25*(x-te)/(tf-te),TRUE,100)))</f>
        <v>100</v>
      </c>
      <c r="S27" s="35">
        <f>IF(Inputs!S27="","",LET(d,Rulebook!$L27,x,Inputs!S27*d,ta,Rulebook!$G27*d,tb,Rulebook!$H27*d,tc,Rulebook!$I27*d,te,Rulebook!$J27*d,tf,Rulebook!$K27*d,IFS(x&lt;=ta,0,x&lt;=tb,25*(x-ta)/(tb-ta),x&lt;=tc,25+25*(x-tb)/(tc-tb),x&lt;=te,50+25*(x-tc)/(te-tc),x&lt;tf,75+25*(x-te)/(tf-te),TRUE,100)))</f>
        <v>50</v>
      </c>
      <c r="T27" s="35">
        <f>IF(Inputs!T27="","",LET(d,Rulebook!$L27,x,Inputs!T27*d,ta,Rulebook!$G27*d,tb,Rulebook!$H27*d,tc,Rulebook!$I27*d,te,Rulebook!$J27*d,tf,Rulebook!$K27*d,IFS(x&lt;=ta,0,x&lt;=tb,25*(x-ta)/(tb-ta),x&lt;=tc,25+25*(x-tb)/(tc-tb),x&lt;=te,50+25*(x-tc)/(te-tc),x&lt;tf,75+25*(x-te)/(tf-te),TRUE,100)))</f>
        <v>25</v>
      </c>
      <c r="U27" s="35">
        <f>IF(Inputs!U27="","",LET(d,Rulebook!$L27,x,Inputs!U27*d,ta,Rulebook!$G27*d,tb,Rulebook!$H27*d,tc,Rulebook!$I27*d,te,Rulebook!$J27*d,tf,Rulebook!$K27*d,IFS(x&lt;=ta,0,x&lt;=tb,25*(x-ta)/(tb-ta),x&lt;=tc,25+25*(x-tb)/(tc-tb),x&lt;=te,50+25*(x-tc)/(te-tc),x&lt;tf,75+25*(x-te)/(tf-te),TRUE,100)))</f>
        <v>50</v>
      </c>
      <c r="V27" s="35">
        <f>IF(Inputs!V27="","",LET(d,Rulebook!$L27,x,Inputs!V27*d,ta,Rulebook!$G27*d,tb,Rulebook!$H27*d,tc,Rulebook!$I27*d,te,Rulebook!$J27*d,tf,Rulebook!$K27*d,IFS(x&lt;=ta,0,x&lt;=tb,25*(x-ta)/(tb-ta),x&lt;=tc,25+25*(x-tb)/(tc-tb),x&lt;=te,50+25*(x-tc)/(te-tc),x&lt;tf,75+25*(x-te)/(tf-te),TRUE,100)))</f>
        <v>75</v>
      </c>
    </row>
    <row r="28">
      <c r="A28" s="26" t="s">
        <v>499</v>
      </c>
      <c r="B28" s="26">
        <v>3.0</v>
      </c>
      <c r="C28" s="26" t="s">
        <v>500</v>
      </c>
      <c r="D28" s="26" t="s">
        <v>254</v>
      </c>
      <c r="E28" s="35">
        <f>IF(Inputs!E28="","",LET(d,Rulebook!$L28,x,Inputs!E28*d,ta,Rulebook!$G28*d,tb,Rulebook!$H28*d,tc,Rulebook!$I28*d,te,Rulebook!$J28*d,tf,Rulebook!$K28*d,IFS(x&lt;=ta,0,x&lt;=tb,25*(x-ta)/(tb-ta),x&lt;=tc,25+25*(x-tb)/(tc-tb),x&lt;=te,50+25*(x-tc)/(te-tc),x&lt;tf,75+25*(x-te)/(tf-te),TRUE,100)))</f>
        <v>50</v>
      </c>
      <c r="F28" s="35">
        <f>IF(Inputs!F28="","",LET(d,Rulebook!$L28,x,Inputs!F28*d,ta,Rulebook!$G28*d,tb,Rulebook!$H28*d,tc,Rulebook!$I28*d,te,Rulebook!$J28*d,tf,Rulebook!$K28*d,IFS(x&lt;=ta,0,x&lt;=tb,25*(x-ta)/(tb-ta),x&lt;=tc,25+25*(x-tb)/(tc-tb),x&lt;=te,50+25*(x-tc)/(te-tc),x&lt;tf,75+25*(x-te)/(tf-te),TRUE,100)))</f>
        <v>0</v>
      </c>
      <c r="G28" s="35">
        <f>IF(Inputs!G28="","",LET(d,Rulebook!$L28,x,Inputs!G28*d,ta,Rulebook!$G28*d,tb,Rulebook!$H28*d,tc,Rulebook!$I28*d,te,Rulebook!$J28*d,tf,Rulebook!$K28*d,IFS(x&lt;=ta,0,x&lt;=tb,25*(x-ta)/(tb-ta),x&lt;=tc,25+25*(x-tb)/(tc-tb),x&lt;=te,50+25*(x-tc)/(te-tc),x&lt;tf,75+25*(x-te)/(tf-te),TRUE,100)))</f>
        <v>0</v>
      </c>
      <c r="H28" s="35">
        <f>IF(Inputs!H28="","",LET(d,Rulebook!$L28,x,Inputs!H28*d,ta,Rulebook!$G28*d,tb,Rulebook!$H28*d,tc,Rulebook!$I28*d,te,Rulebook!$J28*d,tf,Rulebook!$K28*d,IFS(x&lt;=ta,0,x&lt;=tb,25*(x-ta)/(tb-ta),x&lt;=tc,25+25*(x-tb)/(tc-tb),x&lt;=te,50+25*(x-tc)/(te-tc),x&lt;tf,75+25*(x-te)/(tf-te),TRUE,100)))</f>
        <v>0</v>
      </c>
      <c r="I28" s="35">
        <f>IF(Inputs!I28="","",LET(d,Rulebook!$L28,x,Inputs!I28*d,ta,Rulebook!$G28*d,tb,Rulebook!$H28*d,tc,Rulebook!$I28*d,te,Rulebook!$J28*d,tf,Rulebook!$K28*d,IFS(x&lt;=ta,0,x&lt;=tb,25*(x-ta)/(tb-ta),x&lt;=tc,25+25*(x-tb)/(tc-tb),x&lt;=te,50+25*(x-tc)/(te-tc),x&lt;tf,75+25*(x-te)/(tf-te),TRUE,100)))</f>
        <v>0</v>
      </c>
      <c r="J28" s="35">
        <f>IF(Inputs!J28="","",LET(d,Rulebook!$L28,x,Inputs!J28*d,ta,Rulebook!$G28*d,tb,Rulebook!$H28*d,tc,Rulebook!$I28*d,te,Rulebook!$J28*d,tf,Rulebook!$K28*d,IFS(x&lt;=ta,0,x&lt;=tb,25*(x-ta)/(tb-ta),x&lt;=tc,25+25*(x-tb)/(tc-tb),x&lt;=te,50+25*(x-tc)/(te-tc),x&lt;tf,75+25*(x-te)/(tf-te),TRUE,100)))</f>
        <v>0</v>
      </c>
      <c r="K28" s="35">
        <f>IF(Inputs!K28="","",LET(d,Rulebook!$L28,x,Inputs!K28*d,ta,Rulebook!$G28*d,tb,Rulebook!$H28*d,tc,Rulebook!$I28*d,te,Rulebook!$J28*d,tf,Rulebook!$K28*d,IFS(x&lt;=ta,0,x&lt;=tb,25*(x-ta)/(tb-ta),x&lt;=tc,25+25*(x-tb)/(tc-tb),x&lt;=te,50+25*(x-tc)/(te-tc),x&lt;tf,75+25*(x-te)/(tf-te),TRUE,100)))</f>
        <v>0</v>
      </c>
      <c r="L28" s="35">
        <f>IF(Inputs!L28="","",LET(d,Rulebook!$L28,x,Inputs!L28*d,ta,Rulebook!$G28*d,tb,Rulebook!$H28*d,tc,Rulebook!$I28*d,te,Rulebook!$J28*d,tf,Rulebook!$K28*d,IFS(x&lt;=ta,0,x&lt;=tb,25*(x-ta)/(tb-ta),x&lt;=tc,25+25*(x-tb)/(tc-tb),x&lt;=te,50+25*(x-tc)/(te-tc),x&lt;tf,75+25*(x-te)/(tf-te),TRUE,100)))</f>
        <v>75</v>
      </c>
      <c r="M28" s="35">
        <f>IF(Inputs!M28="","",LET(d,Rulebook!$L28,x,Inputs!M28*d,ta,Rulebook!$G28*d,tb,Rulebook!$H28*d,tc,Rulebook!$I28*d,te,Rulebook!$J28*d,tf,Rulebook!$K28*d,IFS(x&lt;=ta,0,x&lt;=tb,25*(x-ta)/(tb-ta),x&lt;=tc,25+25*(x-tb)/(tc-tb),x&lt;=te,50+25*(x-tc)/(te-tc),x&lt;tf,75+25*(x-te)/(tf-te),TRUE,100)))</f>
        <v>25</v>
      </c>
      <c r="N28" s="35">
        <f>IF(Inputs!N28="","",LET(d,Rulebook!$L28,x,Inputs!N28*d,ta,Rulebook!$G28*d,tb,Rulebook!$H28*d,tc,Rulebook!$I28*d,te,Rulebook!$J28*d,tf,Rulebook!$K28*d,IFS(x&lt;=ta,0,x&lt;=tb,25*(x-ta)/(tb-ta),x&lt;=tc,25+25*(x-tb)/(tc-tb),x&lt;=te,50+25*(x-tc)/(te-tc),x&lt;tf,75+25*(x-te)/(tf-te),TRUE,100)))</f>
        <v>50</v>
      </c>
      <c r="O28" s="35">
        <f>IF(Inputs!O28="","",LET(d,Rulebook!$L28,x,Inputs!O28*d,ta,Rulebook!$G28*d,tb,Rulebook!$H28*d,tc,Rulebook!$I28*d,te,Rulebook!$J28*d,tf,Rulebook!$K28*d,IFS(x&lt;=ta,0,x&lt;=tb,25*(x-ta)/(tb-ta),x&lt;=tc,25+25*(x-tb)/(tc-tb),x&lt;=te,50+25*(x-tc)/(te-tc),x&lt;tf,75+25*(x-te)/(tf-te),TRUE,100)))</f>
        <v>50</v>
      </c>
      <c r="P28" s="35">
        <f>IF(Inputs!P28="","",LET(d,Rulebook!$L28,x,Inputs!P28*d,ta,Rulebook!$G28*d,tb,Rulebook!$H28*d,tc,Rulebook!$I28*d,te,Rulebook!$J28*d,tf,Rulebook!$K28*d,IFS(x&lt;=ta,0,x&lt;=tb,25*(x-ta)/(tb-ta),x&lt;=tc,25+25*(x-tb)/(tc-tb),x&lt;=te,50+25*(x-tc)/(te-tc),x&lt;tf,75+25*(x-te)/(tf-te),TRUE,100)))</f>
        <v>25</v>
      </c>
      <c r="Q28" s="35">
        <f>IF(Inputs!Q28="","",LET(d,Rulebook!$L28,x,Inputs!Q28*d,ta,Rulebook!$G28*d,tb,Rulebook!$H28*d,tc,Rulebook!$I28*d,te,Rulebook!$J28*d,tf,Rulebook!$K28*d,IFS(x&lt;=ta,0,x&lt;=tb,25*(x-ta)/(tb-ta),x&lt;=tc,25+25*(x-tb)/(tc-tb),x&lt;=te,50+25*(x-tc)/(te-tc),x&lt;tf,75+25*(x-te)/(tf-te),TRUE,100)))</f>
        <v>25</v>
      </c>
      <c r="R28" s="35">
        <f>IF(Inputs!R28="","",LET(d,Rulebook!$L28,x,Inputs!R28*d,ta,Rulebook!$G28*d,tb,Rulebook!$H28*d,tc,Rulebook!$I28*d,te,Rulebook!$J28*d,tf,Rulebook!$K28*d,IFS(x&lt;=ta,0,x&lt;=tb,25*(x-ta)/(tb-ta),x&lt;=tc,25+25*(x-tb)/(tc-tb),x&lt;=te,50+25*(x-tc)/(te-tc),x&lt;tf,75+25*(x-te)/(tf-te),TRUE,100)))</f>
        <v>100</v>
      </c>
      <c r="S28" s="35">
        <f>IF(Inputs!S28="","",LET(d,Rulebook!$L28,x,Inputs!S28*d,ta,Rulebook!$G28*d,tb,Rulebook!$H28*d,tc,Rulebook!$I28*d,te,Rulebook!$J28*d,tf,Rulebook!$K28*d,IFS(x&lt;=ta,0,x&lt;=tb,25*(x-ta)/(tb-ta),x&lt;=tc,25+25*(x-tb)/(tc-tb),x&lt;=te,50+25*(x-tc)/(te-tc),x&lt;tf,75+25*(x-te)/(tf-te),TRUE,100)))</f>
        <v>25</v>
      </c>
      <c r="T28" s="35">
        <f>IF(Inputs!T28="","",LET(d,Rulebook!$L28,x,Inputs!T28*d,ta,Rulebook!$G28*d,tb,Rulebook!$H28*d,tc,Rulebook!$I28*d,te,Rulebook!$J28*d,tf,Rulebook!$K28*d,IFS(x&lt;=ta,0,x&lt;=tb,25*(x-ta)/(tb-ta),x&lt;=tc,25+25*(x-tb)/(tc-tb),x&lt;=te,50+25*(x-tc)/(te-tc),x&lt;tf,75+25*(x-te)/(tf-te),TRUE,100)))</f>
        <v>0</v>
      </c>
      <c r="U28" s="35">
        <f>IF(Inputs!U28="","",LET(d,Rulebook!$L28,x,Inputs!U28*d,ta,Rulebook!$G28*d,tb,Rulebook!$H28*d,tc,Rulebook!$I28*d,te,Rulebook!$J28*d,tf,Rulebook!$K28*d,IFS(x&lt;=ta,0,x&lt;=tb,25*(x-ta)/(tb-ta),x&lt;=tc,25+25*(x-tb)/(tc-tb),x&lt;=te,50+25*(x-tc)/(te-tc),x&lt;tf,75+25*(x-te)/(tf-te),TRUE,100)))</f>
        <v>25</v>
      </c>
      <c r="V28" s="35">
        <f>IF(Inputs!V28="","",LET(d,Rulebook!$L28,x,Inputs!V28*d,ta,Rulebook!$G28*d,tb,Rulebook!$H28*d,tc,Rulebook!$I28*d,te,Rulebook!$J28*d,tf,Rulebook!$K28*d,IFS(x&lt;=ta,0,x&lt;=tb,25*(x-ta)/(tb-ta),x&lt;=tc,25+25*(x-tb)/(tc-tb),x&lt;=te,50+25*(x-tc)/(te-tc),x&lt;tf,75+25*(x-te)/(tf-te),TRUE,100)))</f>
        <v>25</v>
      </c>
    </row>
    <row r="29">
      <c r="A29" s="26" t="s">
        <v>508</v>
      </c>
      <c r="B29" s="26">
        <v>3.0</v>
      </c>
      <c r="C29" s="26" t="s">
        <v>509</v>
      </c>
      <c r="D29" s="26" t="s">
        <v>510</v>
      </c>
      <c r="E29" s="35">
        <f>IF(Inputs!E29="","",LET(d,Rulebook!$L29,x,Inputs!E29*d,ta,Rulebook!$G29*d,tb,Rulebook!$H29*d,tc,Rulebook!$I29*d,te,Rulebook!$J29*d,tf,Rulebook!$K29*d,IFS(x&lt;=ta,0,x&lt;=tb,25*(x-ta)/(tb-ta),x&lt;=tc,25+25*(x-tb)/(tc-tb),x&lt;=te,50+25*(x-tc)/(te-tc),x&lt;tf,75+25*(x-te)/(tf-te),TRUE,100)))</f>
        <v>25</v>
      </c>
      <c r="F29" s="35">
        <f>IF(Inputs!F29="","",LET(d,Rulebook!$L29,x,Inputs!F29*d,ta,Rulebook!$G29*d,tb,Rulebook!$H29*d,tc,Rulebook!$I29*d,te,Rulebook!$J29*d,tf,Rulebook!$K29*d,IFS(x&lt;=ta,0,x&lt;=tb,25*(x-ta)/(tb-ta),x&lt;=tc,25+25*(x-tb)/(tc-tb),x&lt;=te,50+25*(x-tc)/(te-tc),x&lt;tf,75+25*(x-te)/(tf-te),TRUE,100)))</f>
        <v>25</v>
      </c>
      <c r="G29" s="35">
        <f>IF(Inputs!G29="","",LET(d,Rulebook!$L29,x,Inputs!G29*d,ta,Rulebook!$G29*d,tb,Rulebook!$H29*d,tc,Rulebook!$I29*d,te,Rulebook!$J29*d,tf,Rulebook!$K29*d,IFS(x&lt;=ta,0,x&lt;=tb,25*(x-ta)/(tb-ta),x&lt;=tc,25+25*(x-tb)/(tc-tb),x&lt;=te,50+25*(x-tc)/(te-tc),x&lt;tf,75+25*(x-te)/(tf-te),TRUE,100)))</f>
        <v>41.66666667</v>
      </c>
      <c r="H29" s="35">
        <f>IF(Inputs!H29="","",LET(d,Rulebook!$L29,x,Inputs!H29*d,ta,Rulebook!$G29*d,tb,Rulebook!$H29*d,tc,Rulebook!$I29*d,te,Rulebook!$J29*d,tf,Rulebook!$K29*d,IFS(x&lt;=ta,0,x&lt;=tb,25*(x-ta)/(tb-ta),x&lt;=tc,25+25*(x-tb)/(tc-tb),x&lt;=te,50+25*(x-tc)/(te-tc),x&lt;tf,75+25*(x-te)/(tf-te),TRUE,100)))</f>
        <v>15</v>
      </c>
      <c r="I29" s="35">
        <f>IF(Inputs!I29="","",LET(d,Rulebook!$L29,x,Inputs!I29*d,ta,Rulebook!$G29*d,tb,Rulebook!$H29*d,tc,Rulebook!$I29*d,te,Rulebook!$J29*d,tf,Rulebook!$K29*d,IFS(x&lt;=ta,0,x&lt;=tb,25*(x-ta)/(tb-ta),x&lt;=tc,25+25*(x-tb)/(tc-tb),x&lt;=te,50+25*(x-tc)/(te-tc),x&lt;tf,75+25*(x-te)/(tf-te),TRUE,100)))</f>
        <v>25</v>
      </c>
      <c r="J29" s="35">
        <f>IF(Inputs!J29="","",LET(d,Rulebook!$L29,x,Inputs!J29*d,ta,Rulebook!$G29*d,tb,Rulebook!$H29*d,tc,Rulebook!$I29*d,te,Rulebook!$J29*d,tf,Rulebook!$K29*d,IFS(x&lt;=ta,0,x&lt;=tb,25*(x-ta)/(tb-ta),x&lt;=tc,25+25*(x-tb)/(tc-tb),x&lt;=te,50+25*(x-tc)/(te-tc),x&lt;tf,75+25*(x-te)/(tf-te),TRUE,100)))</f>
        <v>25</v>
      </c>
      <c r="K29" s="35">
        <f>IF(Inputs!K29="","",LET(d,Rulebook!$L29,x,Inputs!K29*d,ta,Rulebook!$G29*d,tb,Rulebook!$H29*d,tc,Rulebook!$I29*d,te,Rulebook!$J29*d,tf,Rulebook!$K29*d,IFS(x&lt;=ta,0,x&lt;=tb,25*(x-ta)/(tb-ta),x&lt;=tc,25+25*(x-tb)/(tc-tb),x&lt;=te,50+25*(x-tc)/(te-tc),x&lt;tf,75+25*(x-te)/(tf-te),TRUE,100)))</f>
        <v>33.33333333</v>
      </c>
      <c r="L29" s="35">
        <f>IF(Inputs!L29="","",LET(d,Rulebook!$L29,x,Inputs!L29*d,ta,Rulebook!$G29*d,tb,Rulebook!$H29*d,tc,Rulebook!$I29*d,te,Rulebook!$J29*d,tf,Rulebook!$K29*d,IFS(x&lt;=ta,0,x&lt;=tb,25*(x-ta)/(tb-ta),x&lt;=tc,25+25*(x-tb)/(tc-tb),x&lt;=te,50+25*(x-tc)/(te-tc),x&lt;tf,75+25*(x-te)/(tf-te),TRUE,100)))</f>
        <v>25</v>
      </c>
      <c r="M29" s="35">
        <f>IF(Inputs!M29="","",LET(d,Rulebook!$L29,x,Inputs!M29*d,ta,Rulebook!$G29*d,tb,Rulebook!$H29*d,tc,Rulebook!$I29*d,te,Rulebook!$J29*d,tf,Rulebook!$K29*d,IFS(x&lt;=ta,0,x&lt;=tb,25*(x-ta)/(tb-ta),x&lt;=tc,25+25*(x-tb)/(tc-tb),x&lt;=te,50+25*(x-tc)/(te-tc),x&lt;tf,75+25*(x-te)/(tf-te),TRUE,100)))</f>
        <v>58.33333333</v>
      </c>
      <c r="N29" s="35">
        <f>IF(Inputs!N29="","",LET(d,Rulebook!$L29,x,Inputs!N29*d,ta,Rulebook!$G29*d,tb,Rulebook!$H29*d,tc,Rulebook!$I29*d,te,Rulebook!$J29*d,tf,Rulebook!$K29*d,IFS(x&lt;=ta,0,x&lt;=tb,25*(x-ta)/(tb-ta),x&lt;=tc,25+25*(x-tb)/(tc-tb),x&lt;=te,50+25*(x-tc)/(te-tc),x&lt;tf,75+25*(x-te)/(tf-te),TRUE,100)))</f>
        <v>41.66666667</v>
      </c>
      <c r="O29" s="35">
        <f>IF(Inputs!O29="","",LET(d,Rulebook!$L29,x,Inputs!O29*d,ta,Rulebook!$G29*d,tb,Rulebook!$H29*d,tc,Rulebook!$I29*d,te,Rulebook!$J29*d,tf,Rulebook!$K29*d,IFS(x&lt;=ta,0,x&lt;=tb,25*(x-ta)/(tb-ta),x&lt;=tc,25+25*(x-tb)/(tc-tb),x&lt;=te,50+25*(x-tc)/(te-tc),x&lt;tf,75+25*(x-te)/(tf-te),TRUE,100)))</f>
        <v>15</v>
      </c>
      <c r="P29" s="35">
        <f>IF(Inputs!P29="","",LET(d,Rulebook!$L29,x,Inputs!P29*d,ta,Rulebook!$G29*d,tb,Rulebook!$H29*d,tc,Rulebook!$I29*d,te,Rulebook!$J29*d,tf,Rulebook!$K29*d,IFS(x&lt;=ta,0,x&lt;=tb,25*(x-ta)/(tb-ta),x&lt;=tc,25+25*(x-tb)/(tc-tb),x&lt;=te,50+25*(x-tc)/(te-tc),x&lt;tf,75+25*(x-te)/(tf-te),TRUE,100)))</f>
        <v>15</v>
      </c>
      <c r="Q29" s="35">
        <f>IF(Inputs!Q29="","",LET(d,Rulebook!$L29,x,Inputs!Q29*d,ta,Rulebook!$G29*d,tb,Rulebook!$H29*d,tc,Rulebook!$I29*d,te,Rulebook!$J29*d,tf,Rulebook!$K29*d,IFS(x&lt;=ta,0,x&lt;=tb,25*(x-ta)/(tb-ta),x&lt;=tc,25+25*(x-tb)/(tc-tb),x&lt;=te,50+25*(x-tc)/(te-tc),x&lt;tf,75+25*(x-te)/(tf-te),TRUE,100)))</f>
        <v>41.66666667</v>
      </c>
      <c r="R29" s="35">
        <f>IF(Inputs!R29="","",LET(d,Rulebook!$L29,x,Inputs!R29*d,ta,Rulebook!$G29*d,tb,Rulebook!$H29*d,tc,Rulebook!$I29*d,te,Rulebook!$J29*d,tf,Rulebook!$K29*d,IFS(x&lt;=ta,0,x&lt;=tb,25*(x-ta)/(tb-ta),x&lt;=tc,25+25*(x-tb)/(tc-tb),x&lt;=te,50+25*(x-tc)/(te-tc),x&lt;tf,75+25*(x-te)/(tf-te),TRUE,100)))</f>
        <v>41.66666667</v>
      </c>
      <c r="S29" s="35">
        <f>IF(Inputs!S29="","",LET(d,Rulebook!$L29,x,Inputs!S29*d,ta,Rulebook!$G29*d,tb,Rulebook!$H29*d,tc,Rulebook!$I29*d,te,Rulebook!$J29*d,tf,Rulebook!$K29*d,IFS(x&lt;=ta,0,x&lt;=tb,25*(x-ta)/(tb-ta),x&lt;=tc,25+25*(x-tb)/(tc-tb),x&lt;=te,50+25*(x-tc)/(te-tc),x&lt;tf,75+25*(x-te)/(tf-te),TRUE,100)))</f>
        <v>25</v>
      </c>
      <c r="T29" s="35">
        <f>IF(Inputs!T29="","",LET(d,Rulebook!$L29,x,Inputs!T29*d,ta,Rulebook!$G29*d,tb,Rulebook!$H29*d,tc,Rulebook!$I29*d,te,Rulebook!$J29*d,tf,Rulebook!$K29*d,IFS(x&lt;=ta,0,x&lt;=tb,25*(x-ta)/(tb-ta),x&lt;=tc,25+25*(x-tb)/(tc-tb),x&lt;=te,50+25*(x-tc)/(te-tc),x&lt;tf,75+25*(x-te)/(tf-te),TRUE,100)))</f>
        <v>50</v>
      </c>
      <c r="U29" s="35">
        <f>IF(Inputs!U29="","",LET(d,Rulebook!$L29,x,Inputs!U29*d,ta,Rulebook!$G29*d,tb,Rulebook!$H29*d,tc,Rulebook!$I29*d,te,Rulebook!$J29*d,tf,Rulebook!$K29*d,IFS(x&lt;=ta,0,x&lt;=tb,25*(x-ta)/(tb-ta),x&lt;=tc,25+25*(x-tb)/(tc-tb),x&lt;=te,50+25*(x-tc)/(te-tc),x&lt;tf,75+25*(x-te)/(tf-te),TRUE,100)))</f>
        <v>10</v>
      </c>
      <c r="V29" s="35">
        <f>IF(Inputs!V29="","",LET(d,Rulebook!$L29,x,Inputs!V29*d,ta,Rulebook!$G29*d,tb,Rulebook!$H29*d,tc,Rulebook!$I29*d,te,Rulebook!$J29*d,tf,Rulebook!$K29*d,IFS(x&lt;=ta,0,x&lt;=tb,25*(x-ta)/(tb-ta),x&lt;=tc,25+25*(x-tb)/(tc-tb),x&lt;=te,50+25*(x-tc)/(te-tc),x&lt;tf,75+25*(x-te)/(tf-te),TRUE,100)))</f>
        <v>33.33333333</v>
      </c>
    </row>
    <row r="30">
      <c r="A30" s="26" t="s">
        <v>517</v>
      </c>
      <c r="B30" s="26">
        <v>3.0</v>
      </c>
      <c r="C30" s="26" t="s">
        <v>518</v>
      </c>
      <c r="D30" s="26" t="s">
        <v>520</v>
      </c>
      <c r="E30" s="35">
        <f>IF(Inputs!E30="","",LET(d,Rulebook!$L30,x,Inputs!E30*d,ta,Rulebook!$G30*d,tb,Rulebook!$H30*d,tc,Rulebook!$I30*d,te,Rulebook!$J30*d,tf,Rulebook!$K30*d,IFS(x&lt;=ta,0,x&lt;=tb,25*(x-ta)/(tb-ta),x&lt;=tc,25+25*(x-tb)/(tc-tb),x&lt;=te,50+25*(x-tc)/(te-tc),x&lt;tf,75+25*(x-te)/(tf-te),TRUE,100)))</f>
        <v>47.5</v>
      </c>
      <c r="F30" s="35">
        <f>IF(Inputs!F30="","",LET(d,Rulebook!$L30,x,Inputs!F30*d,ta,Rulebook!$G30*d,tb,Rulebook!$H30*d,tc,Rulebook!$I30*d,te,Rulebook!$J30*d,tf,Rulebook!$K30*d,IFS(x&lt;=ta,0,x&lt;=tb,25*(x-ta)/(tb-ta),x&lt;=tc,25+25*(x-tb)/(tc-tb),x&lt;=te,50+25*(x-tc)/(te-tc),x&lt;tf,75+25*(x-te)/(tf-te),TRUE,100)))</f>
        <v>43.75</v>
      </c>
      <c r="G30" s="35">
        <f>IF(Inputs!G30="","",LET(d,Rulebook!$L30,x,Inputs!G30*d,ta,Rulebook!$G30*d,tb,Rulebook!$H30*d,tc,Rulebook!$I30*d,te,Rulebook!$J30*d,tf,Rulebook!$K30*d,IFS(x&lt;=ta,0,x&lt;=tb,25*(x-ta)/(tb-ta),x&lt;=tc,25+25*(x-tb)/(tc-tb),x&lt;=te,50+25*(x-tc)/(te-tc),x&lt;tf,75+25*(x-te)/(tf-te),TRUE,100)))</f>
        <v>47.5</v>
      </c>
      <c r="H30" s="35">
        <f>IF(Inputs!H30="","",LET(d,Rulebook!$L30,x,Inputs!H30*d,ta,Rulebook!$G30*d,tb,Rulebook!$H30*d,tc,Rulebook!$I30*d,te,Rulebook!$J30*d,tf,Rulebook!$K30*d,IFS(x&lt;=ta,0,x&lt;=tb,25*(x-ta)/(tb-ta),x&lt;=tc,25+25*(x-tb)/(tc-tb),x&lt;=te,50+25*(x-tc)/(te-tc),x&lt;tf,75+25*(x-te)/(tf-te),TRUE,100)))</f>
        <v>18.75</v>
      </c>
      <c r="I30" s="35">
        <f>IF(Inputs!I30="","",LET(d,Rulebook!$L30,x,Inputs!I30*d,ta,Rulebook!$G30*d,tb,Rulebook!$H30*d,tc,Rulebook!$I30*d,te,Rulebook!$J30*d,tf,Rulebook!$K30*d,IFS(x&lt;=ta,0,x&lt;=tb,25*(x-ta)/(tb-ta),x&lt;=tc,25+25*(x-tb)/(tc-tb),x&lt;=te,50+25*(x-tc)/(te-tc),x&lt;tf,75+25*(x-te)/(tf-te),TRUE,100)))</f>
        <v>0</v>
      </c>
      <c r="J30" s="35">
        <f>IF(Inputs!J30="","",LET(d,Rulebook!$L30,x,Inputs!J30*d,ta,Rulebook!$G30*d,tb,Rulebook!$H30*d,tc,Rulebook!$I30*d,te,Rulebook!$J30*d,tf,Rulebook!$K30*d,IFS(x&lt;=ta,0,x&lt;=tb,25*(x-ta)/(tb-ta),x&lt;=tc,25+25*(x-tb)/(tc-tb),x&lt;=te,50+25*(x-tc)/(te-tc),x&lt;tf,75+25*(x-te)/(tf-te),TRUE,100)))</f>
        <v>0</v>
      </c>
      <c r="K30" s="35">
        <f>IF(Inputs!K30="","",LET(d,Rulebook!$L30,x,Inputs!K30*d,ta,Rulebook!$G30*d,tb,Rulebook!$H30*d,tc,Rulebook!$I30*d,te,Rulebook!$J30*d,tf,Rulebook!$K30*d,IFS(x&lt;=ta,0,x&lt;=tb,25*(x-ta)/(tb-ta),x&lt;=tc,25+25*(x-tb)/(tc-tb),x&lt;=te,50+25*(x-tc)/(te-tc),x&lt;tf,75+25*(x-te)/(tf-te),TRUE,100)))</f>
        <v>0</v>
      </c>
      <c r="L30" s="35">
        <f>IF(Inputs!L30="","",LET(d,Rulebook!$L30,x,Inputs!L30*d,ta,Rulebook!$G30*d,tb,Rulebook!$H30*d,tc,Rulebook!$I30*d,te,Rulebook!$J30*d,tf,Rulebook!$K30*d,IFS(x&lt;=ta,0,x&lt;=tb,25*(x-ta)/(tb-ta),x&lt;=tc,25+25*(x-tb)/(tc-tb),x&lt;=te,50+25*(x-tc)/(te-tc),x&lt;tf,75+25*(x-te)/(tf-te),TRUE,100)))</f>
        <v>40</v>
      </c>
      <c r="M30" s="35">
        <f>IF(Inputs!M30="","",LET(d,Rulebook!$L30,x,Inputs!M30*d,ta,Rulebook!$G30*d,tb,Rulebook!$H30*d,tc,Rulebook!$I30*d,te,Rulebook!$J30*d,tf,Rulebook!$K30*d,IFS(x&lt;=ta,0,x&lt;=tb,25*(x-ta)/(tb-ta),x&lt;=tc,25+25*(x-tb)/(tc-tb),x&lt;=te,50+25*(x-tc)/(te-tc),x&lt;tf,75+25*(x-te)/(tf-te),TRUE,100)))</f>
        <v>80</v>
      </c>
      <c r="N30" s="35">
        <f>IF(Inputs!N30="","",LET(d,Rulebook!$L30,x,Inputs!N30*d,ta,Rulebook!$G30*d,tb,Rulebook!$H30*d,tc,Rulebook!$I30*d,te,Rulebook!$J30*d,tf,Rulebook!$K30*d,IFS(x&lt;=ta,0,x&lt;=tb,25*(x-ta)/(tb-ta),x&lt;=tc,25+25*(x-tb)/(tc-tb),x&lt;=te,50+25*(x-tc)/(te-tc),x&lt;tf,75+25*(x-te)/(tf-te),TRUE,100)))</f>
        <v>66.66666667</v>
      </c>
      <c r="O30" s="35">
        <f>IF(Inputs!O30="","",LET(d,Rulebook!$L30,x,Inputs!O30*d,ta,Rulebook!$G30*d,tb,Rulebook!$H30*d,tc,Rulebook!$I30*d,te,Rulebook!$J30*d,tf,Rulebook!$K30*d,IFS(x&lt;=ta,0,x&lt;=tb,25*(x-ta)/(tb-ta),x&lt;=tc,25+25*(x-tb)/(tc-tb),x&lt;=te,50+25*(x-tc)/(te-tc),x&lt;tf,75+25*(x-te)/(tf-te),TRUE,100)))</f>
        <v>47.5</v>
      </c>
      <c r="P30" s="35">
        <f>IF(Inputs!P30="","",LET(d,Rulebook!$L30,x,Inputs!P30*d,ta,Rulebook!$G30*d,tb,Rulebook!$H30*d,tc,Rulebook!$I30*d,te,Rulebook!$J30*d,tf,Rulebook!$K30*d,IFS(x&lt;=ta,0,x&lt;=tb,25*(x-ta)/(tb-ta),x&lt;=tc,25+25*(x-tb)/(tc-tb),x&lt;=te,50+25*(x-tc)/(te-tc),x&lt;tf,75+25*(x-te)/(tf-te),TRUE,100)))</f>
        <v>53.33333333</v>
      </c>
      <c r="Q30" s="35">
        <f>IF(Inputs!Q30="","",LET(d,Rulebook!$L30,x,Inputs!Q30*d,ta,Rulebook!$G30*d,tb,Rulebook!$H30*d,tc,Rulebook!$I30*d,te,Rulebook!$J30*d,tf,Rulebook!$K30*d,IFS(x&lt;=ta,0,x&lt;=tb,25*(x-ta)/(tb-ta),x&lt;=tc,25+25*(x-tb)/(tc-tb),x&lt;=te,50+25*(x-tc)/(te-tc),x&lt;tf,75+25*(x-te)/(tf-te),TRUE,100)))</f>
        <v>43.75</v>
      </c>
      <c r="R30" s="35">
        <f>IF(Inputs!R30="","",LET(d,Rulebook!$L30,x,Inputs!R30*d,ta,Rulebook!$G30*d,tb,Rulebook!$H30*d,tc,Rulebook!$I30*d,te,Rulebook!$J30*d,tf,Rulebook!$K30*d,IFS(x&lt;=ta,0,x&lt;=tb,25*(x-ta)/(tb-ta),x&lt;=tc,25+25*(x-tb)/(tc-tb),x&lt;=te,50+25*(x-tc)/(te-tc),x&lt;tf,75+25*(x-te)/(tf-te),TRUE,100)))</f>
        <v>100</v>
      </c>
      <c r="S30" s="35">
        <f>IF(Inputs!S30="","",LET(d,Rulebook!$L30,x,Inputs!S30*d,ta,Rulebook!$G30*d,tb,Rulebook!$H30*d,tc,Rulebook!$I30*d,te,Rulebook!$J30*d,tf,Rulebook!$K30*d,IFS(x&lt;=ta,0,x&lt;=tb,25*(x-ta)/(tb-ta),x&lt;=tc,25+25*(x-tb)/(tc-tb),x&lt;=te,50+25*(x-tc)/(te-tc),x&lt;tf,75+25*(x-te)/(tf-te),TRUE,100)))</f>
        <v>91.66666667</v>
      </c>
      <c r="T30" s="35">
        <f>IF(Inputs!T30="","",LET(d,Rulebook!$L30,x,Inputs!T30*d,ta,Rulebook!$G30*d,tb,Rulebook!$H30*d,tc,Rulebook!$I30*d,te,Rulebook!$J30*d,tf,Rulebook!$K30*d,IFS(x&lt;=ta,0,x&lt;=tb,25*(x-ta)/(tb-ta),x&lt;=tc,25+25*(x-tb)/(tc-tb),x&lt;=te,50+25*(x-tc)/(te-tc),x&lt;tf,75+25*(x-te)/(tf-te),TRUE,100)))</f>
        <v>40</v>
      </c>
      <c r="U30" s="35">
        <f>IF(Inputs!U30="","",LET(d,Rulebook!$L30,x,Inputs!U30*d,ta,Rulebook!$G30*d,tb,Rulebook!$H30*d,tc,Rulebook!$I30*d,te,Rulebook!$J30*d,tf,Rulebook!$K30*d,IFS(x&lt;=ta,0,x&lt;=tb,25*(x-ta)/(tb-ta),x&lt;=tc,25+25*(x-tb)/(tc-tb),x&lt;=te,50+25*(x-tc)/(te-tc),x&lt;tf,75+25*(x-te)/(tf-te),TRUE,100)))</f>
        <v>58.33333333</v>
      </c>
      <c r="V30" s="35">
        <f>IF(Inputs!V30="","",LET(d,Rulebook!$L30,x,Inputs!V30*d,ta,Rulebook!$G30*d,tb,Rulebook!$H30*d,tc,Rulebook!$I30*d,te,Rulebook!$J30*d,tf,Rulebook!$K30*d,IFS(x&lt;=ta,0,x&lt;=tb,25*(x-ta)/(tb-ta),x&lt;=tc,25+25*(x-tb)/(tc-tb),x&lt;=te,50+25*(x-tc)/(te-tc),x&lt;tf,75+25*(x-te)/(tf-te),TRUE,100)))</f>
        <v>100</v>
      </c>
    </row>
    <row r="31">
      <c r="A31" s="26" t="s">
        <v>524</v>
      </c>
      <c r="B31" s="26">
        <v>3.0</v>
      </c>
      <c r="C31" s="26" t="s">
        <v>525</v>
      </c>
      <c r="D31" s="26" t="s">
        <v>526</v>
      </c>
      <c r="E31" s="35">
        <f>IF(Inputs!E31="","",LET(d,Rulebook!$L31,x,Inputs!E31*d,ta,Rulebook!$G31*d,tb,Rulebook!$H31*d,tc,Rulebook!$I31*d,te,Rulebook!$J31*d,tf,Rulebook!$K31*d,IFS(x&lt;=ta,0,x&lt;=tb,25*(x-ta)/(tb-ta),x&lt;=tc,25+25*(x-tb)/(tc-tb),x&lt;=te,50+25*(x-tc)/(te-tc),x&lt;tf,75+25*(x-te)/(tf-te),TRUE,100)))</f>
        <v>83.33333333</v>
      </c>
      <c r="F31" s="35">
        <f>IF(Inputs!F31="","",LET(d,Rulebook!$L31,x,Inputs!F31*d,ta,Rulebook!$G31*d,tb,Rulebook!$H31*d,tc,Rulebook!$I31*d,te,Rulebook!$J31*d,tf,Rulebook!$K31*d,IFS(x&lt;=ta,0,x&lt;=tb,25*(x-ta)/(tb-ta),x&lt;=tc,25+25*(x-tb)/(tc-tb),x&lt;=te,50+25*(x-tc)/(te-tc),x&lt;tf,75+25*(x-te)/(tf-te),TRUE,100)))</f>
        <v>31.25</v>
      </c>
      <c r="G31" s="35">
        <f>IF(Inputs!G31="","",LET(d,Rulebook!$L31,x,Inputs!G31*d,ta,Rulebook!$G31*d,tb,Rulebook!$H31*d,tc,Rulebook!$I31*d,te,Rulebook!$J31*d,tf,Rulebook!$K31*d,IFS(x&lt;=ta,0,x&lt;=tb,25*(x-ta)/(tb-ta),x&lt;=tc,25+25*(x-tb)/(tc-tb),x&lt;=te,50+25*(x-tc)/(te-tc),x&lt;tf,75+25*(x-te)/(tf-te),TRUE,100)))</f>
        <v>100</v>
      </c>
      <c r="H31" s="35">
        <f>IF(Inputs!H31="","",LET(d,Rulebook!$L31,x,Inputs!H31*d,ta,Rulebook!$G31*d,tb,Rulebook!$H31*d,tc,Rulebook!$I31*d,te,Rulebook!$J31*d,tf,Rulebook!$K31*d,IFS(x&lt;=ta,0,x&lt;=tb,25*(x-ta)/(tb-ta),x&lt;=tc,25+25*(x-tb)/(tc-tb),x&lt;=te,50+25*(x-tc)/(te-tc),x&lt;tf,75+25*(x-te)/(tf-te),TRUE,100)))</f>
        <v>37.5</v>
      </c>
      <c r="I31" s="35">
        <f>IF(Inputs!I31="","",LET(d,Rulebook!$L31,x,Inputs!I31*d,ta,Rulebook!$G31*d,tb,Rulebook!$H31*d,tc,Rulebook!$I31*d,te,Rulebook!$J31*d,tf,Rulebook!$K31*d,IFS(x&lt;=ta,0,x&lt;=tb,25*(x-ta)/(tb-ta),x&lt;=tc,25+25*(x-tb)/(tc-tb),x&lt;=te,50+25*(x-tc)/(te-tc),x&lt;tf,75+25*(x-te)/(tf-te),TRUE,100)))</f>
        <v>43.75</v>
      </c>
      <c r="J31" s="35">
        <f>IF(Inputs!J31="","",LET(d,Rulebook!$L31,x,Inputs!J31*d,ta,Rulebook!$G31*d,tb,Rulebook!$H31*d,tc,Rulebook!$I31*d,te,Rulebook!$J31*d,tf,Rulebook!$K31*d,IFS(x&lt;=ta,0,x&lt;=tb,25*(x-ta)/(tb-ta),x&lt;=tc,25+25*(x-tb)/(tc-tb),x&lt;=te,50+25*(x-tc)/(te-tc),x&lt;tf,75+25*(x-te)/(tf-te),TRUE,100)))</f>
        <v>0</v>
      </c>
      <c r="K31" s="35">
        <f>IF(Inputs!K31="","",LET(d,Rulebook!$L31,x,Inputs!K31*d,ta,Rulebook!$G31*d,tb,Rulebook!$H31*d,tc,Rulebook!$I31*d,te,Rulebook!$J31*d,tf,Rulebook!$K31*d,IFS(x&lt;=ta,0,x&lt;=tb,25*(x-ta)/(tb-ta),x&lt;=tc,25+25*(x-tb)/(tc-tb),x&lt;=te,50+25*(x-tc)/(te-tc),x&lt;tf,75+25*(x-te)/(tf-te),TRUE,100)))</f>
        <v>0</v>
      </c>
      <c r="L31" s="35">
        <f>IF(Inputs!L31="","",LET(d,Rulebook!$L31,x,Inputs!L31*d,ta,Rulebook!$G31*d,tb,Rulebook!$H31*d,tc,Rulebook!$I31*d,te,Rulebook!$J31*d,tf,Rulebook!$K31*d,IFS(x&lt;=ta,0,x&lt;=tb,25*(x-ta)/(tb-ta),x&lt;=tc,25+25*(x-tb)/(tc-tb),x&lt;=te,50+25*(x-tc)/(te-tc),x&lt;tf,75+25*(x-te)/(tf-te),TRUE,100)))</f>
        <v>43.75</v>
      </c>
      <c r="M31" s="35">
        <f>IF(Inputs!M31="","",LET(d,Rulebook!$L31,x,Inputs!M31*d,ta,Rulebook!$G31*d,tb,Rulebook!$H31*d,tc,Rulebook!$I31*d,te,Rulebook!$J31*d,tf,Rulebook!$K31*d,IFS(x&lt;=ta,0,x&lt;=tb,25*(x-ta)/(tb-ta),x&lt;=tc,25+25*(x-tb)/(tc-tb),x&lt;=te,50+25*(x-tc)/(te-tc),x&lt;tf,75+25*(x-te)/(tf-te),TRUE,100)))</f>
        <v>68.75</v>
      </c>
      <c r="N31" s="35">
        <f>IF(Inputs!N31="","",LET(d,Rulebook!$L31,x,Inputs!N31*d,ta,Rulebook!$G31*d,tb,Rulebook!$H31*d,tc,Rulebook!$I31*d,te,Rulebook!$J31*d,tf,Rulebook!$K31*d,IFS(x&lt;=ta,0,x&lt;=tb,25*(x-ta)/(tb-ta),x&lt;=tc,25+25*(x-tb)/(tc-tb),x&lt;=te,50+25*(x-tc)/(te-tc),x&lt;tf,75+25*(x-te)/(tf-te),TRUE,100)))</f>
        <v>16.66666667</v>
      </c>
      <c r="O31" s="35">
        <f>IF(Inputs!O31="","",LET(d,Rulebook!$L31,x,Inputs!O31*d,ta,Rulebook!$G31*d,tb,Rulebook!$H31*d,tc,Rulebook!$I31*d,te,Rulebook!$J31*d,tf,Rulebook!$K31*d,IFS(x&lt;=ta,0,x&lt;=tb,25*(x-ta)/(tb-ta),x&lt;=tc,25+25*(x-tb)/(tc-tb),x&lt;=te,50+25*(x-tc)/(te-tc),x&lt;tf,75+25*(x-te)/(tf-te),TRUE,100)))</f>
        <v>0</v>
      </c>
      <c r="P31" s="35">
        <f>IF(Inputs!P31="","",LET(d,Rulebook!$L31,x,Inputs!P31*d,ta,Rulebook!$G31*d,tb,Rulebook!$H31*d,tc,Rulebook!$I31*d,te,Rulebook!$J31*d,tf,Rulebook!$K31*d,IFS(x&lt;=ta,0,x&lt;=tb,25*(x-ta)/(tb-ta),x&lt;=tc,25+25*(x-tb)/(tc-tb),x&lt;=te,50+25*(x-tc)/(te-tc),x&lt;tf,75+25*(x-te)/(tf-te),TRUE,100)))</f>
        <v>16.66666667</v>
      </c>
      <c r="Q31" s="35">
        <f>IF(Inputs!Q31="","",LET(d,Rulebook!$L31,x,Inputs!Q31*d,ta,Rulebook!$G31*d,tb,Rulebook!$H31*d,tc,Rulebook!$I31*d,te,Rulebook!$J31*d,tf,Rulebook!$K31*d,IFS(x&lt;=ta,0,x&lt;=tb,25*(x-ta)/(tb-ta),x&lt;=tc,25+25*(x-tb)/(tc-tb),x&lt;=te,50+25*(x-tc)/(te-tc),x&lt;tf,75+25*(x-te)/(tf-te),TRUE,100)))</f>
        <v>8.333333333</v>
      </c>
      <c r="R31" s="35">
        <f>IF(Inputs!R31="","",LET(d,Rulebook!$L31,x,Inputs!R31*d,ta,Rulebook!$G31*d,tb,Rulebook!$H31*d,tc,Rulebook!$I31*d,te,Rulebook!$J31*d,tf,Rulebook!$K31*d,IFS(x&lt;=ta,0,x&lt;=tb,25*(x-ta)/(tb-ta),x&lt;=tc,25+25*(x-tb)/(tc-tb),x&lt;=te,50+25*(x-tc)/(te-tc),x&lt;tf,75+25*(x-te)/(tf-te),TRUE,100)))</f>
        <v>100</v>
      </c>
      <c r="S31" s="35">
        <f>IF(Inputs!S31="","",LET(d,Rulebook!$L31,x,Inputs!S31*d,ta,Rulebook!$G31*d,tb,Rulebook!$H31*d,tc,Rulebook!$I31*d,te,Rulebook!$J31*d,tf,Rulebook!$K31*d,IFS(x&lt;=ta,0,x&lt;=tb,25*(x-ta)/(tb-ta),x&lt;=tc,25+25*(x-tb)/(tc-tb),x&lt;=te,50+25*(x-tc)/(te-tc),x&lt;tf,75+25*(x-te)/(tf-te),TRUE,100)))</f>
        <v>43.75</v>
      </c>
      <c r="T31" s="35">
        <f>IF(Inputs!T31="","",LET(d,Rulebook!$L31,x,Inputs!T31*d,ta,Rulebook!$G31*d,tb,Rulebook!$H31*d,tc,Rulebook!$I31*d,te,Rulebook!$J31*d,tf,Rulebook!$K31*d,IFS(x&lt;=ta,0,x&lt;=tb,25*(x-ta)/(tb-ta),x&lt;=tc,25+25*(x-tb)/(tc-tb),x&lt;=te,50+25*(x-tc)/(te-tc),x&lt;tf,75+25*(x-te)/(tf-te),TRUE,100)))</f>
        <v>25</v>
      </c>
      <c r="U31" s="35">
        <f>IF(Inputs!U31="","",LET(d,Rulebook!$L31,x,Inputs!U31*d,ta,Rulebook!$G31*d,tb,Rulebook!$H31*d,tc,Rulebook!$I31*d,te,Rulebook!$J31*d,tf,Rulebook!$K31*d,IFS(x&lt;=ta,0,x&lt;=tb,25*(x-ta)/(tb-ta),x&lt;=tc,25+25*(x-tb)/(tc-tb),x&lt;=te,50+25*(x-tc)/(te-tc),x&lt;tf,75+25*(x-te)/(tf-te),TRUE,100)))</f>
        <v>43.75</v>
      </c>
      <c r="V31" s="35">
        <f>IF(Inputs!V31="","",LET(d,Rulebook!$L31,x,Inputs!V31*d,ta,Rulebook!$G31*d,tb,Rulebook!$H31*d,tc,Rulebook!$I31*d,te,Rulebook!$J31*d,tf,Rulebook!$K31*d,IFS(x&lt;=ta,0,x&lt;=tb,25*(x-ta)/(tb-ta),x&lt;=tc,25+25*(x-tb)/(tc-tb),x&lt;=te,50+25*(x-tc)/(te-tc),x&lt;tf,75+25*(x-te)/(tf-te),TRUE,100)))</f>
        <v>83.33333333</v>
      </c>
    </row>
    <row r="32">
      <c r="A32" s="26" t="s">
        <v>529</v>
      </c>
      <c r="B32" s="26">
        <v>3.0</v>
      </c>
      <c r="C32" s="26" t="s">
        <v>530</v>
      </c>
      <c r="D32" s="26" t="s">
        <v>526</v>
      </c>
      <c r="E32" s="35">
        <f>IF(Inputs!E32="","",LET(d,Rulebook!$L32,x,Inputs!E32*d,ta,Rulebook!$G32*d,tb,Rulebook!$H32*d,tc,Rulebook!$I32*d,te,Rulebook!$J32*d,tf,Rulebook!$K32*d,IFS(x&lt;=ta,0,x&lt;=tb,25*(x-ta)/(tb-ta),x&lt;=tc,25+25*(x-tb)/(tc-tb),x&lt;=te,50+25*(x-tc)/(te-tc),x&lt;tf,75+25*(x-te)/(tf-te),TRUE,100)))</f>
        <v>55</v>
      </c>
      <c r="F32" s="35">
        <f>IF(Inputs!F32="","",LET(d,Rulebook!$L32,x,Inputs!F32*d,ta,Rulebook!$G32*d,tb,Rulebook!$H32*d,tc,Rulebook!$I32*d,te,Rulebook!$J32*d,tf,Rulebook!$K32*d,IFS(x&lt;=ta,0,x&lt;=tb,25*(x-ta)/(tb-ta),x&lt;=tc,25+25*(x-tb)/(tc-tb),x&lt;=te,50+25*(x-tc)/(te-tc),x&lt;tf,75+25*(x-te)/(tf-te),TRUE,100)))</f>
        <v>62.5</v>
      </c>
      <c r="G32" s="35">
        <f>IF(Inputs!G32="","",LET(d,Rulebook!$L32,x,Inputs!G32*d,ta,Rulebook!$G32*d,tb,Rulebook!$H32*d,tc,Rulebook!$I32*d,te,Rulebook!$J32*d,tf,Rulebook!$K32*d,IFS(x&lt;=ta,0,x&lt;=tb,25*(x-ta)/(tb-ta),x&lt;=tc,25+25*(x-tb)/(tc-tb),x&lt;=te,50+25*(x-tc)/(te-tc),x&lt;tf,75+25*(x-te)/(tf-te),TRUE,100)))</f>
        <v>55</v>
      </c>
      <c r="H32" s="35">
        <f>IF(Inputs!H32="","",LET(d,Rulebook!$L32,x,Inputs!H32*d,ta,Rulebook!$G32*d,tb,Rulebook!$H32*d,tc,Rulebook!$I32*d,te,Rulebook!$J32*d,tf,Rulebook!$K32*d,IFS(x&lt;=ta,0,x&lt;=tb,25*(x-ta)/(tb-ta),x&lt;=tc,25+25*(x-tb)/(tc-tb),x&lt;=te,50+25*(x-tc)/(te-tc),x&lt;tf,75+25*(x-te)/(tf-te),TRUE,100)))</f>
        <v>25</v>
      </c>
      <c r="I32" s="35">
        <f>IF(Inputs!I32="","",LET(d,Rulebook!$L32,x,Inputs!I32*d,ta,Rulebook!$G32*d,tb,Rulebook!$H32*d,tc,Rulebook!$I32*d,te,Rulebook!$J32*d,tf,Rulebook!$K32*d,IFS(x&lt;=ta,0,x&lt;=tb,25*(x-ta)/(tb-ta),x&lt;=tc,25+25*(x-tb)/(tc-tb),x&lt;=te,50+25*(x-tc)/(te-tc),x&lt;tf,75+25*(x-te)/(tf-te),TRUE,100)))</f>
        <v>0</v>
      </c>
      <c r="J32" s="35">
        <f>IF(Inputs!J32="","",LET(d,Rulebook!$L32,x,Inputs!J32*d,ta,Rulebook!$G32*d,tb,Rulebook!$H32*d,tc,Rulebook!$I32*d,te,Rulebook!$J32*d,tf,Rulebook!$K32*d,IFS(x&lt;=ta,0,x&lt;=tb,25*(x-ta)/(tb-ta),x&lt;=tc,25+25*(x-tb)/(tc-tb),x&lt;=te,50+25*(x-tc)/(te-tc),x&lt;tf,75+25*(x-te)/(tf-te),TRUE,100)))</f>
        <v>0</v>
      </c>
      <c r="K32" s="35">
        <f>IF(Inputs!K32="","",LET(d,Rulebook!$L32,x,Inputs!K32*d,ta,Rulebook!$G32*d,tb,Rulebook!$H32*d,tc,Rulebook!$I32*d,te,Rulebook!$J32*d,tf,Rulebook!$K32*d,IFS(x&lt;=ta,0,x&lt;=tb,25*(x-ta)/(tb-ta),x&lt;=tc,25+25*(x-tb)/(tc-tb),x&lt;=te,50+25*(x-tc)/(te-tc),x&lt;tf,75+25*(x-te)/(tf-te),TRUE,100)))</f>
        <v>0</v>
      </c>
      <c r="L32" s="35">
        <f>IF(Inputs!L32="","",LET(d,Rulebook!$L32,x,Inputs!L32*d,ta,Rulebook!$G32*d,tb,Rulebook!$H32*d,tc,Rulebook!$I32*d,te,Rulebook!$J32*d,tf,Rulebook!$K32*d,IFS(x&lt;=ta,0,x&lt;=tb,25*(x-ta)/(tb-ta),x&lt;=tc,25+25*(x-tb)/(tc-tb),x&lt;=te,50+25*(x-tc)/(te-tc),x&lt;tf,75+25*(x-te)/(tf-te),TRUE,100)))</f>
        <v>62.5</v>
      </c>
      <c r="M32" s="35">
        <f>IF(Inputs!M32="","",LET(d,Rulebook!$L32,x,Inputs!M32*d,ta,Rulebook!$G32*d,tb,Rulebook!$H32*d,tc,Rulebook!$I32*d,te,Rulebook!$J32*d,tf,Rulebook!$K32*d,IFS(x&lt;=ta,0,x&lt;=tb,25*(x-ta)/(tb-ta),x&lt;=tc,25+25*(x-tb)/(tc-tb),x&lt;=te,50+25*(x-tc)/(te-tc),x&lt;tf,75+25*(x-te)/(tf-te),TRUE,100)))</f>
        <v>80</v>
      </c>
      <c r="N32" s="35">
        <f>IF(Inputs!N32="","",LET(d,Rulebook!$L32,x,Inputs!N32*d,ta,Rulebook!$G32*d,tb,Rulebook!$H32*d,tc,Rulebook!$I32*d,te,Rulebook!$J32*d,tf,Rulebook!$K32*d,IFS(x&lt;=ta,0,x&lt;=tb,25*(x-ta)/(tb-ta),x&lt;=tc,25+25*(x-tb)/(tc-tb),x&lt;=te,50+25*(x-tc)/(te-tc),x&lt;tf,75+25*(x-te)/(tf-te),TRUE,100)))</f>
        <v>62.5</v>
      </c>
      <c r="O32" s="35">
        <f>IF(Inputs!O32="","",LET(d,Rulebook!$L32,x,Inputs!O32*d,ta,Rulebook!$G32*d,tb,Rulebook!$H32*d,tc,Rulebook!$I32*d,te,Rulebook!$J32*d,tf,Rulebook!$K32*d,IFS(x&lt;=ta,0,x&lt;=tb,25*(x-ta)/(tb-ta),x&lt;=tc,25+25*(x-tb)/(tc-tb),x&lt;=te,50+25*(x-tc)/(te-tc),x&lt;tf,75+25*(x-te)/(tf-te),TRUE,100)))</f>
        <v>55</v>
      </c>
      <c r="P32" s="35">
        <f>IF(Inputs!P32="","",LET(d,Rulebook!$L32,x,Inputs!P32*d,ta,Rulebook!$G32*d,tb,Rulebook!$H32*d,tc,Rulebook!$I32*d,te,Rulebook!$J32*d,tf,Rulebook!$K32*d,IFS(x&lt;=ta,0,x&lt;=tb,25*(x-ta)/(tb-ta),x&lt;=tc,25+25*(x-tb)/(tc-tb),x&lt;=te,50+25*(x-tc)/(te-tc),x&lt;tf,75+25*(x-te)/(tf-te),TRUE,100)))</f>
        <v>37.5</v>
      </c>
      <c r="Q32" s="35">
        <f>IF(Inputs!Q32="","",LET(d,Rulebook!$L32,x,Inputs!Q32*d,ta,Rulebook!$G32*d,tb,Rulebook!$H32*d,tc,Rulebook!$I32*d,te,Rulebook!$J32*d,tf,Rulebook!$K32*d,IFS(x&lt;=ta,0,x&lt;=tb,25*(x-ta)/(tb-ta),x&lt;=tc,25+25*(x-tb)/(tc-tb),x&lt;=te,50+25*(x-tc)/(te-tc),x&lt;tf,75+25*(x-te)/(tf-te),TRUE,100)))</f>
        <v>55</v>
      </c>
      <c r="R32" s="35">
        <f>IF(Inputs!R32="","",LET(d,Rulebook!$L32,x,Inputs!R32*d,ta,Rulebook!$G32*d,tb,Rulebook!$H32*d,tc,Rulebook!$I32*d,te,Rulebook!$J32*d,tf,Rulebook!$K32*d,IFS(x&lt;=ta,0,x&lt;=tb,25*(x-ta)/(tb-ta),x&lt;=tc,25+25*(x-tb)/(tc-tb),x&lt;=te,50+25*(x-tc)/(te-tc),x&lt;tf,75+25*(x-te)/(tf-te),TRUE,100)))</f>
        <v>100</v>
      </c>
      <c r="S32" s="35">
        <f>IF(Inputs!S32="","",LET(d,Rulebook!$L32,x,Inputs!S32*d,ta,Rulebook!$G32*d,tb,Rulebook!$H32*d,tc,Rulebook!$I32*d,te,Rulebook!$J32*d,tf,Rulebook!$K32*d,IFS(x&lt;=ta,0,x&lt;=tb,25*(x-ta)/(tb-ta),x&lt;=tc,25+25*(x-tb)/(tc-tb),x&lt;=te,50+25*(x-tc)/(te-tc),x&lt;tf,75+25*(x-te)/(tf-te),TRUE,100)))</f>
        <v>75</v>
      </c>
      <c r="T32" s="35">
        <f>IF(Inputs!T32="","",LET(d,Rulebook!$L32,x,Inputs!T32*d,ta,Rulebook!$G32*d,tb,Rulebook!$H32*d,tc,Rulebook!$I32*d,te,Rulebook!$J32*d,tf,Rulebook!$K32*d,IFS(x&lt;=ta,0,x&lt;=tb,25*(x-ta)/(tb-ta),x&lt;=tc,25+25*(x-tb)/(tc-tb),x&lt;=te,50+25*(x-tc)/(te-tc),x&lt;tf,75+25*(x-te)/(tf-te),TRUE,100)))</f>
        <v>45</v>
      </c>
      <c r="U32" s="35">
        <f>IF(Inputs!U32="","",LET(d,Rulebook!$L32,x,Inputs!U32*d,ta,Rulebook!$G32*d,tb,Rulebook!$H32*d,tc,Rulebook!$I32*d,te,Rulebook!$J32*d,tf,Rulebook!$K32*d,IFS(x&lt;=ta,0,x&lt;=tb,25*(x-ta)/(tb-ta),x&lt;=tc,25+25*(x-tb)/(tc-tb),x&lt;=te,50+25*(x-tc)/(te-tc),x&lt;tf,75+25*(x-te)/(tf-te),TRUE,100)))</f>
        <v>55</v>
      </c>
      <c r="V32" s="35">
        <f>IF(Inputs!V32="","",LET(d,Rulebook!$L32,x,Inputs!V32*d,ta,Rulebook!$G32*d,tb,Rulebook!$H32*d,tc,Rulebook!$I32*d,te,Rulebook!$J32*d,tf,Rulebook!$K32*d,IFS(x&lt;=ta,0,x&lt;=tb,25*(x-ta)/(tb-ta),x&lt;=tc,25+25*(x-tb)/(tc-tb),x&lt;=te,50+25*(x-tc)/(te-tc),x&lt;tf,75+25*(x-te)/(tf-te),TRUE,100)))</f>
        <v>80</v>
      </c>
    </row>
    <row r="33">
      <c r="A33" s="26" t="s">
        <v>536</v>
      </c>
      <c r="B33" s="26">
        <v>3.0</v>
      </c>
      <c r="C33" s="26" t="s">
        <v>537</v>
      </c>
      <c r="D33" s="26" t="s">
        <v>254</v>
      </c>
      <c r="E33" s="35">
        <f>IF(Inputs!E33="","",LET(d,Rulebook!$L33,x,Inputs!E33*d,ta,Rulebook!$G33*d,tb,Rulebook!$H33*d,tc,Rulebook!$I33*d,te,Rulebook!$J33*d,tf,Rulebook!$K33*d,IFS(x&lt;=ta,0,x&lt;=tb,25*(x-ta)/(tb-ta),x&lt;=tc,25+25*(x-tb)/(tc-tb),x&lt;=te,50+25*(x-tc)/(te-tc),x&lt;tf,75+25*(x-te)/(tf-te),TRUE,100)))</f>
        <v>50</v>
      </c>
      <c r="F33" s="35">
        <f>IF(Inputs!F33="","",LET(d,Rulebook!$L33,x,Inputs!F33*d,ta,Rulebook!$G33*d,tb,Rulebook!$H33*d,tc,Rulebook!$I33*d,te,Rulebook!$J33*d,tf,Rulebook!$K33*d,IFS(x&lt;=ta,0,x&lt;=tb,25*(x-ta)/(tb-ta),x&lt;=tc,25+25*(x-tb)/(tc-tb),x&lt;=te,50+25*(x-tc)/(te-tc),x&lt;tf,75+25*(x-te)/(tf-te),TRUE,100)))</f>
        <v>25</v>
      </c>
      <c r="G33" s="35">
        <f>IF(Inputs!G33="","",LET(d,Rulebook!$L33,x,Inputs!G33*d,ta,Rulebook!$G33*d,tb,Rulebook!$H33*d,tc,Rulebook!$I33*d,te,Rulebook!$J33*d,tf,Rulebook!$K33*d,IFS(x&lt;=ta,0,x&lt;=tb,25*(x-ta)/(tb-ta),x&lt;=tc,25+25*(x-tb)/(tc-tb),x&lt;=te,50+25*(x-tc)/(te-tc),x&lt;tf,75+25*(x-te)/(tf-te),TRUE,100)))</f>
        <v>75</v>
      </c>
      <c r="H33" s="35">
        <f>IF(Inputs!H33="","",LET(d,Rulebook!$L33,x,Inputs!H33*d,ta,Rulebook!$G33*d,tb,Rulebook!$H33*d,tc,Rulebook!$I33*d,te,Rulebook!$J33*d,tf,Rulebook!$K33*d,IFS(x&lt;=ta,0,x&lt;=tb,25*(x-ta)/(tb-ta),x&lt;=tc,25+25*(x-tb)/(tc-tb),x&lt;=te,50+25*(x-tc)/(te-tc),x&lt;tf,75+25*(x-te)/(tf-te),TRUE,100)))</f>
        <v>25</v>
      </c>
      <c r="I33" s="35">
        <f>IF(Inputs!I33="","",LET(d,Rulebook!$L33,x,Inputs!I33*d,ta,Rulebook!$G33*d,tb,Rulebook!$H33*d,tc,Rulebook!$I33*d,te,Rulebook!$J33*d,tf,Rulebook!$K33*d,IFS(x&lt;=ta,0,x&lt;=tb,25*(x-ta)/(tb-ta),x&lt;=tc,25+25*(x-tb)/(tc-tb),x&lt;=te,50+25*(x-tc)/(te-tc),x&lt;tf,75+25*(x-te)/(tf-te),TRUE,100)))</f>
        <v>0</v>
      </c>
      <c r="J33" s="35">
        <f>IF(Inputs!J33="","",LET(d,Rulebook!$L33,x,Inputs!J33*d,ta,Rulebook!$G33*d,tb,Rulebook!$H33*d,tc,Rulebook!$I33*d,te,Rulebook!$J33*d,tf,Rulebook!$K33*d,IFS(x&lt;=ta,0,x&lt;=tb,25*(x-ta)/(tb-ta),x&lt;=tc,25+25*(x-tb)/(tc-tb),x&lt;=te,50+25*(x-tc)/(te-tc),x&lt;tf,75+25*(x-te)/(tf-te),TRUE,100)))</f>
        <v>0</v>
      </c>
      <c r="K33" s="35">
        <f>IF(Inputs!K33="","",LET(d,Rulebook!$L33,x,Inputs!K33*d,ta,Rulebook!$G33*d,tb,Rulebook!$H33*d,tc,Rulebook!$I33*d,te,Rulebook!$J33*d,tf,Rulebook!$K33*d,IFS(x&lt;=ta,0,x&lt;=tb,25*(x-ta)/(tb-ta),x&lt;=tc,25+25*(x-tb)/(tc-tb),x&lt;=te,50+25*(x-tc)/(te-tc),x&lt;tf,75+25*(x-te)/(tf-te),TRUE,100)))</f>
        <v>0</v>
      </c>
      <c r="L33" s="35">
        <f>IF(Inputs!L33="","",LET(d,Rulebook!$L33,x,Inputs!L33*d,ta,Rulebook!$G33*d,tb,Rulebook!$H33*d,tc,Rulebook!$I33*d,te,Rulebook!$J33*d,tf,Rulebook!$K33*d,IFS(x&lt;=ta,0,x&lt;=tb,25*(x-ta)/(tb-ta),x&lt;=tc,25+25*(x-tb)/(tc-tb),x&lt;=te,50+25*(x-tc)/(te-tc),x&lt;tf,75+25*(x-te)/(tf-te),TRUE,100)))</f>
        <v>25</v>
      </c>
      <c r="M33" s="35">
        <f>IF(Inputs!M33="","",LET(d,Rulebook!$L33,x,Inputs!M33*d,ta,Rulebook!$G33*d,tb,Rulebook!$H33*d,tc,Rulebook!$I33*d,te,Rulebook!$J33*d,tf,Rulebook!$K33*d,IFS(x&lt;=ta,0,x&lt;=tb,25*(x-ta)/(tb-ta),x&lt;=tc,25+25*(x-tb)/(tc-tb),x&lt;=te,50+25*(x-tc)/(te-tc),x&lt;tf,75+25*(x-te)/(tf-te),TRUE,100)))</f>
        <v>50</v>
      </c>
      <c r="N33" s="35">
        <f>IF(Inputs!N33="","",LET(d,Rulebook!$L33,x,Inputs!N33*d,ta,Rulebook!$G33*d,tb,Rulebook!$H33*d,tc,Rulebook!$I33*d,te,Rulebook!$J33*d,tf,Rulebook!$K33*d,IFS(x&lt;=ta,0,x&lt;=tb,25*(x-ta)/(tb-ta),x&lt;=tc,25+25*(x-tb)/(tc-tb),x&lt;=te,50+25*(x-tc)/(te-tc),x&lt;tf,75+25*(x-te)/(tf-te),TRUE,100)))</f>
        <v>50</v>
      </c>
      <c r="O33" s="35">
        <f>IF(Inputs!O33="","",LET(d,Rulebook!$L33,x,Inputs!O33*d,ta,Rulebook!$G33*d,tb,Rulebook!$H33*d,tc,Rulebook!$I33*d,te,Rulebook!$J33*d,tf,Rulebook!$K33*d,IFS(x&lt;=ta,0,x&lt;=tb,25*(x-ta)/(tb-ta),x&lt;=tc,25+25*(x-tb)/(tc-tb),x&lt;=te,50+25*(x-tc)/(te-tc),x&lt;tf,75+25*(x-te)/(tf-te),TRUE,100)))</f>
        <v>0</v>
      </c>
      <c r="P33" s="35">
        <f>IF(Inputs!P33="","",LET(d,Rulebook!$L33,x,Inputs!P33*d,ta,Rulebook!$G33*d,tb,Rulebook!$H33*d,tc,Rulebook!$I33*d,te,Rulebook!$J33*d,tf,Rulebook!$K33*d,IFS(x&lt;=ta,0,x&lt;=tb,25*(x-ta)/(tb-ta),x&lt;=tc,25+25*(x-tb)/(tc-tb),x&lt;=te,50+25*(x-tc)/(te-tc),x&lt;tf,75+25*(x-te)/(tf-te),TRUE,100)))</f>
        <v>25</v>
      </c>
      <c r="Q33" s="35">
        <f>IF(Inputs!Q33="","",LET(d,Rulebook!$L33,x,Inputs!Q33*d,ta,Rulebook!$G33*d,tb,Rulebook!$H33*d,tc,Rulebook!$I33*d,te,Rulebook!$J33*d,tf,Rulebook!$K33*d,IFS(x&lt;=ta,0,x&lt;=tb,25*(x-ta)/(tb-ta),x&lt;=tc,25+25*(x-tb)/(tc-tb),x&lt;=te,50+25*(x-tc)/(te-tc),x&lt;tf,75+25*(x-te)/(tf-te),TRUE,100)))</f>
        <v>0</v>
      </c>
      <c r="R33" s="35">
        <f>IF(Inputs!R33="","",LET(d,Rulebook!$L33,x,Inputs!R33*d,ta,Rulebook!$G33*d,tb,Rulebook!$H33*d,tc,Rulebook!$I33*d,te,Rulebook!$J33*d,tf,Rulebook!$K33*d,IFS(x&lt;=ta,0,x&lt;=tb,25*(x-ta)/(tb-ta),x&lt;=tc,25+25*(x-tb)/(tc-tb),x&lt;=te,50+25*(x-tc)/(te-tc),x&lt;tf,75+25*(x-te)/(tf-te),TRUE,100)))</f>
        <v>100</v>
      </c>
      <c r="S33" s="35">
        <f>IF(Inputs!S33="","",LET(d,Rulebook!$L33,x,Inputs!S33*d,ta,Rulebook!$G33*d,tb,Rulebook!$H33*d,tc,Rulebook!$I33*d,te,Rulebook!$J33*d,tf,Rulebook!$K33*d,IFS(x&lt;=ta,0,x&lt;=tb,25*(x-ta)/(tb-ta),x&lt;=tc,25+25*(x-tb)/(tc-tb),x&lt;=te,50+25*(x-tc)/(te-tc),x&lt;tf,75+25*(x-te)/(tf-te),TRUE,100)))</f>
        <v>75</v>
      </c>
      <c r="T33" s="35">
        <f>IF(Inputs!T33="","",LET(d,Rulebook!$L33,x,Inputs!T33*d,ta,Rulebook!$G33*d,tb,Rulebook!$H33*d,tc,Rulebook!$I33*d,te,Rulebook!$J33*d,tf,Rulebook!$K33*d,IFS(x&lt;=ta,0,x&lt;=tb,25*(x-ta)/(tb-ta),x&lt;=tc,25+25*(x-tb)/(tc-tb),x&lt;=te,50+25*(x-tc)/(te-tc),x&lt;tf,75+25*(x-te)/(tf-te),TRUE,100)))</f>
        <v>100</v>
      </c>
      <c r="U33" s="35">
        <f>IF(Inputs!U33="","",LET(d,Rulebook!$L33,x,Inputs!U33*d,ta,Rulebook!$G33*d,tb,Rulebook!$H33*d,tc,Rulebook!$I33*d,te,Rulebook!$J33*d,tf,Rulebook!$K33*d,IFS(x&lt;=ta,0,x&lt;=tb,25*(x-ta)/(tb-ta),x&lt;=tc,25+25*(x-tb)/(tc-tb),x&lt;=te,50+25*(x-tc)/(te-tc),x&lt;tf,75+25*(x-te)/(tf-te),TRUE,100)))</f>
        <v>75</v>
      </c>
      <c r="V33" s="35">
        <f>IF(Inputs!V33="","",LET(d,Rulebook!$L33,x,Inputs!V33*d,ta,Rulebook!$G33*d,tb,Rulebook!$H33*d,tc,Rulebook!$I33*d,te,Rulebook!$J33*d,tf,Rulebook!$K33*d,IFS(x&lt;=ta,0,x&lt;=tb,25*(x-ta)/(tb-ta),x&lt;=tc,25+25*(x-tb)/(tc-tb),x&lt;=te,50+25*(x-tc)/(te-tc),x&lt;tf,75+25*(x-te)/(tf-te),TRUE,100)))</f>
        <v>75</v>
      </c>
    </row>
    <row r="34">
      <c r="A34" s="26" t="s">
        <v>544</v>
      </c>
      <c r="B34" s="26">
        <v>3.0</v>
      </c>
      <c r="C34" s="26" t="s">
        <v>548</v>
      </c>
      <c r="D34" s="26" t="s">
        <v>254</v>
      </c>
      <c r="E34" s="35">
        <f>IF(Inputs!E34="","",LET(d,Rulebook!$L34,x,Inputs!E34*d,ta,Rulebook!$G34*d,tb,Rulebook!$H34*d,tc,Rulebook!$I34*d,te,Rulebook!$J34*d,tf,Rulebook!$K34*d,IFS(x&lt;=ta,0,x&lt;=tb,25*(x-ta)/(tb-ta),x&lt;=tc,25+25*(x-tb)/(tc-tb),x&lt;=te,50+25*(x-tc)/(te-tc),x&lt;tf,75+25*(x-te)/(tf-te),TRUE,100)))</f>
        <v>25</v>
      </c>
      <c r="F34" s="35">
        <f>IF(Inputs!F34="","",LET(d,Rulebook!$L34,x,Inputs!F34*d,ta,Rulebook!$G34*d,tb,Rulebook!$H34*d,tc,Rulebook!$I34*d,te,Rulebook!$J34*d,tf,Rulebook!$K34*d,IFS(x&lt;=ta,0,x&lt;=tb,25*(x-ta)/(tb-ta),x&lt;=tc,25+25*(x-tb)/(tc-tb),x&lt;=te,50+25*(x-tc)/(te-tc),x&lt;tf,75+25*(x-te)/(tf-te),TRUE,100)))</f>
        <v>25</v>
      </c>
      <c r="G34" s="35">
        <f>IF(Inputs!G34="","",LET(d,Rulebook!$L34,x,Inputs!G34*d,ta,Rulebook!$G34*d,tb,Rulebook!$H34*d,tc,Rulebook!$I34*d,te,Rulebook!$J34*d,tf,Rulebook!$K34*d,IFS(x&lt;=ta,0,x&lt;=tb,25*(x-ta)/(tb-ta),x&lt;=tc,25+25*(x-tb)/(tc-tb),x&lt;=te,50+25*(x-tc)/(te-tc),x&lt;tf,75+25*(x-te)/(tf-te),TRUE,100)))</f>
        <v>50</v>
      </c>
      <c r="H34" s="35">
        <f>IF(Inputs!H34="","",LET(d,Rulebook!$L34,x,Inputs!H34*d,ta,Rulebook!$G34*d,tb,Rulebook!$H34*d,tc,Rulebook!$I34*d,te,Rulebook!$J34*d,tf,Rulebook!$K34*d,IFS(x&lt;=ta,0,x&lt;=tb,25*(x-ta)/(tb-ta),x&lt;=tc,25+25*(x-tb)/(tc-tb),x&lt;=te,50+25*(x-tc)/(te-tc),x&lt;tf,75+25*(x-te)/(tf-te),TRUE,100)))</f>
        <v>25</v>
      </c>
      <c r="I34" s="35">
        <f>IF(Inputs!I34="","",LET(d,Rulebook!$L34,x,Inputs!I34*d,ta,Rulebook!$G34*d,tb,Rulebook!$H34*d,tc,Rulebook!$I34*d,te,Rulebook!$J34*d,tf,Rulebook!$K34*d,IFS(x&lt;=ta,0,x&lt;=tb,25*(x-ta)/(tb-ta),x&lt;=tc,25+25*(x-tb)/(tc-tb),x&lt;=te,50+25*(x-tc)/(te-tc),x&lt;tf,75+25*(x-te)/(tf-te),TRUE,100)))</f>
        <v>25</v>
      </c>
      <c r="J34" s="35">
        <f>IF(Inputs!J34="","",LET(d,Rulebook!$L34,x,Inputs!J34*d,ta,Rulebook!$G34*d,tb,Rulebook!$H34*d,tc,Rulebook!$I34*d,te,Rulebook!$J34*d,tf,Rulebook!$K34*d,IFS(x&lt;=ta,0,x&lt;=tb,25*(x-ta)/(tb-ta),x&lt;=tc,25+25*(x-tb)/(tc-tb),x&lt;=te,50+25*(x-tc)/(te-tc),x&lt;tf,75+25*(x-te)/(tf-te),TRUE,100)))</f>
        <v>0</v>
      </c>
      <c r="K34" s="35">
        <f>IF(Inputs!K34="","",LET(d,Rulebook!$L34,x,Inputs!K34*d,ta,Rulebook!$G34*d,tb,Rulebook!$H34*d,tc,Rulebook!$I34*d,te,Rulebook!$J34*d,tf,Rulebook!$K34*d,IFS(x&lt;=ta,0,x&lt;=tb,25*(x-ta)/(tb-ta),x&lt;=tc,25+25*(x-tb)/(tc-tb),x&lt;=te,50+25*(x-tc)/(te-tc),x&lt;tf,75+25*(x-te)/(tf-te),TRUE,100)))</f>
        <v>25</v>
      </c>
      <c r="L34" s="35">
        <f>IF(Inputs!L34="","",LET(d,Rulebook!$L34,x,Inputs!L34*d,ta,Rulebook!$G34*d,tb,Rulebook!$H34*d,tc,Rulebook!$I34*d,te,Rulebook!$J34*d,tf,Rulebook!$K34*d,IFS(x&lt;=ta,0,x&lt;=tb,25*(x-ta)/(tb-ta),x&lt;=tc,25+25*(x-tb)/(tc-tb),x&lt;=te,50+25*(x-tc)/(te-tc),x&lt;tf,75+25*(x-te)/(tf-te),TRUE,100)))</f>
        <v>25</v>
      </c>
      <c r="M34" s="35">
        <f>IF(Inputs!M34="","",LET(d,Rulebook!$L34,x,Inputs!M34*d,ta,Rulebook!$G34*d,tb,Rulebook!$H34*d,tc,Rulebook!$I34*d,te,Rulebook!$J34*d,tf,Rulebook!$K34*d,IFS(x&lt;=ta,0,x&lt;=tb,25*(x-ta)/(tb-ta),x&lt;=tc,25+25*(x-tb)/(tc-tb),x&lt;=te,50+25*(x-tc)/(te-tc),x&lt;tf,75+25*(x-te)/(tf-te),TRUE,100)))</f>
        <v>25</v>
      </c>
      <c r="N34" s="35">
        <f>IF(Inputs!N34="","",LET(d,Rulebook!$L34,x,Inputs!N34*d,ta,Rulebook!$G34*d,tb,Rulebook!$H34*d,tc,Rulebook!$I34*d,te,Rulebook!$J34*d,tf,Rulebook!$K34*d,IFS(x&lt;=ta,0,x&lt;=tb,25*(x-ta)/(tb-ta),x&lt;=tc,25+25*(x-tb)/(tc-tb),x&lt;=te,50+25*(x-tc)/(te-tc),x&lt;tf,75+25*(x-te)/(tf-te),TRUE,100)))</f>
        <v>50</v>
      </c>
      <c r="O34" s="35">
        <f>IF(Inputs!O34="","",LET(d,Rulebook!$L34,x,Inputs!O34*d,ta,Rulebook!$G34*d,tb,Rulebook!$H34*d,tc,Rulebook!$I34*d,te,Rulebook!$J34*d,tf,Rulebook!$K34*d,IFS(x&lt;=ta,0,x&lt;=tb,25*(x-ta)/(tb-ta),x&lt;=tc,25+25*(x-tb)/(tc-tb),x&lt;=te,50+25*(x-tc)/(te-tc),x&lt;tf,75+25*(x-te)/(tf-te),TRUE,100)))</f>
        <v>25</v>
      </c>
      <c r="P34" s="35">
        <f>IF(Inputs!P34="","",LET(d,Rulebook!$L34,x,Inputs!P34*d,ta,Rulebook!$G34*d,tb,Rulebook!$H34*d,tc,Rulebook!$I34*d,te,Rulebook!$J34*d,tf,Rulebook!$K34*d,IFS(x&lt;=ta,0,x&lt;=tb,25*(x-ta)/(tb-ta),x&lt;=tc,25+25*(x-tb)/(tc-tb),x&lt;=te,50+25*(x-tc)/(te-tc),x&lt;tf,75+25*(x-te)/(tf-te),TRUE,100)))</f>
        <v>0</v>
      </c>
      <c r="Q34" s="35">
        <f>IF(Inputs!Q34="","",LET(d,Rulebook!$L34,x,Inputs!Q34*d,ta,Rulebook!$G34*d,tb,Rulebook!$H34*d,tc,Rulebook!$I34*d,te,Rulebook!$J34*d,tf,Rulebook!$K34*d,IFS(x&lt;=ta,0,x&lt;=tb,25*(x-ta)/(tb-ta),x&lt;=tc,25+25*(x-tb)/(tc-tb),x&lt;=te,50+25*(x-tc)/(te-tc),x&lt;tf,75+25*(x-te)/(tf-te),TRUE,100)))</f>
        <v>50</v>
      </c>
      <c r="R34" s="35">
        <f>IF(Inputs!R34="","",LET(d,Rulebook!$L34,x,Inputs!R34*d,ta,Rulebook!$G34*d,tb,Rulebook!$H34*d,tc,Rulebook!$I34*d,te,Rulebook!$J34*d,tf,Rulebook!$K34*d,IFS(x&lt;=ta,0,x&lt;=tb,25*(x-ta)/(tb-ta),x&lt;=tc,25+25*(x-tb)/(tc-tb),x&lt;=te,50+25*(x-tc)/(te-tc),x&lt;tf,75+25*(x-te)/(tf-te),TRUE,100)))</f>
        <v>100</v>
      </c>
      <c r="S34" s="35">
        <f>IF(Inputs!S34="","",LET(d,Rulebook!$L34,x,Inputs!S34*d,ta,Rulebook!$G34*d,tb,Rulebook!$H34*d,tc,Rulebook!$I34*d,te,Rulebook!$J34*d,tf,Rulebook!$K34*d,IFS(x&lt;=ta,0,x&lt;=tb,25*(x-ta)/(tb-ta),x&lt;=tc,25+25*(x-tb)/(tc-tb),x&lt;=te,50+25*(x-tc)/(te-tc),x&lt;tf,75+25*(x-te)/(tf-te),TRUE,100)))</f>
        <v>25</v>
      </c>
      <c r="T34" s="35">
        <f>IF(Inputs!T34="","",LET(d,Rulebook!$L34,x,Inputs!T34*d,ta,Rulebook!$G34*d,tb,Rulebook!$H34*d,tc,Rulebook!$I34*d,te,Rulebook!$J34*d,tf,Rulebook!$K34*d,IFS(x&lt;=ta,0,x&lt;=tb,25*(x-ta)/(tb-ta),x&lt;=tc,25+25*(x-tb)/(tc-tb),x&lt;=te,50+25*(x-tc)/(te-tc),x&lt;tf,75+25*(x-te)/(tf-te),TRUE,100)))</f>
        <v>50</v>
      </c>
      <c r="U34" s="35">
        <f>IF(Inputs!U34="","",LET(d,Rulebook!$L34,x,Inputs!U34*d,ta,Rulebook!$G34*d,tb,Rulebook!$H34*d,tc,Rulebook!$I34*d,te,Rulebook!$J34*d,tf,Rulebook!$K34*d,IFS(x&lt;=ta,0,x&lt;=tb,25*(x-ta)/(tb-ta),x&lt;=tc,25+25*(x-tb)/(tc-tb),x&lt;=te,50+25*(x-tc)/(te-tc),x&lt;tf,75+25*(x-te)/(tf-te),TRUE,100)))</f>
        <v>25</v>
      </c>
      <c r="V34" s="35">
        <f>IF(Inputs!V34="","",LET(d,Rulebook!$L34,x,Inputs!V34*d,ta,Rulebook!$G34*d,tb,Rulebook!$H34*d,tc,Rulebook!$I34*d,te,Rulebook!$J34*d,tf,Rulebook!$K34*d,IFS(x&lt;=ta,0,x&lt;=tb,25*(x-ta)/(tb-ta),x&lt;=tc,25+25*(x-tb)/(tc-tb),x&lt;=te,50+25*(x-tc)/(te-tc),x&lt;tf,75+25*(x-te)/(tf-te),TRUE,100)))</f>
        <v>75</v>
      </c>
    </row>
    <row r="35">
      <c r="A35" s="26" t="s">
        <v>554</v>
      </c>
      <c r="B35" s="26">
        <v>3.0</v>
      </c>
      <c r="C35" s="26" t="s">
        <v>555</v>
      </c>
      <c r="D35" s="26" t="s">
        <v>254</v>
      </c>
      <c r="E35" s="35">
        <f>IF(Inputs!E35="","",LET(d,Rulebook!$L35,x,Inputs!E35*d,ta,Rulebook!$G35*d,tb,Rulebook!$H35*d,tc,Rulebook!$I35*d,te,Rulebook!$J35*d,tf,Rulebook!$K35*d,IFS(x&lt;=ta,0,x&lt;=tb,25*(x-ta)/(tb-ta),x&lt;=tc,25+25*(x-tb)/(tc-tb),x&lt;=te,50+25*(x-tc)/(te-tc),x&lt;tf,75+25*(x-te)/(tf-te),TRUE,100)))</f>
        <v>50</v>
      </c>
      <c r="F35" s="35">
        <f>IF(Inputs!F35="","",LET(d,Rulebook!$L35,x,Inputs!F35*d,ta,Rulebook!$G35*d,tb,Rulebook!$H35*d,tc,Rulebook!$I35*d,te,Rulebook!$J35*d,tf,Rulebook!$K35*d,IFS(x&lt;=ta,0,x&lt;=tb,25*(x-ta)/(tb-ta),x&lt;=tc,25+25*(x-tb)/(tc-tb),x&lt;=te,50+25*(x-tc)/(te-tc),x&lt;tf,75+25*(x-te)/(tf-te),TRUE,100)))</f>
        <v>0</v>
      </c>
      <c r="G35" s="35">
        <f>IF(Inputs!G35="","",LET(d,Rulebook!$L35,x,Inputs!G35*d,ta,Rulebook!$G35*d,tb,Rulebook!$H35*d,tc,Rulebook!$I35*d,te,Rulebook!$J35*d,tf,Rulebook!$K35*d,IFS(x&lt;=ta,0,x&lt;=tb,25*(x-ta)/(tb-ta),x&lt;=tc,25+25*(x-tb)/(tc-tb),x&lt;=te,50+25*(x-tc)/(te-tc),x&lt;tf,75+25*(x-te)/(tf-te),TRUE,100)))</f>
        <v>25</v>
      </c>
      <c r="H35" s="35">
        <f>IF(Inputs!H35="","",LET(d,Rulebook!$L35,x,Inputs!H35*d,ta,Rulebook!$G35*d,tb,Rulebook!$H35*d,tc,Rulebook!$I35*d,te,Rulebook!$J35*d,tf,Rulebook!$K35*d,IFS(x&lt;=ta,0,x&lt;=tb,25*(x-ta)/(tb-ta),x&lt;=tc,25+25*(x-tb)/(tc-tb),x&lt;=te,50+25*(x-tc)/(te-tc),x&lt;tf,75+25*(x-te)/(tf-te),TRUE,100)))</f>
        <v>0</v>
      </c>
      <c r="I35" s="35">
        <f>IF(Inputs!I35="","",LET(d,Rulebook!$L35,x,Inputs!I35*d,ta,Rulebook!$G35*d,tb,Rulebook!$H35*d,tc,Rulebook!$I35*d,te,Rulebook!$J35*d,tf,Rulebook!$K35*d,IFS(x&lt;=ta,0,x&lt;=tb,25*(x-ta)/(tb-ta),x&lt;=tc,25+25*(x-tb)/(tc-tb),x&lt;=te,50+25*(x-tc)/(te-tc),x&lt;tf,75+25*(x-te)/(tf-te),TRUE,100)))</f>
        <v>0</v>
      </c>
      <c r="J35" s="35">
        <f>IF(Inputs!J35="","",LET(d,Rulebook!$L35,x,Inputs!J35*d,ta,Rulebook!$G35*d,tb,Rulebook!$H35*d,tc,Rulebook!$I35*d,te,Rulebook!$J35*d,tf,Rulebook!$K35*d,IFS(x&lt;=ta,0,x&lt;=tb,25*(x-ta)/(tb-ta),x&lt;=tc,25+25*(x-tb)/(tc-tb),x&lt;=te,50+25*(x-tc)/(te-tc),x&lt;tf,75+25*(x-te)/(tf-te),TRUE,100)))</f>
        <v>25</v>
      </c>
      <c r="K35" s="35">
        <f>IF(Inputs!K35="","",LET(d,Rulebook!$L35,x,Inputs!K35*d,ta,Rulebook!$G35*d,tb,Rulebook!$H35*d,tc,Rulebook!$I35*d,te,Rulebook!$J35*d,tf,Rulebook!$K35*d,IFS(x&lt;=ta,0,x&lt;=tb,25*(x-ta)/(tb-ta),x&lt;=tc,25+25*(x-tb)/(tc-tb),x&lt;=te,50+25*(x-tc)/(te-tc),x&lt;tf,75+25*(x-te)/(tf-te),TRUE,100)))</f>
        <v>0</v>
      </c>
      <c r="L35" s="35">
        <f>IF(Inputs!L35="","",LET(d,Rulebook!$L35,x,Inputs!L35*d,ta,Rulebook!$G35*d,tb,Rulebook!$H35*d,tc,Rulebook!$I35*d,te,Rulebook!$J35*d,tf,Rulebook!$K35*d,IFS(x&lt;=ta,0,x&lt;=tb,25*(x-ta)/(tb-ta),x&lt;=tc,25+25*(x-tb)/(tc-tb),x&lt;=te,50+25*(x-tc)/(te-tc),x&lt;tf,75+25*(x-te)/(tf-te),TRUE,100)))</f>
        <v>25</v>
      </c>
      <c r="M35" s="35">
        <f>IF(Inputs!M35="","",LET(d,Rulebook!$L35,x,Inputs!M35*d,ta,Rulebook!$G35*d,tb,Rulebook!$H35*d,tc,Rulebook!$I35*d,te,Rulebook!$J35*d,tf,Rulebook!$K35*d,IFS(x&lt;=ta,0,x&lt;=tb,25*(x-ta)/(tb-ta),x&lt;=tc,25+25*(x-tb)/(tc-tb),x&lt;=te,50+25*(x-tc)/(te-tc),x&lt;tf,75+25*(x-te)/(tf-te),TRUE,100)))</f>
        <v>25</v>
      </c>
      <c r="N35" s="35">
        <f>IF(Inputs!N35="","",LET(d,Rulebook!$L35,x,Inputs!N35*d,ta,Rulebook!$G35*d,tb,Rulebook!$H35*d,tc,Rulebook!$I35*d,te,Rulebook!$J35*d,tf,Rulebook!$K35*d,IFS(x&lt;=ta,0,x&lt;=tb,25*(x-ta)/(tb-ta),x&lt;=tc,25+25*(x-tb)/(tc-tb),x&lt;=te,50+25*(x-tc)/(te-tc),x&lt;tf,75+25*(x-te)/(tf-te),TRUE,100)))</f>
        <v>50</v>
      </c>
      <c r="O35" s="35">
        <f>IF(Inputs!O35="","",LET(d,Rulebook!$L35,x,Inputs!O35*d,ta,Rulebook!$G35*d,tb,Rulebook!$H35*d,tc,Rulebook!$I35*d,te,Rulebook!$J35*d,tf,Rulebook!$K35*d,IFS(x&lt;=ta,0,x&lt;=tb,25*(x-ta)/(tb-ta),x&lt;=tc,25+25*(x-tb)/(tc-tb),x&lt;=te,50+25*(x-tc)/(te-tc),x&lt;tf,75+25*(x-te)/(tf-te),TRUE,100)))</f>
        <v>0</v>
      </c>
      <c r="P35" s="35">
        <f>IF(Inputs!P35="","",LET(d,Rulebook!$L35,x,Inputs!P35*d,ta,Rulebook!$G35*d,tb,Rulebook!$H35*d,tc,Rulebook!$I35*d,te,Rulebook!$J35*d,tf,Rulebook!$K35*d,IFS(x&lt;=ta,0,x&lt;=tb,25*(x-ta)/(tb-ta),x&lt;=tc,25+25*(x-tb)/(tc-tb),x&lt;=te,50+25*(x-tc)/(te-tc),x&lt;tf,75+25*(x-te)/(tf-te),TRUE,100)))</f>
        <v>50</v>
      </c>
      <c r="Q35" s="35">
        <f>IF(Inputs!Q35="","",LET(d,Rulebook!$L35,x,Inputs!Q35*d,ta,Rulebook!$G35*d,tb,Rulebook!$H35*d,tc,Rulebook!$I35*d,te,Rulebook!$J35*d,tf,Rulebook!$K35*d,IFS(x&lt;=ta,0,x&lt;=tb,25*(x-ta)/(tb-ta),x&lt;=tc,25+25*(x-tb)/(tc-tb),x&lt;=te,50+25*(x-tc)/(te-tc),x&lt;tf,75+25*(x-te)/(tf-te),TRUE,100)))</f>
        <v>0</v>
      </c>
      <c r="R35" s="35">
        <f>IF(Inputs!R35="","",LET(d,Rulebook!$L35,x,Inputs!R35*d,ta,Rulebook!$G35*d,tb,Rulebook!$H35*d,tc,Rulebook!$I35*d,te,Rulebook!$J35*d,tf,Rulebook!$K35*d,IFS(x&lt;=ta,0,x&lt;=tb,25*(x-ta)/(tb-ta),x&lt;=tc,25+25*(x-tb)/(tc-tb),x&lt;=te,50+25*(x-tc)/(te-tc),x&lt;tf,75+25*(x-te)/(tf-te),TRUE,100)))</f>
        <v>100</v>
      </c>
      <c r="S35" s="35">
        <f>IF(Inputs!S35="","",LET(d,Rulebook!$L35,x,Inputs!S35*d,ta,Rulebook!$G35*d,tb,Rulebook!$H35*d,tc,Rulebook!$I35*d,te,Rulebook!$J35*d,tf,Rulebook!$K35*d,IFS(x&lt;=ta,0,x&lt;=tb,25*(x-ta)/(tb-ta),x&lt;=tc,25+25*(x-tb)/(tc-tb),x&lt;=te,50+25*(x-tc)/(te-tc),x&lt;tf,75+25*(x-te)/(tf-te),TRUE,100)))</f>
        <v>75</v>
      </c>
      <c r="T35" s="35">
        <f>IF(Inputs!T35="","",LET(d,Rulebook!$L35,x,Inputs!T35*d,ta,Rulebook!$G35*d,tb,Rulebook!$H35*d,tc,Rulebook!$I35*d,te,Rulebook!$J35*d,tf,Rulebook!$K35*d,IFS(x&lt;=ta,0,x&lt;=tb,25*(x-ta)/(tb-ta),x&lt;=tc,25+25*(x-tb)/(tc-tb),x&lt;=te,50+25*(x-tc)/(te-tc),x&lt;tf,75+25*(x-te)/(tf-te),TRUE,100)))</f>
        <v>25</v>
      </c>
      <c r="U35" s="35">
        <f>IF(Inputs!U35="","",LET(d,Rulebook!$L35,x,Inputs!U35*d,ta,Rulebook!$G35*d,tb,Rulebook!$H35*d,tc,Rulebook!$I35*d,te,Rulebook!$J35*d,tf,Rulebook!$K35*d,IFS(x&lt;=ta,0,x&lt;=tb,25*(x-ta)/(tb-ta),x&lt;=tc,25+25*(x-tb)/(tc-tb),x&lt;=te,50+25*(x-tc)/(te-tc),x&lt;tf,75+25*(x-te)/(tf-te),TRUE,100)))</f>
        <v>25</v>
      </c>
      <c r="V35" s="35">
        <f>IF(Inputs!V35="","",LET(d,Rulebook!$L35,x,Inputs!V35*d,ta,Rulebook!$G35*d,tb,Rulebook!$H35*d,tc,Rulebook!$I35*d,te,Rulebook!$J35*d,tf,Rulebook!$K35*d,IFS(x&lt;=ta,0,x&lt;=tb,25*(x-ta)/(tb-ta),x&lt;=tc,25+25*(x-tb)/(tc-tb),x&lt;=te,50+25*(x-tc)/(te-tc),x&lt;tf,75+25*(x-te)/(tf-te),TRUE,100)))</f>
        <v>100</v>
      </c>
    </row>
    <row r="36">
      <c r="A36" s="26" t="s">
        <v>561</v>
      </c>
      <c r="B36" s="26">
        <v>4.0</v>
      </c>
      <c r="C36" s="26" t="s">
        <v>562</v>
      </c>
      <c r="D36" s="26" t="s">
        <v>254</v>
      </c>
      <c r="E36" s="35">
        <f>IF(Inputs!E36="","",LET(d,Rulebook!$L36,x,Inputs!E36*d,ta,Rulebook!$G36*d,tb,Rulebook!$H36*d,tc,Rulebook!$I36*d,te,Rulebook!$J36*d,tf,Rulebook!$K36*d,IFS(x&lt;=ta,0,x&lt;=tb,25*(x-ta)/(tb-ta),x&lt;=tc,25+25*(x-tb)/(tc-tb),x&lt;=te,50+25*(x-tc)/(te-tc),x&lt;tf,75+25*(x-te)/(tf-te),TRUE,100)))</f>
        <v>0</v>
      </c>
      <c r="F36" s="35">
        <f>IF(Inputs!F36="","",LET(d,Rulebook!$L36,x,Inputs!F36*d,ta,Rulebook!$G36*d,tb,Rulebook!$H36*d,tc,Rulebook!$I36*d,te,Rulebook!$J36*d,tf,Rulebook!$K36*d,IFS(x&lt;=ta,0,x&lt;=tb,25*(x-ta)/(tb-ta),x&lt;=tc,25+25*(x-tb)/(tc-tb),x&lt;=te,50+25*(x-tc)/(te-tc),x&lt;tf,75+25*(x-te)/(tf-te),TRUE,100)))</f>
        <v>25</v>
      </c>
      <c r="G36" s="35">
        <f>IF(Inputs!G36="","",LET(d,Rulebook!$L36,x,Inputs!G36*d,ta,Rulebook!$G36*d,tb,Rulebook!$H36*d,tc,Rulebook!$I36*d,te,Rulebook!$J36*d,tf,Rulebook!$K36*d,IFS(x&lt;=ta,0,x&lt;=tb,25*(x-ta)/(tb-ta),x&lt;=tc,25+25*(x-tb)/(tc-tb),x&lt;=te,50+25*(x-tc)/(te-tc),x&lt;tf,75+25*(x-te)/(tf-te),TRUE,100)))</f>
        <v>0</v>
      </c>
      <c r="H36" s="35">
        <f>IF(Inputs!H36="","",LET(d,Rulebook!$L36,x,Inputs!H36*d,ta,Rulebook!$G36*d,tb,Rulebook!$H36*d,tc,Rulebook!$I36*d,te,Rulebook!$J36*d,tf,Rulebook!$K36*d,IFS(x&lt;=ta,0,x&lt;=tb,25*(x-ta)/(tb-ta),x&lt;=tc,25+25*(x-tb)/(tc-tb),x&lt;=te,50+25*(x-tc)/(te-tc),x&lt;tf,75+25*(x-te)/(tf-te),TRUE,100)))</f>
        <v>25</v>
      </c>
      <c r="I36" s="35">
        <f>IF(Inputs!I36="","",LET(d,Rulebook!$L36,x,Inputs!I36*d,ta,Rulebook!$G36*d,tb,Rulebook!$H36*d,tc,Rulebook!$I36*d,te,Rulebook!$J36*d,tf,Rulebook!$K36*d,IFS(x&lt;=ta,0,x&lt;=tb,25*(x-ta)/(tb-ta),x&lt;=tc,25+25*(x-tb)/(tc-tb),x&lt;=te,50+25*(x-tc)/(te-tc),x&lt;tf,75+25*(x-te)/(tf-te),TRUE,100)))</f>
        <v>0</v>
      </c>
      <c r="J36" s="35">
        <f>IF(Inputs!J36="","",LET(d,Rulebook!$L36,x,Inputs!J36*d,ta,Rulebook!$G36*d,tb,Rulebook!$H36*d,tc,Rulebook!$I36*d,te,Rulebook!$J36*d,tf,Rulebook!$K36*d,IFS(x&lt;=ta,0,x&lt;=tb,25*(x-ta)/(tb-ta),x&lt;=tc,25+25*(x-tb)/(tc-tb),x&lt;=te,50+25*(x-tc)/(te-tc),x&lt;tf,75+25*(x-te)/(tf-te),TRUE,100)))</f>
        <v>0</v>
      </c>
      <c r="K36" s="35">
        <f>IF(Inputs!K36="","",LET(d,Rulebook!$L36,x,Inputs!K36*d,ta,Rulebook!$G36*d,tb,Rulebook!$H36*d,tc,Rulebook!$I36*d,te,Rulebook!$J36*d,tf,Rulebook!$K36*d,IFS(x&lt;=ta,0,x&lt;=tb,25*(x-ta)/(tb-ta),x&lt;=tc,25+25*(x-tb)/(tc-tb),x&lt;=te,50+25*(x-tc)/(te-tc),x&lt;tf,75+25*(x-te)/(tf-te),TRUE,100)))</f>
        <v>25</v>
      </c>
      <c r="L36" s="35">
        <f>IF(Inputs!L36="","",LET(d,Rulebook!$L36,x,Inputs!L36*d,ta,Rulebook!$G36*d,tb,Rulebook!$H36*d,tc,Rulebook!$I36*d,te,Rulebook!$J36*d,tf,Rulebook!$K36*d,IFS(x&lt;=ta,0,x&lt;=tb,25*(x-ta)/(tb-ta),x&lt;=tc,25+25*(x-tb)/(tc-tb),x&lt;=te,50+25*(x-tc)/(te-tc),x&lt;tf,75+25*(x-te)/(tf-te),TRUE,100)))</f>
        <v>25</v>
      </c>
      <c r="M36" s="35">
        <f>IF(Inputs!M36="","",LET(d,Rulebook!$L36,x,Inputs!M36*d,ta,Rulebook!$G36*d,tb,Rulebook!$H36*d,tc,Rulebook!$I36*d,te,Rulebook!$J36*d,tf,Rulebook!$K36*d,IFS(x&lt;=ta,0,x&lt;=tb,25*(x-ta)/(tb-ta),x&lt;=tc,25+25*(x-tb)/(tc-tb),x&lt;=te,50+25*(x-tc)/(te-tc),x&lt;tf,75+25*(x-te)/(tf-te),TRUE,100)))</f>
        <v>50</v>
      </c>
      <c r="N36" s="35">
        <f>IF(Inputs!N36="","",LET(d,Rulebook!$L36,x,Inputs!N36*d,ta,Rulebook!$G36*d,tb,Rulebook!$H36*d,tc,Rulebook!$I36*d,te,Rulebook!$J36*d,tf,Rulebook!$K36*d,IFS(x&lt;=ta,0,x&lt;=tb,25*(x-ta)/(tb-ta),x&lt;=tc,25+25*(x-tb)/(tc-tb),x&lt;=te,50+25*(x-tc)/(te-tc),x&lt;tf,75+25*(x-te)/(tf-te),TRUE,100)))</f>
        <v>0</v>
      </c>
      <c r="O36" s="35">
        <f>IF(Inputs!O36="","",LET(d,Rulebook!$L36,x,Inputs!O36*d,ta,Rulebook!$G36*d,tb,Rulebook!$H36*d,tc,Rulebook!$I36*d,te,Rulebook!$J36*d,tf,Rulebook!$K36*d,IFS(x&lt;=ta,0,x&lt;=tb,25*(x-ta)/(tb-ta),x&lt;=tc,25+25*(x-tb)/(tc-tb),x&lt;=te,50+25*(x-tc)/(te-tc),x&lt;tf,75+25*(x-te)/(tf-te),TRUE,100)))</f>
        <v>25</v>
      </c>
      <c r="P36" s="35">
        <f>IF(Inputs!P36="","",LET(d,Rulebook!$L36,x,Inputs!P36*d,ta,Rulebook!$G36*d,tb,Rulebook!$H36*d,tc,Rulebook!$I36*d,te,Rulebook!$J36*d,tf,Rulebook!$K36*d,IFS(x&lt;=ta,0,x&lt;=tb,25*(x-ta)/(tb-ta),x&lt;=tc,25+25*(x-tb)/(tc-tb),x&lt;=te,50+25*(x-tc)/(te-tc),x&lt;tf,75+25*(x-te)/(tf-te),TRUE,100)))</f>
        <v>50</v>
      </c>
      <c r="Q36" s="35">
        <f>IF(Inputs!Q36="","",LET(d,Rulebook!$L36,x,Inputs!Q36*d,ta,Rulebook!$G36*d,tb,Rulebook!$H36*d,tc,Rulebook!$I36*d,te,Rulebook!$J36*d,tf,Rulebook!$K36*d,IFS(x&lt;=ta,0,x&lt;=tb,25*(x-ta)/(tb-ta),x&lt;=tc,25+25*(x-tb)/(tc-tb),x&lt;=te,50+25*(x-tc)/(te-tc),x&lt;tf,75+25*(x-te)/(tf-te),TRUE,100)))</f>
        <v>25</v>
      </c>
      <c r="R36" s="35">
        <f>IF(Inputs!R36="","",LET(d,Rulebook!$L36,x,Inputs!R36*d,ta,Rulebook!$G36*d,tb,Rulebook!$H36*d,tc,Rulebook!$I36*d,te,Rulebook!$J36*d,tf,Rulebook!$K36*d,IFS(x&lt;=ta,0,x&lt;=tb,25*(x-ta)/(tb-ta),x&lt;=tc,25+25*(x-tb)/(tc-tb),x&lt;=te,50+25*(x-tc)/(te-tc),x&lt;tf,75+25*(x-te)/(tf-te),TRUE,100)))</f>
        <v>50</v>
      </c>
      <c r="S36" s="35">
        <f>IF(Inputs!S36="","",LET(d,Rulebook!$L36,x,Inputs!S36*d,ta,Rulebook!$G36*d,tb,Rulebook!$H36*d,tc,Rulebook!$I36*d,te,Rulebook!$J36*d,tf,Rulebook!$K36*d,IFS(x&lt;=ta,0,x&lt;=tb,25*(x-ta)/(tb-ta),x&lt;=tc,25+25*(x-tb)/(tc-tb),x&lt;=te,50+25*(x-tc)/(te-tc),x&lt;tf,75+25*(x-te)/(tf-te),TRUE,100)))</f>
        <v>75</v>
      </c>
      <c r="T36" s="35">
        <f>IF(Inputs!T36="","",LET(d,Rulebook!$L36,x,Inputs!T36*d,ta,Rulebook!$G36*d,tb,Rulebook!$H36*d,tc,Rulebook!$I36*d,te,Rulebook!$J36*d,tf,Rulebook!$K36*d,IFS(x&lt;=ta,0,x&lt;=tb,25*(x-ta)/(tb-ta),x&lt;=tc,25+25*(x-tb)/(tc-tb),x&lt;=te,50+25*(x-tc)/(te-tc),x&lt;tf,75+25*(x-te)/(tf-te),TRUE,100)))</f>
        <v>50</v>
      </c>
      <c r="U36" s="35">
        <f>IF(Inputs!U36="","",LET(d,Rulebook!$L36,x,Inputs!U36*d,ta,Rulebook!$G36*d,tb,Rulebook!$H36*d,tc,Rulebook!$I36*d,te,Rulebook!$J36*d,tf,Rulebook!$K36*d,IFS(x&lt;=ta,0,x&lt;=tb,25*(x-ta)/(tb-ta),x&lt;=tc,25+25*(x-tb)/(tc-tb),x&lt;=te,50+25*(x-tc)/(te-tc),x&lt;tf,75+25*(x-te)/(tf-te),TRUE,100)))</f>
        <v>25</v>
      </c>
      <c r="V36" s="35">
        <f>IF(Inputs!V36="","",LET(d,Rulebook!$L36,x,Inputs!V36*d,ta,Rulebook!$G36*d,tb,Rulebook!$H36*d,tc,Rulebook!$I36*d,te,Rulebook!$J36*d,tf,Rulebook!$K36*d,IFS(x&lt;=ta,0,x&lt;=tb,25*(x-ta)/(tb-ta),x&lt;=tc,25+25*(x-tb)/(tc-tb),x&lt;=te,50+25*(x-tc)/(te-tc),x&lt;tf,75+25*(x-te)/(tf-te),TRUE,100)))</f>
        <v>25</v>
      </c>
    </row>
    <row r="37">
      <c r="A37" s="26" t="s">
        <v>569</v>
      </c>
      <c r="B37" s="26">
        <v>4.0</v>
      </c>
      <c r="C37" s="26" t="s">
        <v>570</v>
      </c>
      <c r="D37" s="26" t="s">
        <v>254</v>
      </c>
      <c r="E37" s="35">
        <f>IF(Inputs!E37="","",LET(d,Rulebook!$L37,x,Inputs!E37*d,ta,Rulebook!$G37*d,tb,Rulebook!$H37*d,tc,Rulebook!$I37*d,te,Rulebook!$J37*d,tf,Rulebook!$K37*d,IFS(x&lt;=ta,0,x&lt;=tb,25*(x-ta)/(tb-ta),x&lt;=tc,25+25*(x-tb)/(tc-tb),x&lt;=te,50+25*(x-tc)/(te-tc),x&lt;tf,75+25*(x-te)/(tf-te),TRUE,100)))</f>
        <v>0</v>
      </c>
      <c r="F37" s="35">
        <f>IF(Inputs!F37="","",LET(d,Rulebook!$L37,x,Inputs!F37*d,ta,Rulebook!$G37*d,tb,Rulebook!$H37*d,tc,Rulebook!$I37*d,te,Rulebook!$J37*d,tf,Rulebook!$K37*d,IFS(x&lt;=ta,0,x&lt;=tb,25*(x-ta)/(tb-ta),x&lt;=tc,25+25*(x-tb)/(tc-tb),x&lt;=te,50+25*(x-tc)/(te-tc),x&lt;tf,75+25*(x-te)/(tf-te),TRUE,100)))</f>
        <v>25</v>
      </c>
      <c r="G37" s="35">
        <f>IF(Inputs!G37="","",LET(d,Rulebook!$L37,x,Inputs!G37*d,ta,Rulebook!$G37*d,tb,Rulebook!$H37*d,tc,Rulebook!$I37*d,te,Rulebook!$J37*d,tf,Rulebook!$K37*d,IFS(x&lt;=ta,0,x&lt;=tb,25*(x-ta)/(tb-ta),x&lt;=tc,25+25*(x-tb)/(tc-tb),x&lt;=te,50+25*(x-tc)/(te-tc),x&lt;tf,75+25*(x-te)/(tf-te),TRUE,100)))</f>
        <v>75</v>
      </c>
      <c r="H37" s="35">
        <f>IF(Inputs!H37="","",LET(d,Rulebook!$L37,x,Inputs!H37*d,ta,Rulebook!$G37*d,tb,Rulebook!$H37*d,tc,Rulebook!$I37*d,te,Rulebook!$J37*d,tf,Rulebook!$K37*d,IFS(x&lt;=ta,0,x&lt;=tb,25*(x-ta)/(tb-ta),x&lt;=tc,25+25*(x-tb)/(tc-tb),x&lt;=te,50+25*(x-tc)/(te-tc),x&lt;tf,75+25*(x-te)/(tf-te),TRUE,100)))</f>
        <v>0</v>
      </c>
      <c r="I37" s="35">
        <f>IF(Inputs!I37="","",LET(d,Rulebook!$L37,x,Inputs!I37*d,ta,Rulebook!$G37*d,tb,Rulebook!$H37*d,tc,Rulebook!$I37*d,te,Rulebook!$J37*d,tf,Rulebook!$K37*d,IFS(x&lt;=ta,0,x&lt;=tb,25*(x-ta)/(tb-ta),x&lt;=tc,25+25*(x-tb)/(tc-tb),x&lt;=te,50+25*(x-tc)/(te-tc),x&lt;tf,75+25*(x-te)/(tf-te),TRUE,100)))</f>
        <v>0</v>
      </c>
      <c r="J37" s="35">
        <f>IF(Inputs!J37="","",LET(d,Rulebook!$L37,x,Inputs!J37*d,ta,Rulebook!$G37*d,tb,Rulebook!$H37*d,tc,Rulebook!$I37*d,te,Rulebook!$J37*d,tf,Rulebook!$K37*d,IFS(x&lt;=ta,0,x&lt;=tb,25*(x-ta)/(tb-ta),x&lt;=tc,25+25*(x-tb)/(tc-tb),x&lt;=te,50+25*(x-tc)/(te-tc),x&lt;tf,75+25*(x-te)/(tf-te),TRUE,100)))</f>
        <v>0</v>
      </c>
      <c r="K37" s="35">
        <f>IF(Inputs!K37="","",LET(d,Rulebook!$L37,x,Inputs!K37*d,ta,Rulebook!$G37*d,tb,Rulebook!$H37*d,tc,Rulebook!$I37*d,te,Rulebook!$J37*d,tf,Rulebook!$K37*d,IFS(x&lt;=ta,0,x&lt;=tb,25*(x-ta)/(tb-ta),x&lt;=tc,25+25*(x-tb)/(tc-tb),x&lt;=te,50+25*(x-tc)/(te-tc),x&lt;tf,75+25*(x-te)/(tf-te),TRUE,100)))</f>
        <v>50</v>
      </c>
      <c r="L37" s="35">
        <f>IF(Inputs!L37="","",LET(d,Rulebook!$L37,x,Inputs!L37*d,ta,Rulebook!$G37*d,tb,Rulebook!$H37*d,tc,Rulebook!$I37*d,te,Rulebook!$J37*d,tf,Rulebook!$K37*d,IFS(x&lt;=ta,0,x&lt;=tb,25*(x-ta)/(tb-ta),x&lt;=tc,25+25*(x-tb)/(tc-tb),x&lt;=te,50+25*(x-tc)/(te-tc),x&lt;tf,75+25*(x-te)/(tf-te),TRUE,100)))</f>
        <v>0</v>
      </c>
      <c r="M37" s="35">
        <f>IF(Inputs!M37="","",LET(d,Rulebook!$L37,x,Inputs!M37*d,ta,Rulebook!$G37*d,tb,Rulebook!$H37*d,tc,Rulebook!$I37*d,te,Rulebook!$J37*d,tf,Rulebook!$K37*d,IFS(x&lt;=ta,0,x&lt;=tb,25*(x-ta)/(tb-ta),x&lt;=tc,25+25*(x-tb)/(tc-tb),x&lt;=te,50+25*(x-tc)/(te-tc),x&lt;tf,75+25*(x-te)/(tf-te),TRUE,100)))</f>
        <v>25</v>
      </c>
      <c r="N37" s="35">
        <f>IF(Inputs!N37="","",LET(d,Rulebook!$L37,x,Inputs!N37*d,ta,Rulebook!$G37*d,tb,Rulebook!$H37*d,tc,Rulebook!$I37*d,te,Rulebook!$J37*d,tf,Rulebook!$K37*d,IFS(x&lt;=ta,0,x&lt;=tb,25*(x-ta)/(tb-ta),x&lt;=tc,25+25*(x-tb)/(tc-tb),x&lt;=te,50+25*(x-tc)/(te-tc),x&lt;tf,75+25*(x-te)/(tf-te),TRUE,100)))</f>
        <v>0</v>
      </c>
      <c r="O37" s="35">
        <f>IF(Inputs!O37="","",LET(d,Rulebook!$L37,x,Inputs!O37*d,ta,Rulebook!$G37*d,tb,Rulebook!$H37*d,tc,Rulebook!$I37*d,te,Rulebook!$J37*d,tf,Rulebook!$K37*d,IFS(x&lt;=ta,0,x&lt;=tb,25*(x-ta)/(tb-ta),x&lt;=tc,25+25*(x-tb)/(tc-tb),x&lt;=te,50+25*(x-tc)/(te-tc),x&lt;tf,75+25*(x-te)/(tf-te),TRUE,100)))</f>
        <v>25</v>
      </c>
      <c r="P37" s="35">
        <f>IF(Inputs!P37="","",LET(d,Rulebook!$L37,x,Inputs!P37*d,ta,Rulebook!$G37*d,tb,Rulebook!$H37*d,tc,Rulebook!$I37*d,te,Rulebook!$J37*d,tf,Rulebook!$K37*d,IFS(x&lt;=ta,0,x&lt;=tb,25*(x-ta)/(tb-ta),x&lt;=tc,25+25*(x-tb)/(tc-tb),x&lt;=te,50+25*(x-tc)/(te-tc),x&lt;tf,75+25*(x-te)/(tf-te),TRUE,100)))</f>
        <v>0</v>
      </c>
      <c r="Q37" s="35">
        <f>IF(Inputs!Q37="","",LET(d,Rulebook!$L37,x,Inputs!Q37*d,ta,Rulebook!$G37*d,tb,Rulebook!$H37*d,tc,Rulebook!$I37*d,te,Rulebook!$J37*d,tf,Rulebook!$K37*d,IFS(x&lt;=ta,0,x&lt;=tb,25*(x-ta)/(tb-ta),x&lt;=tc,25+25*(x-tb)/(tc-tb),x&lt;=te,50+25*(x-tc)/(te-tc),x&lt;tf,75+25*(x-te)/(tf-te),TRUE,100)))</f>
        <v>25</v>
      </c>
      <c r="R37" s="35">
        <f>IF(Inputs!R37="","",LET(d,Rulebook!$L37,x,Inputs!R37*d,ta,Rulebook!$G37*d,tb,Rulebook!$H37*d,tc,Rulebook!$I37*d,te,Rulebook!$J37*d,tf,Rulebook!$K37*d,IFS(x&lt;=ta,0,x&lt;=tb,25*(x-ta)/(tb-ta),x&lt;=tc,25+25*(x-tb)/(tc-tb),x&lt;=te,50+25*(x-tc)/(te-tc),x&lt;tf,75+25*(x-te)/(tf-te),TRUE,100)))</f>
        <v>50</v>
      </c>
      <c r="S37" s="35">
        <f>IF(Inputs!S37="","",LET(d,Rulebook!$L37,x,Inputs!S37*d,ta,Rulebook!$G37*d,tb,Rulebook!$H37*d,tc,Rulebook!$I37*d,te,Rulebook!$J37*d,tf,Rulebook!$K37*d,IFS(x&lt;=ta,0,x&lt;=tb,25*(x-ta)/(tb-ta),x&lt;=tc,25+25*(x-tb)/(tc-tb),x&lt;=te,50+25*(x-tc)/(te-tc),x&lt;tf,75+25*(x-te)/(tf-te),TRUE,100)))</f>
        <v>25</v>
      </c>
      <c r="T37" s="35">
        <f>IF(Inputs!T37="","",LET(d,Rulebook!$L37,x,Inputs!T37*d,ta,Rulebook!$G37*d,tb,Rulebook!$H37*d,tc,Rulebook!$I37*d,te,Rulebook!$J37*d,tf,Rulebook!$K37*d,IFS(x&lt;=ta,0,x&lt;=tb,25*(x-ta)/(tb-ta),x&lt;=tc,25+25*(x-tb)/(tc-tb),x&lt;=te,50+25*(x-tc)/(te-tc),x&lt;tf,75+25*(x-te)/(tf-te),TRUE,100)))</f>
        <v>0</v>
      </c>
      <c r="U37" s="35">
        <f>IF(Inputs!U37="","",LET(d,Rulebook!$L37,x,Inputs!U37*d,ta,Rulebook!$G37*d,tb,Rulebook!$H37*d,tc,Rulebook!$I37*d,te,Rulebook!$J37*d,tf,Rulebook!$K37*d,IFS(x&lt;=ta,0,x&lt;=tb,25*(x-ta)/(tb-ta),x&lt;=tc,25+25*(x-tb)/(tc-tb),x&lt;=te,50+25*(x-tc)/(te-tc),x&lt;tf,75+25*(x-te)/(tf-te),TRUE,100)))</f>
        <v>0</v>
      </c>
      <c r="V37" s="35">
        <f>IF(Inputs!V37="","",LET(d,Rulebook!$L37,x,Inputs!V37*d,ta,Rulebook!$G37*d,tb,Rulebook!$H37*d,tc,Rulebook!$I37*d,te,Rulebook!$J37*d,tf,Rulebook!$K37*d,IFS(x&lt;=ta,0,x&lt;=tb,25*(x-ta)/(tb-ta),x&lt;=tc,25+25*(x-tb)/(tc-tb),x&lt;=te,50+25*(x-tc)/(te-tc),x&lt;tf,75+25*(x-te)/(tf-te),TRUE,100)))</f>
        <v>50</v>
      </c>
    </row>
    <row r="38">
      <c r="A38" s="26" t="s">
        <v>577</v>
      </c>
      <c r="B38" s="26">
        <v>4.0</v>
      </c>
      <c r="C38" s="26" t="s">
        <v>578</v>
      </c>
      <c r="D38" s="26" t="s">
        <v>254</v>
      </c>
      <c r="E38" s="35">
        <f>IF(Inputs!E38="","",LET(d,Rulebook!$L38,x,Inputs!E38*d,ta,Rulebook!$G38*d,tb,Rulebook!$H38*d,tc,Rulebook!$I38*d,te,Rulebook!$J38*d,tf,Rulebook!$K38*d,IFS(x&lt;=ta,0,x&lt;=tb,25*(x-ta)/(tb-ta),x&lt;=tc,25+25*(x-tb)/(tc-tb),x&lt;=te,50+25*(x-tc)/(te-tc),x&lt;tf,75+25*(x-te)/(tf-te),TRUE,100)))</f>
        <v>25</v>
      </c>
      <c r="F38" s="35">
        <f>IF(Inputs!F38="","",LET(d,Rulebook!$L38,x,Inputs!F38*d,ta,Rulebook!$G38*d,tb,Rulebook!$H38*d,tc,Rulebook!$I38*d,te,Rulebook!$J38*d,tf,Rulebook!$K38*d,IFS(x&lt;=ta,0,x&lt;=tb,25*(x-ta)/(tb-ta),x&lt;=tc,25+25*(x-tb)/(tc-tb),x&lt;=te,50+25*(x-tc)/(te-tc),x&lt;tf,75+25*(x-te)/(tf-te),TRUE,100)))</f>
        <v>100</v>
      </c>
      <c r="G38" s="35">
        <f>IF(Inputs!G38="","",LET(d,Rulebook!$L38,x,Inputs!G38*d,ta,Rulebook!$G38*d,tb,Rulebook!$H38*d,tc,Rulebook!$I38*d,te,Rulebook!$J38*d,tf,Rulebook!$K38*d,IFS(x&lt;=ta,0,x&lt;=tb,25*(x-ta)/(tb-ta),x&lt;=tc,25+25*(x-tb)/(tc-tb),x&lt;=te,50+25*(x-tc)/(te-tc),x&lt;tf,75+25*(x-te)/(tf-te),TRUE,100)))</f>
        <v>25</v>
      </c>
      <c r="H38" s="35">
        <f>IF(Inputs!H38="","",LET(d,Rulebook!$L38,x,Inputs!H38*d,ta,Rulebook!$G38*d,tb,Rulebook!$H38*d,tc,Rulebook!$I38*d,te,Rulebook!$J38*d,tf,Rulebook!$K38*d,IFS(x&lt;=ta,0,x&lt;=tb,25*(x-ta)/(tb-ta),x&lt;=tc,25+25*(x-tb)/(tc-tb),x&lt;=te,50+25*(x-tc)/(te-tc),x&lt;tf,75+25*(x-te)/(tf-te),TRUE,100)))</f>
        <v>75</v>
      </c>
      <c r="I38" s="35">
        <f>IF(Inputs!I38="","",LET(d,Rulebook!$L38,x,Inputs!I38*d,ta,Rulebook!$G38*d,tb,Rulebook!$H38*d,tc,Rulebook!$I38*d,te,Rulebook!$J38*d,tf,Rulebook!$K38*d,IFS(x&lt;=ta,0,x&lt;=tb,25*(x-ta)/(tb-ta),x&lt;=tc,25+25*(x-tb)/(tc-tb),x&lt;=te,50+25*(x-tc)/(te-tc),x&lt;tf,75+25*(x-te)/(tf-te),TRUE,100)))</f>
        <v>50</v>
      </c>
      <c r="J38" s="35">
        <f>IF(Inputs!J38="","",LET(d,Rulebook!$L38,x,Inputs!J38*d,ta,Rulebook!$G38*d,tb,Rulebook!$H38*d,tc,Rulebook!$I38*d,te,Rulebook!$J38*d,tf,Rulebook!$K38*d,IFS(x&lt;=ta,0,x&lt;=tb,25*(x-ta)/(tb-ta),x&lt;=tc,25+25*(x-tb)/(tc-tb),x&lt;=te,50+25*(x-tc)/(te-tc),x&lt;tf,75+25*(x-te)/(tf-te),TRUE,100)))</f>
        <v>0</v>
      </c>
      <c r="K38" s="35">
        <f>IF(Inputs!K38="","",LET(d,Rulebook!$L38,x,Inputs!K38*d,ta,Rulebook!$G38*d,tb,Rulebook!$H38*d,tc,Rulebook!$I38*d,te,Rulebook!$J38*d,tf,Rulebook!$K38*d,IFS(x&lt;=ta,0,x&lt;=tb,25*(x-ta)/(tb-ta),x&lt;=tc,25+25*(x-tb)/(tc-tb),x&lt;=te,50+25*(x-tc)/(te-tc),x&lt;tf,75+25*(x-te)/(tf-te),TRUE,100)))</f>
        <v>0</v>
      </c>
      <c r="L38" s="35">
        <f>IF(Inputs!L38="","",LET(d,Rulebook!$L38,x,Inputs!L38*d,ta,Rulebook!$G38*d,tb,Rulebook!$H38*d,tc,Rulebook!$I38*d,te,Rulebook!$J38*d,tf,Rulebook!$K38*d,IFS(x&lt;=ta,0,x&lt;=tb,25*(x-ta)/(tb-ta),x&lt;=tc,25+25*(x-tb)/(tc-tb),x&lt;=te,50+25*(x-tc)/(te-tc),x&lt;tf,75+25*(x-te)/(tf-te),TRUE,100)))</f>
        <v>75</v>
      </c>
      <c r="M38" s="35">
        <f>IF(Inputs!M38="","",LET(d,Rulebook!$L38,x,Inputs!M38*d,ta,Rulebook!$G38*d,tb,Rulebook!$H38*d,tc,Rulebook!$I38*d,te,Rulebook!$J38*d,tf,Rulebook!$K38*d,IFS(x&lt;=ta,0,x&lt;=tb,25*(x-ta)/(tb-ta),x&lt;=tc,25+25*(x-tb)/(tc-tb),x&lt;=te,50+25*(x-tc)/(te-tc),x&lt;tf,75+25*(x-te)/(tf-te),TRUE,100)))</f>
        <v>100</v>
      </c>
      <c r="N38" s="35">
        <f>IF(Inputs!N38="","",LET(d,Rulebook!$L38,x,Inputs!N38*d,ta,Rulebook!$G38*d,tb,Rulebook!$H38*d,tc,Rulebook!$I38*d,te,Rulebook!$J38*d,tf,Rulebook!$K38*d,IFS(x&lt;=ta,0,x&lt;=tb,25*(x-ta)/(tb-ta),x&lt;=tc,25+25*(x-tb)/(tc-tb),x&lt;=te,50+25*(x-tc)/(te-tc),x&lt;tf,75+25*(x-te)/(tf-te),TRUE,100)))</f>
        <v>0</v>
      </c>
      <c r="O38" s="35">
        <f>IF(Inputs!O38="","",LET(d,Rulebook!$L38,x,Inputs!O38*d,ta,Rulebook!$G38*d,tb,Rulebook!$H38*d,tc,Rulebook!$I38*d,te,Rulebook!$J38*d,tf,Rulebook!$K38*d,IFS(x&lt;=ta,0,x&lt;=tb,25*(x-ta)/(tb-ta),x&lt;=tc,25+25*(x-tb)/(tc-tb),x&lt;=te,50+25*(x-tc)/(te-tc),x&lt;tf,75+25*(x-te)/(tf-te),TRUE,100)))</f>
        <v>100</v>
      </c>
      <c r="P38" s="35">
        <f>IF(Inputs!P38="","",LET(d,Rulebook!$L38,x,Inputs!P38*d,ta,Rulebook!$G38*d,tb,Rulebook!$H38*d,tc,Rulebook!$I38*d,te,Rulebook!$J38*d,tf,Rulebook!$K38*d,IFS(x&lt;=ta,0,x&lt;=tb,25*(x-ta)/(tb-ta),x&lt;=tc,25+25*(x-tb)/(tc-tb),x&lt;=te,50+25*(x-tc)/(te-tc),x&lt;tf,75+25*(x-te)/(tf-te),TRUE,100)))</f>
        <v>75</v>
      </c>
      <c r="Q38" s="35">
        <f>IF(Inputs!Q38="","",LET(d,Rulebook!$L38,x,Inputs!Q38*d,ta,Rulebook!$G38*d,tb,Rulebook!$H38*d,tc,Rulebook!$I38*d,te,Rulebook!$J38*d,tf,Rulebook!$K38*d,IFS(x&lt;=ta,0,x&lt;=tb,25*(x-ta)/(tb-ta),x&lt;=tc,25+25*(x-tb)/(tc-tb),x&lt;=te,50+25*(x-tc)/(te-tc),x&lt;tf,75+25*(x-te)/(tf-te),TRUE,100)))</f>
        <v>75</v>
      </c>
      <c r="R38" s="35">
        <f>IF(Inputs!R38="","",LET(d,Rulebook!$L38,x,Inputs!R38*d,ta,Rulebook!$G38*d,tb,Rulebook!$H38*d,tc,Rulebook!$I38*d,te,Rulebook!$J38*d,tf,Rulebook!$K38*d,IFS(x&lt;=ta,0,x&lt;=tb,25*(x-ta)/(tb-ta),x&lt;=tc,25+25*(x-tb)/(tc-tb),x&lt;=te,50+25*(x-tc)/(te-tc),x&lt;tf,75+25*(x-te)/(tf-te),TRUE,100)))</f>
        <v>50</v>
      </c>
      <c r="S38" s="35">
        <f>IF(Inputs!S38="","",LET(d,Rulebook!$L38,x,Inputs!S38*d,ta,Rulebook!$G38*d,tb,Rulebook!$H38*d,tc,Rulebook!$I38*d,te,Rulebook!$J38*d,tf,Rulebook!$K38*d,IFS(x&lt;=ta,0,x&lt;=tb,25*(x-ta)/(tb-ta),x&lt;=tc,25+25*(x-tb)/(tc-tb),x&lt;=te,50+25*(x-tc)/(te-tc),x&lt;tf,75+25*(x-te)/(tf-te),TRUE,100)))</f>
        <v>75</v>
      </c>
      <c r="T38" s="35">
        <f>IF(Inputs!T38="","",LET(d,Rulebook!$L38,x,Inputs!T38*d,ta,Rulebook!$G38*d,tb,Rulebook!$H38*d,tc,Rulebook!$I38*d,te,Rulebook!$J38*d,tf,Rulebook!$K38*d,IFS(x&lt;=ta,0,x&lt;=tb,25*(x-ta)/(tb-ta),x&lt;=tc,25+25*(x-tb)/(tc-tb),x&lt;=te,50+25*(x-tc)/(te-tc),x&lt;tf,75+25*(x-te)/(tf-te),TRUE,100)))</f>
        <v>75</v>
      </c>
      <c r="U38" s="35">
        <f>IF(Inputs!U38="","",LET(d,Rulebook!$L38,x,Inputs!U38*d,ta,Rulebook!$G38*d,tb,Rulebook!$H38*d,tc,Rulebook!$I38*d,te,Rulebook!$J38*d,tf,Rulebook!$K38*d,IFS(x&lt;=ta,0,x&lt;=tb,25*(x-ta)/(tb-ta),x&lt;=tc,25+25*(x-tb)/(tc-tb),x&lt;=te,50+25*(x-tc)/(te-tc),x&lt;tf,75+25*(x-te)/(tf-te),TRUE,100)))</f>
        <v>75</v>
      </c>
      <c r="V38" s="35">
        <f>IF(Inputs!V38="","",LET(d,Rulebook!$L38,x,Inputs!V38*d,ta,Rulebook!$G38*d,tb,Rulebook!$H38*d,tc,Rulebook!$I38*d,te,Rulebook!$J38*d,tf,Rulebook!$K38*d,IFS(x&lt;=ta,0,x&lt;=tb,25*(x-ta)/(tb-ta),x&lt;=tc,25+25*(x-tb)/(tc-tb),x&lt;=te,50+25*(x-tc)/(te-tc),x&lt;tf,75+25*(x-te)/(tf-te),TRUE,100)))</f>
        <v>50</v>
      </c>
    </row>
    <row r="39">
      <c r="A39" s="26" t="s">
        <v>585</v>
      </c>
      <c r="B39" s="26">
        <v>4.0</v>
      </c>
      <c r="C39" s="26" t="s">
        <v>586</v>
      </c>
      <c r="D39" s="26" t="s">
        <v>254</v>
      </c>
      <c r="E39" s="35">
        <f>IF(Inputs!E39="","",LET(d,Rulebook!$L39,x,Inputs!E39*d,ta,Rulebook!$G39*d,tb,Rulebook!$H39*d,tc,Rulebook!$I39*d,te,Rulebook!$J39*d,tf,Rulebook!$K39*d,IFS(x&lt;=ta,0,x&lt;=tb,25*(x-ta)/(tb-ta),x&lt;=tc,25+25*(x-tb)/(tc-tb),x&lt;=te,50+25*(x-tc)/(te-tc),x&lt;tf,75+25*(x-te)/(tf-te),TRUE,100)))</f>
        <v>0</v>
      </c>
      <c r="F39" s="35">
        <f>IF(Inputs!F39="","",LET(d,Rulebook!$L39,x,Inputs!F39*d,ta,Rulebook!$G39*d,tb,Rulebook!$H39*d,tc,Rulebook!$I39*d,te,Rulebook!$J39*d,tf,Rulebook!$K39*d,IFS(x&lt;=ta,0,x&lt;=tb,25*(x-ta)/(tb-ta),x&lt;=tc,25+25*(x-tb)/(tc-tb),x&lt;=te,50+25*(x-tc)/(te-tc),x&lt;tf,75+25*(x-te)/(tf-te),TRUE,100)))</f>
        <v>50</v>
      </c>
      <c r="G39" s="35">
        <f>IF(Inputs!G39="","",LET(d,Rulebook!$L39,x,Inputs!G39*d,ta,Rulebook!$G39*d,tb,Rulebook!$H39*d,tc,Rulebook!$I39*d,te,Rulebook!$J39*d,tf,Rulebook!$K39*d,IFS(x&lt;=ta,0,x&lt;=tb,25*(x-ta)/(tb-ta),x&lt;=tc,25+25*(x-tb)/(tc-tb),x&lt;=te,50+25*(x-tc)/(te-tc),x&lt;tf,75+25*(x-te)/(tf-te),TRUE,100)))</f>
        <v>0</v>
      </c>
      <c r="H39" s="35">
        <f>IF(Inputs!H39="","",LET(d,Rulebook!$L39,x,Inputs!H39*d,ta,Rulebook!$G39*d,tb,Rulebook!$H39*d,tc,Rulebook!$I39*d,te,Rulebook!$J39*d,tf,Rulebook!$K39*d,IFS(x&lt;=ta,0,x&lt;=tb,25*(x-ta)/(tb-ta),x&lt;=tc,25+25*(x-tb)/(tc-tb),x&lt;=te,50+25*(x-tc)/(te-tc),x&lt;tf,75+25*(x-te)/(tf-te),TRUE,100)))</f>
        <v>0</v>
      </c>
      <c r="I39" s="35">
        <f>IF(Inputs!I39="","",LET(d,Rulebook!$L39,x,Inputs!I39*d,ta,Rulebook!$G39*d,tb,Rulebook!$H39*d,tc,Rulebook!$I39*d,te,Rulebook!$J39*d,tf,Rulebook!$K39*d,IFS(x&lt;=ta,0,x&lt;=tb,25*(x-ta)/(tb-ta),x&lt;=tc,25+25*(x-tb)/(tc-tb),x&lt;=te,50+25*(x-tc)/(te-tc),x&lt;tf,75+25*(x-te)/(tf-te),TRUE,100)))</f>
        <v>0</v>
      </c>
      <c r="J39" s="35">
        <f>IF(Inputs!J39="","",LET(d,Rulebook!$L39,x,Inputs!J39*d,ta,Rulebook!$G39*d,tb,Rulebook!$H39*d,tc,Rulebook!$I39*d,te,Rulebook!$J39*d,tf,Rulebook!$K39*d,IFS(x&lt;=ta,0,x&lt;=tb,25*(x-ta)/(tb-ta),x&lt;=tc,25+25*(x-tb)/(tc-tb),x&lt;=te,50+25*(x-tc)/(te-tc),x&lt;tf,75+25*(x-te)/(tf-te),TRUE,100)))</f>
        <v>0</v>
      </c>
      <c r="K39" s="35">
        <f>IF(Inputs!K39="","",LET(d,Rulebook!$L39,x,Inputs!K39*d,ta,Rulebook!$G39*d,tb,Rulebook!$H39*d,tc,Rulebook!$I39*d,te,Rulebook!$J39*d,tf,Rulebook!$K39*d,IFS(x&lt;=ta,0,x&lt;=tb,25*(x-ta)/(tb-ta),x&lt;=tc,25+25*(x-tb)/(tc-tb),x&lt;=te,50+25*(x-tc)/(te-tc),x&lt;tf,75+25*(x-te)/(tf-te),TRUE,100)))</f>
        <v>75</v>
      </c>
      <c r="L39" s="35">
        <f>IF(Inputs!L39="","",LET(d,Rulebook!$L39,x,Inputs!L39*d,ta,Rulebook!$G39*d,tb,Rulebook!$H39*d,tc,Rulebook!$I39*d,te,Rulebook!$J39*d,tf,Rulebook!$K39*d,IFS(x&lt;=ta,0,x&lt;=tb,25*(x-ta)/(tb-ta),x&lt;=tc,25+25*(x-tb)/(tc-tb),x&lt;=te,50+25*(x-tc)/(te-tc),x&lt;tf,75+25*(x-te)/(tf-te),TRUE,100)))</f>
        <v>0</v>
      </c>
      <c r="M39" s="35">
        <f>IF(Inputs!M39="","",LET(d,Rulebook!$L39,x,Inputs!M39*d,ta,Rulebook!$G39*d,tb,Rulebook!$H39*d,tc,Rulebook!$I39*d,te,Rulebook!$J39*d,tf,Rulebook!$K39*d,IFS(x&lt;=ta,0,x&lt;=tb,25*(x-ta)/(tb-ta),x&lt;=tc,25+25*(x-tb)/(tc-tb),x&lt;=te,50+25*(x-tc)/(te-tc),x&lt;tf,75+25*(x-te)/(tf-te),TRUE,100)))</f>
        <v>50</v>
      </c>
      <c r="N39" s="35">
        <f>IF(Inputs!N39="","",LET(d,Rulebook!$L39,x,Inputs!N39*d,ta,Rulebook!$G39*d,tb,Rulebook!$H39*d,tc,Rulebook!$I39*d,te,Rulebook!$J39*d,tf,Rulebook!$K39*d,IFS(x&lt;=ta,0,x&lt;=tb,25*(x-ta)/(tb-ta),x&lt;=tc,25+25*(x-tb)/(tc-tb),x&lt;=te,50+25*(x-tc)/(te-tc),x&lt;tf,75+25*(x-te)/(tf-te),TRUE,100)))</f>
        <v>0</v>
      </c>
      <c r="O39" s="35">
        <f>IF(Inputs!O39="","",LET(d,Rulebook!$L39,x,Inputs!O39*d,ta,Rulebook!$G39*d,tb,Rulebook!$H39*d,tc,Rulebook!$I39*d,te,Rulebook!$J39*d,tf,Rulebook!$K39*d,IFS(x&lt;=ta,0,x&lt;=tb,25*(x-ta)/(tb-ta),x&lt;=tc,25+25*(x-tb)/(tc-tb),x&lt;=te,50+25*(x-tc)/(te-tc),x&lt;tf,75+25*(x-te)/(tf-te),TRUE,100)))</f>
        <v>75</v>
      </c>
      <c r="P39" s="35">
        <f>IF(Inputs!P39="","",LET(d,Rulebook!$L39,x,Inputs!P39*d,ta,Rulebook!$G39*d,tb,Rulebook!$H39*d,tc,Rulebook!$I39*d,te,Rulebook!$J39*d,tf,Rulebook!$K39*d,IFS(x&lt;=ta,0,x&lt;=tb,25*(x-ta)/(tb-ta),x&lt;=tc,25+25*(x-tb)/(tc-tb),x&lt;=te,50+25*(x-tc)/(te-tc),x&lt;tf,75+25*(x-te)/(tf-te),TRUE,100)))</f>
        <v>25</v>
      </c>
      <c r="Q39" s="35">
        <f>IF(Inputs!Q39="","",LET(d,Rulebook!$L39,x,Inputs!Q39*d,ta,Rulebook!$G39*d,tb,Rulebook!$H39*d,tc,Rulebook!$I39*d,te,Rulebook!$J39*d,tf,Rulebook!$K39*d,IFS(x&lt;=ta,0,x&lt;=tb,25*(x-ta)/(tb-ta),x&lt;=tc,25+25*(x-tb)/(tc-tb),x&lt;=te,50+25*(x-tc)/(te-tc),x&lt;tf,75+25*(x-te)/(tf-te),TRUE,100)))</f>
        <v>0</v>
      </c>
      <c r="R39" s="35">
        <f>IF(Inputs!R39="","",LET(d,Rulebook!$L39,x,Inputs!R39*d,ta,Rulebook!$G39*d,tb,Rulebook!$H39*d,tc,Rulebook!$I39*d,te,Rulebook!$J39*d,tf,Rulebook!$K39*d,IFS(x&lt;=ta,0,x&lt;=tb,25*(x-ta)/(tb-ta),x&lt;=tc,25+25*(x-tb)/(tc-tb),x&lt;=te,50+25*(x-tc)/(te-tc),x&lt;tf,75+25*(x-te)/(tf-te),TRUE,100)))</f>
        <v>75</v>
      </c>
      <c r="S39" s="35">
        <f>IF(Inputs!S39="","",LET(d,Rulebook!$L39,x,Inputs!S39*d,ta,Rulebook!$G39*d,tb,Rulebook!$H39*d,tc,Rulebook!$I39*d,te,Rulebook!$J39*d,tf,Rulebook!$K39*d,IFS(x&lt;=ta,0,x&lt;=tb,25*(x-ta)/(tb-ta),x&lt;=tc,25+25*(x-tb)/(tc-tb),x&lt;=te,50+25*(x-tc)/(te-tc),x&lt;tf,75+25*(x-te)/(tf-te),TRUE,100)))</f>
        <v>75</v>
      </c>
      <c r="T39" s="35">
        <f>IF(Inputs!T39="","",LET(d,Rulebook!$L39,x,Inputs!T39*d,ta,Rulebook!$G39*d,tb,Rulebook!$H39*d,tc,Rulebook!$I39*d,te,Rulebook!$J39*d,tf,Rulebook!$K39*d,IFS(x&lt;=ta,0,x&lt;=tb,25*(x-ta)/(tb-ta),x&lt;=tc,25+25*(x-tb)/(tc-tb),x&lt;=te,50+25*(x-tc)/(te-tc),x&lt;tf,75+25*(x-te)/(tf-te),TRUE,100)))</f>
        <v>75</v>
      </c>
      <c r="U39" s="35">
        <f>IF(Inputs!U39="","",LET(d,Rulebook!$L39,x,Inputs!U39*d,ta,Rulebook!$G39*d,tb,Rulebook!$H39*d,tc,Rulebook!$I39*d,te,Rulebook!$J39*d,tf,Rulebook!$K39*d,IFS(x&lt;=ta,0,x&lt;=tb,25*(x-ta)/(tb-ta),x&lt;=tc,25+25*(x-tb)/(tc-tb),x&lt;=te,50+25*(x-tc)/(te-tc),x&lt;tf,75+25*(x-te)/(tf-te),TRUE,100)))</f>
        <v>25</v>
      </c>
      <c r="V39" s="35">
        <f>IF(Inputs!V39="","",LET(d,Rulebook!$L39,x,Inputs!V39*d,ta,Rulebook!$G39*d,tb,Rulebook!$H39*d,tc,Rulebook!$I39*d,te,Rulebook!$J39*d,tf,Rulebook!$K39*d,IFS(x&lt;=ta,0,x&lt;=tb,25*(x-ta)/(tb-ta),x&lt;=tc,25+25*(x-tb)/(tc-tb),x&lt;=te,50+25*(x-tc)/(te-tc),x&lt;tf,75+25*(x-te)/(tf-te),TRUE,100)))</f>
        <v>50</v>
      </c>
    </row>
    <row r="40">
      <c r="A40" s="26" t="s">
        <v>593</v>
      </c>
      <c r="B40" s="26">
        <v>4.0</v>
      </c>
      <c r="C40" s="26" t="s">
        <v>594</v>
      </c>
      <c r="D40" s="26" t="s">
        <v>254</v>
      </c>
      <c r="E40" s="35">
        <f>IF(Inputs!E40="","",LET(d,Rulebook!$L40,x,Inputs!E40*d,ta,Rulebook!$G40*d,tb,Rulebook!$H40*d,tc,Rulebook!$I40*d,te,Rulebook!$J40*d,tf,Rulebook!$K40*d,IFS(x&lt;=ta,0,x&lt;=tb,25*(x-ta)/(tb-ta),x&lt;=tc,25+25*(x-tb)/(tc-tb),x&lt;=te,50+25*(x-tc)/(te-tc),x&lt;tf,75+25*(x-te)/(tf-te),TRUE,100)))</f>
        <v>0</v>
      </c>
      <c r="F40" s="35">
        <f>IF(Inputs!F40="","",LET(d,Rulebook!$L40,x,Inputs!F40*d,ta,Rulebook!$G40*d,tb,Rulebook!$H40*d,tc,Rulebook!$I40*d,te,Rulebook!$J40*d,tf,Rulebook!$K40*d,IFS(x&lt;=ta,0,x&lt;=tb,25*(x-ta)/(tb-ta),x&lt;=tc,25+25*(x-tb)/(tc-tb),x&lt;=te,50+25*(x-tc)/(te-tc),x&lt;tf,75+25*(x-te)/(tf-te),TRUE,100)))</f>
        <v>25</v>
      </c>
      <c r="G40" s="35">
        <f>IF(Inputs!G40="","",LET(d,Rulebook!$L40,x,Inputs!G40*d,ta,Rulebook!$G40*d,tb,Rulebook!$H40*d,tc,Rulebook!$I40*d,te,Rulebook!$J40*d,tf,Rulebook!$K40*d,IFS(x&lt;=ta,0,x&lt;=tb,25*(x-ta)/(tb-ta),x&lt;=tc,25+25*(x-tb)/(tc-tb),x&lt;=te,50+25*(x-tc)/(te-tc),x&lt;tf,75+25*(x-te)/(tf-te),TRUE,100)))</f>
        <v>0</v>
      </c>
      <c r="H40" s="35">
        <f>IF(Inputs!H40="","",LET(d,Rulebook!$L40,x,Inputs!H40*d,ta,Rulebook!$G40*d,tb,Rulebook!$H40*d,tc,Rulebook!$I40*d,te,Rulebook!$J40*d,tf,Rulebook!$K40*d,IFS(x&lt;=ta,0,x&lt;=tb,25*(x-ta)/(tb-ta),x&lt;=tc,25+25*(x-tb)/(tc-tb),x&lt;=te,50+25*(x-tc)/(te-tc),x&lt;tf,75+25*(x-te)/(tf-te),TRUE,100)))</f>
        <v>25</v>
      </c>
      <c r="I40" s="35">
        <f>IF(Inputs!I40="","",LET(d,Rulebook!$L40,x,Inputs!I40*d,ta,Rulebook!$G40*d,tb,Rulebook!$H40*d,tc,Rulebook!$I40*d,te,Rulebook!$J40*d,tf,Rulebook!$K40*d,IFS(x&lt;=ta,0,x&lt;=tb,25*(x-ta)/(tb-ta),x&lt;=tc,25+25*(x-tb)/(tc-tb),x&lt;=te,50+25*(x-tc)/(te-tc),x&lt;tf,75+25*(x-te)/(tf-te),TRUE,100)))</f>
        <v>0</v>
      </c>
      <c r="J40" s="35">
        <f>IF(Inputs!J40="","",LET(d,Rulebook!$L40,x,Inputs!J40*d,ta,Rulebook!$G40*d,tb,Rulebook!$H40*d,tc,Rulebook!$I40*d,te,Rulebook!$J40*d,tf,Rulebook!$K40*d,IFS(x&lt;=ta,0,x&lt;=tb,25*(x-ta)/(tb-ta),x&lt;=tc,25+25*(x-tb)/(tc-tb),x&lt;=te,50+25*(x-tc)/(te-tc),x&lt;tf,75+25*(x-te)/(tf-te),TRUE,100)))</f>
        <v>25</v>
      </c>
      <c r="K40" s="35">
        <f>IF(Inputs!K40="","",LET(d,Rulebook!$L40,x,Inputs!K40*d,ta,Rulebook!$G40*d,tb,Rulebook!$H40*d,tc,Rulebook!$I40*d,te,Rulebook!$J40*d,tf,Rulebook!$K40*d,IFS(x&lt;=ta,0,x&lt;=tb,25*(x-ta)/(tb-ta),x&lt;=tc,25+25*(x-tb)/(tc-tb),x&lt;=te,50+25*(x-tc)/(te-tc),x&lt;tf,75+25*(x-te)/(tf-te),TRUE,100)))</f>
        <v>0</v>
      </c>
      <c r="L40" s="35">
        <f>IF(Inputs!L40="","",LET(d,Rulebook!$L40,x,Inputs!L40*d,ta,Rulebook!$G40*d,tb,Rulebook!$H40*d,tc,Rulebook!$I40*d,te,Rulebook!$J40*d,tf,Rulebook!$K40*d,IFS(x&lt;=ta,0,x&lt;=tb,25*(x-ta)/(tb-ta),x&lt;=tc,25+25*(x-tb)/(tc-tb),x&lt;=te,50+25*(x-tc)/(te-tc),x&lt;tf,75+25*(x-te)/(tf-te),TRUE,100)))</f>
        <v>0</v>
      </c>
      <c r="M40" s="35">
        <f>IF(Inputs!M40="","",LET(d,Rulebook!$L40,x,Inputs!M40*d,ta,Rulebook!$G40*d,tb,Rulebook!$H40*d,tc,Rulebook!$I40*d,te,Rulebook!$J40*d,tf,Rulebook!$K40*d,IFS(x&lt;=ta,0,x&lt;=tb,25*(x-ta)/(tb-ta),x&lt;=tc,25+25*(x-tb)/(tc-tb),x&lt;=te,50+25*(x-tc)/(te-tc),x&lt;tf,75+25*(x-te)/(tf-te),TRUE,100)))</f>
        <v>75</v>
      </c>
      <c r="N40" s="35">
        <f>IF(Inputs!N40="","",LET(d,Rulebook!$L40,x,Inputs!N40*d,ta,Rulebook!$G40*d,tb,Rulebook!$H40*d,tc,Rulebook!$I40*d,te,Rulebook!$J40*d,tf,Rulebook!$K40*d,IFS(x&lt;=ta,0,x&lt;=tb,25*(x-ta)/(tb-ta),x&lt;=tc,25+25*(x-tb)/(tc-tb),x&lt;=te,50+25*(x-tc)/(te-tc),x&lt;tf,75+25*(x-te)/(tf-te),TRUE,100)))</f>
        <v>0</v>
      </c>
      <c r="O40" s="35">
        <f>IF(Inputs!O40="","",LET(d,Rulebook!$L40,x,Inputs!O40*d,ta,Rulebook!$G40*d,tb,Rulebook!$H40*d,tc,Rulebook!$I40*d,te,Rulebook!$J40*d,tf,Rulebook!$K40*d,IFS(x&lt;=ta,0,x&lt;=tb,25*(x-ta)/(tb-ta),x&lt;=tc,25+25*(x-tb)/(tc-tb),x&lt;=te,50+25*(x-tc)/(te-tc),x&lt;tf,75+25*(x-te)/(tf-te),TRUE,100)))</f>
        <v>50</v>
      </c>
      <c r="P40" s="35">
        <f>IF(Inputs!P40="","",LET(d,Rulebook!$L40,x,Inputs!P40*d,ta,Rulebook!$G40*d,tb,Rulebook!$H40*d,tc,Rulebook!$I40*d,te,Rulebook!$J40*d,tf,Rulebook!$K40*d,IFS(x&lt;=ta,0,x&lt;=tb,25*(x-ta)/(tb-ta),x&lt;=tc,25+25*(x-tb)/(tc-tb),x&lt;=te,50+25*(x-tc)/(te-tc),x&lt;tf,75+25*(x-te)/(tf-te),TRUE,100)))</f>
        <v>50</v>
      </c>
      <c r="Q40" s="35">
        <f>IF(Inputs!Q40="","",LET(d,Rulebook!$L40,x,Inputs!Q40*d,ta,Rulebook!$G40*d,tb,Rulebook!$H40*d,tc,Rulebook!$I40*d,te,Rulebook!$J40*d,tf,Rulebook!$K40*d,IFS(x&lt;=ta,0,x&lt;=tb,25*(x-ta)/(tb-ta),x&lt;=tc,25+25*(x-tb)/(tc-tb),x&lt;=te,50+25*(x-tc)/(te-tc),x&lt;tf,75+25*(x-te)/(tf-te),TRUE,100)))</f>
        <v>0</v>
      </c>
      <c r="R40" s="35">
        <f>IF(Inputs!R40="","",LET(d,Rulebook!$L40,x,Inputs!R40*d,ta,Rulebook!$G40*d,tb,Rulebook!$H40*d,tc,Rulebook!$I40*d,te,Rulebook!$J40*d,tf,Rulebook!$K40*d,IFS(x&lt;=ta,0,x&lt;=tb,25*(x-ta)/(tb-ta),x&lt;=tc,25+25*(x-tb)/(tc-tb),x&lt;=te,50+25*(x-tc)/(te-tc),x&lt;tf,75+25*(x-te)/(tf-te),TRUE,100)))</f>
        <v>100</v>
      </c>
      <c r="S40" s="35">
        <f>IF(Inputs!S40="","",LET(d,Rulebook!$L40,x,Inputs!S40*d,ta,Rulebook!$G40*d,tb,Rulebook!$H40*d,tc,Rulebook!$I40*d,te,Rulebook!$J40*d,tf,Rulebook!$K40*d,IFS(x&lt;=ta,0,x&lt;=tb,25*(x-ta)/(tb-ta),x&lt;=tc,25+25*(x-tb)/(tc-tb),x&lt;=te,50+25*(x-tc)/(te-tc),x&lt;tf,75+25*(x-te)/(tf-te),TRUE,100)))</f>
        <v>50</v>
      </c>
      <c r="T40" s="35">
        <f>IF(Inputs!T40="","",LET(d,Rulebook!$L40,x,Inputs!T40*d,ta,Rulebook!$G40*d,tb,Rulebook!$H40*d,tc,Rulebook!$I40*d,te,Rulebook!$J40*d,tf,Rulebook!$K40*d,IFS(x&lt;=ta,0,x&lt;=tb,25*(x-ta)/(tb-ta),x&lt;=tc,25+25*(x-tb)/(tc-tb),x&lt;=te,50+25*(x-tc)/(te-tc),x&lt;tf,75+25*(x-te)/(tf-te),TRUE,100)))</f>
        <v>0</v>
      </c>
      <c r="U40" s="35">
        <f>IF(Inputs!U40="","",LET(d,Rulebook!$L40,x,Inputs!U40*d,ta,Rulebook!$G40*d,tb,Rulebook!$H40*d,tc,Rulebook!$I40*d,te,Rulebook!$J40*d,tf,Rulebook!$K40*d,IFS(x&lt;=ta,0,x&lt;=tb,25*(x-ta)/(tb-ta),x&lt;=tc,25+25*(x-tb)/(tc-tb),x&lt;=te,50+25*(x-tc)/(te-tc),x&lt;tf,75+25*(x-te)/(tf-te),TRUE,100)))</f>
        <v>0</v>
      </c>
      <c r="V40" s="35">
        <f>IF(Inputs!V40="","",LET(d,Rulebook!$L40,x,Inputs!V40*d,ta,Rulebook!$G40*d,tb,Rulebook!$H40*d,tc,Rulebook!$I40*d,te,Rulebook!$J40*d,tf,Rulebook!$K40*d,IFS(x&lt;=ta,0,x&lt;=tb,25*(x-ta)/(tb-ta),x&lt;=tc,25+25*(x-tb)/(tc-tb),x&lt;=te,50+25*(x-tc)/(te-tc),x&lt;tf,75+25*(x-te)/(tf-te),TRUE,100)))</f>
        <v>75</v>
      </c>
    </row>
    <row r="41">
      <c r="A41" s="26" t="s">
        <v>598</v>
      </c>
      <c r="B41" s="26">
        <v>4.0</v>
      </c>
      <c r="C41" s="26" t="s">
        <v>599</v>
      </c>
      <c r="D41" s="26" t="s">
        <v>254</v>
      </c>
      <c r="E41" s="35">
        <f>IF(Inputs!E41="","",LET(d,Rulebook!$L41,x,Inputs!E41*d,ta,Rulebook!$G41*d,tb,Rulebook!$H41*d,tc,Rulebook!$I41*d,te,Rulebook!$J41*d,tf,Rulebook!$K41*d,IFS(x&lt;=ta,0,x&lt;=tb,25*(x-ta)/(tb-ta),x&lt;=tc,25+25*(x-tb)/(tc-tb),x&lt;=te,50+25*(x-tc)/(te-tc),x&lt;tf,75+25*(x-te)/(tf-te),TRUE,100)))</f>
        <v>25</v>
      </c>
      <c r="F41" s="35">
        <f>IF(Inputs!F41="","",LET(d,Rulebook!$L41,x,Inputs!F41*d,ta,Rulebook!$G41*d,tb,Rulebook!$H41*d,tc,Rulebook!$I41*d,te,Rulebook!$J41*d,tf,Rulebook!$K41*d,IFS(x&lt;=ta,0,x&lt;=tb,25*(x-ta)/(tb-ta),x&lt;=tc,25+25*(x-tb)/(tc-tb),x&lt;=te,50+25*(x-tc)/(te-tc),x&lt;tf,75+25*(x-te)/(tf-te),TRUE,100)))</f>
        <v>25</v>
      </c>
      <c r="G41" s="35">
        <f>IF(Inputs!G41="","",LET(d,Rulebook!$L41,x,Inputs!G41*d,ta,Rulebook!$G41*d,tb,Rulebook!$H41*d,tc,Rulebook!$I41*d,te,Rulebook!$J41*d,tf,Rulebook!$K41*d,IFS(x&lt;=ta,0,x&lt;=tb,25*(x-ta)/(tb-ta),x&lt;=tc,25+25*(x-tb)/(tc-tb),x&lt;=te,50+25*(x-tc)/(te-tc),x&lt;tf,75+25*(x-te)/(tf-te),TRUE,100)))</f>
        <v>50</v>
      </c>
      <c r="H41" s="35">
        <f>IF(Inputs!H41="","",LET(d,Rulebook!$L41,x,Inputs!H41*d,ta,Rulebook!$G41*d,tb,Rulebook!$H41*d,tc,Rulebook!$I41*d,te,Rulebook!$J41*d,tf,Rulebook!$K41*d,IFS(x&lt;=ta,0,x&lt;=tb,25*(x-ta)/(tb-ta),x&lt;=tc,25+25*(x-tb)/(tc-tb),x&lt;=te,50+25*(x-tc)/(te-tc),x&lt;tf,75+25*(x-te)/(tf-te),TRUE,100)))</f>
        <v>25</v>
      </c>
      <c r="I41" s="35">
        <f>IF(Inputs!I41="","",LET(d,Rulebook!$L41,x,Inputs!I41*d,ta,Rulebook!$G41*d,tb,Rulebook!$H41*d,tc,Rulebook!$I41*d,te,Rulebook!$J41*d,tf,Rulebook!$K41*d,IFS(x&lt;=ta,0,x&lt;=tb,25*(x-ta)/(tb-ta),x&lt;=tc,25+25*(x-tb)/(tc-tb),x&lt;=te,50+25*(x-tc)/(te-tc),x&lt;tf,75+25*(x-te)/(tf-te),TRUE,100)))</f>
        <v>0</v>
      </c>
      <c r="J41" s="35">
        <f>IF(Inputs!J41="","",LET(d,Rulebook!$L41,x,Inputs!J41*d,ta,Rulebook!$G41*d,tb,Rulebook!$H41*d,tc,Rulebook!$I41*d,te,Rulebook!$J41*d,tf,Rulebook!$K41*d,IFS(x&lt;=ta,0,x&lt;=tb,25*(x-ta)/(tb-ta),x&lt;=tc,25+25*(x-tb)/(tc-tb),x&lt;=te,50+25*(x-tc)/(te-tc),x&lt;tf,75+25*(x-te)/(tf-te),TRUE,100)))</f>
        <v>0</v>
      </c>
      <c r="K41" s="35">
        <f>IF(Inputs!K41="","",LET(d,Rulebook!$L41,x,Inputs!K41*d,ta,Rulebook!$G41*d,tb,Rulebook!$H41*d,tc,Rulebook!$I41*d,te,Rulebook!$J41*d,tf,Rulebook!$K41*d,IFS(x&lt;=ta,0,x&lt;=tb,25*(x-ta)/(tb-ta),x&lt;=tc,25+25*(x-tb)/(tc-tb),x&lt;=te,50+25*(x-tc)/(te-tc),x&lt;tf,75+25*(x-te)/(tf-te),TRUE,100)))</f>
        <v>25</v>
      </c>
      <c r="L41" s="35">
        <f>IF(Inputs!L41="","",LET(d,Rulebook!$L41,x,Inputs!L41*d,ta,Rulebook!$G41*d,tb,Rulebook!$H41*d,tc,Rulebook!$I41*d,te,Rulebook!$J41*d,tf,Rulebook!$K41*d,IFS(x&lt;=ta,0,x&lt;=tb,25*(x-ta)/(tb-ta),x&lt;=tc,25+25*(x-tb)/(tc-tb),x&lt;=te,50+25*(x-tc)/(te-tc),x&lt;tf,75+25*(x-te)/(tf-te),TRUE,100)))</f>
        <v>25</v>
      </c>
      <c r="M41" s="35">
        <f>IF(Inputs!M41="","",LET(d,Rulebook!$L41,x,Inputs!M41*d,ta,Rulebook!$G41*d,tb,Rulebook!$H41*d,tc,Rulebook!$I41*d,te,Rulebook!$J41*d,tf,Rulebook!$K41*d,IFS(x&lt;=ta,0,x&lt;=tb,25*(x-ta)/(tb-ta),x&lt;=tc,25+25*(x-tb)/(tc-tb),x&lt;=te,50+25*(x-tc)/(te-tc),x&lt;tf,75+25*(x-te)/(tf-te),TRUE,100)))</f>
        <v>50</v>
      </c>
      <c r="N41" s="35">
        <f>IF(Inputs!N41="","",LET(d,Rulebook!$L41,x,Inputs!N41*d,ta,Rulebook!$G41*d,tb,Rulebook!$H41*d,tc,Rulebook!$I41*d,te,Rulebook!$J41*d,tf,Rulebook!$K41*d,IFS(x&lt;=ta,0,x&lt;=tb,25*(x-ta)/(tb-ta),x&lt;=tc,25+25*(x-tb)/(tc-tb),x&lt;=te,50+25*(x-tc)/(te-tc),x&lt;tf,75+25*(x-te)/(tf-te),TRUE,100)))</f>
        <v>25</v>
      </c>
      <c r="O41" s="35">
        <f>IF(Inputs!O41="","",LET(d,Rulebook!$L41,x,Inputs!O41*d,ta,Rulebook!$G41*d,tb,Rulebook!$H41*d,tc,Rulebook!$I41*d,te,Rulebook!$J41*d,tf,Rulebook!$K41*d,IFS(x&lt;=ta,0,x&lt;=tb,25*(x-ta)/(tb-ta),x&lt;=tc,25+25*(x-tb)/(tc-tb),x&lt;=te,50+25*(x-tc)/(te-tc),x&lt;tf,75+25*(x-te)/(tf-te),TRUE,100)))</f>
        <v>25</v>
      </c>
      <c r="P41" s="35">
        <f>IF(Inputs!P41="","",LET(d,Rulebook!$L41,x,Inputs!P41*d,ta,Rulebook!$G41*d,tb,Rulebook!$H41*d,tc,Rulebook!$I41*d,te,Rulebook!$J41*d,tf,Rulebook!$K41*d,IFS(x&lt;=ta,0,x&lt;=tb,25*(x-ta)/(tb-ta),x&lt;=tc,25+25*(x-tb)/(tc-tb),x&lt;=te,50+25*(x-tc)/(te-tc),x&lt;tf,75+25*(x-te)/(tf-te),TRUE,100)))</f>
        <v>75</v>
      </c>
      <c r="Q41" s="35">
        <f>IF(Inputs!Q41="","",LET(d,Rulebook!$L41,x,Inputs!Q41*d,ta,Rulebook!$G41*d,tb,Rulebook!$H41*d,tc,Rulebook!$I41*d,te,Rulebook!$J41*d,tf,Rulebook!$K41*d,IFS(x&lt;=ta,0,x&lt;=tb,25*(x-ta)/(tb-ta),x&lt;=tc,25+25*(x-tb)/(tc-tb),x&lt;=te,50+25*(x-tc)/(te-tc),x&lt;tf,75+25*(x-te)/(tf-te),TRUE,100)))</f>
        <v>50</v>
      </c>
      <c r="R41" s="35">
        <f>IF(Inputs!R41="","",LET(d,Rulebook!$L41,x,Inputs!R41*d,ta,Rulebook!$G41*d,tb,Rulebook!$H41*d,tc,Rulebook!$I41*d,te,Rulebook!$J41*d,tf,Rulebook!$K41*d,IFS(x&lt;=ta,0,x&lt;=tb,25*(x-ta)/(tb-ta),x&lt;=tc,25+25*(x-tb)/(tc-tb),x&lt;=te,50+25*(x-tc)/(te-tc),x&lt;tf,75+25*(x-te)/(tf-te),TRUE,100)))</f>
        <v>100</v>
      </c>
      <c r="S41" s="35">
        <f>IF(Inputs!S41="","",LET(d,Rulebook!$L41,x,Inputs!S41*d,ta,Rulebook!$G41*d,tb,Rulebook!$H41*d,tc,Rulebook!$I41*d,te,Rulebook!$J41*d,tf,Rulebook!$K41*d,IFS(x&lt;=ta,0,x&lt;=tb,25*(x-ta)/(tb-ta),x&lt;=tc,25+25*(x-tb)/(tc-tb),x&lt;=te,50+25*(x-tc)/(te-tc),x&lt;tf,75+25*(x-te)/(tf-te),TRUE,100)))</f>
        <v>50</v>
      </c>
      <c r="T41" s="35">
        <f>IF(Inputs!T41="","",LET(d,Rulebook!$L41,x,Inputs!T41*d,ta,Rulebook!$G41*d,tb,Rulebook!$H41*d,tc,Rulebook!$I41*d,te,Rulebook!$J41*d,tf,Rulebook!$K41*d,IFS(x&lt;=ta,0,x&lt;=tb,25*(x-ta)/(tb-ta),x&lt;=tc,25+25*(x-tb)/(tc-tb),x&lt;=te,50+25*(x-tc)/(te-tc),x&lt;tf,75+25*(x-te)/(tf-te),TRUE,100)))</f>
        <v>50</v>
      </c>
      <c r="U41" s="35">
        <f>IF(Inputs!U41="","",LET(d,Rulebook!$L41,x,Inputs!U41*d,ta,Rulebook!$G41*d,tb,Rulebook!$H41*d,tc,Rulebook!$I41*d,te,Rulebook!$J41*d,tf,Rulebook!$K41*d,IFS(x&lt;=ta,0,x&lt;=tb,25*(x-ta)/(tb-ta),x&lt;=tc,25+25*(x-tb)/(tc-tb),x&lt;=te,50+25*(x-tc)/(te-tc),x&lt;tf,75+25*(x-te)/(tf-te),TRUE,100)))</f>
        <v>25</v>
      </c>
      <c r="V41" s="35">
        <f>IF(Inputs!V41="","",LET(d,Rulebook!$L41,x,Inputs!V41*d,ta,Rulebook!$G41*d,tb,Rulebook!$H41*d,tc,Rulebook!$I41*d,te,Rulebook!$J41*d,tf,Rulebook!$K41*d,IFS(x&lt;=ta,0,x&lt;=tb,25*(x-ta)/(tb-ta),x&lt;=tc,25+25*(x-tb)/(tc-tb),x&lt;=te,50+25*(x-tc)/(te-tc),x&lt;tf,75+25*(x-te)/(tf-te),TRUE,100)))</f>
        <v>100</v>
      </c>
    </row>
    <row r="42">
      <c r="A42" s="26" t="s">
        <v>606</v>
      </c>
      <c r="B42" s="26">
        <v>4.0</v>
      </c>
      <c r="C42" s="26" t="s">
        <v>607</v>
      </c>
      <c r="D42" s="26" t="s">
        <v>254</v>
      </c>
      <c r="E42" s="35">
        <f>IF(Inputs!E42="","",LET(d,Rulebook!$L42,x,Inputs!E42*d,ta,Rulebook!$G42*d,tb,Rulebook!$H42*d,tc,Rulebook!$I42*d,te,Rulebook!$J42*d,tf,Rulebook!$K42*d,IFS(x&lt;=ta,0,x&lt;=tb,25*(x-ta)/(tb-ta),x&lt;=tc,25+25*(x-tb)/(tc-tb),x&lt;=te,50+25*(x-tc)/(te-tc),x&lt;tf,75+25*(x-te)/(tf-te),TRUE,100)))</f>
        <v>0</v>
      </c>
      <c r="F42" s="35">
        <f>IF(Inputs!F42="","",LET(d,Rulebook!$L42,x,Inputs!F42*d,ta,Rulebook!$G42*d,tb,Rulebook!$H42*d,tc,Rulebook!$I42*d,te,Rulebook!$J42*d,tf,Rulebook!$K42*d,IFS(x&lt;=ta,0,x&lt;=tb,25*(x-ta)/(tb-ta),x&lt;=tc,25+25*(x-tb)/(tc-tb),x&lt;=te,50+25*(x-tc)/(te-tc),x&lt;tf,75+25*(x-te)/(tf-te),TRUE,100)))</f>
        <v>25</v>
      </c>
      <c r="G42" s="35">
        <f>IF(Inputs!G42="","",LET(d,Rulebook!$L42,x,Inputs!G42*d,ta,Rulebook!$G42*d,tb,Rulebook!$H42*d,tc,Rulebook!$I42*d,te,Rulebook!$J42*d,tf,Rulebook!$K42*d,IFS(x&lt;=ta,0,x&lt;=tb,25*(x-ta)/(tb-ta),x&lt;=tc,25+25*(x-tb)/(tc-tb),x&lt;=te,50+25*(x-tc)/(te-tc),x&lt;tf,75+25*(x-te)/(tf-te),TRUE,100)))</f>
        <v>0</v>
      </c>
      <c r="H42" s="35">
        <f>IF(Inputs!H42="","",LET(d,Rulebook!$L42,x,Inputs!H42*d,ta,Rulebook!$G42*d,tb,Rulebook!$H42*d,tc,Rulebook!$I42*d,te,Rulebook!$J42*d,tf,Rulebook!$K42*d,IFS(x&lt;=ta,0,x&lt;=tb,25*(x-ta)/(tb-ta),x&lt;=tc,25+25*(x-tb)/(tc-tb),x&lt;=te,50+25*(x-tc)/(te-tc),x&lt;tf,75+25*(x-te)/(tf-te),TRUE,100)))</f>
        <v>25</v>
      </c>
      <c r="I42" s="35">
        <f>IF(Inputs!I42="","",LET(d,Rulebook!$L42,x,Inputs!I42*d,ta,Rulebook!$G42*d,tb,Rulebook!$H42*d,tc,Rulebook!$I42*d,te,Rulebook!$J42*d,tf,Rulebook!$K42*d,IFS(x&lt;=ta,0,x&lt;=tb,25*(x-ta)/(tb-ta),x&lt;=tc,25+25*(x-tb)/(tc-tb),x&lt;=te,50+25*(x-tc)/(te-tc),x&lt;tf,75+25*(x-te)/(tf-te),TRUE,100)))</f>
        <v>0</v>
      </c>
      <c r="J42" s="35">
        <f>IF(Inputs!J42="","",LET(d,Rulebook!$L42,x,Inputs!J42*d,ta,Rulebook!$G42*d,tb,Rulebook!$H42*d,tc,Rulebook!$I42*d,te,Rulebook!$J42*d,tf,Rulebook!$K42*d,IFS(x&lt;=ta,0,x&lt;=tb,25*(x-ta)/(tb-ta),x&lt;=tc,25+25*(x-tb)/(tc-tb),x&lt;=te,50+25*(x-tc)/(te-tc),x&lt;tf,75+25*(x-te)/(tf-te),TRUE,100)))</f>
        <v>50</v>
      </c>
      <c r="K42" s="35">
        <f>IF(Inputs!K42="","",LET(d,Rulebook!$L42,x,Inputs!K42*d,ta,Rulebook!$G42*d,tb,Rulebook!$H42*d,tc,Rulebook!$I42*d,te,Rulebook!$J42*d,tf,Rulebook!$K42*d,IFS(x&lt;=ta,0,x&lt;=tb,25*(x-ta)/(tb-ta),x&lt;=tc,25+25*(x-tb)/(tc-tb),x&lt;=te,50+25*(x-tc)/(te-tc),x&lt;tf,75+25*(x-te)/(tf-te),TRUE,100)))</f>
        <v>25</v>
      </c>
      <c r="L42" s="35">
        <f>IF(Inputs!L42="","",LET(d,Rulebook!$L42,x,Inputs!L42*d,ta,Rulebook!$G42*d,tb,Rulebook!$H42*d,tc,Rulebook!$I42*d,te,Rulebook!$J42*d,tf,Rulebook!$K42*d,IFS(x&lt;=ta,0,x&lt;=tb,25*(x-ta)/(tb-ta),x&lt;=tc,25+25*(x-tb)/(tc-tb),x&lt;=te,50+25*(x-tc)/(te-tc),x&lt;tf,75+25*(x-te)/(tf-te),TRUE,100)))</f>
        <v>25</v>
      </c>
      <c r="M42" s="35">
        <f>IF(Inputs!M42="","",LET(d,Rulebook!$L42,x,Inputs!M42*d,ta,Rulebook!$G42*d,tb,Rulebook!$H42*d,tc,Rulebook!$I42*d,te,Rulebook!$J42*d,tf,Rulebook!$K42*d,IFS(x&lt;=ta,0,x&lt;=tb,25*(x-ta)/(tb-ta),x&lt;=tc,25+25*(x-tb)/(tc-tb),x&lt;=te,50+25*(x-tc)/(te-tc),x&lt;tf,75+25*(x-te)/(tf-te),TRUE,100)))</f>
        <v>25</v>
      </c>
      <c r="N42" s="35">
        <f>IF(Inputs!N42="","",LET(d,Rulebook!$L42,x,Inputs!N42*d,ta,Rulebook!$G42*d,tb,Rulebook!$H42*d,tc,Rulebook!$I42*d,te,Rulebook!$J42*d,tf,Rulebook!$K42*d,IFS(x&lt;=ta,0,x&lt;=tb,25*(x-ta)/(tb-ta),x&lt;=tc,25+25*(x-tb)/(tc-tb),x&lt;=te,50+25*(x-tc)/(te-tc),x&lt;tf,75+25*(x-te)/(tf-te),TRUE,100)))</f>
        <v>0</v>
      </c>
      <c r="O42" s="35">
        <f>IF(Inputs!O42="","",LET(d,Rulebook!$L42,x,Inputs!O42*d,ta,Rulebook!$G42*d,tb,Rulebook!$H42*d,tc,Rulebook!$I42*d,te,Rulebook!$J42*d,tf,Rulebook!$K42*d,IFS(x&lt;=ta,0,x&lt;=tb,25*(x-ta)/(tb-ta),x&lt;=tc,25+25*(x-tb)/(tc-tb),x&lt;=te,50+25*(x-tc)/(te-tc),x&lt;tf,75+25*(x-te)/(tf-te),TRUE,100)))</f>
        <v>25</v>
      </c>
      <c r="P42" s="35">
        <f>IF(Inputs!P42="","",LET(d,Rulebook!$L42,x,Inputs!P42*d,ta,Rulebook!$G42*d,tb,Rulebook!$H42*d,tc,Rulebook!$I42*d,te,Rulebook!$J42*d,tf,Rulebook!$K42*d,IFS(x&lt;=ta,0,x&lt;=tb,25*(x-ta)/(tb-ta),x&lt;=tc,25+25*(x-tb)/(tc-tb),x&lt;=te,50+25*(x-tc)/(te-tc),x&lt;tf,75+25*(x-te)/(tf-te),TRUE,100)))</f>
        <v>25</v>
      </c>
      <c r="Q42" s="35">
        <f>IF(Inputs!Q42="","",LET(d,Rulebook!$L42,x,Inputs!Q42*d,ta,Rulebook!$G42*d,tb,Rulebook!$H42*d,tc,Rulebook!$I42*d,te,Rulebook!$J42*d,tf,Rulebook!$K42*d,IFS(x&lt;=ta,0,x&lt;=tb,25*(x-ta)/(tb-ta),x&lt;=tc,25+25*(x-tb)/(tc-tb),x&lt;=te,50+25*(x-tc)/(te-tc),x&lt;tf,75+25*(x-te)/(tf-te),TRUE,100)))</f>
        <v>50</v>
      </c>
      <c r="R42" s="35">
        <f>IF(Inputs!R42="","",LET(d,Rulebook!$L42,x,Inputs!R42*d,ta,Rulebook!$G42*d,tb,Rulebook!$H42*d,tc,Rulebook!$I42*d,te,Rulebook!$J42*d,tf,Rulebook!$K42*d,IFS(x&lt;=ta,0,x&lt;=tb,25*(x-ta)/(tb-ta),x&lt;=tc,25+25*(x-tb)/(tc-tb),x&lt;=te,50+25*(x-tc)/(te-tc),x&lt;tf,75+25*(x-te)/(tf-te),TRUE,100)))</f>
        <v>25</v>
      </c>
      <c r="S42" s="35">
        <f>IF(Inputs!S42="","",LET(d,Rulebook!$L42,x,Inputs!S42*d,ta,Rulebook!$G42*d,tb,Rulebook!$H42*d,tc,Rulebook!$I42*d,te,Rulebook!$J42*d,tf,Rulebook!$K42*d,IFS(x&lt;=ta,0,x&lt;=tb,25*(x-ta)/(tb-ta),x&lt;=tc,25+25*(x-tb)/(tc-tb),x&lt;=te,50+25*(x-tc)/(te-tc),x&lt;tf,75+25*(x-te)/(tf-te),TRUE,100)))</f>
        <v>25</v>
      </c>
      <c r="T42" s="35">
        <f>IF(Inputs!T42="","",LET(d,Rulebook!$L42,x,Inputs!T42*d,ta,Rulebook!$G42*d,tb,Rulebook!$H42*d,tc,Rulebook!$I42*d,te,Rulebook!$J42*d,tf,Rulebook!$K42*d,IFS(x&lt;=ta,0,x&lt;=tb,25*(x-ta)/(tb-ta),x&lt;=tc,25+25*(x-tb)/(tc-tb),x&lt;=te,50+25*(x-tc)/(te-tc),x&lt;tf,75+25*(x-te)/(tf-te),TRUE,100)))</f>
        <v>25</v>
      </c>
      <c r="U42" s="35">
        <f>IF(Inputs!U42="","",LET(d,Rulebook!$L42,x,Inputs!U42*d,ta,Rulebook!$G42*d,tb,Rulebook!$H42*d,tc,Rulebook!$I42*d,te,Rulebook!$J42*d,tf,Rulebook!$K42*d,IFS(x&lt;=ta,0,x&lt;=tb,25*(x-ta)/(tb-ta),x&lt;=tc,25+25*(x-tb)/(tc-tb),x&lt;=te,50+25*(x-tc)/(te-tc),x&lt;tf,75+25*(x-te)/(tf-te),TRUE,100)))</f>
        <v>25</v>
      </c>
      <c r="V42" s="35">
        <f>IF(Inputs!V42="","",LET(d,Rulebook!$L42,x,Inputs!V42*d,ta,Rulebook!$G42*d,tb,Rulebook!$H42*d,tc,Rulebook!$I42*d,te,Rulebook!$J42*d,tf,Rulebook!$K42*d,IFS(x&lt;=ta,0,x&lt;=tb,25*(x-ta)/(tb-ta),x&lt;=tc,25+25*(x-tb)/(tc-tb),x&lt;=te,50+25*(x-tc)/(te-tc),x&lt;tf,75+25*(x-te)/(tf-te),TRUE,100)))</f>
        <v>0</v>
      </c>
    </row>
    <row r="43">
      <c r="A43" s="26" t="s">
        <v>613</v>
      </c>
      <c r="B43" s="26">
        <v>4.0</v>
      </c>
      <c r="C43" s="26" t="s">
        <v>614</v>
      </c>
      <c r="D43" s="26" t="s">
        <v>254</v>
      </c>
      <c r="E43" s="35">
        <f>IF(Inputs!E43="","",LET(d,Rulebook!$L43,x,Inputs!E43*d,ta,Rulebook!$G43*d,tb,Rulebook!$H43*d,tc,Rulebook!$I43*d,te,Rulebook!$J43*d,tf,Rulebook!$K43*d,IFS(x&lt;=ta,0,x&lt;=tb,25*(x-ta)/(tb-ta),x&lt;=tc,25+25*(x-tb)/(tc-tb),x&lt;=te,50+25*(x-tc)/(te-tc),x&lt;tf,75+25*(x-te)/(tf-te),TRUE,100)))</f>
        <v>0</v>
      </c>
      <c r="F43" s="35">
        <f>IF(Inputs!F43="","",LET(d,Rulebook!$L43,x,Inputs!F43*d,ta,Rulebook!$G43*d,tb,Rulebook!$H43*d,tc,Rulebook!$I43*d,te,Rulebook!$J43*d,tf,Rulebook!$K43*d,IFS(x&lt;=ta,0,x&lt;=tb,25*(x-ta)/(tb-ta),x&lt;=tc,25+25*(x-tb)/(tc-tb),x&lt;=te,50+25*(x-tc)/(te-tc),x&lt;tf,75+25*(x-te)/(tf-te),TRUE,100)))</f>
        <v>0</v>
      </c>
      <c r="G43" s="35">
        <f>IF(Inputs!G43="","",LET(d,Rulebook!$L43,x,Inputs!G43*d,ta,Rulebook!$G43*d,tb,Rulebook!$H43*d,tc,Rulebook!$I43*d,te,Rulebook!$J43*d,tf,Rulebook!$K43*d,IFS(x&lt;=ta,0,x&lt;=tb,25*(x-ta)/(tb-ta),x&lt;=tc,25+25*(x-tb)/(tc-tb),x&lt;=te,50+25*(x-tc)/(te-tc),x&lt;tf,75+25*(x-te)/(tf-te),TRUE,100)))</f>
        <v>0</v>
      </c>
      <c r="H43" s="35">
        <f>IF(Inputs!H43="","",LET(d,Rulebook!$L43,x,Inputs!H43*d,ta,Rulebook!$G43*d,tb,Rulebook!$H43*d,tc,Rulebook!$I43*d,te,Rulebook!$J43*d,tf,Rulebook!$K43*d,IFS(x&lt;=ta,0,x&lt;=tb,25*(x-ta)/(tb-ta),x&lt;=tc,25+25*(x-tb)/(tc-tb),x&lt;=te,50+25*(x-tc)/(te-tc),x&lt;tf,75+25*(x-te)/(tf-te),TRUE,100)))</f>
        <v>0</v>
      </c>
      <c r="I43" s="35">
        <f>IF(Inputs!I43="","",LET(d,Rulebook!$L43,x,Inputs!I43*d,ta,Rulebook!$G43*d,tb,Rulebook!$H43*d,tc,Rulebook!$I43*d,te,Rulebook!$J43*d,tf,Rulebook!$K43*d,IFS(x&lt;=ta,0,x&lt;=tb,25*(x-ta)/(tb-ta),x&lt;=tc,25+25*(x-tb)/(tc-tb),x&lt;=te,50+25*(x-tc)/(te-tc),x&lt;tf,75+25*(x-te)/(tf-te),TRUE,100)))</f>
        <v>0</v>
      </c>
      <c r="J43" s="35">
        <f>IF(Inputs!J43="","",LET(d,Rulebook!$L43,x,Inputs!J43*d,ta,Rulebook!$G43*d,tb,Rulebook!$H43*d,tc,Rulebook!$I43*d,te,Rulebook!$J43*d,tf,Rulebook!$K43*d,IFS(x&lt;=ta,0,x&lt;=tb,25*(x-ta)/(tb-ta),x&lt;=tc,25+25*(x-tb)/(tc-tb),x&lt;=te,50+25*(x-tc)/(te-tc),x&lt;tf,75+25*(x-te)/(tf-te),TRUE,100)))</f>
        <v>0</v>
      </c>
      <c r="K43" s="35">
        <f>IF(Inputs!K43="","",LET(d,Rulebook!$L43,x,Inputs!K43*d,ta,Rulebook!$G43*d,tb,Rulebook!$H43*d,tc,Rulebook!$I43*d,te,Rulebook!$J43*d,tf,Rulebook!$K43*d,IFS(x&lt;=ta,0,x&lt;=tb,25*(x-ta)/(tb-ta),x&lt;=tc,25+25*(x-tb)/(tc-tb),x&lt;=te,50+25*(x-tc)/(te-tc),x&lt;tf,75+25*(x-te)/(tf-te),TRUE,100)))</f>
        <v>0</v>
      </c>
      <c r="L43" s="35">
        <f>IF(Inputs!L43="","",LET(d,Rulebook!$L43,x,Inputs!L43*d,ta,Rulebook!$G43*d,tb,Rulebook!$H43*d,tc,Rulebook!$I43*d,te,Rulebook!$J43*d,tf,Rulebook!$K43*d,IFS(x&lt;=ta,0,x&lt;=tb,25*(x-ta)/(tb-ta),x&lt;=tc,25+25*(x-tb)/(tc-tb),x&lt;=te,50+25*(x-tc)/(te-tc),x&lt;tf,75+25*(x-te)/(tf-te),TRUE,100)))</f>
        <v>0</v>
      </c>
      <c r="M43" s="35">
        <f>IF(Inputs!M43="","",LET(d,Rulebook!$L43,x,Inputs!M43*d,ta,Rulebook!$G43*d,tb,Rulebook!$H43*d,tc,Rulebook!$I43*d,te,Rulebook!$J43*d,tf,Rulebook!$K43*d,IFS(x&lt;=ta,0,x&lt;=tb,25*(x-ta)/(tb-ta),x&lt;=tc,25+25*(x-tb)/(tc-tb),x&lt;=te,50+25*(x-tc)/(te-tc),x&lt;tf,75+25*(x-te)/(tf-te),TRUE,100)))</f>
        <v>0</v>
      </c>
      <c r="N43" s="35">
        <f>IF(Inputs!N43="","",LET(d,Rulebook!$L43,x,Inputs!N43*d,ta,Rulebook!$G43*d,tb,Rulebook!$H43*d,tc,Rulebook!$I43*d,te,Rulebook!$J43*d,tf,Rulebook!$K43*d,IFS(x&lt;=ta,0,x&lt;=tb,25*(x-ta)/(tb-ta),x&lt;=tc,25+25*(x-tb)/(tc-tb),x&lt;=te,50+25*(x-tc)/(te-tc),x&lt;tf,75+25*(x-te)/(tf-te),TRUE,100)))</f>
        <v>25</v>
      </c>
      <c r="O43" s="35">
        <f>IF(Inputs!O43="","",LET(d,Rulebook!$L43,x,Inputs!O43*d,ta,Rulebook!$G43*d,tb,Rulebook!$H43*d,tc,Rulebook!$I43*d,te,Rulebook!$J43*d,tf,Rulebook!$K43*d,IFS(x&lt;=ta,0,x&lt;=tb,25*(x-ta)/(tb-ta),x&lt;=tc,25+25*(x-tb)/(tc-tb),x&lt;=te,50+25*(x-tc)/(te-tc),x&lt;tf,75+25*(x-te)/(tf-te),TRUE,100)))</f>
        <v>25</v>
      </c>
      <c r="P43" s="35">
        <f>IF(Inputs!P43="","",LET(d,Rulebook!$L43,x,Inputs!P43*d,ta,Rulebook!$G43*d,tb,Rulebook!$H43*d,tc,Rulebook!$I43*d,te,Rulebook!$J43*d,tf,Rulebook!$K43*d,IFS(x&lt;=ta,0,x&lt;=tb,25*(x-ta)/(tb-ta),x&lt;=tc,25+25*(x-tb)/(tc-tb),x&lt;=te,50+25*(x-tc)/(te-tc),x&lt;tf,75+25*(x-te)/(tf-te),TRUE,100)))</f>
        <v>0</v>
      </c>
      <c r="Q43" s="35">
        <f>IF(Inputs!Q43="","",LET(d,Rulebook!$L43,x,Inputs!Q43*d,ta,Rulebook!$G43*d,tb,Rulebook!$H43*d,tc,Rulebook!$I43*d,te,Rulebook!$J43*d,tf,Rulebook!$K43*d,IFS(x&lt;=ta,0,x&lt;=tb,25*(x-ta)/(tb-ta),x&lt;=tc,25+25*(x-tb)/(tc-tb),x&lt;=te,50+25*(x-tc)/(te-tc),x&lt;tf,75+25*(x-te)/(tf-te),TRUE,100)))</f>
        <v>25</v>
      </c>
      <c r="R43" s="35">
        <f>IF(Inputs!R43="","",LET(d,Rulebook!$L43,x,Inputs!R43*d,ta,Rulebook!$G43*d,tb,Rulebook!$H43*d,tc,Rulebook!$I43*d,te,Rulebook!$J43*d,tf,Rulebook!$K43*d,IFS(x&lt;=ta,0,x&lt;=tb,25*(x-ta)/(tb-ta),x&lt;=tc,25+25*(x-tb)/(tc-tb),x&lt;=te,50+25*(x-tc)/(te-tc),x&lt;tf,75+25*(x-te)/(tf-te),TRUE,100)))</f>
        <v>75</v>
      </c>
      <c r="S43" s="35">
        <f>IF(Inputs!S43="","",LET(d,Rulebook!$L43,x,Inputs!S43*d,ta,Rulebook!$G43*d,tb,Rulebook!$H43*d,tc,Rulebook!$I43*d,te,Rulebook!$J43*d,tf,Rulebook!$K43*d,IFS(x&lt;=ta,0,x&lt;=tb,25*(x-ta)/(tb-ta),x&lt;=tc,25+25*(x-tb)/(tc-tb),x&lt;=te,50+25*(x-tc)/(te-tc),x&lt;tf,75+25*(x-te)/(tf-te),TRUE,100)))</f>
        <v>0</v>
      </c>
      <c r="T43" s="35">
        <f>IF(Inputs!T43="","",LET(d,Rulebook!$L43,x,Inputs!T43*d,ta,Rulebook!$G43*d,tb,Rulebook!$H43*d,tc,Rulebook!$I43*d,te,Rulebook!$J43*d,tf,Rulebook!$K43*d,IFS(x&lt;=ta,0,x&lt;=tb,25*(x-ta)/(tb-ta),x&lt;=tc,25+25*(x-tb)/(tc-tb),x&lt;=te,50+25*(x-tc)/(te-tc),x&lt;tf,75+25*(x-te)/(tf-te),TRUE,100)))</f>
        <v>50</v>
      </c>
      <c r="U43" s="35">
        <f>IF(Inputs!U43="","",LET(d,Rulebook!$L43,x,Inputs!U43*d,ta,Rulebook!$G43*d,tb,Rulebook!$H43*d,tc,Rulebook!$I43*d,te,Rulebook!$J43*d,tf,Rulebook!$K43*d,IFS(x&lt;=ta,0,x&lt;=tb,25*(x-ta)/(tb-ta),x&lt;=tc,25+25*(x-tb)/(tc-tb),x&lt;=te,50+25*(x-tc)/(te-tc),x&lt;tf,75+25*(x-te)/(tf-te),TRUE,100)))</f>
        <v>0</v>
      </c>
      <c r="V43" s="35">
        <f>IF(Inputs!V43="","",LET(d,Rulebook!$L43,x,Inputs!V43*d,ta,Rulebook!$G43*d,tb,Rulebook!$H43*d,tc,Rulebook!$I43*d,te,Rulebook!$J43*d,tf,Rulebook!$K43*d,IFS(x&lt;=ta,0,x&lt;=tb,25*(x-ta)/(tb-ta),x&lt;=tc,25+25*(x-tb)/(tc-tb),x&lt;=te,50+25*(x-tc)/(te-tc),x&lt;tf,75+25*(x-te)/(tf-te),TRUE,100)))</f>
        <v>25</v>
      </c>
    </row>
    <row r="44">
      <c r="A44" s="26" t="s">
        <v>617</v>
      </c>
      <c r="B44" s="26">
        <v>4.0</v>
      </c>
      <c r="C44" s="26" t="s">
        <v>618</v>
      </c>
      <c r="D44" s="26" t="s">
        <v>254</v>
      </c>
      <c r="E44" s="35">
        <f>IF(Inputs!E44="","",LET(d,Rulebook!$L44,x,Inputs!E44*d,ta,Rulebook!$G44*d,tb,Rulebook!$H44*d,tc,Rulebook!$I44*d,te,Rulebook!$J44*d,tf,Rulebook!$K44*d,IFS(x&lt;=ta,0,x&lt;=tb,25*(x-ta)/(tb-ta),x&lt;=tc,25+25*(x-tb)/(tc-tb),x&lt;=te,50+25*(x-tc)/(te-tc),x&lt;tf,75+25*(x-te)/(tf-te),TRUE,100)))</f>
        <v>25</v>
      </c>
      <c r="F44" s="35">
        <f>IF(Inputs!F44="","",LET(d,Rulebook!$L44,x,Inputs!F44*d,ta,Rulebook!$G44*d,tb,Rulebook!$H44*d,tc,Rulebook!$I44*d,te,Rulebook!$J44*d,tf,Rulebook!$K44*d,IFS(x&lt;=ta,0,x&lt;=tb,25*(x-ta)/(tb-ta),x&lt;=tc,25+25*(x-tb)/(tc-tb),x&lt;=te,50+25*(x-tc)/(te-tc),x&lt;tf,75+25*(x-te)/(tf-te),TRUE,100)))</f>
        <v>25</v>
      </c>
      <c r="G44" s="35">
        <f>IF(Inputs!G44="","",LET(d,Rulebook!$L44,x,Inputs!G44*d,ta,Rulebook!$G44*d,tb,Rulebook!$H44*d,tc,Rulebook!$I44*d,te,Rulebook!$J44*d,tf,Rulebook!$K44*d,IFS(x&lt;=ta,0,x&lt;=tb,25*(x-ta)/(tb-ta),x&lt;=tc,25+25*(x-tb)/(tc-tb),x&lt;=te,50+25*(x-tc)/(te-tc),x&lt;tf,75+25*(x-te)/(tf-te),TRUE,100)))</f>
        <v>0</v>
      </c>
      <c r="H44" s="35">
        <f>IF(Inputs!H44="","",LET(d,Rulebook!$L44,x,Inputs!H44*d,ta,Rulebook!$G44*d,tb,Rulebook!$H44*d,tc,Rulebook!$I44*d,te,Rulebook!$J44*d,tf,Rulebook!$K44*d,IFS(x&lt;=ta,0,x&lt;=tb,25*(x-ta)/(tb-ta),x&lt;=tc,25+25*(x-tb)/(tc-tb),x&lt;=te,50+25*(x-tc)/(te-tc),x&lt;tf,75+25*(x-te)/(tf-te),TRUE,100)))</f>
        <v>0</v>
      </c>
      <c r="I44" s="35">
        <f>IF(Inputs!I44="","",LET(d,Rulebook!$L44,x,Inputs!I44*d,ta,Rulebook!$G44*d,tb,Rulebook!$H44*d,tc,Rulebook!$I44*d,te,Rulebook!$J44*d,tf,Rulebook!$K44*d,IFS(x&lt;=ta,0,x&lt;=tb,25*(x-ta)/(tb-ta),x&lt;=tc,25+25*(x-tb)/(tc-tb),x&lt;=te,50+25*(x-tc)/(te-tc),x&lt;tf,75+25*(x-te)/(tf-te),TRUE,100)))</f>
        <v>0</v>
      </c>
      <c r="J44" s="35">
        <f>IF(Inputs!J44="","",LET(d,Rulebook!$L44,x,Inputs!J44*d,ta,Rulebook!$G44*d,tb,Rulebook!$H44*d,tc,Rulebook!$I44*d,te,Rulebook!$J44*d,tf,Rulebook!$K44*d,IFS(x&lt;=ta,0,x&lt;=tb,25*(x-ta)/(tb-ta),x&lt;=tc,25+25*(x-tb)/(tc-tb),x&lt;=te,50+25*(x-tc)/(te-tc),x&lt;tf,75+25*(x-te)/(tf-te),TRUE,100)))</f>
        <v>25</v>
      </c>
      <c r="K44" s="35">
        <f>IF(Inputs!K44="","",LET(d,Rulebook!$L44,x,Inputs!K44*d,ta,Rulebook!$G44*d,tb,Rulebook!$H44*d,tc,Rulebook!$I44*d,te,Rulebook!$J44*d,tf,Rulebook!$K44*d,IFS(x&lt;=ta,0,x&lt;=tb,25*(x-ta)/(tb-ta),x&lt;=tc,25+25*(x-tb)/(tc-tb),x&lt;=te,50+25*(x-tc)/(te-tc),x&lt;tf,75+25*(x-te)/(tf-te),TRUE,100)))</f>
        <v>25</v>
      </c>
      <c r="L44" s="35">
        <f>IF(Inputs!L44="","",LET(d,Rulebook!$L44,x,Inputs!L44*d,ta,Rulebook!$G44*d,tb,Rulebook!$H44*d,tc,Rulebook!$I44*d,te,Rulebook!$J44*d,tf,Rulebook!$K44*d,IFS(x&lt;=ta,0,x&lt;=tb,25*(x-ta)/(tb-ta),x&lt;=tc,25+25*(x-tb)/(tc-tb),x&lt;=te,50+25*(x-tc)/(te-tc),x&lt;tf,75+25*(x-te)/(tf-te),TRUE,100)))</f>
        <v>0</v>
      </c>
      <c r="M44" s="35">
        <f>IF(Inputs!M44="","",LET(d,Rulebook!$L44,x,Inputs!M44*d,ta,Rulebook!$G44*d,tb,Rulebook!$H44*d,tc,Rulebook!$I44*d,te,Rulebook!$J44*d,tf,Rulebook!$K44*d,IFS(x&lt;=ta,0,x&lt;=tb,25*(x-ta)/(tb-ta),x&lt;=tc,25+25*(x-tb)/(tc-tb),x&lt;=te,50+25*(x-tc)/(te-tc),x&lt;tf,75+25*(x-te)/(tf-te),TRUE,100)))</f>
        <v>50</v>
      </c>
      <c r="N44" s="35">
        <f>IF(Inputs!N44="","",LET(d,Rulebook!$L44,x,Inputs!N44*d,ta,Rulebook!$G44*d,tb,Rulebook!$H44*d,tc,Rulebook!$I44*d,te,Rulebook!$J44*d,tf,Rulebook!$K44*d,IFS(x&lt;=ta,0,x&lt;=tb,25*(x-ta)/(tb-ta),x&lt;=tc,25+25*(x-tb)/(tc-tb),x&lt;=te,50+25*(x-tc)/(te-tc),x&lt;tf,75+25*(x-te)/(tf-te),TRUE,100)))</f>
        <v>25</v>
      </c>
      <c r="O44" s="35">
        <f>IF(Inputs!O44="","",LET(d,Rulebook!$L44,x,Inputs!O44*d,ta,Rulebook!$G44*d,tb,Rulebook!$H44*d,tc,Rulebook!$I44*d,te,Rulebook!$J44*d,tf,Rulebook!$K44*d,IFS(x&lt;=ta,0,x&lt;=tb,25*(x-ta)/(tb-ta),x&lt;=tc,25+25*(x-tb)/(tc-tb),x&lt;=te,50+25*(x-tc)/(te-tc),x&lt;tf,75+25*(x-te)/(tf-te),TRUE,100)))</f>
        <v>0</v>
      </c>
      <c r="P44" s="35">
        <f>IF(Inputs!P44="","",LET(d,Rulebook!$L44,x,Inputs!P44*d,ta,Rulebook!$G44*d,tb,Rulebook!$H44*d,tc,Rulebook!$I44*d,te,Rulebook!$J44*d,tf,Rulebook!$K44*d,IFS(x&lt;=ta,0,x&lt;=tb,25*(x-ta)/(tb-ta),x&lt;=tc,25+25*(x-tb)/(tc-tb),x&lt;=te,50+25*(x-tc)/(te-tc),x&lt;tf,75+25*(x-te)/(tf-te),TRUE,100)))</f>
        <v>50</v>
      </c>
      <c r="Q44" s="35">
        <f>IF(Inputs!Q44="","",LET(d,Rulebook!$L44,x,Inputs!Q44*d,ta,Rulebook!$G44*d,tb,Rulebook!$H44*d,tc,Rulebook!$I44*d,te,Rulebook!$J44*d,tf,Rulebook!$K44*d,IFS(x&lt;=ta,0,x&lt;=tb,25*(x-ta)/(tb-ta),x&lt;=tc,25+25*(x-tb)/(tc-tb),x&lt;=te,50+25*(x-tc)/(te-tc),x&lt;tf,75+25*(x-te)/(tf-te),TRUE,100)))</f>
        <v>0</v>
      </c>
      <c r="R44" s="35">
        <f>IF(Inputs!R44="","",LET(d,Rulebook!$L44,x,Inputs!R44*d,ta,Rulebook!$G44*d,tb,Rulebook!$H44*d,tc,Rulebook!$I44*d,te,Rulebook!$J44*d,tf,Rulebook!$K44*d,IFS(x&lt;=ta,0,x&lt;=tb,25*(x-ta)/(tb-ta),x&lt;=tc,25+25*(x-tb)/(tc-tb),x&lt;=te,50+25*(x-tc)/(te-tc),x&lt;tf,75+25*(x-te)/(tf-te),TRUE,100)))</f>
        <v>75</v>
      </c>
      <c r="S44" s="35">
        <f>IF(Inputs!S44="","",LET(d,Rulebook!$L44,x,Inputs!S44*d,ta,Rulebook!$G44*d,tb,Rulebook!$H44*d,tc,Rulebook!$I44*d,te,Rulebook!$J44*d,tf,Rulebook!$K44*d,IFS(x&lt;=ta,0,x&lt;=tb,25*(x-ta)/(tb-ta),x&lt;=tc,25+25*(x-tb)/(tc-tb),x&lt;=te,50+25*(x-tc)/(te-tc),x&lt;tf,75+25*(x-te)/(tf-te),TRUE,100)))</f>
        <v>0</v>
      </c>
      <c r="T44" s="35">
        <f>IF(Inputs!T44="","",LET(d,Rulebook!$L44,x,Inputs!T44*d,ta,Rulebook!$G44*d,tb,Rulebook!$H44*d,tc,Rulebook!$I44*d,te,Rulebook!$J44*d,tf,Rulebook!$K44*d,IFS(x&lt;=ta,0,x&lt;=tb,25*(x-ta)/(tb-ta),x&lt;=tc,25+25*(x-tb)/(tc-tb),x&lt;=te,50+25*(x-tc)/(te-tc),x&lt;tf,75+25*(x-te)/(tf-te),TRUE,100)))</f>
        <v>25</v>
      </c>
      <c r="U44" s="35">
        <f>IF(Inputs!U44="","",LET(d,Rulebook!$L44,x,Inputs!U44*d,ta,Rulebook!$G44*d,tb,Rulebook!$H44*d,tc,Rulebook!$I44*d,te,Rulebook!$J44*d,tf,Rulebook!$K44*d,IFS(x&lt;=ta,0,x&lt;=tb,25*(x-ta)/(tb-ta),x&lt;=tc,25+25*(x-tb)/(tc-tb),x&lt;=te,50+25*(x-tc)/(te-tc),x&lt;tf,75+25*(x-te)/(tf-te),TRUE,100)))</f>
        <v>25</v>
      </c>
      <c r="V44" s="35">
        <f>IF(Inputs!V44="","",LET(d,Rulebook!$L44,x,Inputs!V44*d,ta,Rulebook!$G44*d,tb,Rulebook!$H44*d,tc,Rulebook!$I44*d,te,Rulebook!$J44*d,tf,Rulebook!$K44*d,IFS(x&lt;=ta,0,x&lt;=tb,25*(x-ta)/(tb-ta),x&lt;=tc,25+25*(x-tb)/(tc-tb),x&lt;=te,50+25*(x-tc)/(te-tc),x&lt;tf,75+25*(x-te)/(tf-te),TRUE,100)))</f>
        <v>50</v>
      </c>
    </row>
    <row r="45">
      <c r="A45" s="26" t="s">
        <v>624</v>
      </c>
      <c r="B45" s="26">
        <v>4.0</v>
      </c>
      <c r="C45" s="26" t="s">
        <v>625</v>
      </c>
      <c r="D45" s="26" t="s">
        <v>254</v>
      </c>
      <c r="E45" s="35">
        <f>IF(Inputs!E45="","",LET(d,Rulebook!$L45,x,Inputs!E45*d,ta,Rulebook!$G45*d,tb,Rulebook!$H45*d,tc,Rulebook!$I45*d,te,Rulebook!$J45*d,tf,Rulebook!$K45*d,IFS(x&lt;=ta,0,x&lt;=tb,25*(x-ta)/(tb-ta),x&lt;=tc,25+25*(x-tb)/(tc-tb),x&lt;=te,50+25*(x-tc)/(te-tc),x&lt;tf,75+25*(x-te)/(tf-te),TRUE,100)))</f>
        <v>50</v>
      </c>
      <c r="F45" s="35">
        <f>IF(Inputs!F45="","",LET(d,Rulebook!$L45,x,Inputs!F45*d,ta,Rulebook!$G45*d,tb,Rulebook!$H45*d,tc,Rulebook!$I45*d,te,Rulebook!$J45*d,tf,Rulebook!$K45*d,IFS(x&lt;=ta,0,x&lt;=tb,25*(x-ta)/(tb-ta),x&lt;=tc,25+25*(x-tb)/(tc-tb),x&lt;=te,50+25*(x-tc)/(te-tc),x&lt;tf,75+25*(x-te)/(tf-te),TRUE,100)))</f>
        <v>50</v>
      </c>
      <c r="G45" s="35">
        <f>IF(Inputs!G45="","",LET(d,Rulebook!$L45,x,Inputs!G45*d,ta,Rulebook!$G45*d,tb,Rulebook!$H45*d,tc,Rulebook!$I45*d,te,Rulebook!$J45*d,tf,Rulebook!$K45*d,IFS(x&lt;=ta,0,x&lt;=tb,25*(x-ta)/(tb-ta),x&lt;=tc,25+25*(x-tb)/(tc-tb),x&lt;=te,50+25*(x-tc)/(te-tc),x&lt;tf,75+25*(x-te)/(tf-te),TRUE,100)))</f>
        <v>75</v>
      </c>
      <c r="H45" s="35">
        <f>IF(Inputs!H45="","",LET(d,Rulebook!$L45,x,Inputs!H45*d,ta,Rulebook!$G45*d,tb,Rulebook!$H45*d,tc,Rulebook!$I45*d,te,Rulebook!$J45*d,tf,Rulebook!$K45*d,IFS(x&lt;=ta,0,x&lt;=tb,25*(x-ta)/(tb-ta),x&lt;=tc,25+25*(x-tb)/(tc-tb),x&lt;=te,50+25*(x-tc)/(te-tc),x&lt;tf,75+25*(x-te)/(tf-te),TRUE,100)))</f>
        <v>25</v>
      </c>
      <c r="I45" s="35">
        <f>IF(Inputs!I45="","",LET(d,Rulebook!$L45,x,Inputs!I45*d,ta,Rulebook!$G45*d,tb,Rulebook!$H45*d,tc,Rulebook!$I45*d,te,Rulebook!$J45*d,tf,Rulebook!$K45*d,IFS(x&lt;=ta,0,x&lt;=tb,25*(x-ta)/(tb-ta),x&lt;=tc,25+25*(x-tb)/(tc-tb),x&lt;=te,50+25*(x-tc)/(te-tc),x&lt;tf,75+25*(x-te)/(tf-te),TRUE,100)))</f>
        <v>25</v>
      </c>
      <c r="J45" s="35">
        <f>IF(Inputs!J45="","",LET(d,Rulebook!$L45,x,Inputs!J45*d,ta,Rulebook!$G45*d,tb,Rulebook!$H45*d,tc,Rulebook!$I45*d,te,Rulebook!$J45*d,tf,Rulebook!$K45*d,IFS(x&lt;=ta,0,x&lt;=tb,25*(x-ta)/(tb-ta),x&lt;=tc,25+25*(x-tb)/(tc-tb),x&lt;=te,50+25*(x-tc)/(te-tc),x&lt;tf,75+25*(x-te)/(tf-te),TRUE,100)))</f>
        <v>50</v>
      </c>
      <c r="K45" s="35">
        <f>IF(Inputs!K45="","",LET(d,Rulebook!$L45,x,Inputs!K45*d,ta,Rulebook!$G45*d,tb,Rulebook!$H45*d,tc,Rulebook!$I45*d,te,Rulebook!$J45*d,tf,Rulebook!$K45*d,IFS(x&lt;=ta,0,x&lt;=tb,25*(x-ta)/(tb-ta),x&lt;=tc,25+25*(x-tb)/(tc-tb),x&lt;=te,50+25*(x-tc)/(te-tc),x&lt;tf,75+25*(x-te)/(tf-te),TRUE,100)))</f>
        <v>50</v>
      </c>
      <c r="L45" s="35">
        <f>IF(Inputs!L45="","",LET(d,Rulebook!$L45,x,Inputs!L45*d,ta,Rulebook!$G45*d,tb,Rulebook!$H45*d,tc,Rulebook!$I45*d,te,Rulebook!$J45*d,tf,Rulebook!$K45*d,IFS(x&lt;=ta,0,x&lt;=tb,25*(x-ta)/(tb-ta),x&lt;=tc,25+25*(x-tb)/(tc-tb),x&lt;=te,50+25*(x-tc)/(te-tc),x&lt;tf,75+25*(x-te)/(tf-te),TRUE,100)))</f>
        <v>75</v>
      </c>
      <c r="M45" s="35">
        <f>IF(Inputs!M45="","",LET(d,Rulebook!$L45,x,Inputs!M45*d,ta,Rulebook!$G45*d,tb,Rulebook!$H45*d,tc,Rulebook!$I45*d,te,Rulebook!$J45*d,tf,Rulebook!$K45*d,IFS(x&lt;=ta,0,x&lt;=tb,25*(x-ta)/(tb-ta),x&lt;=tc,25+25*(x-tb)/(tc-tb),x&lt;=te,50+25*(x-tc)/(te-tc),x&lt;tf,75+25*(x-te)/(tf-te),TRUE,100)))</f>
        <v>75</v>
      </c>
      <c r="N45" s="35">
        <f>IF(Inputs!N45="","",LET(d,Rulebook!$L45,x,Inputs!N45*d,ta,Rulebook!$G45*d,tb,Rulebook!$H45*d,tc,Rulebook!$I45*d,te,Rulebook!$J45*d,tf,Rulebook!$K45*d,IFS(x&lt;=ta,0,x&lt;=tb,25*(x-ta)/(tb-ta),x&lt;=tc,25+25*(x-tb)/(tc-tb),x&lt;=te,50+25*(x-tc)/(te-tc),x&lt;tf,75+25*(x-te)/(tf-te),TRUE,100)))</f>
        <v>50</v>
      </c>
      <c r="O45" s="35">
        <f>IF(Inputs!O45="","",LET(d,Rulebook!$L45,x,Inputs!O45*d,ta,Rulebook!$G45*d,tb,Rulebook!$H45*d,tc,Rulebook!$I45*d,te,Rulebook!$J45*d,tf,Rulebook!$K45*d,IFS(x&lt;=ta,0,x&lt;=tb,25*(x-ta)/(tb-ta),x&lt;=tc,25+25*(x-tb)/(tc-tb),x&lt;=te,50+25*(x-tc)/(te-tc),x&lt;tf,75+25*(x-te)/(tf-te),TRUE,100)))</f>
        <v>75</v>
      </c>
      <c r="P45" s="35">
        <f>IF(Inputs!P45="","",LET(d,Rulebook!$L45,x,Inputs!P45*d,ta,Rulebook!$G45*d,tb,Rulebook!$H45*d,tc,Rulebook!$I45*d,te,Rulebook!$J45*d,tf,Rulebook!$K45*d,IFS(x&lt;=ta,0,x&lt;=tb,25*(x-ta)/(tb-ta),x&lt;=tc,25+25*(x-tb)/(tc-tb),x&lt;=te,50+25*(x-tc)/(te-tc),x&lt;tf,75+25*(x-te)/(tf-te),TRUE,100)))</f>
        <v>0</v>
      </c>
      <c r="Q45" s="35">
        <f>IF(Inputs!Q45="","",LET(d,Rulebook!$L45,x,Inputs!Q45*d,ta,Rulebook!$G45*d,tb,Rulebook!$H45*d,tc,Rulebook!$I45*d,te,Rulebook!$J45*d,tf,Rulebook!$K45*d,IFS(x&lt;=ta,0,x&lt;=tb,25*(x-ta)/(tb-ta),x&lt;=tc,25+25*(x-tb)/(tc-tb),x&lt;=te,50+25*(x-tc)/(te-tc),x&lt;tf,75+25*(x-te)/(tf-te),TRUE,100)))</f>
        <v>50</v>
      </c>
      <c r="R45" s="35">
        <f>IF(Inputs!R45="","",LET(d,Rulebook!$L45,x,Inputs!R45*d,ta,Rulebook!$G45*d,tb,Rulebook!$H45*d,tc,Rulebook!$I45*d,te,Rulebook!$J45*d,tf,Rulebook!$K45*d,IFS(x&lt;=ta,0,x&lt;=tb,25*(x-ta)/(tb-ta),x&lt;=tc,25+25*(x-tb)/(tc-tb),x&lt;=te,50+25*(x-tc)/(te-tc),x&lt;tf,75+25*(x-te)/(tf-te),TRUE,100)))</f>
        <v>100</v>
      </c>
      <c r="S45" s="35">
        <f>IF(Inputs!S45="","",LET(d,Rulebook!$L45,x,Inputs!S45*d,ta,Rulebook!$G45*d,tb,Rulebook!$H45*d,tc,Rulebook!$I45*d,te,Rulebook!$J45*d,tf,Rulebook!$K45*d,IFS(x&lt;=ta,0,x&lt;=tb,25*(x-ta)/(tb-ta),x&lt;=tc,25+25*(x-tb)/(tc-tb),x&lt;=te,50+25*(x-tc)/(te-tc),x&lt;tf,75+25*(x-te)/(tf-te),TRUE,100)))</f>
        <v>50</v>
      </c>
      <c r="T45" s="35">
        <f>IF(Inputs!T45="","",LET(d,Rulebook!$L45,x,Inputs!T45*d,ta,Rulebook!$G45*d,tb,Rulebook!$H45*d,tc,Rulebook!$I45*d,te,Rulebook!$J45*d,tf,Rulebook!$K45*d,IFS(x&lt;=ta,0,x&lt;=tb,25*(x-ta)/(tb-ta),x&lt;=tc,25+25*(x-tb)/(tc-tb),x&lt;=te,50+25*(x-tc)/(te-tc),x&lt;tf,75+25*(x-te)/(tf-te),TRUE,100)))</f>
        <v>0</v>
      </c>
      <c r="U45" s="35">
        <f>IF(Inputs!U45="","",LET(d,Rulebook!$L45,x,Inputs!U45*d,ta,Rulebook!$G45*d,tb,Rulebook!$H45*d,tc,Rulebook!$I45*d,te,Rulebook!$J45*d,tf,Rulebook!$K45*d,IFS(x&lt;=ta,0,x&lt;=tb,25*(x-ta)/(tb-ta),x&lt;=tc,25+25*(x-tb)/(tc-tb),x&lt;=te,50+25*(x-tc)/(te-tc),x&lt;tf,75+25*(x-te)/(tf-te),TRUE,100)))</f>
        <v>25</v>
      </c>
      <c r="V45" s="35">
        <f>IF(Inputs!V45="","",LET(d,Rulebook!$L45,x,Inputs!V45*d,ta,Rulebook!$G45*d,tb,Rulebook!$H45*d,tc,Rulebook!$I45*d,te,Rulebook!$J45*d,tf,Rulebook!$K45*d,IFS(x&lt;=ta,0,x&lt;=tb,25*(x-ta)/(tb-ta),x&lt;=tc,25+25*(x-tb)/(tc-tb),x&lt;=te,50+25*(x-tc)/(te-tc),x&lt;tf,75+25*(x-te)/(tf-te),TRUE,100)))</f>
        <v>75</v>
      </c>
    </row>
    <row r="46">
      <c r="A46" s="26" t="s">
        <v>629</v>
      </c>
      <c r="B46" s="26">
        <v>4.0</v>
      </c>
      <c r="C46" s="26" t="s">
        <v>630</v>
      </c>
      <c r="D46" s="26" t="s">
        <v>254</v>
      </c>
      <c r="E46" s="35">
        <f>IF(Inputs!E46="","",LET(d,Rulebook!$L46,x,Inputs!E46*d,ta,Rulebook!$G46*d,tb,Rulebook!$H46*d,tc,Rulebook!$I46*d,te,Rulebook!$J46*d,tf,Rulebook!$K46*d,IFS(x&lt;=ta,0,x&lt;=tb,25*(x-ta)/(tb-ta),x&lt;=tc,25+25*(x-tb)/(tc-tb),x&lt;=te,50+25*(x-tc)/(te-tc),x&lt;tf,75+25*(x-te)/(tf-te),TRUE,100)))</f>
        <v>25</v>
      </c>
      <c r="F46" s="35">
        <f>IF(Inputs!F46="","",LET(d,Rulebook!$L46,x,Inputs!F46*d,ta,Rulebook!$G46*d,tb,Rulebook!$H46*d,tc,Rulebook!$I46*d,te,Rulebook!$J46*d,tf,Rulebook!$K46*d,IFS(x&lt;=ta,0,x&lt;=tb,25*(x-ta)/(tb-ta),x&lt;=tc,25+25*(x-tb)/(tc-tb),x&lt;=te,50+25*(x-tc)/(te-tc),x&lt;tf,75+25*(x-te)/(tf-te),TRUE,100)))</f>
        <v>50</v>
      </c>
      <c r="G46" s="35">
        <f>IF(Inputs!G46="","",LET(d,Rulebook!$L46,x,Inputs!G46*d,ta,Rulebook!$G46*d,tb,Rulebook!$H46*d,tc,Rulebook!$I46*d,te,Rulebook!$J46*d,tf,Rulebook!$K46*d,IFS(x&lt;=ta,0,x&lt;=tb,25*(x-ta)/(tb-ta),x&lt;=tc,25+25*(x-tb)/(tc-tb),x&lt;=te,50+25*(x-tc)/(te-tc),x&lt;tf,75+25*(x-te)/(tf-te),TRUE,100)))</f>
        <v>50</v>
      </c>
      <c r="H46" s="35">
        <f>IF(Inputs!H46="","",LET(d,Rulebook!$L46,x,Inputs!H46*d,ta,Rulebook!$G46*d,tb,Rulebook!$H46*d,tc,Rulebook!$I46*d,te,Rulebook!$J46*d,tf,Rulebook!$K46*d,IFS(x&lt;=ta,0,x&lt;=tb,25*(x-ta)/(tb-ta),x&lt;=tc,25+25*(x-tb)/(tc-tb),x&lt;=te,50+25*(x-tc)/(te-tc),x&lt;tf,75+25*(x-te)/(tf-te),TRUE,100)))</f>
        <v>25</v>
      </c>
      <c r="I46" s="35">
        <f>IF(Inputs!I46="","",LET(d,Rulebook!$L46,x,Inputs!I46*d,ta,Rulebook!$G46*d,tb,Rulebook!$H46*d,tc,Rulebook!$I46*d,te,Rulebook!$J46*d,tf,Rulebook!$K46*d,IFS(x&lt;=ta,0,x&lt;=tb,25*(x-ta)/(tb-ta),x&lt;=tc,25+25*(x-tb)/(tc-tb),x&lt;=te,50+25*(x-tc)/(te-tc),x&lt;tf,75+25*(x-te)/(tf-te),TRUE,100)))</f>
        <v>0</v>
      </c>
      <c r="J46" s="35">
        <f>IF(Inputs!J46="","",LET(d,Rulebook!$L46,x,Inputs!J46*d,ta,Rulebook!$G46*d,tb,Rulebook!$H46*d,tc,Rulebook!$I46*d,te,Rulebook!$J46*d,tf,Rulebook!$K46*d,IFS(x&lt;=ta,0,x&lt;=tb,25*(x-ta)/(tb-ta),x&lt;=tc,25+25*(x-tb)/(tc-tb),x&lt;=te,50+25*(x-tc)/(te-tc),x&lt;tf,75+25*(x-te)/(tf-te),TRUE,100)))</f>
        <v>0</v>
      </c>
      <c r="K46" s="35">
        <f>IF(Inputs!K46="","",LET(d,Rulebook!$L46,x,Inputs!K46*d,ta,Rulebook!$G46*d,tb,Rulebook!$H46*d,tc,Rulebook!$I46*d,te,Rulebook!$J46*d,tf,Rulebook!$K46*d,IFS(x&lt;=ta,0,x&lt;=tb,25*(x-ta)/(tb-ta),x&lt;=tc,25+25*(x-tb)/(tc-tb),x&lt;=te,50+25*(x-tc)/(te-tc),x&lt;tf,75+25*(x-te)/(tf-te),TRUE,100)))</f>
        <v>0</v>
      </c>
      <c r="L46" s="35">
        <f>IF(Inputs!L46="","",LET(d,Rulebook!$L46,x,Inputs!L46*d,ta,Rulebook!$G46*d,tb,Rulebook!$H46*d,tc,Rulebook!$I46*d,te,Rulebook!$J46*d,tf,Rulebook!$K46*d,IFS(x&lt;=ta,0,x&lt;=tb,25*(x-ta)/(tb-ta),x&lt;=tc,25+25*(x-tb)/(tc-tb),x&lt;=te,50+25*(x-tc)/(te-tc),x&lt;tf,75+25*(x-te)/(tf-te),TRUE,100)))</f>
        <v>25</v>
      </c>
      <c r="M46" s="35">
        <f>IF(Inputs!M46="","",LET(d,Rulebook!$L46,x,Inputs!M46*d,ta,Rulebook!$G46*d,tb,Rulebook!$H46*d,tc,Rulebook!$I46*d,te,Rulebook!$J46*d,tf,Rulebook!$K46*d,IFS(x&lt;=ta,0,x&lt;=tb,25*(x-ta)/(tb-ta),x&lt;=tc,25+25*(x-tb)/(tc-tb),x&lt;=te,50+25*(x-tc)/(te-tc),x&lt;tf,75+25*(x-te)/(tf-te),TRUE,100)))</f>
        <v>50</v>
      </c>
      <c r="N46" s="35">
        <f>IF(Inputs!N46="","",LET(d,Rulebook!$L46,x,Inputs!N46*d,ta,Rulebook!$G46*d,tb,Rulebook!$H46*d,tc,Rulebook!$I46*d,te,Rulebook!$J46*d,tf,Rulebook!$K46*d,IFS(x&lt;=ta,0,x&lt;=tb,25*(x-ta)/(tb-ta),x&lt;=tc,25+25*(x-tb)/(tc-tb),x&lt;=te,50+25*(x-tc)/(te-tc),x&lt;tf,75+25*(x-te)/(tf-te),TRUE,100)))</f>
        <v>0</v>
      </c>
      <c r="O46" s="35">
        <f>IF(Inputs!O46="","",LET(d,Rulebook!$L46,x,Inputs!O46*d,ta,Rulebook!$G46*d,tb,Rulebook!$H46*d,tc,Rulebook!$I46*d,te,Rulebook!$J46*d,tf,Rulebook!$K46*d,IFS(x&lt;=ta,0,x&lt;=tb,25*(x-ta)/(tb-ta),x&lt;=tc,25+25*(x-tb)/(tc-tb),x&lt;=te,50+25*(x-tc)/(te-tc),x&lt;tf,75+25*(x-te)/(tf-te),TRUE,100)))</f>
        <v>50</v>
      </c>
      <c r="P46" s="35">
        <f>IF(Inputs!P46="","",LET(d,Rulebook!$L46,x,Inputs!P46*d,ta,Rulebook!$G46*d,tb,Rulebook!$H46*d,tc,Rulebook!$I46*d,te,Rulebook!$J46*d,tf,Rulebook!$K46*d,IFS(x&lt;=ta,0,x&lt;=tb,25*(x-ta)/(tb-ta),x&lt;=tc,25+25*(x-tb)/(tc-tb),x&lt;=te,50+25*(x-tc)/(te-tc),x&lt;tf,75+25*(x-te)/(tf-te),TRUE,100)))</f>
        <v>25</v>
      </c>
      <c r="Q46" s="35">
        <f>IF(Inputs!Q46="","",LET(d,Rulebook!$L46,x,Inputs!Q46*d,ta,Rulebook!$G46*d,tb,Rulebook!$H46*d,tc,Rulebook!$I46*d,te,Rulebook!$J46*d,tf,Rulebook!$K46*d,IFS(x&lt;=ta,0,x&lt;=tb,25*(x-ta)/(tb-ta),x&lt;=tc,25+25*(x-tb)/(tc-tb),x&lt;=te,50+25*(x-tc)/(te-tc),x&lt;tf,75+25*(x-te)/(tf-te),TRUE,100)))</f>
        <v>25</v>
      </c>
      <c r="R46" s="35">
        <f>IF(Inputs!R46="","",LET(d,Rulebook!$L46,x,Inputs!R46*d,ta,Rulebook!$G46*d,tb,Rulebook!$H46*d,tc,Rulebook!$I46*d,te,Rulebook!$J46*d,tf,Rulebook!$K46*d,IFS(x&lt;=ta,0,x&lt;=tb,25*(x-ta)/(tb-ta),x&lt;=tc,25+25*(x-tb)/(tc-tb),x&lt;=te,50+25*(x-tc)/(te-tc),x&lt;tf,75+25*(x-te)/(tf-te),TRUE,100)))</f>
        <v>100</v>
      </c>
      <c r="S46" s="35">
        <f>IF(Inputs!S46="","",LET(d,Rulebook!$L46,x,Inputs!S46*d,ta,Rulebook!$G46*d,tb,Rulebook!$H46*d,tc,Rulebook!$I46*d,te,Rulebook!$J46*d,tf,Rulebook!$K46*d,IFS(x&lt;=ta,0,x&lt;=tb,25*(x-ta)/(tb-ta),x&lt;=tc,25+25*(x-tb)/(tc-tb),x&lt;=te,50+25*(x-tc)/(te-tc),x&lt;tf,75+25*(x-te)/(tf-te),TRUE,100)))</f>
        <v>25</v>
      </c>
      <c r="T46" s="35">
        <f>IF(Inputs!T46="","",LET(d,Rulebook!$L46,x,Inputs!T46*d,ta,Rulebook!$G46*d,tb,Rulebook!$H46*d,tc,Rulebook!$I46*d,te,Rulebook!$J46*d,tf,Rulebook!$K46*d,IFS(x&lt;=ta,0,x&lt;=tb,25*(x-ta)/(tb-ta),x&lt;=tc,25+25*(x-tb)/(tc-tb),x&lt;=te,50+25*(x-tc)/(te-tc),x&lt;tf,75+25*(x-te)/(tf-te),TRUE,100)))</f>
        <v>25</v>
      </c>
      <c r="U46" s="35">
        <f>IF(Inputs!U46="","",LET(d,Rulebook!$L46,x,Inputs!U46*d,ta,Rulebook!$G46*d,tb,Rulebook!$H46*d,tc,Rulebook!$I46*d,te,Rulebook!$J46*d,tf,Rulebook!$K46*d,IFS(x&lt;=ta,0,x&lt;=tb,25*(x-ta)/(tb-ta),x&lt;=tc,25+25*(x-tb)/(tc-tb),x&lt;=te,50+25*(x-tc)/(te-tc),x&lt;tf,75+25*(x-te)/(tf-te),TRUE,100)))</f>
        <v>25</v>
      </c>
      <c r="V46" s="35">
        <f>IF(Inputs!V46="","",LET(d,Rulebook!$L46,x,Inputs!V46*d,ta,Rulebook!$G46*d,tb,Rulebook!$H46*d,tc,Rulebook!$I46*d,te,Rulebook!$J46*d,tf,Rulebook!$K46*d,IFS(x&lt;=ta,0,x&lt;=tb,25*(x-ta)/(tb-ta),x&lt;=tc,25+25*(x-tb)/(tc-tb),x&lt;=te,50+25*(x-tc)/(te-tc),x&lt;tf,75+25*(x-te)/(tf-te),TRUE,100)))</f>
        <v>75</v>
      </c>
    </row>
    <row r="47">
      <c r="A47" s="26" t="s">
        <v>636</v>
      </c>
      <c r="B47" s="26">
        <v>5.0</v>
      </c>
      <c r="C47" s="26" t="s">
        <v>637</v>
      </c>
      <c r="D47" s="26" t="s">
        <v>638</v>
      </c>
      <c r="E47" s="35">
        <f>IF(Inputs!E47="","",LET(d,Rulebook!$L47,x,Inputs!E47*d,ta,Rulebook!$G47*d,tb,Rulebook!$H47*d,tc,Rulebook!$I47*d,te,Rulebook!$J47*d,tf,Rulebook!$K47*d,IFS(x&lt;=ta,0,x&lt;=tb,25*(x-ta)/(tb-ta),x&lt;=tc,25+25*(x-tb)/(tc-tb),x&lt;=te,50+25*(x-tc)/(te-tc),x&lt;tf,75+25*(x-te)/(tf-te),TRUE,100)))</f>
        <v>0</v>
      </c>
      <c r="F47" s="35">
        <f>IF(Inputs!F47="","",LET(d,Rulebook!$L47,x,Inputs!F47*d,ta,Rulebook!$G47*d,tb,Rulebook!$H47*d,tc,Rulebook!$I47*d,te,Rulebook!$J47*d,tf,Rulebook!$K47*d,IFS(x&lt;=ta,0,x&lt;=tb,25*(x-ta)/(tb-ta),x&lt;=tc,25+25*(x-tb)/(tc-tb),x&lt;=te,50+25*(x-tc)/(te-tc),x&lt;tf,75+25*(x-te)/(tf-te),TRUE,100)))</f>
        <v>42.5</v>
      </c>
      <c r="G47" s="35">
        <f>IF(Inputs!G47="","",LET(d,Rulebook!$L47,x,Inputs!G47*d,ta,Rulebook!$G47*d,tb,Rulebook!$H47*d,tc,Rulebook!$I47*d,te,Rulebook!$J47*d,tf,Rulebook!$K47*d,IFS(x&lt;=ta,0,x&lt;=tb,25*(x-ta)/(tb-ta),x&lt;=tc,25+25*(x-tb)/(tc-tb),x&lt;=te,50+25*(x-tc)/(te-tc),x&lt;tf,75+25*(x-te)/(tf-te),TRUE,100)))</f>
        <v>37.5</v>
      </c>
      <c r="H47" s="35">
        <f>IF(Inputs!H47="","",LET(d,Rulebook!$L47,x,Inputs!H47*d,ta,Rulebook!$G47*d,tb,Rulebook!$H47*d,tc,Rulebook!$I47*d,te,Rulebook!$J47*d,tf,Rulebook!$K47*d,IFS(x&lt;=ta,0,x&lt;=tb,25*(x-ta)/(tb-ta),x&lt;=tc,25+25*(x-tb)/(tc-tb),x&lt;=te,50+25*(x-tc)/(te-tc),x&lt;tf,75+25*(x-te)/(tf-te),TRUE,100)))</f>
        <v>25</v>
      </c>
      <c r="I47" s="35">
        <f>IF(Inputs!I47="","",LET(d,Rulebook!$L47,x,Inputs!I47*d,ta,Rulebook!$G47*d,tb,Rulebook!$H47*d,tc,Rulebook!$I47*d,te,Rulebook!$J47*d,tf,Rulebook!$K47*d,IFS(x&lt;=ta,0,x&lt;=tb,25*(x-ta)/(tb-ta),x&lt;=tc,25+25*(x-tb)/(tc-tb),x&lt;=te,50+25*(x-tc)/(te-tc),x&lt;tf,75+25*(x-te)/(tf-te),TRUE,100)))</f>
        <v>0</v>
      </c>
      <c r="J47" s="35">
        <f>IF(Inputs!J47="","",LET(d,Rulebook!$L47,x,Inputs!J47*d,ta,Rulebook!$G47*d,tb,Rulebook!$H47*d,tc,Rulebook!$I47*d,te,Rulebook!$J47*d,tf,Rulebook!$K47*d,IFS(x&lt;=ta,0,x&lt;=tb,25*(x-ta)/(tb-ta),x&lt;=tc,25+25*(x-tb)/(tc-tb),x&lt;=te,50+25*(x-tc)/(te-tc),x&lt;tf,75+25*(x-te)/(tf-te),TRUE,100)))</f>
        <v>37.5</v>
      </c>
      <c r="K47" s="35">
        <f>IF(Inputs!K47="","",LET(d,Rulebook!$L47,x,Inputs!K47*d,ta,Rulebook!$G47*d,tb,Rulebook!$H47*d,tc,Rulebook!$I47*d,te,Rulebook!$J47*d,tf,Rulebook!$K47*d,IFS(x&lt;=ta,0,x&lt;=tb,25*(x-ta)/(tb-ta),x&lt;=tc,25+25*(x-tb)/(tc-tb),x&lt;=te,50+25*(x-tc)/(te-tc),x&lt;tf,75+25*(x-te)/(tf-te),TRUE,100)))</f>
        <v>0</v>
      </c>
      <c r="L47" s="35">
        <f>IF(Inputs!L47="","",LET(d,Rulebook!$L47,x,Inputs!L47*d,ta,Rulebook!$G47*d,tb,Rulebook!$H47*d,tc,Rulebook!$I47*d,te,Rulebook!$J47*d,tf,Rulebook!$K47*d,IFS(x&lt;=ta,0,x&lt;=tb,25*(x-ta)/(tb-ta),x&lt;=tc,25+25*(x-tb)/(tc-tb),x&lt;=te,50+25*(x-tc)/(te-tc),x&lt;tf,75+25*(x-te)/(tf-te),TRUE,100)))</f>
        <v>57.5</v>
      </c>
      <c r="M47" s="35">
        <f>IF(Inputs!M47="","",LET(d,Rulebook!$L47,x,Inputs!M47*d,ta,Rulebook!$G47*d,tb,Rulebook!$H47*d,tc,Rulebook!$I47*d,te,Rulebook!$J47*d,tf,Rulebook!$K47*d,IFS(x&lt;=ta,0,x&lt;=tb,25*(x-ta)/(tb-ta),x&lt;=tc,25+25*(x-tb)/(tc-tb),x&lt;=te,50+25*(x-tc)/(te-tc),x&lt;tf,75+25*(x-te)/(tf-te),TRUE,100)))</f>
        <v>100</v>
      </c>
      <c r="N47" s="35">
        <f>IF(Inputs!N47="","",LET(d,Rulebook!$L47,x,Inputs!N47*d,ta,Rulebook!$G47*d,tb,Rulebook!$H47*d,tc,Rulebook!$I47*d,te,Rulebook!$J47*d,tf,Rulebook!$K47*d,IFS(x&lt;=ta,0,x&lt;=tb,25*(x-ta)/(tb-ta),x&lt;=tc,25+25*(x-tb)/(tc-tb),x&lt;=te,50+25*(x-tc)/(te-tc),x&lt;tf,75+25*(x-te)/(tf-te),TRUE,100)))</f>
        <v>25</v>
      </c>
      <c r="O47" s="35">
        <f>IF(Inputs!O47="","",LET(d,Rulebook!$L47,x,Inputs!O47*d,ta,Rulebook!$G47*d,tb,Rulebook!$H47*d,tc,Rulebook!$I47*d,te,Rulebook!$J47*d,tf,Rulebook!$K47*d,IFS(x&lt;=ta,0,x&lt;=tb,25*(x-ta)/(tb-ta),x&lt;=tc,25+25*(x-tb)/(tc-tb),x&lt;=te,50+25*(x-tc)/(te-tc),x&lt;tf,75+25*(x-te)/(tf-te),TRUE,100)))</f>
        <v>50</v>
      </c>
      <c r="P47" s="35">
        <f>IF(Inputs!P47="","",LET(d,Rulebook!$L47,x,Inputs!P47*d,ta,Rulebook!$G47*d,tb,Rulebook!$H47*d,tc,Rulebook!$I47*d,te,Rulebook!$J47*d,tf,Rulebook!$K47*d,IFS(x&lt;=ta,0,x&lt;=tb,25*(x-ta)/(tb-ta),x&lt;=tc,25+25*(x-tb)/(tc-tb),x&lt;=te,50+25*(x-tc)/(te-tc),x&lt;tf,75+25*(x-te)/(tf-te),TRUE,100)))</f>
        <v>62.5</v>
      </c>
      <c r="Q47" s="35">
        <f>IF(Inputs!Q47="","",LET(d,Rulebook!$L47,x,Inputs!Q47*d,ta,Rulebook!$G47*d,tb,Rulebook!$H47*d,tc,Rulebook!$I47*d,te,Rulebook!$J47*d,tf,Rulebook!$K47*d,IFS(x&lt;=ta,0,x&lt;=tb,25*(x-ta)/(tb-ta),x&lt;=tc,25+25*(x-tb)/(tc-tb),x&lt;=te,50+25*(x-tc)/(te-tc),x&lt;tf,75+25*(x-te)/(tf-te),TRUE,100)))</f>
        <v>25</v>
      </c>
      <c r="R47" s="35">
        <f>IF(Inputs!R47="","",LET(d,Rulebook!$L47,x,Inputs!R47*d,ta,Rulebook!$G47*d,tb,Rulebook!$H47*d,tc,Rulebook!$I47*d,te,Rulebook!$J47*d,tf,Rulebook!$K47*d,IFS(x&lt;=ta,0,x&lt;=tb,25*(x-ta)/(tb-ta),x&lt;=tc,25+25*(x-tb)/(tc-tb),x&lt;=te,50+25*(x-tc)/(te-tc),x&lt;tf,75+25*(x-te)/(tf-te),TRUE,100)))</f>
        <v>0</v>
      </c>
      <c r="S47" s="35">
        <f>IF(Inputs!S47="","",LET(d,Rulebook!$L47,x,Inputs!S47*d,ta,Rulebook!$G47*d,tb,Rulebook!$H47*d,tc,Rulebook!$I47*d,te,Rulebook!$J47*d,tf,Rulebook!$K47*d,IFS(x&lt;=ta,0,x&lt;=tb,25*(x-ta)/(tb-ta),x&lt;=tc,25+25*(x-tb)/(tc-tb),x&lt;=te,50+25*(x-tc)/(te-tc),x&lt;tf,75+25*(x-te)/(tf-te),TRUE,100)))</f>
        <v>25</v>
      </c>
      <c r="T47" s="35">
        <f>IF(Inputs!T47="","",LET(d,Rulebook!$L47,x,Inputs!T47*d,ta,Rulebook!$G47*d,tb,Rulebook!$H47*d,tc,Rulebook!$I47*d,te,Rulebook!$J47*d,tf,Rulebook!$K47*d,IFS(x&lt;=ta,0,x&lt;=tb,25*(x-ta)/(tb-ta),x&lt;=tc,25+25*(x-tb)/(tc-tb),x&lt;=te,50+25*(x-tc)/(te-tc),x&lt;tf,75+25*(x-te)/(tf-te),TRUE,100)))</f>
        <v>37.5</v>
      </c>
      <c r="U47" s="35">
        <f>IF(Inputs!U47="","",LET(d,Rulebook!$L47,x,Inputs!U47*d,ta,Rulebook!$G47*d,tb,Rulebook!$H47*d,tc,Rulebook!$I47*d,te,Rulebook!$J47*d,tf,Rulebook!$K47*d,IFS(x&lt;=ta,0,x&lt;=tb,25*(x-ta)/(tb-ta),x&lt;=tc,25+25*(x-tb)/(tc-tb),x&lt;=te,50+25*(x-tc)/(te-tc),x&lt;tf,75+25*(x-te)/(tf-te),TRUE,100)))</f>
        <v>62.5</v>
      </c>
      <c r="V47" s="35">
        <f>IF(Inputs!V47="","",LET(d,Rulebook!$L47,x,Inputs!V47*d,ta,Rulebook!$G47*d,tb,Rulebook!$H47*d,tc,Rulebook!$I47*d,te,Rulebook!$J47*d,tf,Rulebook!$K47*d,IFS(x&lt;=ta,0,x&lt;=tb,25*(x-ta)/(tb-ta),x&lt;=tc,25+25*(x-tb)/(tc-tb),x&lt;=te,50+25*(x-tc)/(te-tc),x&lt;tf,75+25*(x-te)/(tf-te),TRUE,100)))</f>
        <v>25</v>
      </c>
    </row>
    <row r="48">
      <c r="A48" s="26" t="s">
        <v>643</v>
      </c>
      <c r="B48" s="26">
        <v>5.0</v>
      </c>
      <c r="C48" s="26" t="s">
        <v>646</v>
      </c>
      <c r="D48" s="26" t="s">
        <v>648</v>
      </c>
      <c r="E48" s="35">
        <f>IF(Inputs!E48="","",LET(d,Rulebook!$L48,x,Inputs!E48*d,ta,Rulebook!$G48*d,tb,Rulebook!$H48*d,tc,Rulebook!$I48*d,te,Rulebook!$J48*d,tf,Rulebook!$K48*d,IFS(x&lt;=ta,0,x&lt;=tb,25*(x-ta)/(tb-ta),x&lt;=tc,25+25*(x-tb)/(tc-tb),x&lt;=te,50+25*(x-tc)/(te-tc),x&lt;tf,75+25*(x-te)/(tf-te),TRUE,100)))</f>
        <v>0</v>
      </c>
      <c r="F48" s="35">
        <f>IF(Inputs!F48="","",LET(d,Rulebook!$L48,x,Inputs!F48*d,ta,Rulebook!$G48*d,tb,Rulebook!$H48*d,tc,Rulebook!$I48*d,te,Rulebook!$J48*d,tf,Rulebook!$K48*d,IFS(x&lt;=ta,0,x&lt;=tb,25*(x-ta)/(tb-ta),x&lt;=tc,25+25*(x-tb)/(tc-tb),x&lt;=te,50+25*(x-tc)/(te-tc),x&lt;tf,75+25*(x-te)/(tf-te),TRUE,100)))</f>
        <v>0</v>
      </c>
      <c r="G48" s="35">
        <f>IF(Inputs!G48="","",LET(d,Rulebook!$L48,x,Inputs!G48*d,ta,Rulebook!$G48*d,tb,Rulebook!$H48*d,tc,Rulebook!$I48*d,te,Rulebook!$J48*d,tf,Rulebook!$K48*d,IFS(x&lt;=ta,0,x&lt;=tb,25*(x-ta)/(tb-ta),x&lt;=tc,25+25*(x-tb)/(tc-tb),x&lt;=te,50+25*(x-tc)/(te-tc),x&lt;tf,75+25*(x-te)/(tf-te),TRUE,100)))</f>
        <v>0</v>
      </c>
      <c r="H48" s="35">
        <f>IF(Inputs!H48="","",LET(d,Rulebook!$L48,x,Inputs!H48*d,ta,Rulebook!$G48*d,tb,Rulebook!$H48*d,tc,Rulebook!$I48*d,te,Rulebook!$J48*d,tf,Rulebook!$K48*d,IFS(x&lt;=ta,0,x&lt;=tb,25*(x-ta)/(tb-ta),x&lt;=tc,25+25*(x-tb)/(tc-tb),x&lt;=te,50+25*(x-tc)/(te-tc),x&lt;tf,75+25*(x-te)/(tf-te),TRUE,100)))</f>
        <v>0</v>
      </c>
      <c r="I48" s="35">
        <f>IF(Inputs!I48="","",LET(d,Rulebook!$L48,x,Inputs!I48*d,ta,Rulebook!$G48*d,tb,Rulebook!$H48*d,tc,Rulebook!$I48*d,te,Rulebook!$J48*d,tf,Rulebook!$K48*d,IFS(x&lt;=ta,0,x&lt;=tb,25*(x-ta)/(tb-ta),x&lt;=tc,25+25*(x-tb)/(tc-tb),x&lt;=te,50+25*(x-tc)/(te-tc),x&lt;tf,75+25*(x-te)/(tf-te),TRUE,100)))</f>
        <v>58.33333333</v>
      </c>
      <c r="J48" s="35">
        <f>IF(Inputs!J48="","",LET(d,Rulebook!$L48,x,Inputs!J48*d,ta,Rulebook!$G48*d,tb,Rulebook!$H48*d,tc,Rulebook!$I48*d,te,Rulebook!$J48*d,tf,Rulebook!$K48*d,IFS(x&lt;=ta,0,x&lt;=tb,25*(x-ta)/(tb-ta),x&lt;=tc,25+25*(x-tb)/(tc-tb),x&lt;=te,50+25*(x-tc)/(te-tc),x&lt;tf,75+25*(x-te)/(tf-te),TRUE,100)))</f>
        <v>0</v>
      </c>
      <c r="K48" s="35">
        <f>IF(Inputs!K48="","",LET(d,Rulebook!$L48,x,Inputs!K48*d,ta,Rulebook!$G48*d,tb,Rulebook!$H48*d,tc,Rulebook!$I48*d,te,Rulebook!$J48*d,tf,Rulebook!$K48*d,IFS(x&lt;=ta,0,x&lt;=tb,25*(x-ta)/(tb-ta),x&lt;=tc,25+25*(x-tb)/(tc-tb),x&lt;=te,50+25*(x-tc)/(te-tc),x&lt;tf,75+25*(x-te)/(tf-te),TRUE,100)))</f>
        <v>0</v>
      </c>
      <c r="L48" s="35">
        <f>IF(Inputs!L48="","",LET(d,Rulebook!$L48,x,Inputs!L48*d,ta,Rulebook!$G48*d,tb,Rulebook!$H48*d,tc,Rulebook!$I48*d,te,Rulebook!$J48*d,tf,Rulebook!$K48*d,IFS(x&lt;=ta,0,x&lt;=tb,25*(x-ta)/(tb-ta),x&lt;=tc,25+25*(x-tb)/(tc-tb),x&lt;=te,50+25*(x-tc)/(te-tc),x&lt;tf,75+25*(x-te)/(tf-te),TRUE,100)))</f>
        <v>0</v>
      </c>
      <c r="M48" s="35">
        <f>IF(Inputs!M48="","",LET(d,Rulebook!$L48,x,Inputs!M48*d,ta,Rulebook!$G48*d,tb,Rulebook!$H48*d,tc,Rulebook!$I48*d,te,Rulebook!$J48*d,tf,Rulebook!$K48*d,IFS(x&lt;=ta,0,x&lt;=tb,25*(x-ta)/(tb-ta),x&lt;=tc,25+25*(x-tb)/(tc-tb),x&lt;=te,50+25*(x-tc)/(te-tc),x&lt;tf,75+25*(x-te)/(tf-te),TRUE,100)))</f>
        <v>0</v>
      </c>
      <c r="N48" s="35">
        <f>IF(Inputs!N48="","",LET(d,Rulebook!$L48,x,Inputs!N48*d,ta,Rulebook!$G48*d,tb,Rulebook!$H48*d,tc,Rulebook!$I48*d,te,Rulebook!$J48*d,tf,Rulebook!$K48*d,IFS(x&lt;=ta,0,x&lt;=tb,25*(x-ta)/(tb-ta),x&lt;=tc,25+25*(x-tb)/(tc-tb),x&lt;=te,50+25*(x-tc)/(te-tc),x&lt;tf,75+25*(x-te)/(tf-te),TRUE,100)))</f>
        <v>0</v>
      </c>
      <c r="O48" s="35">
        <f>IF(Inputs!O48="","",LET(d,Rulebook!$L48,x,Inputs!O48*d,ta,Rulebook!$G48*d,tb,Rulebook!$H48*d,tc,Rulebook!$I48*d,te,Rulebook!$J48*d,tf,Rulebook!$K48*d,IFS(x&lt;=ta,0,x&lt;=tb,25*(x-ta)/(tb-ta),x&lt;=tc,25+25*(x-tb)/(tc-tb),x&lt;=te,50+25*(x-tc)/(te-tc),x&lt;tf,75+25*(x-te)/(tf-te),TRUE,100)))</f>
        <v>0</v>
      </c>
      <c r="P48" s="35">
        <f>IF(Inputs!P48="","",LET(d,Rulebook!$L48,x,Inputs!P48*d,ta,Rulebook!$G48*d,tb,Rulebook!$H48*d,tc,Rulebook!$I48*d,te,Rulebook!$J48*d,tf,Rulebook!$K48*d,IFS(x&lt;=ta,0,x&lt;=tb,25*(x-ta)/(tb-ta),x&lt;=tc,25+25*(x-tb)/(tc-tb),x&lt;=te,50+25*(x-tc)/(te-tc),x&lt;tf,75+25*(x-te)/(tf-te),TRUE,100)))</f>
        <v>25</v>
      </c>
      <c r="Q48" s="35">
        <f>IF(Inputs!Q48="","",LET(d,Rulebook!$L48,x,Inputs!Q48*d,ta,Rulebook!$G48*d,tb,Rulebook!$H48*d,tc,Rulebook!$I48*d,te,Rulebook!$J48*d,tf,Rulebook!$K48*d,IFS(x&lt;=ta,0,x&lt;=tb,25*(x-ta)/(tb-ta),x&lt;=tc,25+25*(x-tb)/(tc-tb),x&lt;=te,50+25*(x-tc)/(te-tc),x&lt;tf,75+25*(x-te)/(tf-te),TRUE,100)))</f>
        <v>0</v>
      </c>
      <c r="R48" s="35">
        <f>IF(Inputs!R48="","",LET(d,Rulebook!$L48,x,Inputs!R48*d,ta,Rulebook!$G48*d,tb,Rulebook!$H48*d,tc,Rulebook!$I48*d,te,Rulebook!$J48*d,tf,Rulebook!$K48*d,IFS(x&lt;=ta,0,x&lt;=tb,25*(x-ta)/(tb-ta),x&lt;=tc,25+25*(x-tb)/(tc-tb),x&lt;=te,50+25*(x-tc)/(te-tc),x&lt;tf,75+25*(x-te)/(tf-te),TRUE,100)))</f>
        <v>75</v>
      </c>
      <c r="S48" s="35">
        <f>IF(Inputs!S48="","",LET(d,Rulebook!$L48,x,Inputs!S48*d,ta,Rulebook!$G48*d,tb,Rulebook!$H48*d,tc,Rulebook!$I48*d,te,Rulebook!$J48*d,tf,Rulebook!$K48*d,IFS(x&lt;=ta,0,x&lt;=tb,25*(x-ta)/(tb-ta),x&lt;=tc,25+25*(x-tb)/(tc-tb),x&lt;=te,50+25*(x-tc)/(te-tc),x&lt;tf,75+25*(x-te)/(tf-te),TRUE,100)))</f>
        <v>58.33333333</v>
      </c>
      <c r="T48" s="35">
        <f>IF(Inputs!T48="","",LET(d,Rulebook!$L48,x,Inputs!T48*d,ta,Rulebook!$G48*d,tb,Rulebook!$H48*d,tc,Rulebook!$I48*d,te,Rulebook!$J48*d,tf,Rulebook!$K48*d,IFS(x&lt;=ta,0,x&lt;=tb,25*(x-ta)/(tb-ta),x&lt;=tc,25+25*(x-tb)/(tc-tb),x&lt;=te,50+25*(x-tc)/(te-tc),x&lt;tf,75+25*(x-te)/(tf-te),TRUE,100)))</f>
        <v>0</v>
      </c>
      <c r="U48" s="35">
        <f>IF(Inputs!U48="","",LET(d,Rulebook!$L48,x,Inputs!U48*d,ta,Rulebook!$G48*d,tb,Rulebook!$H48*d,tc,Rulebook!$I48*d,te,Rulebook!$J48*d,tf,Rulebook!$K48*d,IFS(x&lt;=ta,0,x&lt;=tb,25*(x-ta)/(tb-ta),x&lt;=tc,25+25*(x-tb)/(tc-tb),x&lt;=te,50+25*(x-tc)/(te-tc),x&lt;tf,75+25*(x-te)/(tf-te),TRUE,100)))</f>
        <v>58.33333333</v>
      </c>
      <c r="V48" s="35">
        <f>IF(Inputs!V48="","",LET(d,Rulebook!$L48,x,Inputs!V48*d,ta,Rulebook!$G48*d,tb,Rulebook!$H48*d,tc,Rulebook!$I48*d,te,Rulebook!$J48*d,tf,Rulebook!$K48*d,IFS(x&lt;=ta,0,x&lt;=tb,25*(x-ta)/(tb-ta),x&lt;=tc,25+25*(x-tb)/(tc-tb),x&lt;=te,50+25*(x-tc)/(te-tc),x&lt;tf,75+25*(x-te)/(tf-te),TRUE,100)))</f>
        <v>100</v>
      </c>
    </row>
    <row r="49">
      <c r="A49" s="26" t="s">
        <v>658</v>
      </c>
      <c r="B49" s="26">
        <v>5.0</v>
      </c>
      <c r="C49" s="26" t="s">
        <v>659</v>
      </c>
      <c r="D49" s="26" t="s">
        <v>254</v>
      </c>
      <c r="E49" s="35">
        <f>IF(Inputs!E49="","",LET(d,Rulebook!$L49,x,Inputs!E49*d,ta,Rulebook!$G49*d,tb,Rulebook!$H49*d,tc,Rulebook!$I49*d,te,Rulebook!$J49*d,tf,Rulebook!$K49*d,IFS(x&lt;=ta,0,x&lt;=tb,25*(x-ta)/(tb-ta),x&lt;=tc,25+25*(x-tb)/(tc-tb),x&lt;=te,50+25*(x-tc)/(te-tc),x&lt;tf,75+25*(x-te)/(tf-te),TRUE,100)))</f>
        <v>75</v>
      </c>
      <c r="F49" s="35">
        <f>IF(Inputs!F49="","",LET(d,Rulebook!$L49,x,Inputs!F49*d,ta,Rulebook!$G49*d,tb,Rulebook!$H49*d,tc,Rulebook!$I49*d,te,Rulebook!$J49*d,tf,Rulebook!$K49*d,IFS(x&lt;=ta,0,x&lt;=tb,25*(x-ta)/(tb-ta),x&lt;=tc,25+25*(x-tb)/(tc-tb),x&lt;=te,50+25*(x-tc)/(te-tc),x&lt;tf,75+25*(x-te)/(tf-te),TRUE,100)))</f>
        <v>25</v>
      </c>
      <c r="G49" s="35">
        <f>IF(Inputs!G49="","",LET(d,Rulebook!$L49,x,Inputs!G49*d,ta,Rulebook!$G49*d,tb,Rulebook!$H49*d,tc,Rulebook!$I49*d,te,Rulebook!$J49*d,tf,Rulebook!$K49*d,IFS(x&lt;=ta,0,x&lt;=tb,25*(x-ta)/(tb-ta),x&lt;=tc,25+25*(x-tb)/(tc-tb),x&lt;=te,50+25*(x-tc)/(te-tc),x&lt;tf,75+25*(x-te)/(tf-te),TRUE,100)))</f>
        <v>75</v>
      </c>
      <c r="H49" s="35">
        <f>IF(Inputs!H49="","",LET(d,Rulebook!$L49,x,Inputs!H49*d,ta,Rulebook!$G49*d,tb,Rulebook!$H49*d,tc,Rulebook!$I49*d,te,Rulebook!$J49*d,tf,Rulebook!$K49*d,IFS(x&lt;=ta,0,x&lt;=tb,25*(x-ta)/(tb-ta),x&lt;=tc,25+25*(x-tb)/(tc-tb),x&lt;=te,50+25*(x-tc)/(te-tc),x&lt;tf,75+25*(x-te)/(tf-te),TRUE,100)))</f>
        <v>25</v>
      </c>
      <c r="I49" s="35">
        <f>IF(Inputs!I49="","",LET(d,Rulebook!$L49,x,Inputs!I49*d,ta,Rulebook!$G49*d,tb,Rulebook!$H49*d,tc,Rulebook!$I49*d,te,Rulebook!$J49*d,tf,Rulebook!$K49*d,IFS(x&lt;=ta,0,x&lt;=tb,25*(x-ta)/(tb-ta),x&lt;=tc,25+25*(x-tb)/(tc-tb),x&lt;=te,50+25*(x-tc)/(te-tc),x&lt;tf,75+25*(x-te)/(tf-te),TRUE,100)))</f>
        <v>0</v>
      </c>
      <c r="J49" s="35">
        <f>IF(Inputs!J49="","",LET(d,Rulebook!$L49,x,Inputs!J49*d,ta,Rulebook!$G49*d,tb,Rulebook!$H49*d,tc,Rulebook!$I49*d,te,Rulebook!$J49*d,tf,Rulebook!$K49*d,IFS(x&lt;=ta,0,x&lt;=tb,25*(x-ta)/(tb-ta),x&lt;=tc,25+25*(x-tb)/(tc-tb),x&lt;=te,50+25*(x-tc)/(te-tc),x&lt;tf,75+25*(x-te)/(tf-te),TRUE,100)))</f>
        <v>25</v>
      </c>
      <c r="K49" s="35">
        <f>IF(Inputs!K49="","",LET(d,Rulebook!$L49,x,Inputs!K49*d,ta,Rulebook!$G49*d,tb,Rulebook!$H49*d,tc,Rulebook!$I49*d,te,Rulebook!$J49*d,tf,Rulebook!$K49*d,IFS(x&lt;=ta,0,x&lt;=tb,25*(x-ta)/(tb-ta),x&lt;=tc,25+25*(x-tb)/(tc-tb),x&lt;=te,50+25*(x-tc)/(te-tc),x&lt;tf,75+25*(x-te)/(tf-te),TRUE,100)))</f>
        <v>25</v>
      </c>
      <c r="L49" s="35">
        <f>IF(Inputs!L49="","",LET(d,Rulebook!$L49,x,Inputs!L49*d,ta,Rulebook!$G49*d,tb,Rulebook!$H49*d,tc,Rulebook!$I49*d,te,Rulebook!$J49*d,tf,Rulebook!$K49*d,IFS(x&lt;=ta,0,x&lt;=tb,25*(x-ta)/(tb-ta),x&lt;=tc,25+25*(x-tb)/(tc-tb),x&lt;=te,50+25*(x-tc)/(te-tc),x&lt;tf,75+25*(x-te)/(tf-te),TRUE,100)))</f>
        <v>25</v>
      </c>
      <c r="M49" s="35">
        <f>IF(Inputs!M49="","",LET(d,Rulebook!$L49,x,Inputs!M49*d,ta,Rulebook!$G49*d,tb,Rulebook!$H49*d,tc,Rulebook!$I49*d,te,Rulebook!$J49*d,tf,Rulebook!$K49*d,IFS(x&lt;=ta,0,x&lt;=tb,25*(x-ta)/(tb-ta),x&lt;=tc,25+25*(x-tb)/(tc-tb),x&lt;=te,50+25*(x-tc)/(te-tc),x&lt;tf,75+25*(x-te)/(tf-te),TRUE,100)))</f>
        <v>25</v>
      </c>
      <c r="N49" s="35">
        <f>IF(Inputs!N49="","",LET(d,Rulebook!$L49,x,Inputs!N49*d,ta,Rulebook!$G49*d,tb,Rulebook!$H49*d,tc,Rulebook!$I49*d,te,Rulebook!$J49*d,tf,Rulebook!$K49*d,IFS(x&lt;=ta,0,x&lt;=tb,25*(x-ta)/(tb-ta),x&lt;=tc,25+25*(x-tb)/(tc-tb),x&lt;=te,50+25*(x-tc)/(te-tc),x&lt;tf,75+25*(x-te)/(tf-te),TRUE,100)))</f>
        <v>25</v>
      </c>
      <c r="O49" s="35">
        <f>IF(Inputs!O49="","",LET(d,Rulebook!$L49,x,Inputs!O49*d,ta,Rulebook!$G49*d,tb,Rulebook!$H49*d,tc,Rulebook!$I49*d,te,Rulebook!$J49*d,tf,Rulebook!$K49*d,IFS(x&lt;=ta,0,x&lt;=tb,25*(x-ta)/(tb-ta),x&lt;=tc,25+25*(x-tb)/(tc-tb),x&lt;=te,50+25*(x-tc)/(te-tc),x&lt;tf,75+25*(x-te)/(tf-te),TRUE,100)))</f>
        <v>25</v>
      </c>
      <c r="P49" s="35">
        <f>IF(Inputs!P49="","",LET(d,Rulebook!$L49,x,Inputs!P49*d,ta,Rulebook!$G49*d,tb,Rulebook!$H49*d,tc,Rulebook!$I49*d,te,Rulebook!$J49*d,tf,Rulebook!$K49*d,IFS(x&lt;=ta,0,x&lt;=tb,25*(x-ta)/(tb-ta),x&lt;=tc,25+25*(x-tb)/(tc-tb),x&lt;=te,50+25*(x-tc)/(te-tc),x&lt;tf,75+25*(x-te)/(tf-te),TRUE,100)))</f>
        <v>25</v>
      </c>
      <c r="Q49" s="35">
        <f>IF(Inputs!Q49="","",LET(d,Rulebook!$L49,x,Inputs!Q49*d,ta,Rulebook!$G49*d,tb,Rulebook!$H49*d,tc,Rulebook!$I49*d,te,Rulebook!$J49*d,tf,Rulebook!$K49*d,IFS(x&lt;=ta,0,x&lt;=tb,25*(x-ta)/(tb-ta),x&lt;=tc,25+25*(x-tb)/(tc-tb),x&lt;=te,50+25*(x-tc)/(te-tc),x&lt;tf,75+25*(x-te)/(tf-te),TRUE,100)))</f>
        <v>25</v>
      </c>
      <c r="R49" s="35">
        <f>IF(Inputs!R49="","",LET(d,Rulebook!$L49,x,Inputs!R49*d,ta,Rulebook!$G49*d,tb,Rulebook!$H49*d,tc,Rulebook!$I49*d,te,Rulebook!$J49*d,tf,Rulebook!$K49*d,IFS(x&lt;=ta,0,x&lt;=tb,25*(x-ta)/(tb-ta),x&lt;=tc,25+25*(x-tb)/(tc-tb),x&lt;=te,50+25*(x-tc)/(te-tc),x&lt;tf,75+25*(x-te)/(tf-te),TRUE,100)))</f>
        <v>75</v>
      </c>
      <c r="S49" s="35">
        <f>IF(Inputs!S49="","",LET(d,Rulebook!$L49,x,Inputs!S49*d,ta,Rulebook!$G49*d,tb,Rulebook!$H49*d,tc,Rulebook!$I49*d,te,Rulebook!$J49*d,tf,Rulebook!$K49*d,IFS(x&lt;=ta,0,x&lt;=tb,25*(x-ta)/(tb-ta),x&lt;=tc,25+25*(x-tb)/(tc-tb),x&lt;=te,50+25*(x-tc)/(te-tc),x&lt;tf,75+25*(x-te)/(tf-te),TRUE,100)))</f>
        <v>75</v>
      </c>
      <c r="T49" s="35">
        <f>IF(Inputs!T49="","",LET(d,Rulebook!$L49,x,Inputs!T49*d,ta,Rulebook!$G49*d,tb,Rulebook!$H49*d,tc,Rulebook!$I49*d,te,Rulebook!$J49*d,tf,Rulebook!$K49*d,IFS(x&lt;=ta,0,x&lt;=tb,25*(x-ta)/(tb-ta),x&lt;=tc,25+25*(x-tb)/(tc-tb),x&lt;=te,50+25*(x-tc)/(te-tc),x&lt;tf,75+25*(x-te)/(tf-te),TRUE,100)))</f>
        <v>25</v>
      </c>
      <c r="U49" s="35">
        <f>IF(Inputs!U49="","",LET(d,Rulebook!$L49,x,Inputs!U49*d,ta,Rulebook!$G49*d,tb,Rulebook!$H49*d,tc,Rulebook!$I49*d,te,Rulebook!$J49*d,tf,Rulebook!$K49*d,IFS(x&lt;=ta,0,x&lt;=tb,25*(x-ta)/(tb-ta),x&lt;=tc,25+25*(x-tb)/(tc-tb),x&lt;=te,50+25*(x-tc)/(te-tc),x&lt;tf,75+25*(x-te)/(tf-te),TRUE,100)))</f>
        <v>50</v>
      </c>
      <c r="V49" s="35">
        <f>IF(Inputs!V49="","",LET(d,Rulebook!$L49,x,Inputs!V49*d,ta,Rulebook!$G49*d,tb,Rulebook!$H49*d,tc,Rulebook!$I49*d,te,Rulebook!$J49*d,tf,Rulebook!$K49*d,IFS(x&lt;=ta,0,x&lt;=tb,25*(x-ta)/(tb-ta),x&lt;=tc,25+25*(x-tb)/(tc-tb),x&lt;=te,50+25*(x-tc)/(te-tc),x&lt;tf,75+25*(x-te)/(tf-te),TRUE,100)))</f>
        <v>75</v>
      </c>
    </row>
    <row r="50">
      <c r="A50" s="26" t="s">
        <v>662</v>
      </c>
      <c r="B50" s="26">
        <v>5.0</v>
      </c>
      <c r="C50" s="26" t="s">
        <v>663</v>
      </c>
      <c r="D50" s="26" t="s">
        <v>664</v>
      </c>
      <c r="E50" s="35">
        <f>IF(Inputs!E50="","",LET(d,Rulebook!$L50,x,Inputs!E50*d,ta,Rulebook!$G50*d,tb,Rulebook!$H50*d,tc,Rulebook!$I50*d,te,Rulebook!$J50*d,tf,Rulebook!$K50*d,IFS(x&lt;=ta,0,x&lt;=tb,25*(x-ta)/(tb-ta),x&lt;=tc,25+25*(x-tb)/(tc-tb),x&lt;=te,50+25*(x-tc)/(te-tc),x&lt;tf,75+25*(x-te)/(tf-te),TRUE,100)))</f>
        <v>0</v>
      </c>
      <c r="F50" s="35">
        <f>IF(Inputs!F50="","",LET(d,Rulebook!$L50,x,Inputs!F50*d,ta,Rulebook!$G50*d,tb,Rulebook!$H50*d,tc,Rulebook!$I50*d,te,Rulebook!$J50*d,tf,Rulebook!$K50*d,IFS(x&lt;=ta,0,x&lt;=tb,25*(x-ta)/(tb-ta),x&lt;=tc,25+25*(x-tb)/(tc-tb),x&lt;=te,50+25*(x-tc)/(te-tc),x&lt;tf,75+25*(x-te)/(tf-te),TRUE,100)))</f>
        <v>0</v>
      </c>
      <c r="G50" s="35">
        <f>IF(Inputs!G50="","",LET(d,Rulebook!$L50,x,Inputs!G50*d,ta,Rulebook!$G50*d,tb,Rulebook!$H50*d,tc,Rulebook!$I50*d,te,Rulebook!$J50*d,tf,Rulebook!$K50*d,IFS(x&lt;=ta,0,x&lt;=tb,25*(x-ta)/(tb-ta),x&lt;=tc,25+25*(x-tb)/(tc-tb),x&lt;=te,50+25*(x-tc)/(te-tc),x&lt;tf,75+25*(x-te)/(tf-te),TRUE,100)))</f>
        <v>0</v>
      </c>
      <c r="H50" s="35">
        <f>IF(Inputs!H50="","",LET(d,Rulebook!$L50,x,Inputs!H50*d,ta,Rulebook!$G50*d,tb,Rulebook!$H50*d,tc,Rulebook!$I50*d,te,Rulebook!$J50*d,tf,Rulebook!$K50*d,IFS(x&lt;=ta,0,x&lt;=tb,25*(x-ta)/(tb-ta),x&lt;=tc,25+25*(x-tb)/(tc-tb),x&lt;=te,50+25*(x-tc)/(te-tc),x&lt;tf,75+25*(x-te)/(tf-te),TRUE,100)))</f>
        <v>41.66666667</v>
      </c>
      <c r="I50" s="35">
        <f>IF(Inputs!I50="","",LET(d,Rulebook!$L50,x,Inputs!I50*d,ta,Rulebook!$G50*d,tb,Rulebook!$H50*d,tc,Rulebook!$I50*d,te,Rulebook!$J50*d,tf,Rulebook!$K50*d,IFS(x&lt;=ta,0,x&lt;=tb,25*(x-ta)/(tb-ta),x&lt;=tc,25+25*(x-tb)/(tc-tb),x&lt;=te,50+25*(x-tc)/(te-tc),x&lt;tf,75+25*(x-te)/(tf-te),TRUE,100)))</f>
        <v>0</v>
      </c>
      <c r="J50" s="35">
        <f>IF(Inputs!J50="","",LET(d,Rulebook!$L50,x,Inputs!J50*d,ta,Rulebook!$G50*d,tb,Rulebook!$H50*d,tc,Rulebook!$I50*d,te,Rulebook!$J50*d,tf,Rulebook!$K50*d,IFS(x&lt;=ta,0,x&lt;=tb,25*(x-ta)/(tb-ta),x&lt;=tc,25+25*(x-tb)/(tc-tb),x&lt;=te,50+25*(x-tc)/(te-tc),x&lt;tf,75+25*(x-te)/(tf-te),TRUE,100)))</f>
        <v>0</v>
      </c>
      <c r="K50" s="35">
        <f>IF(Inputs!K50="","",LET(d,Rulebook!$L50,x,Inputs!K50*d,ta,Rulebook!$G50*d,tb,Rulebook!$H50*d,tc,Rulebook!$I50*d,te,Rulebook!$J50*d,tf,Rulebook!$K50*d,IFS(x&lt;=ta,0,x&lt;=tb,25*(x-ta)/(tb-ta),x&lt;=tc,25+25*(x-tb)/(tc-tb),x&lt;=te,50+25*(x-tc)/(te-tc),x&lt;tf,75+25*(x-te)/(tf-te),TRUE,100)))</f>
        <v>0</v>
      </c>
      <c r="L50" s="35">
        <f>IF(Inputs!L50="","",LET(d,Rulebook!$L50,x,Inputs!L50*d,ta,Rulebook!$G50*d,tb,Rulebook!$H50*d,tc,Rulebook!$I50*d,te,Rulebook!$J50*d,tf,Rulebook!$K50*d,IFS(x&lt;=ta,0,x&lt;=tb,25*(x-ta)/(tb-ta),x&lt;=tc,25+25*(x-tb)/(tc-tb),x&lt;=te,50+25*(x-tc)/(te-tc),x&lt;tf,75+25*(x-te)/(tf-te),TRUE,100)))</f>
        <v>0</v>
      </c>
      <c r="M50" s="35">
        <f>IF(Inputs!M50="","",LET(d,Rulebook!$L50,x,Inputs!M50*d,ta,Rulebook!$G50*d,tb,Rulebook!$H50*d,tc,Rulebook!$I50*d,te,Rulebook!$J50*d,tf,Rulebook!$K50*d,IFS(x&lt;=ta,0,x&lt;=tb,25*(x-ta)/(tb-ta),x&lt;=tc,25+25*(x-tb)/(tc-tb),x&lt;=te,50+25*(x-tc)/(te-tc),x&lt;tf,75+25*(x-te)/(tf-te),TRUE,100)))</f>
        <v>16.66666667</v>
      </c>
      <c r="N50" s="35">
        <f>IF(Inputs!N50="","",LET(d,Rulebook!$L50,x,Inputs!N50*d,ta,Rulebook!$G50*d,tb,Rulebook!$H50*d,tc,Rulebook!$I50*d,te,Rulebook!$J50*d,tf,Rulebook!$K50*d,IFS(x&lt;=ta,0,x&lt;=tb,25*(x-ta)/(tb-ta),x&lt;=tc,25+25*(x-tb)/(tc-tb),x&lt;=te,50+25*(x-tc)/(te-tc),x&lt;tf,75+25*(x-te)/(tf-te),TRUE,100)))</f>
        <v>16.66666667</v>
      </c>
      <c r="O50" s="35">
        <f>IF(Inputs!O50="","",LET(d,Rulebook!$L50,x,Inputs!O50*d,ta,Rulebook!$G50*d,tb,Rulebook!$H50*d,tc,Rulebook!$I50*d,te,Rulebook!$J50*d,tf,Rulebook!$K50*d,IFS(x&lt;=ta,0,x&lt;=tb,25*(x-ta)/(tb-ta),x&lt;=tc,25+25*(x-tb)/(tc-tb),x&lt;=te,50+25*(x-tc)/(te-tc),x&lt;tf,75+25*(x-te)/(tf-te),TRUE,100)))</f>
        <v>41.66666667</v>
      </c>
      <c r="P50" s="35">
        <f>IF(Inputs!P50="","",LET(d,Rulebook!$L50,x,Inputs!P50*d,ta,Rulebook!$G50*d,tb,Rulebook!$H50*d,tc,Rulebook!$I50*d,te,Rulebook!$J50*d,tf,Rulebook!$K50*d,IFS(x&lt;=ta,0,x&lt;=tb,25*(x-ta)/(tb-ta),x&lt;=tc,25+25*(x-tb)/(tc-tb),x&lt;=te,50+25*(x-tc)/(te-tc),x&lt;tf,75+25*(x-te)/(tf-te),TRUE,100)))</f>
        <v>50</v>
      </c>
      <c r="Q50" s="35">
        <f>IF(Inputs!Q50="","",LET(d,Rulebook!$L50,x,Inputs!Q50*d,ta,Rulebook!$G50*d,tb,Rulebook!$H50*d,tc,Rulebook!$I50*d,te,Rulebook!$J50*d,tf,Rulebook!$K50*d,IFS(x&lt;=ta,0,x&lt;=tb,25*(x-ta)/(tb-ta),x&lt;=tc,25+25*(x-tb)/(tc-tb),x&lt;=te,50+25*(x-tc)/(te-tc),x&lt;tf,75+25*(x-te)/(tf-te),TRUE,100)))</f>
        <v>75</v>
      </c>
      <c r="R50" s="35">
        <f>IF(Inputs!R50="","",LET(d,Rulebook!$L50,x,Inputs!R50*d,ta,Rulebook!$G50*d,tb,Rulebook!$H50*d,tc,Rulebook!$I50*d,te,Rulebook!$J50*d,tf,Rulebook!$K50*d,IFS(x&lt;=ta,0,x&lt;=tb,25*(x-ta)/(tb-ta),x&lt;=tc,25+25*(x-tb)/(tc-tb),x&lt;=te,50+25*(x-tc)/(te-tc),x&lt;tf,75+25*(x-te)/(tf-te),TRUE,100)))</f>
        <v>100</v>
      </c>
      <c r="S50" s="35">
        <f>IF(Inputs!S50="","",LET(d,Rulebook!$L50,x,Inputs!S50*d,ta,Rulebook!$G50*d,tb,Rulebook!$H50*d,tc,Rulebook!$I50*d,te,Rulebook!$J50*d,tf,Rulebook!$K50*d,IFS(x&lt;=ta,0,x&lt;=tb,25*(x-ta)/(tb-ta),x&lt;=tc,25+25*(x-tb)/(tc-tb),x&lt;=te,50+25*(x-tc)/(te-tc),x&lt;tf,75+25*(x-te)/(tf-te),TRUE,100)))</f>
        <v>91.66666667</v>
      </c>
      <c r="T50" s="35">
        <f>IF(Inputs!T50="","",LET(d,Rulebook!$L50,x,Inputs!T50*d,ta,Rulebook!$G50*d,tb,Rulebook!$H50*d,tc,Rulebook!$I50*d,te,Rulebook!$J50*d,tf,Rulebook!$K50*d,IFS(x&lt;=ta,0,x&lt;=tb,25*(x-ta)/(tb-ta),x&lt;=tc,25+25*(x-tb)/(tc-tb),x&lt;=te,50+25*(x-tc)/(te-tc),x&lt;tf,75+25*(x-te)/(tf-te),TRUE,100)))</f>
        <v>16.66666667</v>
      </c>
      <c r="U50" s="35">
        <f>IF(Inputs!U50="","",LET(d,Rulebook!$L50,x,Inputs!U50*d,ta,Rulebook!$G50*d,tb,Rulebook!$H50*d,tc,Rulebook!$I50*d,te,Rulebook!$J50*d,tf,Rulebook!$K50*d,IFS(x&lt;=ta,0,x&lt;=tb,25*(x-ta)/(tb-ta),x&lt;=tc,25+25*(x-tb)/(tc-tb),x&lt;=te,50+25*(x-tc)/(te-tc),x&lt;tf,75+25*(x-te)/(tf-te),TRUE,100)))</f>
        <v>83.33333333</v>
      </c>
      <c r="V50" s="35">
        <f>IF(Inputs!V50="","",LET(d,Rulebook!$L50,x,Inputs!V50*d,ta,Rulebook!$G50*d,tb,Rulebook!$H50*d,tc,Rulebook!$I50*d,te,Rulebook!$J50*d,tf,Rulebook!$K50*d,IFS(x&lt;=ta,0,x&lt;=tb,25*(x-ta)/(tb-ta),x&lt;=tc,25+25*(x-tb)/(tc-tb),x&lt;=te,50+25*(x-tc)/(te-tc),x&lt;tf,75+25*(x-te)/(tf-te),TRUE,100)))</f>
        <v>66.66666667</v>
      </c>
    </row>
    <row r="51">
      <c r="A51" s="26" t="s">
        <v>667</v>
      </c>
      <c r="B51" s="26">
        <v>5.0</v>
      </c>
      <c r="C51" s="26" t="s">
        <v>668</v>
      </c>
      <c r="D51" s="26" t="s">
        <v>112</v>
      </c>
      <c r="E51" s="35">
        <f>IF(Inputs!E51="","",LET(d,Rulebook!$L51,x,Inputs!E51*d,ta,Rulebook!$G51*d,tb,Rulebook!$H51*d,tc,Rulebook!$I51*d,te,Rulebook!$J51*d,tf,Rulebook!$K51*d,IFS(x&lt;=ta,0,x&lt;=tb,25*(x-ta)/(tb-ta),x&lt;=tc,25+25*(x-tb)/(tc-tb),x&lt;=te,50+25*(x-tc)/(te-tc),x&lt;tf,75+25*(x-te)/(tf-te),TRUE,100)))</f>
        <v>4.166666667</v>
      </c>
      <c r="F51" s="35">
        <f>IF(Inputs!F51="","",LET(d,Rulebook!$L51,x,Inputs!F51*d,ta,Rulebook!$G51*d,tb,Rulebook!$H51*d,tc,Rulebook!$I51*d,te,Rulebook!$J51*d,tf,Rulebook!$K51*d,IFS(x&lt;=ta,0,x&lt;=tb,25*(x-ta)/(tb-ta),x&lt;=tc,25+25*(x-tb)/(tc-tb),x&lt;=te,50+25*(x-tc)/(te-tc),x&lt;tf,75+25*(x-te)/(tf-te),TRUE,100)))</f>
        <v>0</v>
      </c>
      <c r="G51" s="35">
        <f>IF(Inputs!G51="","",LET(d,Rulebook!$L51,x,Inputs!G51*d,ta,Rulebook!$G51*d,tb,Rulebook!$H51*d,tc,Rulebook!$I51*d,te,Rulebook!$J51*d,tf,Rulebook!$K51*d,IFS(x&lt;=ta,0,x&lt;=tb,25*(x-ta)/(tb-ta),x&lt;=tc,25+25*(x-tb)/(tc-tb),x&lt;=te,50+25*(x-tc)/(te-tc),x&lt;tf,75+25*(x-te)/(tf-te),TRUE,100)))</f>
        <v>0</v>
      </c>
      <c r="H51" s="35">
        <f>IF(Inputs!H51="","",LET(d,Rulebook!$L51,x,Inputs!H51*d,ta,Rulebook!$G51*d,tb,Rulebook!$H51*d,tc,Rulebook!$I51*d,te,Rulebook!$J51*d,tf,Rulebook!$K51*d,IFS(x&lt;=ta,0,x&lt;=tb,25*(x-ta)/(tb-ta),x&lt;=tc,25+25*(x-tb)/(tc-tb),x&lt;=te,50+25*(x-tc)/(te-tc),x&lt;tf,75+25*(x-te)/(tf-te),TRUE,100)))</f>
        <v>0</v>
      </c>
      <c r="I51" s="35">
        <f>IF(Inputs!I51="","",LET(d,Rulebook!$L51,x,Inputs!I51*d,ta,Rulebook!$G51*d,tb,Rulebook!$H51*d,tc,Rulebook!$I51*d,te,Rulebook!$J51*d,tf,Rulebook!$K51*d,IFS(x&lt;=ta,0,x&lt;=tb,25*(x-ta)/(tb-ta),x&lt;=tc,25+25*(x-tb)/(tc-tb),x&lt;=te,50+25*(x-tc)/(te-tc),x&lt;tf,75+25*(x-te)/(tf-te),TRUE,100)))</f>
        <v>0</v>
      </c>
      <c r="J51" s="35">
        <f>IF(Inputs!J51="","",LET(d,Rulebook!$L51,x,Inputs!J51*d,ta,Rulebook!$G51*d,tb,Rulebook!$H51*d,tc,Rulebook!$I51*d,te,Rulebook!$J51*d,tf,Rulebook!$K51*d,IFS(x&lt;=ta,0,x&lt;=tb,25*(x-ta)/(tb-ta),x&lt;=tc,25+25*(x-tb)/(tc-tb),x&lt;=te,50+25*(x-tc)/(te-tc),x&lt;tf,75+25*(x-te)/(tf-te),TRUE,100)))</f>
        <v>0</v>
      </c>
      <c r="K51" s="35">
        <f>IF(Inputs!K51="","",LET(d,Rulebook!$L51,x,Inputs!K51*d,ta,Rulebook!$G51*d,tb,Rulebook!$H51*d,tc,Rulebook!$I51*d,te,Rulebook!$J51*d,tf,Rulebook!$K51*d,IFS(x&lt;=ta,0,x&lt;=tb,25*(x-ta)/(tb-ta),x&lt;=tc,25+25*(x-tb)/(tc-tb),x&lt;=te,50+25*(x-tc)/(te-tc),x&lt;tf,75+25*(x-te)/(tf-te),TRUE,100)))</f>
        <v>0</v>
      </c>
      <c r="L51" s="35">
        <f>IF(Inputs!L51="","",LET(d,Rulebook!$L51,x,Inputs!L51*d,ta,Rulebook!$G51*d,tb,Rulebook!$H51*d,tc,Rulebook!$I51*d,te,Rulebook!$J51*d,tf,Rulebook!$K51*d,IFS(x&lt;=ta,0,x&lt;=tb,25*(x-ta)/(tb-ta),x&lt;=tc,25+25*(x-tb)/(tc-tb),x&lt;=te,50+25*(x-tc)/(te-tc),x&lt;tf,75+25*(x-te)/(tf-te),TRUE,100)))</f>
        <v>6.666666667</v>
      </c>
      <c r="M51" s="35">
        <f>IF(Inputs!M51="","",LET(d,Rulebook!$L51,x,Inputs!M51*d,ta,Rulebook!$G51*d,tb,Rulebook!$H51*d,tc,Rulebook!$I51*d,te,Rulebook!$J51*d,tf,Rulebook!$K51*d,IFS(x&lt;=ta,0,x&lt;=tb,25*(x-ta)/(tb-ta),x&lt;=tc,25+25*(x-tb)/(tc-tb),x&lt;=te,50+25*(x-tc)/(te-tc),x&lt;tf,75+25*(x-te)/(tf-te),TRUE,100)))</f>
        <v>25</v>
      </c>
      <c r="N51" s="35">
        <f>IF(Inputs!N51="","",LET(d,Rulebook!$L51,x,Inputs!N51*d,ta,Rulebook!$G51*d,tb,Rulebook!$H51*d,tc,Rulebook!$I51*d,te,Rulebook!$J51*d,tf,Rulebook!$K51*d,IFS(x&lt;=ta,0,x&lt;=tb,25*(x-ta)/(tb-ta),x&lt;=tc,25+25*(x-tb)/(tc-tb),x&lt;=te,50+25*(x-tc)/(te-tc),x&lt;tf,75+25*(x-te)/(tf-te),TRUE,100)))</f>
        <v>4.166666667</v>
      </c>
      <c r="O51" s="35">
        <f>IF(Inputs!O51="","",LET(d,Rulebook!$L51,x,Inputs!O51*d,ta,Rulebook!$G51*d,tb,Rulebook!$H51*d,tc,Rulebook!$I51*d,te,Rulebook!$J51*d,tf,Rulebook!$K51*d,IFS(x&lt;=ta,0,x&lt;=tb,25*(x-ta)/(tb-ta),x&lt;=tc,25+25*(x-tb)/(tc-tb),x&lt;=te,50+25*(x-tc)/(te-tc),x&lt;tf,75+25*(x-te)/(tf-te),TRUE,100)))</f>
        <v>11.66666667</v>
      </c>
      <c r="P51" s="35">
        <f>IF(Inputs!P51="","",LET(d,Rulebook!$L51,x,Inputs!P51*d,ta,Rulebook!$G51*d,tb,Rulebook!$H51*d,tc,Rulebook!$I51*d,te,Rulebook!$J51*d,tf,Rulebook!$K51*d,IFS(x&lt;=ta,0,x&lt;=tb,25*(x-ta)/(tb-ta),x&lt;=tc,25+25*(x-tb)/(tc-tb),x&lt;=te,50+25*(x-tc)/(te-tc),x&lt;tf,75+25*(x-te)/(tf-te),TRUE,100)))</f>
        <v>90.625</v>
      </c>
      <c r="Q51" s="35">
        <f>IF(Inputs!Q51="","",LET(d,Rulebook!$L51,x,Inputs!Q51*d,ta,Rulebook!$G51*d,tb,Rulebook!$H51*d,tc,Rulebook!$I51*d,te,Rulebook!$J51*d,tf,Rulebook!$K51*d,IFS(x&lt;=ta,0,x&lt;=tb,25*(x-ta)/(tb-ta),x&lt;=tc,25+25*(x-tb)/(tc-tb),x&lt;=te,50+25*(x-tc)/(te-tc),x&lt;tf,75+25*(x-te)/(tf-te),TRUE,100)))</f>
        <v>25</v>
      </c>
      <c r="R51" s="35">
        <f>IF(Inputs!R51="","",LET(d,Rulebook!$L51,x,Inputs!R51*d,ta,Rulebook!$G51*d,tb,Rulebook!$H51*d,tc,Rulebook!$I51*d,te,Rulebook!$J51*d,tf,Rulebook!$K51*d,IFS(x&lt;=ta,0,x&lt;=tb,25*(x-ta)/(tb-ta),x&lt;=tc,25+25*(x-tb)/(tc-tb),x&lt;=te,50+25*(x-tc)/(te-tc),x&lt;tf,75+25*(x-te)/(tf-te),TRUE,100)))</f>
        <v>100</v>
      </c>
      <c r="S51" s="35">
        <f>IF(Inputs!S51="","",LET(d,Rulebook!$L51,x,Inputs!S51*d,ta,Rulebook!$G51*d,tb,Rulebook!$H51*d,tc,Rulebook!$I51*d,te,Rulebook!$J51*d,tf,Rulebook!$K51*d,IFS(x&lt;=ta,0,x&lt;=tb,25*(x-ta)/(tb-ta),x&lt;=tc,25+25*(x-tb)/(tc-tb),x&lt;=te,50+25*(x-tc)/(te-tc),x&lt;tf,75+25*(x-te)/(tf-te),TRUE,100)))</f>
        <v>77.5</v>
      </c>
      <c r="T51" s="35">
        <f>IF(Inputs!T51="","",LET(d,Rulebook!$L51,x,Inputs!T51*d,ta,Rulebook!$G51*d,tb,Rulebook!$H51*d,tc,Rulebook!$I51*d,te,Rulebook!$J51*d,tf,Rulebook!$K51*d,IFS(x&lt;=ta,0,x&lt;=tb,25*(x-ta)/(tb-ta),x&lt;=tc,25+25*(x-tb)/(tc-tb),x&lt;=te,50+25*(x-tc)/(te-tc),x&lt;tf,75+25*(x-te)/(tf-te),TRUE,100)))</f>
        <v>0</v>
      </c>
      <c r="U51" s="35">
        <f>IF(Inputs!U51="","",LET(d,Rulebook!$L51,x,Inputs!U51*d,ta,Rulebook!$G51*d,tb,Rulebook!$H51*d,tc,Rulebook!$I51*d,te,Rulebook!$J51*d,tf,Rulebook!$K51*d,IFS(x&lt;=ta,0,x&lt;=tb,25*(x-ta)/(tb-ta),x&lt;=tc,25+25*(x-tb)/(tc-tb),x&lt;=te,50+25*(x-tc)/(te-tc),x&lt;tf,75+25*(x-te)/(tf-te),TRUE,100)))</f>
        <v>55</v>
      </c>
      <c r="V51" s="35">
        <f>IF(Inputs!V51="","",LET(d,Rulebook!$L51,x,Inputs!V51*d,ta,Rulebook!$G51*d,tb,Rulebook!$H51*d,tc,Rulebook!$I51*d,te,Rulebook!$J51*d,tf,Rulebook!$K51*d,IFS(x&lt;=ta,0,x&lt;=tb,25*(x-ta)/(tb-ta),x&lt;=tc,25+25*(x-tb)/(tc-tb),x&lt;=te,50+25*(x-tc)/(te-tc),x&lt;tf,75+25*(x-te)/(tf-te),TRUE,100)))</f>
        <v>87.5</v>
      </c>
    </row>
    <row r="52">
      <c r="A52" s="26" t="s">
        <v>671</v>
      </c>
      <c r="B52" s="26">
        <v>5.0</v>
      </c>
      <c r="C52" s="26" t="s">
        <v>672</v>
      </c>
      <c r="D52" s="26" t="s">
        <v>112</v>
      </c>
      <c r="E52" s="35">
        <f>IF(Inputs!E52="","",LET(d,Rulebook!$L52,x,Inputs!E52*d,ta,Rulebook!$G52*d,tb,Rulebook!$H52*d,tc,Rulebook!$I52*d,te,Rulebook!$J52*d,tf,Rulebook!$K52*d,IFS(x&lt;=ta,0,x&lt;=tb,25*(x-ta)/(tb-ta),x&lt;=tc,25+25*(x-tb)/(tc-tb),x&lt;=te,50+25*(x-tc)/(te-tc),x&lt;tf,75+25*(x-te)/(tf-te),TRUE,100)))</f>
        <v>0</v>
      </c>
      <c r="F52" s="35">
        <f>IF(Inputs!F52="","",LET(d,Rulebook!$L52,x,Inputs!F52*d,ta,Rulebook!$G52*d,tb,Rulebook!$H52*d,tc,Rulebook!$I52*d,te,Rulebook!$J52*d,tf,Rulebook!$K52*d,IFS(x&lt;=ta,0,x&lt;=tb,25*(x-ta)/(tb-ta),x&lt;=tc,25+25*(x-tb)/(tc-tb),x&lt;=te,50+25*(x-tc)/(te-tc),x&lt;tf,75+25*(x-te)/(tf-te),TRUE,100)))</f>
        <v>0</v>
      </c>
      <c r="G52" s="35">
        <f>IF(Inputs!G52="","",LET(d,Rulebook!$L52,x,Inputs!G52*d,ta,Rulebook!$G52*d,tb,Rulebook!$H52*d,tc,Rulebook!$I52*d,te,Rulebook!$J52*d,tf,Rulebook!$K52*d,IFS(x&lt;=ta,0,x&lt;=tb,25*(x-ta)/(tb-ta),x&lt;=tc,25+25*(x-tb)/(tc-tb),x&lt;=te,50+25*(x-tc)/(te-tc),x&lt;tf,75+25*(x-te)/(tf-te),TRUE,100)))</f>
        <v>16.66666667</v>
      </c>
      <c r="H52" s="35">
        <f>IF(Inputs!H52="","",LET(d,Rulebook!$L52,x,Inputs!H52*d,ta,Rulebook!$G52*d,tb,Rulebook!$H52*d,tc,Rulebook!$I52*d,te,Rulebook!$J52*d,tf,Rulebook!$K52*d,IFS(x&lt;=ta,0,x&lt;=tb,25*(x-ta)/(tb-ta),x&lt;=tc,25+25*(x-tb)/(tc-tb),x&lt;=te,50+25*(x-tc)/(te-tc),x&lt;tf,75+25*(x-te)/(tf-te),TRUE,100)))</f>
        <v>13.33333333</v>
      </c>
      <c r="I52" s="35">
        <f>IF(Inputs!I52="","",LET(d,Rulebook!$L52,x,Inputs!I52*d,ta,Rulebook!$G52*d,tb,Rulebook!$H52*d,tc,Rulebook!$I52*d,te,Rulebook!$J52*d,tf,Rulebook!$K52*d,IFS(x&lt;=ta,0,x&lt;=tb,25*(x-ta)/(tb-ta),x&lt;=tc,25+25*(x-tb)/(tc-tb),x&lt;=te,50+25*(x-tc)/(te-tc),x&lt;tf,75+25*(x-te)/(tf-te),TRUE,100)))</f>
        <v>45</v>
      </c>
      <c r="J52" s="35">
        <f>IF(Inputs!J52="","",LET(d,Rulebook!$L52,x,Inputs!J52*d,ta,Rulebook!$G52*d,tb,Rulebook!$H52*d,tc,Rulebook!$I52*d,te,Rulebook!$J52*d,tf,Rulebook!$K52*d,IFS(x&lt;=ta,0,x&lt;=tb,25*(x-ta)/(tb-ta),x&lt;=tc,25+25*(x-tb)/(tc-tb),x&lt;=te,50+25*(x-tc)/(te-tc),x&lt;tf,75+25*(x-te)/(tf-te),TRUE,100)))</f>
        <v>67.5</v>
      </c>
      <c r="K52" s="35">
        <f>IF(Inputs!K52="","",LET(d,Rulebook!$L52,x,Inputs!K52*d,ta,Rulebook!$G52*d,tb,Rulebook!$H52*d,tc,Rulebook!$I52*d,te,Rulebook!$J52*d,tf,Rulebook!$K52*d,IFS(x&lt;=ta,0,x&lt;=tb,25*(x-ta)/(tb-ta),x&lt;=tc,25+25*(x-tb)/(tc-tb),x&lt;=te,50+25*(x-tc)/(te-tc),x&lt;tf,75+25*(x-te)/(tf-te),TRUE,100)))</f>
        <v>51.25</v>
      </c>
      <c r="L52" s="35">
        <f>IF(Inputs!L52="","",LET(d,Rulebook!$L52,x,Inputs!L52*d,ta,Rulebook!$G52*d,tb,Rulebook!$H52*d,tc,Rulebook!$I52*d,te,Rulebook!$J52*d,tf,Rulebook!$K52*d,IFS(x&lt;=ta,0,x&lt;=tb,25*(x-ta)/(tb-ta),x&lt;=tc,25+25*(x-tb)/(tc-tb),x&lt;=te,50+25*(x-tc)/(te-tc),x&lt;tf,75+25*(x-te)/(tf-te),TRUE,100)))</f>
        <v>0</v>
      </c>
      <c r="M52" s="35">
        <f>IF(Inputs!M52="","",LET(d,Rulebook!$L52,x,Inputs!M52*d,ta,Rulebook!$G52*d,tb,Rulebook!$H52*d,tc,Rulebook!$I52*d,te,Rulebook!$J52*d,tf,Rulebook!$K52*d,IFS(x&lt;=ta,0,x&lt;=tb,25*(x-ta)/(tb-ta),x&lt;=tc,25+25*(x-tb)/(tc-tb),x&lt;=te,50+25*(x-tc)/(te-tc),x&lt;tf,75+25*(x-te)/(tf-te),TRUE,100)))</f>
        <v>20</v>
      </c>
      <c r="N52" s="35">
        <f>IF(Inputs!N52="","",LET(d,Rulebook!$L52,x,Inputs!N52*d,ta,Rulebook!$G52*d,tb,Rulebook!$H52*d,tc,Rulebook!$I52*d,te,Rulebook!$J52*d,tf,Rulebook!$K52*d,IFS(x&lt;=ta,0,x&lt;=tb,25*(x-ta)/(tb-ta),x&lt;=tc,25+25*(x-tb)/(tc-tb),x&lt;=te,50+25*(x-tc)/(te-tc),x&lt;tf,75+25*(x-te)/(tf-te),TRUE,100)))</f>
        <v>50</v>
      </c>
      <c r="O52" s="35">
        <f>IF(Inputs!O52="","",LET(d,Rulebook!$L52,x,Inputs!O52*d,ta,Rulebook!$G52*d,tb,Rulebook!$H52*d,tc,Rulebook!$I52*d,te,Rulebook!$J52*d,tf,Rulebook!$K52*d,IFS(x&lt;=ta,0,x&lt;=tb,25*(x-ta)/(tb-ta),x&lt;=tc,25+25*(x-tb)/(tc-tb),x&lt;=te,50+25*(x-tc)/(te-tc),x&lt;tf,75+25*(x-te)/(tf-te),TRUE,100)))</f>
        <v>51.25</v>
      </c>
      <c r="P52" s="35">
        <f>IF(Inputs!P52="","",LET(d,Rulebook!$L52,x,Inputs!P52*d,ta,Rulebook!$G52*d,tb,Rulebook!$H52*d,tc,Rulebook!$I52*d,te,Rulebook!$J52*d,tf,Rulebook!$K52*d,IFS(x&lt;=ta,0,x&lt;=tb,25*(x-ta)/(tb-ta),x&lt;=tc,25+25*(x-tb)/(tc-tb),x&lt;=te,50+25*(x-tc)/(te-tc),x&lt;tf,75+25*(x-te)/(tf-te),TRUE,100)))</f>
        <v>25</v>
      </c>
      <c r="Q52" s="35">
        <f>IF(Inputs!Q52="","",LET(d,Rulebook!$L52,x,Inputs!Q52*d,ta,Rulebook!$G52*d,tb,Rulebook!$H52*d,tc,Rulebook!$I52*d,te,Rulebook!$J52*d,tf,Rulebook!$K52*d,IFS(x&lt;=ta,0,x&lt;=tb,25*(x-ta)/(tb-ta),x&lt;=tc,25+25*(x-tb)/(tc-tb),x&lt;=te,50+25*(x-tc)/(te-tc),x&lt;tf,75+25*(x-te)/(tf-te),TRUE,100)))</f>
        <v>45</v>
      </c>
      <c r="R52" s="35">
        <f>IF(Inputs!R52="","",LET(d,Rulebook!$L52,x,Inputs!R52*d,ta,Rulebook!$G52*d,tb,Rulebook!$H52*d,tc,Rulebook!$I52*d,te,Rulebook!$J52*d,tf,Rulebook!$K52*d,IFS(x&lt;=ta,0,x&lt;=tb,25*(x-ta)/(tb-ta),x&lt;=tc,25+25*(x-tb)/(tc-tb),x&lt;=te,50+25*(x-tc)/(te-tc),x&lt;tf,75+25*(x-te)/(tf-te),TRUE,100)))</f>
        <v>62.5</v>
      </c>
      <c r="S52" s="35">
        <f>IF(Inputs!S52="","",LET(d,Rulebook!$L52,x,Inputs!S52*d,ta,Rulebook!$G52*d,tb,Rulebook!$H52*d,tc,Rulebook!$I52*d,te,Rulebook!$J52*d,tf,Rulebook!$K52*d,IFS(x&lt;=ta,0,x&lt;=tb,25*(x-ta)/(tb-ta),x&lt;=tc,25+25*(x-tb)/(tc-tb),x&lt;=te,50+25*(x-tc)/(te-tc),x&lt;tf,75+25*(x-te)/(tf-te),TRUE,100)))</f>
        <v>25</v>
      </c>
      <c r="T52" s="35">
        <f>IF(Inputs!T52="","",LET(d,Rulebook!$L52,x,Inputs!T52*d,ta,Rulebook!$G52*d,tb,Rulebook!$H52*d,tc,Rulebook!$I52*d,te,Rulebook!$J52*d,tf,Rulebook!$K52*d,IFS(x&lt;=ta,0,x&lt;=tb,25*(x-ta)/(tb-ta),x&lt;=tc,25+25*(x-tb)/(tc-tb),x&lt;=te,50+25*(x-tc)/(te-tc),x&lt;tf,75+25*(x-te)/(tf-te),TRUE,100)))</f>
        <v>8.333333333</v>
      </c>
      <c r="U52" s="35">
        <f>IF(Inputs!U52="","",LET(d,Rulebook!$L52,x,Inputs!U52*d,ta,Rulebook!$G52*d,tb,Rulebook!$H52*d,tc,Rulebook!$I52*d,te,Rulebook!$J52*d,tf,Rulebook!$K52*d,IFS(x&lt;=ta,0,x&lt;=tb,25*(x-ta)/(tb-ta),x&lt;=tc,25+25*(x-tb)/(tc-tb),x&lt;=te,50+25*(x-tc)/(te-tc),x&lt;tf,75+25*(x-te)/(tf-te),TRUE,100)))</f>
        <v>0</v>
      </c>
      <c r="V52" s="35">
        <f>IF(Inputs!V52="","",LET(d,Rulebook!$L52,x,Inputs!V52*d,ta,Rulebook!$G52*d,tb,Rulebook!$H52*d,tc,Rulebook!$I52*d,te,Rulebook!$J52*d,tf,Rulebook!$K52*d,IFS(x&lt;=ta,0,x&lt;=tb,25*(x-ta)/(tb-ta),x&lt;=tc,25+25*(x-tb)/(tc-tb),x&lt;=te,50+25*(x-tc)/(te-tc),x&lt;tf,75+25*(x-te)/(tf-te),TRUE,100)))</f>
        <v>33.33333333</v>
      </c>
    </row>
    <row r="53">
      <c r="A53" s="26" t="s">
        <v>674</v>
      </c>
      <c r="B53" s="26">
        <v>5.0</v>
      </c>
      <c r="C53" s="26" t="s">
        <v>675</v>
      </c>
      <c r="D53" s="26" t="s">
        <v>638</v>
      </c>
      <c r="E53" s="35">
        <f>IF(Inputs!E53="","",LET(d,Rulebook!$L53,x,Inputs!E53*d,ta,Rulebook!$G53*d,tb,Rulebook!$H53*d,tc,Rulebook!$I53*d,te,Rulebook!$J53*d,tf,Rulebook!$K53*d,IFS(x&lt;=ta,0,x&lt;=tb,25*(x-ta)/(tb-ta),x&lt;=tc,25+25*(x-tb)/(tc-tb),x&lt;=te,50+25*(x-tc)/(te-tc),x&lt;tf,75+25*(x-te)/(tf-te),TRUE,100)))</f>
        <v>58.33333333</v>
      </c>
      <c r="F53" s="35">
        <f>IF(Inputs!F53="","",LET(d,Rulebook!$L53,x,Inputs!F53*d,ta,Rulebook!$G53*d,tb,Rulebook!$H53*d,tc,Rulebook!$I53*d,te,Rulebook!$J53*d,tf,Rulebook!$K53*d,IFS(x&lt;=ta,0,x&lt;=tb,25*(x-ta)/(tb-ta),x&lt;=tc,25+25*(x-tb)/(tc-tb),x&lt;=te,50+25*(x-tc)/(te-tc),x&lt;tf,75+25*(x-te)/(tf-te),TRUE,100)))</f>
        <v>12.5</v>
      </c>
      <c r="G53" s="35">
        <f>IF(Inputs!G53="","",LET(d,Rulebook!$L53,x,Inputs!G53*d,ta,Rulebook!$G53*d,tb,Rulebook!$H53*d,tc,Rulebook!$I53*d,te,Rulebook!$J53*d,tf,Rulebook!$K53*d,IFS(x&lt;=ta,0,x&lt;=tb,25*(x-ta)/(tb-ta),x&lt;=tc,25+25*(x-tb)/(tc-tb),x&lt;=te,50+25*(x-tc)/(te-tc),x&lt;tf,75+25*(x-te)/(tf-te),TRUE,100)))</f>
        <v>91.66666667</v>
      </c>
      <c r="H53" s="35">
        <f>IF(Inputs!H53="","",LET(d,Rulebook!$L53,x,Inputs!H53*d,ta,Rulebook!$G53*d,tb,Rulebook!$H53*d,tc,Rulebook!$I53*d,te,Rulebook!$J53*d,tf,Rulebook!$K53*d,IFS(x&lt;=ta,0,x&lt;=tb,25*(x-ta)/(tb-ta),x&lt;=tc,25+25*(x-tb)/(tc-tb),x&lt;=te,50+25*(x-tc)/(te-tc),x&lt;tf,75+25*(x-te)/(tf-te),TRUE,100)))</f>
        <v>12.5</v>
      </c>
      <c r="I53" s="35">
        <f>IF(Inputs!I53="","",LET(d,Rulebook!$L53,x,Inputs!I53*d,ta,Rulebook!$G53*d,tb,Rulebook!$H53*d,tc,Rulebook!$I53*d,te,Rulebook!$J53*d,tf,Rulebook!$K53*d,IFS(x&lt;=ta,0,x&lt;=tb,25*(x-ta)/(tb-ta),x&lt;=tc,25+25*(x-tb)/(tc-tb),x&lt;=te,50+25*(x-tc)/(te-tc),x&lt;tf,75+25*(x-te)/(tf-te),TRUE,100)))</f>
        <v>0</v>
      </c>
      <c r="J53" s="35">
        <f>IF(Inputs!J53="","",LET(d,Rulebook!$L53,x,Inputs!J53*d,ta,Rulebook!$G53*d,tb,Rulebook!$H53*d,tc,Rulebook!$I53*d,te,Rulebook!$J53*d,tf,Rulebook!$K53*d,IFS(x&lt;=ta,0,x&lt;=tb,25*(x-ta)/(tb-ta),x&lt;=tc,25+25*(x-tb)/(tc-tb),x&lt;=te,50+25*(x-tc)/(te-tc),x&lt;tf,75+25*(x-te)/(tf-te),TRUE,100)))</f>
        <v>0</v>
      </c>
      <c r="K53" s="35">
        <f>IF(Inputs!K53="","",LET(d,Rulebook!$L53,x,Inputs!K53*d,ta,Rulebook!$G53*d,tb,Rulebook!$H53*d,tc,Rulebook!$I53*d,te,Rulebook!$J53*d,tf,Rulebook!$K53*d,IFS(x&lt;=ta,0,x&lt;=tb,25*(x-ta)/(tb-ta),x&lt;=tc,25+25*(x-tb)/(tc-tb),x&lt;=te,50+25*(x-tc)/(te-tc),x&lt;tf,75+25*(x-te)/(tf-te),TRUE,100)))</f>
        <v>25</v>
      </c>
      <c r="L53" s="35">
        <f>IF(Inputs!L53="","",LET(d,Rulebook!$L53,x,Inputs!L53*d,ta,Rulebook!$G53*d,tb,Rulebook!$H53*d,tc,Rulebook!$I53*d,te,Rulebook!$J53*d,tf,Rulebook!$K53*d,IFS(x&lt;=ta,0,x&lt;=tb,25*(x-ta)/(tb-ta),x&lt;=tc,25+25*(x-tb)/(tc-tb),x&lt;=te,50+25*(x-tc)/(te-tc),x&lt;tf,75+25*(x-te)/(tf-te),TRUE,100)))</f>
        <v>83.33333333</v>
      </c>
      <c r="M53" s="35">
        <f>IF(Inputs!M53="","",LET(d,Rulebook!$L53,x,Inputs!M53*d,ta,Rulebook!$G53*d,tb,Rulebook!$H53*d,tc,Rulebook!$I53*d,te,Rulebook!$J53*d,tf,Rulebook!$K53*d,IFS(x&lt;=ta,0,x&lt;=tb,25*(x-ta)/(tb-ta),x&lt;=tc,25+25*(x-tb)/(tc-tb),x&lt;=te,50+25*(x-tc)/(te-tc),x&lt;tf,75+25*(x-te)/(tf-te),TRUE,100)))</f>
        <v>25</v>
      </c>
      <c r="N53" s="35">
        <f>IF(Inputs!N53="","",LET(d,Rulebook!$L53,x,Inputs!N53*d,ta,Rulebook!$G53*d,tb,Rulebook!$H53*d,tc,Rulebook!$I53*d,te,Rulebook!$J53*d,tf,Rulebook!$K53*d,IFS(x&lt;=ta,0,x&lt;=tb,25*(x-ta)/(tb-ta),x&lt;=tc,25+25*(x-tb)/(tc-tb),x&lt;=te,50+25*(x-tc)/(te-tc),x&lt;tf,75+25*(x-te)/(tf-te),TRUE,100)))</f>
        <v>0</v>
      </c>
      <c r="O53" s="35">
        <f>IF(Inputs!O53="","",LET(d,Rulebook!$L53,x,Inputs!O53*d,ta,Rulebook!$G53*d,tb,Rulebook!$H53*d,tc,Rulebook!$I53*d,te,Rulebook!$J53*d,tf,Rulebook!$K53*d,IFS(x&lt;=ta,0,x&lt;=tb,25*(x-ta)/(tb-ta),x&lt;=tc,25+25*(x-tb)/(tc-tb),x&lt;=te,50+25*(x-tc)/(te-tc),x&lt;tf,75+25*(x-te)/(tf-te),TRUE,100)))</f>
        <v>58.33333333</v>
      </c>
      <c r="P53" s="35">
        <f>IF(Inputs!P53="","",LET(d,Rulebook!$L53,x,Inputs!P53*d,ta,Rulebook!$G53*d,tb,Rulebook!$H53*d,tc,Rulebook!$I53*d,te,Rulebook!$J53*d,tf,Rulebook!$K53*d,IFS(x&lt;=ta,0,x&lt;=tb,25*(x-ta)/(tb-ta),x&lt;=tc,25+25*(x-tb)/(tc-tb),x&lt;=te,50+25*(x-tc)/(te-tc),x&lt;tf,75+25*(x-te)/(tf-te),TRUE,100)))</f>
        <v>66.66666667</v>
      </c>
      <c r="Q53" s="35">
        <f>IF(Inputs!Q53="","",LET(d,Rulebook!$L53,x,Inputs!Q53*d,ta,Rulebook!$G53*d,tb,Rulebook!$H53*d,tc,Rulebook!$I53*d,te,Rulebook!$J53*d,tf,Rulebook!$K53*d,IFS(x&lt;=ta,0,x&lt;=tb,25*(x-ta)/(tb-ta),x&lt;=tc,25+25*(x-tb)/(tc-tb),x&lt;=te,50+25*(x-tc)/(te-tc),x&lt;tf,75+25*(x-te)/(tf-te),TRUE,100)))</f>
        <v>0</v>
      </c>
      <c r="R53" s="35">
        <f>IF(Inputs!R53="","",LET(d,Rulebook!$L53,x,Inputs!R53*d,ta,Rulebook!$G53*d,tb,Rulebook!$H53*d,tc,Rulebook!$I53*d,te,Rulebook!$J53*d,tf,Rulebook!$K53*d,IFS(x&lt;=ta,0,x&lt;=tb,25*(x-ta)/(tb-ta),x&lt;=tc,25+25*(x-tb)/(tc-tb),x&lt;=te,50+25*(x-tc)/(te-tc),x&lt;tf,75+25*(x-te)/(tf-te),TRUE,100)))</f>
        <v>100</v>
      </c>
      <c r="S53" s="35">
        <f>IF(Inputs!S53="","",LET(d,Rulebook!$L53,x,Inputs!S53*d,ta,Rulebook!$G53*d,tb,Rulebook!$H53*d,tc,Rulebook!$I53*d,te,Rulebook!$J53*d,tf,Rulebook!$K53*d,IFS(x&lt;=ta,0,x&lt;=tb,25*(x-ta)/(tb-ta),x&lt;=tc,25+25*(x-tb)/(tc-tb),x&lt;=te,50+25*(x-tc)/(te-tc),x&lt;tf,75+25*(x-te)/(tf-te),TRUE,100)))</f>
        <v>0</v>
      </c>
      <c r="T53" s="35">
        <f>IF(Inputs!T53="","",LET(d,Rulebook!$L53,x,Inputs!T53*d,ta,Rulebook!$G53*d,tb,Rulebook!$H53*d,tc,Rulebook!$I53*d,te,Rulebook!$J53*d,tf,Rulebook!$K53*d,IFS(x&lt;=ta,0,x&lt;=tb,25*(x-ta)/(tb-ta),x&lt;=tc,25+25*(x-tb)/(tc-tb),x&lt;=te,50+25*(x-tc)/(te-tc),x&lt;tf,75+25*(x-te)/(tf-te),TRUE,100)))</f>
        <v>12.5</v>
      </c>
      <c r="U53" s="35">
        <f>IF(Inputs!U53="","",LET(d,Rulebook!$L53,x,Inputs!U53*d,ta,Rulebook!$G53*d,tb,Rulebook!$H53*d,tc,Rulebook!$I53*d,te,Rulebook!$J53*d,tf,Rulebook!$K53*d,IFS(x&lt;=ta,0,x&lt;=tb,25*(x-ta)/(tb-ta),x&lt;=tc,25+25*(x-tb)/(tc-tb),x&lt;=te,50+25*(x-tc)/(te-tc),x&lt;tf,75+25*(x-te)/(tf-te),TRUE,100)))</f>
        <v>12.5</v>
      </c>
      <c r="V53" s="35">
        <f>IF(Inputs!V53="","",LET(d,Rulebook!$L53,x,Inputs!V53*d,ta,Rulebook!$G53*d,tb,Rulebook!$H53*d,tc,Rulebook!$I53*d,te,Rulebook!$J53*d,tf,Rulebook!$K53*d,IFS(x&lt;=ta,0,x&lt;=tb,25*(x-ta)/(tb-ta),x&lt;=tc,25+25*(x-tb)/(tc-tb),x&lt;=te,50+25*(x-tc)/(te-tc),x&lt;tf,75+25*(x-te)/(tf-te),TRUE,100)))</f>
        <v>41.66666667</v>
      </c>
    </row>
    <row r="54">
      <c r="A54" s="26" t="s">
        <v>678</v>
      </c>
      <c r="B54" s="26">
        <v>5.0</v>
      </c>
      <c r="C54" s="26" t="s">
        <v>679</v>
      </c>
      <c r="D54" s="26" t="s">
        <v>254</v>
      </c>
      <c r="E54" s="35">
        <f>IF(Inputs!E54="","",LET(d,Rulebook!$L54,x,Inputs!E54*d,ta,Rulebook!$G54*d,tb,Rulebook!$H54*d,tc,Rulebook!$I54*d,te,Rulebook!$J54*d,tf,Rulebook!$K54*d,IFS(x&lt;=ta,0,x&lt;=tb,25*(x-ta)/(tb-ta),x&lt;=tc,25+25*(x-tb)/(tc-tb),x&lt;=te,50+25*(x-tc)/(te-tc),x&lt;tf,75+25*(x-te)/(tf-te),TRUE,100)))</f>
        <v>50</v>
      </c>
      <c r="F54" s="35">
        <f>IF(Inputs!F54="","",LET(d,Rulebook!$L54,x,Inputs!F54*d,ta,Rulebook!$G54*d,tb,Rulebook!$H54*d,tc,Rulebook!$I54*d,te,Rulebook!$J54*d,tf,Rulebook!$K54*d,IFS(x&lt;=ta,0,x&lt;=tb,25*(x-ta)/(tb-ta),x&lt;=tc,25+25*(x-tb)/(tc-tb),x&lt;=te,50+25*(x-tc)/(te-tc),x&lt;tf,75+25*(x-te)/(tf-te),TRUE,100)))</f>
        <v>25</v>
      </c>
      <c r="G54" s="35">
        <f>IF(Inputs!G54="","",LET(d,Rulebook!$L54,x,Inputs!G54*d,ta,Rulebook!$G54*d,tb,Rulebook!$H54*d,tc,Rulebook!$I54*d,te,Rulebook!$J54*d,tf,Rulebook!$K54*d,IFS(x&lt;=ta,0,x&lt;=tb,25*(x-ta)/(tb-ta),x&lt;=tc,25+25*(x-tb)/(tc-tb),x&lt;=te,50+25*(x-tc)/(te-tc),x&lt;tf,75+25*(x-te)/(tf-te),TRUE,100)))</f>
        <v>75</v>
      </c>
      <c r="H54" s="35">
        <f>IF(Inputs!H54="","",LET(d,Rulebook!$L54,x,Inputs!H54*d,ta,Rulebook!$G54*d,tb,Rulebook!$H54*d,tc,Rulebook!$I54*d,te,Rulebook!$J54*d,tf,Rulebook!$K54*d,IFS(x&lt;=ta,0,x&lt;=tb,25*(x-ta)/(tb-ta),x&lt;=tc,25+25*(x-tb)/(tc-tb),x&lt;=te,50+25*(x-tc)/(te-tc),x&lt;tf,75+25*(x-te)/(tf-te),TRUE,100)))</f>
        <v>25</v>
      </c>
      <c r="I54" s="35">
        <f>IF(Inputs!I54="","",LET(d,Rulebook!$L54,x,Inputs!I54*d,ta,Rulebook!$G54*d,tb,Rulebook!$H54*d,tc,Rulebook!$I54*d,te,Rulebook!$J54*d,tf,Rulebook!$K54*d,IFS(x&lt;=ta,0,x&lt;=tb,25*(x-ta)/(tb-ta),x&lt;=tc,25+25*(x-tb)/(tc-tb),x&lt;=te,50+25*(x-tc)/(te-tc),x&lt;tf,75+25*(x-te)/(tf-te),TRUE,100)))</f>
        <v>0</v>
      </c>
      <c r="J54" s="35">
        <f>IF(Inputs!J54="","",LET(d,Rulebook!$L54,x,Inputs!J54*d,ta,Rulebook!$G54*d,tb,Rulebook!$H54*d,tc,Rulebook!$I54*d,te,Rulebook!$J54*d,tf,Rulebook!$K54*d,IFS(x&lt;=ta,0,x&lt;=tb,25*(x-ta)/(tb-ta),x&lt;=tc,25+25*(x-tb)/(tc-tb),x&lt;=te,50+25*(x-tc)/(te-tc),x&lt;tf,75+25*(x-te)/(tf-te),TRUE,100)))</f>
        <v>0</v>
      </c>
      <c r="K54" s="35">
        <f>IF(Inputs!K54="","",LET(d,Rulebook!$L54,x,Inputs!K54*d,ta,Rulebook!$G54*d,tb,Rulebook!$H54*d,tc,Rulebook!$I54*d,te,Rulebook!$J54*d,tf,Rulebook!$K54*d,IFS(x&lt;=ta,0,x&lt;=tb,25*(x-ta)/(tb-ta),x&lt;=tc,25+25*(x-tb)/(tc-tb),x&lt;=te,50+25*(x-tc)/(te-tc),x&lt;tf,75+25*(x-te)/(tf-te),TRUE,100)))</f>
        <v>50</v>
      </c>
      <c r="L54" s="35">
        <f>IF(Inputs!L54="","",LET(d,Rulebook!$L54,x,Inputs!L54*d,ta,Rulebook!$G54*d,tb,Rulebook!$H54*d,tc,Rulebook!$I54*d,te,Rulebook!$J54*d,tf,Rulebook!$K54*d,IFS(x&lt;=ta,0,x&lt;=tb,25*(x-ta)/(tb-ta),x&lt;=tc,25+25*(x-tb)/(tc-tb),x&lt;=te,50+25*(x-tc)/(te-tc),x&lt;tf,75+25*(x-te)/(tf-te),TRUE,100)))</f>
        <v>25</v>
      </c>
      <c r="M54" s="35">
        <f>IF(Inputs!M54="","",LET(d,Rulebook!$L54,x,Inputs!M54*d,ta,Rulebook!$G54*d,tb,Rulebook!$H54*d,tc,Rulebook!$I54*d,te,Rulebook!$J54*d,tf,Rulebook!$K54*d,IFS(x&lt;=ta,0,x&lt;=tb,25*(x-ta)/(tb-ta),x&lt;=tc,25+25*(x-tb)/(tc-tb),x&lt;=te,50+25*(x-tc)/(te-tc),x&lt;tf,75+25*(x-te)/(tf-te),TRUE,100)))</f>
        <v>25</v>
      </c>
      <c r="N54" s="35">
        <f>IF(Inputs!N54="","",LET(d,Rulebook!$L54,x,Inputs!N54*d,ta,Rulebook!$G54*d,tb,Rulebook!$H54*d,tc,Rulebook!$I54*d,te,Rulebook!$J54*d,tf,Rulebook!$K54*d,IFS(x&lt;=ta,0,x&lt;=tb,25*(x-ta)/(tb-ta),x&lt;=tc,25+25*(x-tb)/(tc-tb),x&lt;=te,50+25*(x-tc)/(te-tc),x&lt;tf,75+25*(x-te)/(tf-te),TRUE,100)))</f>
        <v>0</v>
      </c>
      <c r="O54" s="35">
        <f>IF(Inputs!O54="","",LET(d,Rulebook!$L54,x,Inputs!O54*d,ta,Rulebook!$G54*d,tb,Rulebook!$H54*d,tc,Rulebook!$I54*d,te,Rulebook!$J54*d,tf,Rulebook!$K54*d,IFS(x&lt;=ta,0,x&lt;=tb,25*(x-ta)/(tb-ta),x&lt;=tc,25+25*(x-tb)/(tc-tb),x&lt;=te,50+25*(x-tc)/(te-tc),x&lt;tf,75+25*(x-te)/(tf-te),TRUE,100)))</f>
        <v>25</v>
      </c>
      <c r="P54" s="35">
        <f>IF(Inputs!P54="","",LET(d,Rulebook!$L54,x,Inputs!P54*d,ta,Rulebook!$G54*d,tb,Rulebook!$H54*d,tc,Rulebook!$I54*d,te,Rulebook!$J54*d,tf,Rulebook!$K54*d,IFS(x&lt;=ta,0,x&lt;=tb,25*(x-ta)/(tb-ta),x&lt;=tc,25+25*(x-tb)/(tc-tb),x&lt;=te,50+25*(x-tc)/(te-tc),x&lt;tf,75+25*(x-te)/(tf-te),TRUE,100)))</f>
        <v>25</v>
      </c>
      <c r="Q54" s="35">
        <f>IF(Inputs!Q54="","",LET(d,Rulebook!$L54,x,Inputs!Q54*d,ta,Rulebook!$G54*d,tb,Rulebook!$H54*d,tc,Rulebook!$I54*d,te,Rulebook!$J54*d,tf,Rulebook!$K54*d,IFS(x&lt;=ta,0,x&lt;=tb,25*(x-ta)/(tb-ta),x&lt;=tc,25+25*(x-tb)/(tc-tb),x&lt;=te,50+25*(x-tc)/(te-tc),x&lt;tf,75+25*(x-te)/(tf-te),TRUE,100)))</f>
        <v>25</v>
      </c>
      <c r="R54" s="35">
        <f>IF(Inputs!R54="","",LET(d,Rulebook!$L54,x,Inputs!R54*d,ta,Rulebook!$G54*d,tb,Rulebook!$H54*d,tc,Rulebook!$I54*d,te,Rulebook!$J54*d,tf,Rulebook!$K54*d,IFS(x&lt;=ta,0,x&lt;=tb,25*(x-ta)/(tb-ta),x&lt;=tc,25+25*(x-tb)/(tc-tb),x&lt;=te,50+25*(x-tc)/(te-tc),x&lt;tf,75+25*(x-te)/(tf-te),TRUE,100)))</f>
        <v>50</v>
      </c>
      <c r="S54" s="35">
        <f>IF(Inputs!S54="","",LET(d,Rulebook!$L54,x,Inputs!S54*d,ta,Rulebook!$G54*d,tb,Rulebook!$H54*d,tc,Rulebook!$I54*d,te,Rulebook!$J54*d,tf,Rulebook!$K54*d,IFS(x&lt;=ta,0,x&lt;=tb,25*(x-ta)/(tb-ta),x&lt;=tc,25+25*(x-tb)/(tc-tb),x&lt;=te,50+25*(x-tc)/(te-tc),x&lt;tf,75+25*(x-te)/(tf-te),TRUE,100)))</f>
        <v>50</v>
      </c>
      <c r="T54" s="35">
        <f>IF(Inputs!T54="","",LET(d,Rulebook!$L54,x,Inputs!T54*d,ta,Rulebook!$G54*d,tb,Rulebook!$H54*d,tc,Rulebook!$I54*d,te,Rulebook!$J54*d,tf,Rulebook!$K54*d,IFS(x&lt;=ta,0,x&lt;=tb,25*(x-ta)/(tb-ta),x&lt;=tc,25+25*(x-tb)/(tc-tb),x&lt;=te,50+25*(x-tc)/(te-tc),x&lt;tf,75+25*(x-te)/(tf-te),TRUE,100)))</f>
        <v>25</v>
      </c>
      <c r="U54" s="35">
        <f>IF(Inputs!U54="","",LET(d,Rulebook!$L54,x,Inputs!U54*d,ta,Rulebook!$G54*d,tb,Rulebook!$H54*d,tc,Rulebook!$I54*d,te,Rulebook!$J54*d,tf,Rulebook!$K54*d,IFS(x&lt;=ta,0,x&lt;=tb,25*(x-ta)/(tb-ta),x&lt;=tc,25+25*(x-tb)/(tc-tb),x&lt;=te,50+25*(x-tc)/(te-tc),x&lt;tf,75+25*(x-te)/(tf-te),TRUE,100)))</f>
        <v>50</v>
      </c>
      <c r="V54" s="35">
        <f>IF(Inputs!V54="","",LET(d,Rulebook!$L54,x,Inputs!V54*d,ta,Rulebook!$G54*d,tb,Rulebook!$H54*d,tc,Rulebook!$I54*d,te,Rulebook!$J54*d,tf,Rulebook!$K54*d,IFS(x&lt;=ta,0,x&lt;=tb,25*(x-ta)/(tb-ta),x&lt;=tc,25+25*(x-tb)/(tc-tb),x&lt;=te,50+25*(x-tc)/(te-tc),x&lt;tf,75+25*(x-te)/(tf-te),TRUE,100)))</f>
        <v>75</v>
      </c>
    </row>
    <row r="55">
      <c r="A55" s="26" t="s">
        <v>682</v>
      </c>
      <c r="B55" s="26">
        <v>5.0</v>
      </c>
      <c r="C55" s="26" t="s">
        <v>683</v>
      </c>
      <c r="D55" s="26" t="s">
        <v>125</v>
      </c>
      <c r="E55" s="35">
        <f>IF(Inputs!E55="","",LET(d,Rulebook!$L55,x,Inputs!E55*d,ta,Rulebook!$G55*d,tb,Rulebook!$H55*d,tc,Rulebook!$I55*d,te,Rulebook!$J55*d,tf,Rulebook!$K55*d,IFS(x&lt;=ta,0,x&lt;=tb,25*(x-ta)/(tb-ta),x&lt;=tc,25+25*(x-tb)/(tc-tb),x&lt;=te,50+25*(x-tc)/(te-tc),x&lt;tf,75+25*(x-te)/(tf-te),TRUE,100)))</f>
        <v>65</v>
      </c>
      <c r="F55" s="35">
        <f>IF(Inputs!F55="","",LET(d,Rulebook!$L55,x,Inputs!F55*d,ta,Rulebook!$G55*d,tb,Rulebook!$H55*d,tc,Rulebook!$I55*d,te,Rulebook!$J55*d,tf,Rulebook!$K55*d,IFS(x&lt;=ta,0,x&lt;=tb,25*(x-ta)/(tb-ta),x&lt;=tc,25+25*(x-tb)/(tc-tb),x&lt;=te,50+25*(x-tc)/(te-tc),x&lt;tf,75+25*(x-te)/(tf-te),TRUE,100)))</f>
        <v>0</v>
      </c>
      <c r="G55" s="35">
        <f>IF(Inputs!G55="","",LET(d,Rulebook!$L55,x,Inputs!G55*d,ta,Rulebook!$G55*d,tb,Rulebook!$H55*d,tc,Rulebook!$I55*d,te,Rulebook!$J55*d,tf,Rulebook!$K55*d,IFS(x&lt;=ta,0,x&lt;=tb,25*(x-ta)/(tb-ta),x&lt;=tc,25+25*(x-tb)/(tc-tb),x&lt;=te,50+25*(x-tc)/(te-tc),x&lt;tf,75+25*(x-te)/(tf-te),TRUE,100)))</f>
        <v>50</v>
      </c>
      <c r="H55" s="35">
        <f>IF(Inputs!H55="","",LET(d,Rulebook!$L55,x,Inputs!H55*d,ta,Rulebook!$G55*d,tb,Rulebook!$H55*d,tc,Rulebook!$I55*d,te,Rulebook!$J55*d,tf,Rulebook!$K55*d,IFS(x&lt;=ta,0,x&lt;=tb,25*(x-ta)/(tb-ta),x&lt;=tc,25+25*(x-tb)/(tc-tb),x&lt;=te,50+25*(x-tc)/(te-tc),x&lt;tf,75+25*(x-te)/(tf-te),TRUE,100)))</f>
        <v>0</v>
      </c>
      <c r="I55" s="35">
        <f>IF(Inputs!I55="","",LET(d,Rulebook!$L55,x,Inputs!I55*d,ta,Rulebook!$G55*d,tb,Rulebook!$H55*d,tc,Rulebook!$I55*d,te,Rulebook!$J55*d,tf,Rulebook!$K55*d,IFS(x&lt;=ta,0,x&lt;=tb,25*(x-ta)/(tb-ta),x&lt;=tc,25+25*(x-tb)/(tc-tb),x&lt;=te,50+25*(x-tc)/(te-tc),x&lt;tf,75+25*(x-te)/(tf-te),TRUE,100)))</f>
        <v>0</v>
      </c>
      <c r="J55" s="35">
        <f>IF(Inputs!J55="","",LET(d,Rulebook!$L55,x,Inputs!J55*d,ta,Rulebook!$G55*d,tb,Rulebook!$H55*d,tc,Rulebook!$I55*d,te,Rulebook!$J55*d,tf,Rulebook!$K55*d,IFS(x&lt;=ta,0,x&lt;=tb,25*(x-ta)/(tb-ta),x&lt;=tc,25+25*(x-tb)/(tc-tb),x&lt;=te,50+25*(x-tc)/(te-tc),x&lt;tf,75+25*(x-te)/(tf-te),TRUE,100)))</f>
        <v>0</v>
      </c>
      <c r="K55" s="35">
        <f>IF(Inputs!K55="","",LET(d,Rulebook!$L55,x,Inputs!K55*d,ta,Rulebook!$G55*d,tb,Rulebook!$H55*d,tc,Rulebook!$I55*d,te,Rulebook!$J55*d,tf,Rulebook!$K55*d,IFS(x&lt;=ta,0,x&lt;=tb,25*(x-ta)/(tb-ta),x&lt;=tc,25+25*(x-tb)/(tc-tb),x&lt;=te,50+25*(x-tc)/(te-tc),x&lt;tf,75+25*(x-te)/(tf-te),TRUE,100)))</f>
        <v>25</v>
      </c>
      <c r="L55" s="35">
        <f>IF(Inputs!L55="","",LET(d,Rulebook!$L55,x,Inputs!L55*d,ta,Rulebook!$G55*d,tb,Rulebook!$H55*d,tc,Rulebook!$I55*d,te,Rulebook!$J55*d,tf,Rulebook!$K55*d,IFS(x&lt;=ta,0,x&lt;=tb,25*(x-ta)/(tb-ta),x&lt;=tc,25+25*(x-tb)/(tc-tb),x&lt;=te,50+25*(x-tc)/(te-tc),x&lt;tf,75+25*(x-te)/(tf-te),TRUE,100)))</f>
        <v>0</v>
      </c>
      <c r="M55" s="35">
        <f>IF(Inputs!M55="","",LET(d,Rulebook!$L55,x,Inputs!M55*d,ta,Rulebook!$G55*d,tb,Rulebook!$H55*d,tc,Rulebook!$I55*d,te,Rulebook!$J55*d,tf,Rulebook!$K55*d,IFS(x&lt;=ta,0,x&lt;=tb,25*(x-ta)/(tb-ta),x&lt;=tc,25+25*(x-tb)/(tc-tb),x&lt;=te,50+25*(x-tc)/(te-tc),x&lt;tf,75+25*(x-te)/(tf-te),TRUE,100)))</f>
        <v>0</v>
      </c>
      <c r="N55" s="35">
        <f>IF(Inputs!N55="","",LET(d,Rulebook!$L55,x,Inputs!N55*d,ta,Rulebook!$G55*d,tb,Rulebook!$H55*d,tc,Rulebook!$I55*d,te,Rulebook!$J55*d,tf,Rulebook!$K55*d,IFS(x&lt;=ta,0,x&lt;=tb,25*(x-ta)/(tb-ta),x&lt;=tc,25+25*(x-tb)/(tc-tb),x&lt;=te,50+25*(x-tc)/(te-tc),x&lt;tf,75+25*(x-te)/(tf-te),TRUE,100)))</f>
        <v>0</v>
      </c>
      <c r="O55" s="35">
        <f>IF(Inputs!O55="","",LET(d,Rulebook!$L55,x,Inputs!O55*d,ta,Rulebook!$G55*d,tb,Rulebook!$H55*d,tc,Rulebook!$I55*d,te,Rulebook!$J55*d,tf,Rulebook!$K55*d,IFS(x&lt;=ta,0,x&lt;=tb,25*(x-ta)/(tb-ta),x&lt;=tc,25+25*(x-tb)/(tc-tb),x&lt;=te,50+25*(x-tc)/(te-tc),x&lt;tf,75+25*(x-te)/(tf-te),TRUE,100)))</f>
        <v>25</v>
      </c>
      <c r="P55" s="35">
        <f>IF(Inputs!P55="","",LET(d,Rulebook!$L55,x,Inputs!P55*d,ta,Rulebook!$G55*d,tb,Rulebook!$H55*d,tc,Rulebook!$I55*d,te,Rulebook!$J55*d,tf,Rulebook!$K55*d,IFS(x&lt;=ta,0,x&lt;=tb,25*(x-ta)/(tb-ta),x&lt;=tc,25+25*(x-tb)/(tc-tb),x&lt;=te,50+25*(x-tc)/(te-tc),x&lt;tf,75+25*(x-te)/(tf-te),TRUE,100)))</f>
        <v>0</v>
      </c>
      <c r="Q55" s="35">
        <f>IF(Inputs!Q55="","",LET(d,Rulebook!$L55,x,Inputs!Q55*d,ta,Rulebook!$G55*d,tb,Rulebook!$H55*d,tc,Rulebook!$I55*d,te,Rulebook!$J55*d,tf,Rulebook!$K55*d,IFS(x&lt;=ta,0,x&lt;=tb,25*(x-ta)/(tb-ta),x&lt;=tc,25+25*(x-tb)/(tc-tb),x&lt;=te,50+25*(x-tc)/(te-tc),x&lt;tf,75+25*(x-te)/(tf-te),TRUE,100)))</f>
        <v>0</v>
      </c>
      <c r="R55" s="35">
        <f>IF(Inputs!R55="","",LET(d,Rulebook!$L55,x,Inputs!R55*d,ta,Rulebook!$G55*d,tb,Rulebook!$H55*d,tc,Rulebook!$I55*d,te,Rulebook!$J55*d,tf,Rulebook!$K55*d,IFS(x&lt;=ta,0,x&lt;=tb,25*(x-ta)/(tb-ta),x&lt;=tc,25+25*(x-tb)/(tc-tb),x&lt;=te,50+25*(x-tc)/(te-tc),x&lt;tf,75+25*(x-te)/(tf-te),TRUE,100)))</f>
        <v>0</v>
      </c>
      <c r="S55" s="35">
        <f>IF(Inputs!S55="","",LET(d,Rulebook!$L55,x,Inputs!S55*d,ta,Rulebook!$G55*d,tb,Rulebook!$H55*d,tc,Rulebook!$I55*d,te,Rulebook!$J55*d,tf,Rulebook!$K55*d,IFS(x&lt;=ta,0,x&lt;=tb,25*(x-ta)/(tb-ta),x&lt;=tc,25+25*(x-tb)/(tc-tb),x&lt;=te,50+25*(x-tc)/(te-tc),x&lt;tf,75+25*(x-te)/(tf-te),TRUE,100)))</f>
        <v>0</v>
      </c>
      <c r="T55" s="35">
        <f>IF(Inputs!T55="","",LET(d,Rulebook!$L55,x,Inputs!T55*d,ta,Rulebook!$G55*d,tb,Rulebook!$H55*d,tc,Rulebook!$I55*d,te,Rulebook!$J55*d,tf,Rulebook!$K55*d,IFS(x&lt;=ta,0,x&lt;=tb,25*(x-ta)/(tb-ta),x&lt;=tc,25+25*(x-tb)/(tc-tb),x&lt;=te,50+25*(x-tc)/(te-tc),x&lt;tf,75+25*(x-te)/(tf-te),TRUE,100)))</f>
        <v>25</v>
      </c>
      <c r="U55" s="35">
        <f>IF(Inputs!U55="","",LET(d,Rulebook!$L55,x,Inputs!U55*d,ta,Rulebook!$G55*d,tb,Rulebook!$H55*d,tc,Rulebook!$I55*d,te,Rulebook!$J55*d,tf,Rulebook!$K55*d,IFS(x&lt;=ta,0,x&lt;=tb,25*(x-ta)/(tb-ta),x&lt;=tc,25+25*(x-tb)/(tc-tb),x&lt;=te,50+25*(x-tc)/(te-tc),x&lt;tf,75+25*(x-te)/(tf-te),TRUE,100)))</f>
        <v>0</v>
      </c>
      <c r="V55" s="35">
        <f>IF(Inputs!V55="","",LET(d,Rulebook!$L55,x,Inputs!V55*d,ta,Rulebook!$G55*d,tb,Rulebook!$H55*d,tc,Rulebook!$I55*d,te,Rulebook!$J55*d,tf,Rulebook!$K55*d,IFS(x&lt;=ta,0,x&lt;=tb,25*(x-ta)/(tb-ta),x&lt;=tc,25+25*(x-tb)/(tc-tb),x&lt;=te,50+25*(x-tc)/(te-tc),x&lt;tf,75+25*(x-te)/(tf-te),TRUE,100)))</f>
        <v>0</v>
      </c>
    </row>
    <row r="56">
      <c r="A56" s="26" t="s">
        <v>686</v>
      </c>
      <c r="B56" s="26">
        <v>5.0</v>
      </c>
      <c r="C56" s="26" t="s">
        <v>687</v>
      </c>
      <c r="D56" s="26" t="s">
        <v>648</v>
      </c>
      <c r="E56" s="35">
        <f>IF(Inputs!E56="","",LET(d,Rulebook!$L56,x,Inputs!E56*d,ta,Rulebook!$G56*d,tb,Rulebook!$H56*d,tc,Rulebook!$I56*d,te,Rulebook!$J56*d,tf,Rulebook!$K56*d,IFS(x&lt;=ta,0,x&lt;=tb,25*(x-ta)/(tb-ta),x&lt;=tc,25+25*(x-tb)/(tc-tb),x&lt;=te,50+25*(x-tc)/(te-tc),x&lt;tf,75+25*(x-te)/(tf-te),TRUE,100)))</f>
        <v>18.75</v>
      </c>
      <c r="F56" s="35">
        <f>IF(Inputs!F56="","",LET(d,Rulebook!$L56,x,Inputs!F56*d,ta,Rulebook!$G56*d,tb,Rulebook!$H56*d,tc,Rulebook!$I56*d,te,Rulebook!$J56*d,tf,Rulebook!$K56*d,IFS(x&lt;=ta,0,x&lt;=tb,25*(x-ta)/(tb-ta),x&lt;=tc,25+25*(x-tb)/(tc-tb),x&lt;=te,50+25*(x-tc)/(te-tc),x&lt;tf,75+25*(x-te)/(tf-te),TRUE,100)))</f>
        <v>6.25</v>
      </c>
      <c r="G56" s="35">
        <f>IF(Inputs!G56="","",LET(d,Rulebook!$L56,x,Inputs!G56*d,ta,Rulebook!$G56*d,tb,Rulebook!$H56*d,tc,Rulebook!$I56*d,te,Rulebook!$J56*d,tf,Rulebook!$K56*d,IFS(x&lt;=ta,0,x&lt;=tb,25*(x-ta)/(tb-ta),x&lt;=tc,25+25*(x-tb)/(tc-tb),x&lt;=te,50+25*(x-tc)/(te-tc),x&lt;tf,75+25*(x-te)/(tf-te),TRUE,100)))</f>
        <v>0</v>
      </c>
      <c r="H56" s="35">
        <f>IF(Inputs!H56="","",LET(d,Rulebook!$L56,x,Inputs!H56*d,ta,Rulebook!$G56*d,tb,Rulebook!$H56*d,tc,Rulebook!$I56*d,te,Rulebook!$J56*d,tf,Rulebook!$K56*d,IFS(x&lt;=ta,0,x&lt;=tb,25*(x-ta)/(tb-ta),x&lt;=tc,25+25*(x-tb)/(tc-tb),x&lt;=te,50+25*(x-tc)/(te-tc),x&lt;tf,75+25*(x-te)/(tf-te),TRUE,100)))</f>
        <v>0</v>
      </c>
      <c r="I56" s="35">
        <f>IF(Inputs!I56="","",LET(d,Rulebook!$L56,x,Inputs!I56*d,ta,Rulebook!$G56*d,tb,Rulebook!$H56*d,tc,Rulebook!$I56*d,te,Rulebook!$J56*d,tf,Rulebook!$K56*d,IFS(x&lt;=ta,0,x&lt;=tb,25*(x-ta)/(tb-ta),x&lt;=tc,25+25*(x-tb)/(tc-tb),x&lt;=te,50+25*(x-tc)/(te-tc),x&lt;tf,75+25*(x-te)/(tf-te),TRUE,100)))</f>
        <v>0</v>
      </c>
      <c r="J56" s="35">
        <f>IF(Inputs!J56="","",LET(d,Rulebook!$L56,x,Inputs!J56*d,ta,Rulebook!$G56*d,tb,Rulebook!$H56*d,tc,Rulebook!$I56*d,te,Rulebook!$J56*d,tf,Rulebook!$K56*d,IFS(x&lt;=ta,0,x&lt;=tb,25*(x-ta)/(tb-ta),x&lt;=tc,25+25*(x-tb)/(tc-tb),x&lt;=te,50+25*(x-tc)/(te-tc),x&lt;tf,75+25*(x-te)/(tf-te),TRUE,100)))</f>
        <v>0</v>
      </c>
      <c r="K56" s="35">
        <f>IF(Inputs!K56="","",LET(d,Rulebook!$L56,x,Inputs!K56*d,ta,Rulebook!$G56*d,tb,Rulebook!$H56*d,tc,Rulebook!$I56*d,te,Rulebook!$J56*d,tf,Rulebook!$K56*d,IFS(x&lt;=ta,0,x&lt;=tb,25*(x-ta)/(tb-ta),x&lt;=tc,25+25*(x-tb)/(tc-tb),x&lt;=te,50+25*(x-tc)/(te-tc),x&lt;tf,75+25*(x-te)/(tf-te),TRUE,100)))</f>
        <v>0</v>
      </c>
      <c r="L56" s="35">
        <f>IF(Inputs!L56="","",LET(d,Rulebook!$L56,x,Inputs!L56*d,ta,Rulebook!$G56*d,tb,Rulebook!$H56*d,tc,Rulebook!$I56*d,te,Rulebook!$J56*d,tf,Rulebook!$K56*d,IFS(x&lt;=ta,0,x&lt;=tb,25*(x-ta)/(tb-ta),x&lt;=tc,25+25*(x-tb)/(tc-tb),x&lt;=te,50+25*(x-tc)/(te-tc),x&lt;tf,75+25*(x-te)/(tf-te),TRUE,100)))</f>
        <v>0</v>
      </c>
      <c r="M56" s="35">
        <f>IF(Inputs!M56="","",LET(d,Rulebook!$L56,x,Inputs!M56*d,ta,Rulebook!$G56*d,tb,Rulebook!$H56*d,tc,Rulebook!$I56*d,te,Rulebook!$J56*d,tf,Rulebook!$K56*d,IFS(x&lt;=ta,0,x&lt;=tb,25*(x-ta)/(tb-ta),x&lt;=tc,25+25*(x-tb)/(tc-tb),x&lt;=te,50+25*(x-tc)/(te-tc),x&lt;tf,75+25*(x-te)/(tf-te),TRUE,100)))</f>
        <v>45.83333333</v>
      </c>
      <c r="N56" s="35">
        <f>IF(Inputs!N56="","",LET(d,Rulebook!$L56,x,Inputs!N56*d,ta,Rulebook!$G56*d,tb,Rulebook!$H56*d,tc,Rulebook!$I56*d,te,Rulebook!$J56*d,tf,Rulebook!$K56*d,IFS(x&lt;=ta,0,x&lt;=tb,25*(x-ta)/(tb-ta),x&lt;=tc,25+25*(x-tb)/(tc-tb),x&lt;=te,50+25*(x-tc)/(te-tc),x&lt;tf,75+25*(x-te)/(tf-te),TRUE,100)))</f>
        <v>6.25</v>
      </c>
      <c r="O56" s="35">
        <f>IF(Inputs!O56="","",LET(d,Rulebook!$L56,x,Inputs!O56*d,ta,Rulebook!$G56*d,tb,Rulebook!$H56*d,tc,Rulebook!$I56*d,te,Rulebook!$J56*d,tf,Rulebook!$K56*d,IFS(x&lt;=ta,0,x&lt;=tb,25*(x-ta)/(tb-ta),x&lt;=tc,25+25*(x-tb)/(tc-tb),x&lt;=te,50+25*(x-tc)/(te-tc),x&lt;tf,75+25*(x-te)/(tf-te),TRUE,100)))</f>
        <v>2.5</v>
      </c>
      <c r="P56" s="35">
        <f>IF(Inputs!P56="","",LET(d,Rulebook!$L56,x,Inputs!P56*d,ta,Rulebook!$G56*d,tb,Rulebook!$H56*d,tc,Rulebook!$I56*d,te,Rulebook!$J56*d,tf,Rulebook!$K56*d,IFS(x&lt;=ta,0,x&lt;=tb,25*(x-ta)/(tb-ta),x&lt;=tc,25+25*(x-tb)/(tc-tb),x&lt;=te,50+25*(x-tc)/(te-tc),x&lt;tf,75+25*(x-te)/(tf-te),TRUE,100)))</f>
        <v>0</v>
      </c>
      <c r="Q56" s="35">
        <f>IF(Inputs!Q56="","",LET(d,Rulebook!$L56,x,Inputs!Q56*d,ta,Rulebook!$G56*d,tb,Rulebook!$H56*d,tc,Rulebook!$I56*d,te,Rulebook!$J56*d,tf,Rulebook!$K56*d,IFS(x&lt;=ta,0,x&lt;=tb,25*(x-ta)/(tb-ta),x&lt;=tc,25+25*(x-tb)/(tc-tb),x&lt;=te,50+25*(x-tc)/(te-tc),x&lt;tf,75+25*(x-te)/(tf-te),TRUE,100)))</f>
        <v>18.75</v>
      </c>
      <c r="R56" s="35">
        <f>IF(Inputs!R56="","",LET(d,Rulebook!$L56,x,Inputs!R56*d,ta,Rulebook!$G56*d,tb,Rulebook!$H56*d,tc,Rulebook!$I56*d,te,Rulebook!$J56*d,tf,Rulebook!$K56*d,IFS(x&lt;=ta,0,x&lt;=tb,25*(x-ta)/(tb-ta),x&lt;=tc,25+25*(x-tb)/(tc-tb),x&lt;=te,50+25*(x-tc)/(te-tc),x&lt;tf,75+25*(x-te)/(tf-te),TRUE,100)))</f>
        <v>25</v>
      </c>
      <c r="S56" s="35">
        <f>IF(Inputs!S56="","",LET(d,Rulebook!$L56,x,Inputs!S56*d,ta,Rulebook!$G56*d,tb,Rulebook!$H56*d,tc,Rulebook!$I56*d,te,Rulebook!$J56*d,tf,Rulebook!$K56*d,IFS(x&lt;=ta,0,x&lt;=tb,25*(x-ta)/(tb-ta),x&lt;=tc,25+25*(x-tb)/(tc-tb),x&lt;=te,50+25*(x-tc)/(te-tc),x&lt;tf,75+25*(x-te)/(tf-te),TRUE,100)))</f>
        <v>25</v>
      </c>
      <c r="T56" s="35">
        <f>IF(Inputs!T56="","",LET(d,Rulebook!$L56,x,Inputs!T56*d,ta,Rulebook!$G56*d,tb,Rulebook!$H56*d,tc,Rulebook!$I56*d,te,Rulebook!$J56*d,tf,Rulebook!$K56*d,IFS(x&lt;=ta,0,x&lt;=tb,25*(x-ta)/(tb-ta),x&lt;=tc,25+25*(x-tb)/(tc-tb),x&lt;=te,50+25*(x-tc)/(te-tc),x&lt;tf,75+25*(x-te)/(tf-te),TRUE,100)))</f>
        <v>75</v>
      </c>
      <c r="U56" s="35">
        <f>IF(Inputs!U56="","",LET(d,Rulebook!$L56,x,Inputs!U56*d,ta,Rulebook!$G56*d,tb,Rulebook!$H56*d,tc,Rulebook!$I56*d,te,Rulebook!$J56*d,tf,Rulebook!$K56*d,IFS(x&lt;=ta,0,x&lt;=tb,25*(x-ta)/(tb-ta),x&lt;=tc,25+25*(x-tb)/(tc-tb),x&lt;=te,50+25*(x-tc)/(te-tc),x&lt;tf,75+25*(x-te)/(tf-te),TRUE,100)))</f>
        <v>25</v>
      </c>
      <c r="V56" s="35">
        <f>IF(Inputs!V56="","",LET(d,Rulebook!$L56,x,Inputs!V56*d,ta,Rulebook!$G56*d,tb,Rulebook!$H56*d,tc,Rulebook!$I56*d,te,Rulebook!$J56*d,tf,Rulebook!$K56*d,IFS(x&lt;=ta,0,x&lt;=tb,25*(x-ta)/(tb-ta),x&lt;=tc,25+25*(x-tb)/(tc-tb),x&lt;=te,50+25*(x-tc)/(te-tc),x&lt;tf,75+25*(x-te)/(tf-te),TRUE,100)))</f>
        <v>0</v>
      </c>
    </row>
    <row r="57">
      <c r="A57" s="26" t="s">
        <v>690</v>
      </c>
      <c r="B57" s="26">
        <v>5.0</v>
      </c>
      <c r="C57" s="26" t="s">
        <v>691</v>
      </c>
      <c r="D57" s="26" t="s">
        <v>112</v>
      </c>
      <c r="E57" s="35">
        <f>IF(Inputs!E57="","",LET(d,Rulebook!$L57,x,Inputs!E57*d,ta,Rulebook!$G57*d,tb,Rulebook!$H57*d,tc,Rulebook!$I57*d,te,Rulebook!$J57*d,tf,Rulebook!$K57*d,IFS(x&lt;=ta,0,x&lt;=tb,25*(x-ta)/(tb-ta),x&lt;=tc,25+25*(x-tb)/(tc-tb),x&lt;=te,50+25*(x-tc)/(te-tc),x&lt;tf,75+25*(x-te)/(tf-te),TRUE,100)))</f>
        <v>0</v>
      </c>
      <c r="F57" s="35">
        <f>IF(Inputs!F57="","",LET(d,Rulebook!$L57,x,Inputs!F57*d,ta,Rulebook!$G57*d,tb,Rulebook!$H57*d,tc,Rulebook!$I57*d,te,Rulebook!$J57*d,tf,Rulebook!$K57*d,IFS(x&lt;=ta,0,x&lt;=tb,25*(x-ta)/(tb-ta),x&lt;=tc,25+25*(x-tb)/(tc-tb),x&lt;=te,50+25*(x-tc)/(te-tc),x&lt;tf,75+25*(x-te)/(tf-te),TRUE,100)))</f>
        <v>5</v>
      </c>
      <c r="G57" s="35">
        <f>IF(Inputs!G57="","",LET(d,Rulebook!$L57,x,Inputs!G57*d,ta,Rulebook!$G57*d,tb,Rulebook!$H57*d,tc,Rulebook!$I57*d,te,Rulebook!$J57*d,tf,Rulebook!$K57*d,IFS(x&lt;=ta,0,x&lt;=tb,25*(x-ta)/(tb-ta),x&lt;=tc,25+25*(x-tb)/(tc-tb),x&lt;=te,50+25*(x-tc)/(te-tc),x&lt;tf,75+25*(x-te)/(tf-te),TRUE,100)))</f>
        <v>0</v>
      </c>
      <c r="H57" s="35">
        <f>IF(Inputs!H57="","",LET(d,Rulebook!$L57,x,Inputs!H57*d,ta,Rulebook!$G57*d,tb,Rulebook!$H57*d,tc,Rulebook!$I57*d,te,Rulebook!$J57*d,tf,Rulebook!$K57*d,IFS(x&lt;=ta,0,x&lt;=tb,25*(x-ta)/(tb-ta),x&lt;=tc,25+25*(x-tb)/(tc-tb),x&lt;=te,50+25*(x-tc)/(te-tc),x&lt;tf,75+25*(x-te)/(tf-te),TRUE,100)))</f>
        <v>5</v>
      </c>
      <c r="I57" s="35">
        <f>IF(Inputs!I57="","",LET(d,Rulebook!$L57,x,Inputs!I57*d,ta,Rulebook!$G57*d,tb,Rulebook!$H57*d,tc,Rulebook!$I57*d,te,Rulebook!$J57*d,tf,Rulebook!$K57*d,IFS(x&lt;=ta,0,x&lt;=tb,25*(x-ta)/(tb-ta),x&lt;=tc,25+25*(x-tb)/(tc-tb),x&lt;=te,50+25*(x-tc)/(te-tc),x&lt;tf,75+25*(x-te)/(tf-te),TRUE,100)))</f>
        <v>10</v>
      </c>
      <c r="J57" s="35">
        <f>IF(Inputs!J57="","",LET(d,Rulebook!$L57,x,Inputs!J57*d,ta,Rulebook!$G57*d,tb,Rulebook!$H57*d,tc,Rulebook!$I57*d,te,Rulebook!$J57*d,tf,Rulebook!$K57*d,IFS(x&lt;=ta,0,x&lt;=tb,25*(x-ta)/(tb-ta),x&lt;=tc,25+25*(x-tb)/(tc-tb),x&lt;=te,50+25*(x-tc)/(te-tc),x&lt;tf,75+25*(x-te)/(tf-te),TRUE,100)))</f>
        <v>25</v>
      </c>
      <c r="K57" s="35">
        <f>IF(Inputs!K57="","",LET(d,Rulebook!$L57,x,Inputs!K57*d,ta,Rulebook!$G57*d,tb,Rulebook!$H57*d,tc,Rulebook!$I57*d,te,Rulebook!$J57*d,tf,Rulebook!$K57*d,IFS(x&lt;=ta,0,x&lt;=tb,25*(x-ta)/(tb-ta),x&lt;=tc,25+25*(x-tb)/(tc-tb),x&lt;=te,50+25*(x-tc)/(te-tc),x&lt;tf,75+25*(x-te)/(tf-te),TRUE,100)))</f>
        <v>10</v>
      </c>
      <c r="L57" s="35">
        <f>IF(Inputs!L57="","",LET(d,Rulebook!$L57,x,Inputs!L57*d,ta,Rulebook!$G57*d,tb,Rulebook!$H57*d,tc,Rulebook!$I57*d,te,Rulebook!$J57*d,tf,Rulebook!$K57*d,IFS(x&lt;=ta,0,x&lt;=tb,25*(x-ta)/(tb-ta),x&lt;=tc,25+25*(x-tb)/(tc-tb),x&lt;=te,50+25*(x-tc)/(te-tc),x&lt;tf,75+25*(x-te)/(tf-te),TRUE,100)))</f>
        <v>0</v>
      </c>
      <c r="M57" s="35">
        <f>IF(Inputs!M57="","",LET(d,Rulebook!$L57,x,Inputs!M57*d,ta,Rulebook!$G57*d,tb,Rulebook!$H57*d,tc,Rulebook!$I57*d,te,Rulebook!$J57*d,tf,Rulebook!$K57*d,IFS(x&lt;=ta,0,x&lt;=tb,25*(x-ta)/(tb-ta),x&lt;=tc,25+25*(x-tb)/(tc-tb),x&lt;=te,50+25*(x-tc)/(te-tc),x&lt;tf,75+25*(x-te)/(tf-te),TRUE,100)))</f>
        <v>0</v>
      </c>
      <c r="N57" s="35">
        <f>IF(Inputs!N57="","",LET(d,Rulebook!$L57,x,Inputs!N57*d,ta,Rulebook!$G57*d,tb,Rulebook!$H57*d,tc,Rulebook!$I57*d,te,Rulebook!$J57*d,tf,Rulebook!$K57*d,IFS(x&lt;=ta,0,x&lt;=tb,25*(x-ta)/(tb-ta),x&lt;=tc,25+25*(x-tb)/(tc-tb),x&lt;=te,50+25*(x-tc)/(te-tc),x&lt;tf,75+25*(x-te)/(tf-te),TRUE,100)))</f>
        <v>10</v>
      </c>
      <c r="O57" s="35">
        <f>IF(Inputs!O57="","",LET(d,Rulebook!$L57,x,Inputs!O57*d,ta,Rulebook!$G57*d,tb,Rulebook!$H57*d,tc,Rulebook!$I57*d,te,Rulebook!$J57*d,tf,Rulebook!$K57*d,IFS(x&lt;=ta,0,x&lt;=tb,25*(x-ta)/(tb-ta),x&lt;=tc,25+25*(x-tb)/(tc-tb),x&lt;=te,50+25*(x-tc)/(te-tc),x&lt;tf,75+25*(x-te)/(tf-te),TRUE,100)))</f>
        <v>5</v>
      </c>
      <c r="P57" s="35">
        <f>IF(Inputs!P57="","",LET(d,Rulebook!$L57,x,Inputs!P57*d,ta,Rulebook!$G57*d,tb,Rulebook!$H57*d,tc,Rulebook!$I57*d,te,Rulebook!$J57*d,tf,Rulebook!$K57*d,IFS(x&lt;=ta,0,x&lt;=tb,25*(x-ta)/(tb-ta),x&lt;=tc,25+25*(x-tb)/(tc-tb),x&lt;=te,50+25*(x-tc)/(te-tc),x&lt;tf,75+25*(x-te)/(tf-te),TRUE,100)))</f>
        <v>0</v>
      </c>
      <c r="Q57" s="35">
        <f>IF(Inputs!Q57="","",LET(d,Rulebook!$L57,x,Inputs!Q57*d,ta,Rulebook!$G57*d,tb,Rulebook!$H57*d,tc,Rulebook!$I57*d,te,Rulebook!$J57*d,tf,Rulebook!$K57*d,IFS(x&lt;=ta,0,x&lt;=tb,25*(x-ta)/(tb-ta),x&lt;=tc,25+25*(x-tb)/(tc-tb),x&lt;=te,50+25*(x-tc)/(te-tc),x&lt;tf,75+25*(x-te)/(tf-te),TRUE,100)))</f>
        <v>10</v>
      </c>
      <c r="R57" s="35">
        <f>IF(Inputs!R57="","",LET(d,Rulebook!$L57,x,Inputs!R57*d,ta,Rulebook!$G57*d,tb,Rulebook!$H57*d,tc,Rulebook!$I57*d,te,Rulebook!$J57*d,tf,Rulebook!$K57*d,IFS(x&lt;=ta,0,x&lt;=tb,25*(x-ta)/(tb-ta),x&lt;=tc,25+25*(x-tb)/(tc-tb),x&lt;=te,50+25*(x-tc)/(te-tc),x&lt;tf,75+25*(x-te)/(tf-te),TRUE,100)))</f>
        <v>100</v>
      </c>
      <c r="S57" s="35">
        <f>IF(Inputs!S57="","",LET(d,Rulebook!$L57,x,Inputs!S57*d,ta,Rulebook!$G57*d,tb,Rulebook!$H57*d,tc,Rulebook!$I57*d,te,Rulebook!$J57*d,tf,Rulebook!$K57*d,IFS(x&lt;=ta,0,x&lt;=tb,25*(x-ta)/(tb-ta),x&lt;=tc,25+25*(x-tb)/(tc-tb),x&lt;=te,50+25*(x-tc)/(te-tc),x&lt;tf,75+25*(x-te)/(tf-te),TRUE,100)))</f>
        <v>0</v>
      </c>
      <c r="T57" s="35">
        <f>IF(Inputs!T57="","",LET(d,Rulebook!$L57,x,Inputs!T57*d,ta,Rulebook!$G57*d,tb,Rulebook!$H57*d,tc,Rulebook!$I57*d,te,Rulebook!$J57*d,tf,Rulebook!$K57*d,IFS(x&lt;=ta,0,x&lt;=tb,25*(x-ta)/(tb-ta),x&lt;=tc,25+25*(x-tb)/(tc-tb),x&lt;=te,50+25*(x-tc)/(te-tc),x&lt;tf,75+25*(x-te)/(tf-te),TRUE,100)))</f>
        <v>10</v>
      </c>
      <c r="U57" s="35">
        <f>IF(Inputs!U57="","",LET(d,Rulebook!$L57,x,Inputs!U57*d,ta,Rulebook!$G57*d,tb,Rulebook!$H57*d,tc,Rulebook!$I57*d,te,Rulebook!$J57*d,tf,Rulebook!$K57*d,IFS(x&lt;=ta,0,x&lt;=tb,25*(x-ta)/(tb-ta),x&lt;=tc,25+25*(x-tb)/(tc-tb),x&lt;=te,50+25*(x-tc)/(te-tc),x&lt;tf,75+25*(x-te)/(tf-te),TRUE,100)))</f>
        <v>15</v>
      </c>
      <c r="V57" s="35">
        <f>IF(Inputs!V57="","",LET(d,Rulebook!$L57,x,Inputs!V57*d,ta,Rulebook!$G57*d,tb,Rulebook!$H57*d,tc,Rulebook!$I57*d,te,Rulebook!$J57*d,tf,Rulebook!$K57*d,IFS(x&lt;=ta,0,x&lt;=tb,25*(x-ta)/(tb-ta),x&lt;=tc,25+25*(x-tb)/(tc-tb),x&lt;=te,50+25*(x-tc)/(te-tc),x&lt;tf,75+25*(x-te)/(tf-te),TRUE,100)))</f>
        <v>75</v>
      </c>
    </row>
    <row r="58">
      <c r="A58" s="26" t="s">
        <v>694</v>
      </c>
      <c r="B58" s="26">
        <v>5.0</v>
      </c>
      <c r="C58" s="26" t="s">
        <v>695</v>
      </c>
      <c r="D58" s="26" t="s">
        <v>120</v>
      </c>
      <c r="E58" s="35">
        <f>IF(Inputs!E58="","",LET(d,Rulebook!$L58,x,Inputs!E58*d,ta,Rulebook!$G58*d,tb,Rulebook!$H58*d,tc,Rulebook!$I58*d,te,Rulebook!$J58*d,tf,Rulebook!$K58*d,IFS(x&lt;=ta,0,x&lt;=tb,25*(x-ta)/(tb-ta),x&lt;=tc,25+25*(x-tb)/(tc-tb),x&lt;=te,50+25*(x-tc)/(te-tc),x&lt;tf,75+25*(x-te)/(tf-te),TRUE,100)))</f>
        <v>0</v>
      </c>
      <c r="F58" s="35">
        <f>IF(Inputs!F58="","",LET(d,Rulebook!$L58,x,Inputs!F58*d,ta,Rulebook!$G58*d,tb,Rulebook!$H58*d,tc,Rulebook!$I58*d,te,Rulebook!$J58*d,tf,Rulebook!$K58*d,IFS(x&lt;=ta,0,x&lt;=tb,25*(x-ta)/(tb-ta),x&lt;=tc,25+25*(x-tb)/(tc-tb),x&lt;=te,50+25*(x-tc)/(te-tc),x&lt;tf,75+25*(x-te)/(tf-te),TRUE,100)))</f>
        <v>12.5</v>
      </c>
      <c r="G58" s="35">
        <f>IF(Inputs!G58="","",LET(d,Rulebook!$L58,x,Inputs!G58*d,ta,Rulebook!$G58*d,tb,Rulebook!$H58*d,tc,Rulebook!$I58*d,te,Rulebook!$J58*d,tf,Rulebook!$K58*d,IFS(x&lt;=ta,0,x&lt;=tb,25*(x-ta)/(tb-ta),x&lt;=tc,25+25*(x-tb)/(tc-tb),x&lt;=te,50+25*(x-tc)/(te-tc),x&lt;tf,75+25*(x-te)/(tf-te),TRUE,100)))</f>
        <v>12.5</v>
      </c>
      <c r="H58" s="35">
        <f>IF(Inputs!H58="","",LET(d,Rulebook!$L58,x,Inputs!H58*d,ta,Rulebook!$G58*d,tb,Rulebook!$H58*d,tc,Rulebook!$I58*d,te,Rulebook!$J58*d,tf,Rulebook!$K58*d,IFS(x&lt;=ta,0,x&lt;=tb,25*(x-ta)/(tb-ta),x&lt;=tc,25+25*(x-tb)/(tc-tb),x&lt;=te,50+25*(x-tc)/(te-tc),x&lt;tf,75+25*(x-te)/(tf-te),TRUE,100)))</f>
        <v>0</v>
      </c>
      <c r="I58" s="35">
        <f>IF(Inputs!I58="","",LET(d,Rulebook!$L58,x,Inputs!I58*d,ta,Rulebook!$G58*d,tb,Rulebook!$H58*d,tc,Rulebook!$I58*d,te,Rulebook!$J58*d,tf,Rulebook!$K58*d,IFS(x&lt;=ta,0,x&lt;=tb,25*(x-ta)/(tb-ta),x&lt;=tc,25+25*(x-tb)/(tc-tb),x&lt;=te,50+25*(x-tc)/(te-tc),x&lt;tf,75+25*(x-te)/(tf-te),TRUE,100)))</f>
        <v>37.5</v>
      </c>
      <c r="J58" s="35">
        <f>IF(Inputs!J58="","",LET(d,Rulebook!$L58,x,Inputs!J58*d,ta,Rulebook!$G58*d,tb,Rulebook!$H58*d,tc,Rulebook!$I58*d,te,Rulebook!$J58*d,tf,Rulebook!$K58*d,IFS(x&lt;=ta,0,x&lt;=tb,25*(x-ta)/(tb-ta),x&lt;=tc,25+25*(x-tb)/(tc-tb),x&lt;=te,50+25*(x-tc)/(te-tc),x&lt;tf,75+25*(x-te)/(tf-te),TRUE,100)))</f>
        <v>0</v>
      </c>
      <c r="K58" s="35">
        <f>IF(Inputs!K58="","",LET(d,Rulebook!$L58,x,Inputs!K58*d,ta,Rulebook!$G58*d,tb,Rulebook!$H58*d,tc,Rulebook!$I58*d,te,Rulebook!$J58*d,tf,Rulebook!$K58*d,IFS(x&lt;=ta,0,x&lt;=tb,25*(x-ta)/(tb-ta),x&lt;=tc,25+25*(x-tb)/(tc-tb),x&lt;=te,50+25*(x-tc)/(te-tc),x&lt;tf,75+25*(x-te)/(tf-te),TRUE,100)))</f>
        <v>0</v>
      </c>
      <c r="L58" s="35">
        <f>IF(Inputs!L58="","",LET(d,Rulebook!$L58,x,Inputs!L58*d,ta,Rulebook!$G58*d,tb,Rulebook!$H58*d,tc,Rulebook!$I58*d,te,Rulebook!$J58*d,tf,Rulebook!$K58*d,IFS(x&lt;=ta,0,x&lt;=tb,25*(x-ta)/(tb-ta),x&lt;=tc,25+25*(x-tb)/(tc-tb),x&lt;=te,50+25*(x-tc)/(te-tc),x&lt;tf,75+25*(x-te)/(tf-te),TRUE,100)))</f>
        <v>12.5</v>
      </c>
      <c r="M58" s="35">
        <f>IF(Inputs!M58="","",LET(d,Rulebook!$L58,x,Inputs!M58*d,ta,Rulebook!$G58*d,tb,Rulebook!$H58*d,tc,Rulebook!$I58*d,te,Rulebook!$J58*d,tf,Rulebook!$K58*d,IFS(x&lt;=ta,0,x&lt;=tb,25*(x-ta)/(tb-ta),x&lt;=tc,25+25*(x-tb)/(tc-tb),x&lt;=te,50+25*(x-tc)/(te-tc),x&lt;tf,75+25*(x-te)/(tf-te),TRUE,100)))</f>
        <v>12.5</v>
      </c>
      <c r="N58" s="35">
        <f>IF(Inputs!N58="","",LET(d,Rulebook!$L58,x,Inputs!N58*d,ta,Rulebook!$G58*d,tb,Rulebook!$H58*d,tc,Rulebook!$I58*d,te,Rulebook!$J58*d,tf,Rulebook!$K58*d,IFS(x&lt;=ta,0,x&lt;=tb,25*(x-ta)/(tb-ta),x&lt;=tc,25+25*(x-tb)/(tc-tb),x&lt;=te,50+25*(x-tc)/(te-tc),x&lt;tf,75+25*(x-te)/(tf-te),TRUE,100)))</f>
        <v>37.5</v>
      </c>
      <c r="O58" s="35">
        <f>IF(Inputs!O58="","",LET(d,Rulebook!$L58,x,Inputs!O58*d,ta,Rulebook!$G58*d,tb,Rulebook!$H58*d,tc,Rulebook!$I58*d,te,Rulebook!$J58*d,tf,Rulebook!$K58*d,IFS(x&lt;=ta,0,x&lt;=tb,25*(x-ta)/(tb-ta),x&lt;=tc,25+25*(x-tb)/(tc-tb),x&lt;=te,50+25*(x-tc)/(te-tc),x&lt;tf,75+25*(x-te)/(tf-te),TRUE,100)))</f>
        <v>25</v>
      </c>
      <c r="P58" s="35">
        <f>IF(Inputs!P58="","",LET(d,Rulebook!$L58,x,Inputs!P58*d,ta,Rulebook!$G58*d,tb,Rulebook!$H58*d,tc,Rulebook!$I58*d,te,Rulebook!$J58*d,tf,Rulebook!$K58*d,IFS(x&lt;=ta,0,x&lt;=tb,25*(x-ta)/(tb-ta),x&lt;=tc,25+25*(x-tb)/(tc-tb),x&lt;=te,50+25*(x-tc)/(te-tc),x&lt;tf,75+25*(x-te)/(tf-te),TRUE,100)))</f>
        <v>75</v>
      </c>
      <c r="Q58" s="35">
        <f>IF(Inputs!Q58="","",LET(d,Rulebook!$L58,x,Inputs!Q58*d,ta,Rulebook!$G58*d,tb,Rulebook!$H58*d,tc,Rulebook!$I58*d,te,Rulebook!$J58*d,tf,Rulebook!$K58*d,IFS(x&lt;=ta,0,x&lt;=tb,25*(x-ta)/(tb-ta),x&lt;=tc,25+25*(x-tb)/(tc-tb),x&lt;=te,50+25*(x-tc)/(te-tc),x&lt;tf,75+25*(x-te)/(tf-te),TRUE,100)))</f>
        <v>7.5</v>
      </c>
      <c r="R58" s="35">
        <f>IF(Inputs!R58="","",LET(d,Rulebook!$L58,x,Inputs!R58*d,ta,Rulebook!$G58*d,tb,Rulebook!$H58*d,tc,Rulebook!$I58*d,te,Rulebook!$J58*d,tf,Rulebook!$K58*d,IFS(x&lt;=ta,0,x&lt;=tb,25*(x-ta)/(tb-ta),x&lt;=tc,25+25*(x-tb)/(tc-tb),x&lt;=te,50+25*(x-tc)/(te-tc),x&lt;tf,75+25*(x-te)/(tf-te),TRUE,100)))</f>
        <v>100</v>
      </c>
      <c r="S58" s="35">
        <f>IF(Inputs!S58="","",LET(d,Rulebook!$L58,x,Inputs!S58*d,ta,Rulebook!$G58*d,tb,Rulebook!$H58*d,tc,Rulebook!$I58*d,te,Rulebook!$J58*d,tf,Rulebook!$K58*d,IFS(x&lt;=ta,0,x&lt;=tb,25*(x-ta)/(tb-ta),x&lt;=tc,25+25*(x-tb)/(tc-tb),x&lt;=te,50+25*(x-tc)/(te-tc),x&lt;tf,75+25*(x-te)/(tf-te),TRUE,100)))</f>
        <v>25</v>
      </c>
      <c r="T58" s="35">
        <f>IF(Inputs!T58="","",LET(d,Rulebook!$L58,x,Inputs!T58*d,ta,Rulebook!$G58*d,tb,Rulebook!$H58*d,tc,Rulebook!$I58*d,te,Rulebook!$J58*d,tf,Rulebook!$K58*d,IFS(x&lt;=ta,0,x&lt;=tb,25*(x-ta)/(tb-ta),x&lt;=tc,25+25*(x-tb)/(tc-tb),x&lt;=te,50+25*(x-tc)/(te-tc),x&lt;tf,75+25*(x-te)/(tf-te),TRUE,100)))</f>
        <v>0</v>
      </c>
      <c r="U58" s="35">
        <f>IF(Inputs!U58="","",LET(d,Rulebook!$L58,x,Inputs!U58*d,ta,Rulebook!$G58*d,tb,Rulebook!$H58*d,tc,Rulebook!$I58*d,te,Rulebook!$J58*d,tf,Rulebook!$K58*d,IFS(x&lt;=ta,0,x&lt;=tb,25*(x-ta)/(tb-ta),x&lt;=tc,25+25*(x-tb)/(tc-tb),x&lt;=te,50+25*(x-tc)/(te-tc),x&lt;tf,75+25*(x-te)/(tf-te),TRUE,100)))</f>
        <v>25</v>
      </c>
      <c r="V58" s="35">
        <f>IF(Inputs!V58="","",LET(d,Rulebook!$L58,x,Inputs!V58*d,ta,Rulebook!$G58*d,tb,Rulebook!$H58*d,tc,Rulebook!$I58*d,te,Rulebook!$J58*d,tf,Rulebook!$K58*d,IFS(x&lt;=ta,0,x&lt;=tb,25*(x-ta)/(tb-ta),x&lt;=tc,25+25*(x-tb)/(tc-tb),x&lt;=te,50+25*(x-tc)/(te-tc),x&lt;tf,75+25*(x-te)/(tf-te),TRUE,100)))</f>
        <v>87.5</v>
      </c>
    </row>
    <row r="59">
      <c r="A59" s="26" t="s">
        <v>698</v>
      </c>
      <c r="B59" s="26">
        <v>5.0</v>
      </c>
      <c r="C59" s="26" t="s">
        <v>699</v>
      </c>
      <c r="D59" s="26" t="s">
        <v>112</v>
      </c>
      <c r="E59" s="35">
        <f>IF(Inputs!E59="","",MAX(LET(d,Rulebook!$L59,x,Inputs!E59*d,ta,Rulebook!$G59*d,tb,Rulebook!$H59*d,tc,Rulebook!$I59*d,te,Rulebook!$J59*d,tf,Rulebook!$K59*d,IFS(x&lt;=ta,0,x&lt;=tb,25*(x-ta)/(tb-ta),x&lt;=tc,25+25*(x-tb)/(tc-tb),x&lt;=te,50+25*(x-tc)/(te-tc),x&lt;tf,75+25*(x-te)/(tf-te),TRUE,100)),LET(d,SIGN(Rulebook!$U59-Rulebook!$Q59),x,Inputs!E59*d,ta,Rulebook!$Q59*d,tb,Rulebook!$R59*d,tc,Rulebook!$S59*d,te,Rulebook!$T59*d,tf,Rulebook!$U59*d,IFS(x&lt;=ta,0,x&lt;=tb,25*(x-ta)/(tb-ta),x&lt;=tc,25+25*(x-tb)/(tc-tb),x&lt;=te,50+25*(x-tc)/(te-tc),x&lt;tf,75+25*(x-te)/(tf-te),TRUE,100))))</f>
        <v>0</v>
      </c>
      <c r="F59" s="35">
        <f>IF(Inputs!F59="","",MAX(LET(d,Rulebook!$L59,x,Inputs!F59*d,ta,Rulebook!$G59*d,tb,Rulebook!$H59*d,tc,Rulebook!$I59*d,te,Rulebook!$J59*d,tf,Rulebook!$K59*d,IFS(x&lt;=ta,0,x&lt;=tb,25*(x-ta)/(tb-ta),x&lt;=tc,25+25*(x-tb)/(tc-tb),x&lt;=te,50+25*(x-tc)/(te-tc),x&lt;tf,75+25*(x-te)/(tf-te),TRUE,100)),LET(d,SIGN(Rulebook!$U59-Rulebook!$Q59),x,Inputs!F59*d,ta,Rulebook!$Q59*d,tb,Rulebook!$R59*d,tc,Rulebook!$S59*d,te,Rulebook!$T59*d,tf,Rulebook!$U59*d,IFS(x&lt;=ta,0,x&lt;=tb,25*(x-ta)/(tb-ta),x&lt;=tc,25+25*(x-tb)/(tc-tb),x&lt;=te,50+25*(x-tc)/(te-tc),x&lt;tf,75+25*(x-te)/(tf-te),TRUE,100))))</f>
        <v>0</v>
      </c>
      <c r="G59" s="35">
        <f>IF(Inputs!G59="","",MAX(LET(d,Rulebook!$L59,x,Inputs!G59*d,ta,Rulebook!$G59*d,tb,Rulebook!$H59*d,tc,Rulebook!$I59*d,te,Rulebook!$J59*d,tf,Rulebook!$K59*d,IFS(x&lt;=ta,0,x&lt;=tb,25*(x-ta)/(tb-ta),x&lt;=tc,25+25*(x-tb)/(tc-tb),x&lt;=te,50+25*(x-tc)/(te-tc),x&lt;tf,75+25*(x-te)/(tf-te),TRUE,100)),LET(d,SIGN(Rulebook!$U59-Rulebook!$Q59),x,Inputs!G59*d,ta,Rulebook!$Q59*d,tb,Rulebook!$R59*d,tc,Rulebook!$S59*d,te,Rulebook!$T59*d,tf,Rulebook!$U59*d,IFS(x&lt;=ta,0,x&lt;=tb,25*(x-ta)/(tb-ta),x&lt;=tc,25+25*(x-tb)/(tc-tb),x&lt;=te,50+25*(x-tc)/(te-tc),x&lt;tf,75+25*(x-te)/(tf-te),TRUE,100))))</f>
        <v>0</v>
      </c>
      <c r="H59" s="35">
        <f>IF(Inputs!H59="","",MAX(LET(d,Rulebook!$L59,x,Inputs!H59*d,ta,Rulebook!$G59*d,tb,Rulebook!$H59*d,tc,Rulebook!$I59*d,te,Rulebook!$J59*d,tf,Rulebook!$K59*d,IFS(x&lt;=ta,0,x&lt;=tb,25*(x-ta)/(tb-ta),x&lt;=tc,25+25*(x-tb)/(tc-tb),x&lt;=te,50+25*(x-tc)/(te-tc),x&lt;tf,75+25*(x-te)/(tf-te),TRUE,100)),LET(d,SIGN(Rulebook!$U59-Rulebook!$Q59),x,Inputs!H59*d,ta,Rulebook!$Q59*d,tb,Rulebook!$R59*d,tc,Rulebook!$S59*d,te,Rulebook!$T59*d,tf,Rulebook!$U59*d,IFS(x&lt;=ta,0,x&lt;=tb,25*(x-ta)/(tb-ta),x&lt;=tc,25+25*(x-tb)/(tc-tb),x&lt;=te,50+25*(x-tc)/(te-tc),x&lt;tf,75+25*(x-te)/(tf-te),TRUE,100))))</f>
        <v>0</v>
      </c>
      <c r="I59" s="35">
        <f>IF(Inputs!I59="","",MAX(LET(d,Rulebook!$L59,x,Inputs!I59*d,ta,Rulebook!$G59*d,tb,Rulebook!$H59*d,tc,Rulebook!$I59*d,te,Rulebook!$J59*d,tf,Rulebook!$K59*d,IFS(x&lt;=ta,0,x&lt;=tb,25*(x-ta)/(tb-ta),x&lt;=tc,25+25*(x-tb)/(tc-tb),x&lt;=te,50+25*(x-tc)/(te-tc),x&lt;tf,75+25*(x-te)/(tf-te),TRUE,100)),LET(d,SIGN(Rulebook!$U59-Rulebook!$Q59),x,Inputs!I59*d,ta,Rulebook!$Q59*d,tb,Rulebook!$R59*d,tc,Rulebook!$S59*d,te,Rulebook!$T59*d,tf,Rulebook!$U59*d,IFS(x&lt;=ta,0,x&lt;=tb,25*(x-ta)/(tb-ta),x&lt;=tc,25+25*(x-tb)/(tc-tb),x&lt;=te,50+25*(x-tc)/(te-tc),x&lt;tf,75+25*(x-te)/(tf-te),TRUE,100))))</f>
        <v>0</v>
      </c>
      <c r="J59" s="35">
        <f>IF(Inputs!J59="","",MAX(LET(d,Rulebook!$L59,x,Inputs!J59*d,ta,Rulebook!$G59*d,tb,Rulebook!$H59*d,tc,Rulebook!$I59*d,te,Rulebook!$J59*d,tf,Rulebook!$K59*d,IFS(x&lt;=ta,0,x&lt;=tb,25*(x-ta)/(tb-ta),x&lt;=tc,25+25*(x-tb)/(tc-tb),x&lt;=te,50+25*(x-tc)/(te-tc),x&lt;tf,75+25*(x-te)/(tf-te),TRUE,100)),LET(d,SIGN(Rulebook!$U59-Rulebook!$Q59),x,Inputs!J59*d,ta,Rulebook!$Q59*d,tb,Rulebook!$R59*d,tc,Rulebook!$S59*d,te,Rulebook!$T59*d,tf,Rulebook!$U59*d,IFS(x&lt;=ta,0,x&lt;=tb,25*(x-ta)/(tb-ta),x&lt;=tc,25+25*(x-tb)/(tc-tb),x&lt;=te,50+25*(x-tc)/(te-tc),x&lt;tf,75+25*(x-te)/(tf-te),TRUE,100))))</f>
        <v>30</v>
      </c>
      <c r="K59" s="35">
        <f>IF(Inputs!K59="","",MAX(LET(d,Rulebook!$L59,x,Inputs!K59*d,ta,Rulebook!$G59*d,tb,Rulebook!$H59*d,tc,Rulebook!$I59*d,te,Rulebook!$J59*d,tf,Rulebook!$K59*d,IFS(x&lt;=ta,0,x&lt;=tb,25*(x-ta)/(tb-ta),x&lt;=tc,25+25*(x-tb)/(tc-tb),x&lt;=te,50+25*(x-tc)/(te-tc),x&lt;tf,75+25*(x-te)/(tf-te),TRUE,100)),LET(d,SIGN(Rulebook!$U59-Rulebook!$Q59),x,Inputs!K59*d,ta,Rulebook!$Q59*d,tb,Rulebook!$R59*d,tc,Rulebook!$S59*d,te,Rulebook!$T59*d,tf,Rulebook!$U59*d,IFS(x&lt;=ta,0,x&lt;=tb,25*(x-ta)/(tb-ta),x&lt;=tc,25+25*(x-tb)/(tc-tb),x&lt;=te,50+25*(x-tc)/(te-tc),x&lt;tf,75+25*(x-te)/(tf-te),TRUE,100))))</f>
        <v>0</v>
      </c>
      <c r="L59" s="35">
        <f>IF(Inputs!L59="","",MAX(LET(d,Rulebook!$L59,x,Inputs!L59*d,ta,Rulebook!$G59*d,tb,Rulebook!$H59*d,tc,Rulebook!$I59*d,te,Rulebook!$J59*d,tf,Rulebook!$K59*d,IFS(x&lt;=ta,0,x&lt;=tb,25*(x-ta)/(tb-ta),x&lt;=tc,25+25*(x-tb)/(tc-tb),x&lt;=te,50+25*(x-tc)/(te-tc),x&lt;tf,75+25*(x-te)/(tf-te),TRUE,100)),LET(d,SIGN(Rulebook!$U59-Rulebook!$Q59),x,Inputs!L59*d,ta,Rulebook!$Q59*d,tb,Rulebook!$R59*d,tc,Rulebook!$S59*d,te,Rulebook!$T59*d,tf,Rulebook!$U59*d,IFS(x&lt;=ta,0,x&lt;=tb,25*(x-ta)/(tb-ta),x&lt;=tc,25+25*(x-tb)/(tc-tb),x&lt;=te,50+25*(x-tc)/(te-tc),x&lt;tf,75+25*(x-te)/(tf-te),TRUE,100))))</f>
        <v>0</v>
      </c>
      <c r="M59" s="35">
        <f>IF(Inputs!M59="","",MAX(LET(d,Rulebook!$L59,x,Inputs!M59*d,ta,Rulebook!$G59*d,tb,Rulebook!$H59*d,tc,Rulebook!$I59*d,te,Rulebook!$J59*d,tf,Rulebook!$K59*d,IFS(x&lt;=ta,0,x&lt;=tb,25*(x-ta)/(tb-ta),x&lt;=tc,25+25*(x-tb)/(tc-tb),x&lt;=te,50+25*(x-tc)/(te-tc),x&lt;tf,75+25*(x-te)/(tf-te),TRUE,100)),LET(d,SIGN(Rulebook!$U59-Rulebook!$Q59),x,Inputs!M59*d,ta,Rulebook!$Q59*d,tb,Rulebook!$R59*d,tc,Rulebook!$S59*d,te,Rulebook!$T59*d,tf,Rulebook!$U59*d,IFS(x&lt;=ta,0,x&lt;=tb,25*(x-ta)/(tb-ta),x&lt;=tc,25+25*(x-tb)/(tc-tb),x&lt;=te,50+25*(x-tc)/(te-tc),x&lt;tf,75+25*(x-te)/(tf-te),TRUE,100))))</f>
        <v>12.5</v>
      </c>
      <c r="N59" s="35">
        <f>IF(Inputs!N59="","",MAX(LET(d,Rulebook!$L59,x,Inputs!N59*d,ta,Rulebook!$G59*d,tb,Rulebook!$H59*d,tc,Rulebook!$I59*d,te,Rulebook!$J59*d,tf,Rulebook!$K59*d,IFS(x&lt;=ta,0,x&lt;=tb,25*(x-ta)/(tb-ta),x&lt;=tc,25+25*(x-tb)/(tc-tb),x&lt;=te,50+25*(x-tc)/(te-tc),x&lt;tf,75+25*(x-te)/(tf-te),TRUE,100)),LET(d,SIGN(Rulebook!$U59-Rulebook!$Q59),x,Inputs!N59*d,ta,Rulebook!$Q59*d,tb,Rulebook!$R59*d,tc,Rulebook!$S59*d,te,Rulebook!$T59*d,tf,Rulebook!$U59*d,IFS(x&lt;=ta,0,x&lt;=tb,25*(x-ta)/(tb-ta),x&lt;=tc,25+25*(x-tb)/(tc-tb),x&lt;=te,50+25*(x-tc)/(te-tc),x&lt;tf,75+25*(x-te)/(tf-te),TRUE,100))))</f>
        <v>0</v>
      </c>
      <c r="O59" s="35">
        <f>IF(Inputs!O59="","",MAX(LET(d,Rulebook!$L59,x,Inputs!O59*d,ta,Rulebook!$G59*d,tb,Rulebook!$H59*d,tc,Rulebook!$I59*d,te,Rulebook!$J59*d,tf,Rulebook!$K59*d,IFS(x&lt;=ta,0,x&lt;=tb,25*(x-ta)/(tb-ta),x&lt;=tc,25+25*(x-tb)/(tc-tb),x&lt;=te,50+25*(x-tc)/(te-tc),x&lt;tf,75+25*(x-te)/(tf-te),TRUE,100)),LET(d,SIGN(Rulebook!$U59-Rulebook!$Q59),x,Inputs!O59*d,ta,Rulebook!$Q59*d,tb,Rulebook!$R59*d,tc,Rulebook!$S59*d,te,Rulebook!$T59*d,tf,Rulebook!$U59*d,IFS(x&lt;=ta,0,x&lt;=tb,25*(x-ta)/(tb-ta),x&lt;=tc,25+25*(x-tb)/(tc-tb),x&lt;=te,50+25*(x-tc)/(te-tc),x&lt;tf,75+25*(x-te)/(tf-te),TRUE,100))))</f>
        <v>75</v>
      </c>
      <c r="P59" s="35">
        <f>IF(Inputs!P59="","",MAX(LET(d,Rulebook!$L59,x,Inputs!P59*d,ta,Rulebook!$G59*d,tb,Rulebook!$H59*d,tc,Rulebook!$I59*d,te,Rulebook!$J59*d,tf,Rulebook!$K59*d,IFS(x&lt;=ta,0,x&lt;=tb,25*(x-ta)/(tb-ta),x&lt;=tc,25+25*(x-tb)/(tc-tb),x&lt;=te,50+25*(x-tc)/(te-tc),x&lt;tf,75+25*(x-te)/(tf-te),TRUE,100)),LET(d,SIGN(Rulebook!$U59-Rulebook!$Q59),x,Inputs!P59*d,ta,Rulebook!$Q59*d,tb,Rulebook!$R59*d,tc,Rulebook!$S59*d,te,Rulebook!$T59*d,tf,Rulebook!$U59*d,IFS(x&lt;=ta,0,x&lt;=tb,25*(x-ta)/(tb-ta),x&lt;=tc,25+25*(x-tb)/(tc-tb),x&lt;=te,50+25*(x-tc)/(te-tc),x&lt;tf,75+25*(x-te)/(tf-te),TRUE,100))))</f>
        <v>100</v>
      </c>
      <c r="Q59" s="35">
        <f>IF(Inputs!Q59="","",MAX(LET(d,Rulebook!$L59,x,Inputs!Q59*d,ta,Rulebook!$G59*d,tb,Rulebook!$H59*d,tc,Rulebook!$I59*d,te,Rulebook!$J59*d,tf,Rulebook!$K59*d,IFS(x&lt;=ta,0,x&lt;=tb,25*(x-ta)/(tb-ta),x&lt;=tc,25+25*(x-tb)/(tc-tb),x&lt;=te,50+25*(x-tc)/(te-tc),x&lt;tf,75+25*(x-te)/(tf-te),TRUE,100)),LET(d,SIGN(Rulebook!$U59-Rulebook!$Q59),x,Inputs!Q59*d,ta,Rulebook!$Q59*d,tb,Rulebook!$R59*d,tc,Rulebook!$S59*d,te,Rulebook!$T59*d,tf,Rulebook!$U59*d,IFS(x&lt;=ta,0,x&lt;=tb,25*(x-ta)/(tb-ta),x&lt;=tc,25+25*(x-tb)/(tc-tb),x&lt;=te,50+25*(x-tc)/(te-tc),x&lt;tf,75+25*(x-te)/(tf-te),TRUE,100))))</f>
        <v>6.25</v>
      </c>
      <c r="R59" s="35">
        <f>IF(Inputs!R59="","",MAX(LET(d,Rulebook!$L59,x,Inputs!R59*d,ta,Rulebook!$G59*d,tb,Rulebook!$H59*d,tc,Rulebook!$I59*d,te,Rulebook!$J59*d,tf,Rulebook!$K59*d,IFS(x&lt;=ta,0,x&lt;=tb,25*(x-ta)/(tb-ta),x&lt;=tc,25+25*(x-tb)/(tc-tb),x&lt;=te,50+25*(x-tc)/(te-tc),x&lt;tf,75+25*(x-te)/(tf-te),TRUE,100)),LET(d,SIGN(Rulebook!$U59-Rulebook!$Q59),x,Inputs!R59*d,ta,Rulebook!$Q59*d,tb,Rulebook!$R59*d,tc,Rulebook!$S59*d,te,Rulebook!$T59*d,tf,Rulebook!$U59*d,IFS(x&lt;=ta,0,x&lt;=tb,25*(x-ta)/(tb-ta),x&lt;=tc,25+25*(x-tb)/(tc-tb),x&lt;=te,50+25*(x-tc)/(te-tc),x&lt;tf,75+25*(x-te)/(tf-te),TRUE,100))))</f>
        <v>100</v>
      </c>
      <c r="S59" s="35">
        <f>IF(Inputs!S59="","",MAX(LET(d,Rulebook!$L59,x,Inputs!S59*d,ta,Rulebook!$G59*d,tb,Rulebook!$H59*d,tc,Rulebook!$I59*d,te,Rulebook!$J59*d,tf,Rulebook!$K59*d,IFS(x&lt;=ta,0,x&lt;=tb,25*(x-ta)/(tb-ta),x&lt;=tc,25+25*(x-tb)/(tc-tb),x&lt;=te,50+25*(x-tc)/(te-tc),x&lt;tf,75+25*(x-te)/(tf-te),TRUE,100)),LET(d,SIGN(Rulebook!$U59-Rulebook!$Q59),x,Inputs!S59*d,ta,Rulebook!$Q59*d,tb,Rulebook!$R59*d,tc,Rulebook!$S59*d,te,Rulebook!$T59*d,tf,Rulebook!$U59*d,IFS(x&lt;=ta,0,x&lt;=tb,25*(x-ta)/(tb-ta),x&lt;=tc,25+25*(x-tb)/(tc-tb),x&lt;=te,50+25*(x-tc)/(te-tc),x&lt;tf,75+25*(x-te)/(tf-te),TRUE,100))))</f>
        <v>12.5</v>
      </c>
      <c r="T59" s="35">
        <f>IF(Inputs!T59="","",MAX(LET(d,Rulebook!$L59,x,Inputs!T59*d,ta,Rulebook!$G59*d,tb,Rulebook!$H59*d,tc,Rulebook!$I59*d,te,Rulebook!$J59*d,tf,Rulebook!$K59*d,IFS(x&lt;=ta,0,x&lt;=tb,25*(x-ta)/(tb-ta),x&lt;=tc,25+25*(x-tb)/(tc-tb),x&lt;=te,50+25*(x-tc)/(te-tc),x&lt;tf,75+25*(x-te)/(tf-te),TRUE,100)),LET(d,SIGN(Rulebook!$U59-Rulebook!$Q59),x,Inputs!T59*d,ta,Rulebook!$Q59*d,tb,Rulebook!$R59*d,tc,Rulebook!$S59*d,te,Rulebook!$T59*d,tf,Rulebook!$U59*d,IFS(x&lt;=ta,0,x&lt;=tb,25*(x-ta)/(tb-ta),x&lt;=tc,25+25*(x-tb)/(tc-tb),x&lt;=te,50+25*(x-tc)/(te-tc),x&lt;tf,75+25*(x-te)/(tf-te),TRUE,100))))</f>
        <v>0</v>
      </c>
      <c r="U59" s="35">
        <f>IF(Inputs!U59="","",MAX(LET(d,Rulebook!$L59,x,Inputs!U59*d,ta,Rulebook!$G59*d,tb,Rulebook!$H59*d,tc,Rulebook!$I59*d,te,Rulebook!$J59*d,tf,Rulebook!$K59*d,IFS(x&lt;=ta,0,x&lt;=tb,25*(x-ta)/(tb-ta),x&lt;=tc,25+25*(x-tb)/(tc-tb),x&lt;=te,50+25*(x-tc)/(te-tc),x&lt;tf,75+25*(x-te)/(tf-te),TRUE,100)),LET(d,SIGN(Rulebook!$U59-Rulebook!$Q59),x,Inputs!U59*d,ta,Rulebook!$Q59*d,tb,Rulebook!$R59*d,tc,Rulebook!$S59*d,te,Rulebook!$T59*d,tf,Rulebook!$U59*d,IFS(x&lt;=ta,0,x&lt;=tb,25*(x-ta)/(tb-ta),x&lt;=tc,25+25*(x-tb)/(tc-tb),x&lt;=te,50+25*(x-tc)/(te-tc),x&lt;tf,75+25*(x-te)/(tf-te),TRUE,100))))</f>
        <v>0</v>
      </c>
      <c r="V59" s="35">
        <f>IF(Inputs!V59="","",MAX(LET(d,Rulebook!$L59,x,Inputs!V59*d,ta,Rulebook!$G59*d,tb,Rulebook!$H59*d,tc,Rulebook!$I59*d,te,Rulebook!$J59*d,tf,Rulebook!$K59*d,IFS(x&lt;=ta,0,x&lt;=tb,25*(x-ta)/(tb-ta),x&lt;=tc,25+25*(x-tb)/(tc-tb),x&lt;=te,50+25*(x-tc)/(te-tc),x&lt;tf,75+25*(x-te)/(tf-te),TRUE,100)),LET(d,SIGN(Rulebook!$U59-Rulebook!$Q59),x,Inputs!V59*d,ta,Rulebook!$Q59*d,tb,Rulebook!$R59*d,tc,Rulebook!$S59*d,te,Rulebook!$T59*d,tf,Rulebook!$U59*d,IFS(x&lt;=ta,0,x&lt;=tb,25*(x-ta)/(tb-ta),x&lt;=tc,25+25*(x-tb)/(tc-tb),x&lt;=te,50+25*(x-tc)/(te-tc),x&lt;tf,75+25*(x-te)/(tf-te),TRUE,100))))</f>
        <v>12.5</v>
      </c>
    </row>
    <row r="60">
      <c r="A60" s="26" t="s">
        <v>703</v>
      </c>
      <c r="B60" s="26">
        <v>5.0</v>
      </c>
      <c r="C60" s="26" t="s">
        <v>704</v>
      </c>
      <c r="D60" s="26" t="s">
        <v>705</v>
      </c>
      <c r="E60" s="35">
        <f>IF(Inputs!E60="","",LET(d,Rulebook!$L60,x,Inputs!E60*d,ta,Rulebook!$G60*d,tb,Rulebook!$H60*d,tc,Rulebook!$I60*d,te,Rulebook!$J60*d,tf,Rulebook!$K60*d,IFS(x&lt;=ta,0,x&lt;=tb,25*(x-ta)/(tb-ta),x&lt;=tc,25+25*(x-tb)/(tc-tb),x&lt;=te,50+25*(x-tc)/(te-tc),x&lt;tf,75+25*(x-te)/(tf-te),TRUE,100)))</f>
        <v>57.14285714</v>
      </c>
      <c r="F60" s="35">
        <f>IF(Inputs!F60="","",LET(d,Rulebook!$L60,x,Inputs!F60*d,ta,Rulebook!$G60*d,tb,Rulebook!$H60*d,tc,Rulebook!$I60*d,te,Rulebook!$J60*d,tf,Rulebook!$K60*d,IFS(x&lt;=ta,0,x&lt;=tb,25*(x-ta)/(tb-ta),x&lt;=tc,25+25*(x-tb)/(tc-tb),x&lt;=te,50+25*(x-tc)/(te-tc),x&lt;tf,75+25*(x-te)/(tf-te),TRUE,100)))</f>
        <v>62.14285714</v>
      </c>
      <c r="G60" s="35">
        <f>IF(Inputs!G60="","",LET(d,Rulebook!$L60,x,Inputs!G60*d,ta,Rulebook!$G60*d,tb,Rulebook!$H60*d,tc,Rulebook!$I60*d,te,Rulebook!$J60*d,tf,Rulebook!$K60*d,IFS(x&lt;=ta,0,x&lt;=tb,25*(x-ta)/(tb-ta),x&lt;=tc,25+25*(x-tb)/(tc-tb),x&lt;=te,50+25*(x-tc)/(te-tc),x&lt;tf,75+25*(x-te)/(tf-te),TRUE,100)))</f>
        <v>24.38116667</v>
      </c>
      <c r="H60" s="35">
        <f>IF(Inputs!H60="","",LET(d,Rulebook!$L60,x,Inputs!H60*d,ta,Rulebook!$G60*d,tb,Rulebook!$H60*d,tc,Rulebook!$I60*d,te,Rulebook!$J60*d,tf,Rulebook!$K60*d,IFS(x&lt;=ta,0,x&lt;=tb,25*(x-ta)/(tb-ta),x&lt;=tc,25+25*(x-tb)/(tc-tb),x&lt;=te,50+25*(x-tc)/(te-tc),x&lt;tf,75+25*(x-te)/(tf-te),TRUE,100)))</f>
        <v>29.16666667</v>
      </c>
      <c r="I60" s="35">
        <f>IF(Inputs!I60="","",LET(d,Rulebook!$L60,x,Inputs!I60*d,ta,Rulebook!$G60*d,tb,Rulebook!$H60*d,tc,Rulebook!$I60*d,te,Rulebook!$J60*d,tf,Rulebook!$K60*d,IFS(x&lt;=ta,0,x&lt;=tb,25*(x-ta)/(tb-ta),x&lt;=tc,25+25*(x-tb)/(tc-tb),x&lt;=te,50+25*(x-tc)/(te-tc),x&lt;tf,75+25*(x-te)/(tf-te),TRUE,100)))</f>
        <v>0</v>
      </c>
      <c r="J60" s="35">
        <f>IF(Inputs!J60="","",LET(d,Rulebook!$L60,x,Inputs!J60*d,ta,Rulebook!$G60*d,tb,Rulebook!$H60*d,tc,Rulebook!$I60*d,te,Rulebook!$J60*d,tf,Rulebook!$K60*d,IFS(x&lt;=ta,0,x&lt;=tb,25*(x-ta)/(tb-ta),x&lt;=tc,25+25*(x-tb)/(tc-tb),x&lt;=te,50+25*(x-tc)/(te-tc),x&lt;tf,75+25*(x-te)/(tf-te),TRUE,100)))</f>
        <v>0</v>
      </c>
      <c r="K60" s="35">
        <f>IF(Inputs!K60="","",LET(d,Rulebook!$L60,x,Inputs!K60*d,ta,Rulebook!$G60*d,tb,Rulebook!$H60*d,tc,Rulebook!$I60*d,te,Rulebook!$J60*d,tf,Rulebook!$K60*d,IFS(x&lt;=ta,0,x&lt;=tb,25*(x-ta)/(tb-ta),x&lt;=tc,25+25*(x-tb)/(tc-tb),x&lt;=te,50+25*(x-tc)/(te-tc),x&lt;tf,75+25*(x-te)/(tf-te),TRUE,100)))</f>
        <v>0</v>
      </c>
      <c r="L60" s="35">
        <f>IF(Inputs!L60="","",LET(d,Rulebook!$L60,x,Inputs!L60*d,ta,Rulebook!$G60*d,tb,Rulebook!$H60*d,tc,Rulebook!$I60*d,te,Rulebook!$J60*d,tf,Rulebook!$K60*d,IFS(x&lt;=ta,0,x&lt;=tb,25*(x-ta)/(tb-ta),x&lt;=tc,25+25*(x-tb)/(tc-tb),x&lt;=te,50+25*(x-tc)/(te-tc),x&lt;tf,75+25*(x-te)/(tf-te),TRUE,100)))</f>
        <v>72.14285714</v>
      </c>
      <c r="M60" s="35">
        <f>IF(Inputs!M60="","",LET(d,Rulebook!$L60,x,Inputs!M60*d,ta,Rulebook!$G60*d,tb,Rulebook!$H60*d,tc,Rulebook!$I60*d,te,Rulebook!$J60*d,tf,Rulebook!$K60*d,IFS(x&lt;=ta,0,x&lt;=tb,25*(x-ta)/(tb-ta),x&lt;=tc,25+25*(x-tb)/(tc-tb),x&lt;=te,50+25*(x-tc)/(te-tc),x&lt;tf,75+25*(x-te)/(tf-te),TRUE,100)))</f>
        <v>90</v>
      </c>
      <c r="N60" s="35">
        <f>IF(Inputs!N60="","",LET(d,Rulebook!$L60,x,Inputs!N60*d,ta,Rulebook!$G60*d,tb,Rulebook!$H60*d,tc,Rulebook!$I60*d,te,Rulebook!$J60*d,tf,Rulebook!$K60*d,IFS(x&lt;=ta,0,x&lt;=tb,25*(x-ta)/(tb-ta),x&lt;=tc,25+25*(x-tb)/(tc-tb),x&lt;=te,50+25*(x-tc)/(te-tc),x&lt;tf,75+25*(x-te)/(tf-te),TRUE,100)))</f>
        <v>44.22722222</v>
      </c>
      <c r="O60" s="35">
        <f>IF(Inputs!O60="","",LET(d,Rulebook!$L60,x,Inputs!O60*d,ta,Rulebook!$G60*d,tb,Rulebook!$H60*d,tc,Rulebook!$I60*d,te,Rulebook!$J60*d,tf,Rulebook!$K60*d,IFS(x&lt;=ta,0,x&lt;=tb,25*(x-ta)/(tb-ta),x&lt;=tc,25+25*(x-tb)/(tc-tb),x&lt;=te,50+25*(x-tc)/(te-tc),x&lt;tf,75+25*(x-te)/(tf-te),TRUE,100)))</f>
        <v>32.23</v>
      </c>
      <c r="P60" s="35">
        <f>IF(Inputs!P60="","",LET(d,Rulebook!$L60,x,Inputs!P60*d,ta,Rulebook!$G60*d,tb,Rulebook!$H60*d,tc,Rulebook!$I60*d,te,Rulebook!$J60*d,tf,Rulebook!$K60*d,IFS(x&lt;=ta,0,x&lt;=tb,25*(x-ta)/(tb-ta),x&lt;=tc,25+25*(x-tb)/(tc-tb),x&lt;=te,50+25*(x-tc)/(te-tc),x&lt;tf,75+25*(x-te)/(tf-te),TRUE,100)))</f>
        <v>23.2975</v>
      </c>
      <c r="Q60" s="35">
        <f>IF(Inputs!Q60="","",LET(d,Rulebook!$L60,x,Inputs!Q60*d,ta,Rulebook!$G60*d,tb,Rulebook!$H60*d,tc,Rulebook!$I60*d,te,Rulebook!$J60*d,tf,Rulebook!$K60*d,IFS(x&lt;=ta,0,x&lt;=tb,25*(x-ta)/(tb-ta),x&lt;=tc,25+25*(x-tb)/(tc-tb),x&lt;=te,50+25*(x-tc)/(te-tc),x&lt;tf,75+25*(x-te)/(tf-te),TRUE,100)))</f>
        <v>36.87361111</v>
      </c>
      <c r="R60" s="35">
        <f>IF(Inputs!R60="","",LET(d,Rulebook!$L60,x,Inputs!R60*d,ta,Rulebook!$G60*d,tb,Rulebook!$H60*d,tc,Rulebook!$I60*d,te,Rulebook!$J60*d,tf,Rulebook!$K60*d,IFS(x&lt;=ta,0,x&lt;=tb,25*(x-ta)/(tb-ta),x&lt;=tc,25+25*(x-tb)/(tc-tb),x&lt;=te,50+25*(x-tc)/(te-tc),x&lt;tf,75+25*(x-te)/(tf-te),TRUE,100)))</f>
        <v>67.85714286</v>
      </c>
      <c r="S60" s="35">
        <f>IF(Inputs!S60="","",LET(d,Rulebook!$L60,x,Inputs!S60*d,ta,Rulebook!$G60*d,tb,Rulebook!$H60*d,tc,Rulebook!$I60*d,te,Rulebook!$J60*d,tf,Rulebook!$K60*d,IFS(x&lt;=ta,0,x&lt;=tb,25*(x-ta)/(tb-ta),x&lt;=tc,25+25*(x-tb)/(tc-tb),x&lt;=te,50+25*(x-tc)/(te-tc),x&lt;tf,75+25*(x-te)/(tf-te),TRUE,100)))</f>
        <v>100</v>
      </c>
      <c r="T60" s="35">
        <f>IF(Inputs!T60="","",LET(d,Rulebook!$L60,x,Inputs!T60*d,ta,Rulebook!$G60*d,tb,Rulebook!$H60*d,tc,Rulebook!$I60*d,te,Rulebook!$J60*d,tf,Rulebook!$K60*d,IFS(x&lt;=ta,0,x&lt;=tb,25*(x-ta)/(tb-ta),x&lt;=tc,25+25*(x-tb)/(tc-tb),x&lt;=te,50+25*(x-tc)/(te-tc),x&lt;tf,75+25*(x-te)/(tf-te),TRUE,100)))</f>
        <v>86.66666667</v>
      </c>
      <c r="U60" s="35">
        <f>IF(Inputs!U60="","",LET(d,Rulebook!$L60,x,Inputs!U60*d,ta,Rulebook!$G60*d,tb,Rulebook!$H60*d,tc,Rulebook!$I60*d,te,Rulebook!$J60*d,tf,Rulebook!$K60*d,IFS(x&lt;=ta,0,x&lt;=tb,25*(x-ta)/(tb-ta),x&lt;=tc,25+25*(x-tb)/(tc-tb),x&lt;=te,50+25*(x-tc)/(te-tc),x&lt;tf,75+25*(x-te)/(tf-te),TRUE,100)))</f>
        <v>93.33333333</v>
      </c>
      <c r="V60" s="35">
        <f>IF(Inputs!V60="","",LET(d,Rulebook!$L60,x,Inputs!V60*d,ta,Rulebook!$G60*d,tb,Rulebook!$H60*d,tc,Rulebook!$I60*d,te,Rulebook!$J60*d,tf,Rulebook!$K60*d,IFS(x&lt;=ta,0,x&lt;=tb,25*(x-ta)/(tb-ta),x&lt;=tc,25+25*(x-tb)/(tc-tb),x&lt;=te,50+25*(x-tc)/(te-tc),x&lt;tf,75+25*(x-te)/(tf-te),TRUE,100)))</f>
        <v>78.33333333</v>
      </c>
    </row>
    <row r="61">
      <c r="A61" s="26" t="s">
        <v>707</v>
      </c>
      <c r="B61" s="26">
        <v>6.0</v>
      </c>
      <c r="C61" s="26" t="s">
        <v>708</v>
      </c>
      <c r="D61" s="26" t="s">
        <v>254</v>
      </c>
      <c r="E61" s="35">
        <f>IF(Inputs!E61="","",LET(d,Rulebook!$L61,x,Inputs!E61*d,ta,Rulebook!$G61*d,tb,Rulebook!$H61*d,tc,Rulebook!$I61*d,te,Rulebook!$J61*d,tf,Rulebook!$K61*d,IFS(x&lt;=ta,0,x&lt;=tb,25*(x-ta)/(tb-ta),x&lt;=tc,25+25*(x-tb)/(tc-tb),x&lt;=te,50+25*(x-tc)/(te-tc),x&lt;tf,75+25*(x-te)/(tf-te),TRUE,100)))</f>
        <v>0</v>
      </c>
      <c r="F61" s="35">
        <f>IF(Inputs!F61="","",LET(d,Rulebook!$L61,x,Inputs!F61*d,ta,Rulebook!$G61*d,tb,Rulebook!$H61*d,tc,Rulebook!$I61*d,te,Rulebook!$J61*d,tf,Rulebook!$K61*d,IFS(x&lt;=ta,0,x&lt;=tb,25*(x-ta)/(tb-ta),x&lt;=tc,25+25*(x-tb)/(tc-tb),x&lt;=te,50+25*(x-tc)/(te-tc),x&lt;tf,75+25*(x-te)/(tf-te),TRUE,100)))</f>
        <v>50</v>
      </c>
      <c r="G61" s="35">
        <f>IF(Inputs!G61="","",LET(d,Rulebook!$L61,x,Inputs!G61*d,ta,Rulebook!$G61*d,tb,Rulebook!$H61*d,tc,Rulebook!$I61*d,te,Rulebook!$J61*d,tf,Rulebook!$K61*d,IFS(x&lt;=ta,0,x&lt;=tb,25*(x-ta)/(tb-ta),x&lt;=tc,25+25*(x-tb)/(tc-tb),x&lt;=te,50+25*(x-tc)/(te-tc),x&lt;tf,75+25*(x-te)/(tf-te),TRUE,100)))</f>
        <v>0</v>
      </c>
      <c r="H61" s="35">
        <f>IF(Inputs!H61="","",LET(d,Rulebook!$L61,x,Inputs!H61*d,ta,Rulebook!$G61*d,tb,Rulebook!$H61*d,tc,Rulebook!$I61*d,te,Rulebook!$J61*d,tf,Rulebook!$K61*d,IFS(x&lt;=ta,0,x&lt;=tb,25*(x-ta)/(tb-ta),x&lt;=tc,25+25*(x-tb)/(tc-tb),x&lt;=te,50+25*(x-tc)/(te-tc),x&lt;tf,75+25*(x-te)/(tf-te),TRUE,100)))</f>
        <v>0</v>
      </c>
      <c r="I61" s="35">
        <f>IF(Inputs!I61="","",LET(d,Rulebook!$L61,x,Inputs!I61*d,ta,Rulebook!$G61*d,tb,Rulebook!$H61*d,tc,Rulebook!$I61*d,te,Rulebook!$J61*d,tf,Rulebook!$K61*d,IFS(x&lt;=ta,0,x&lt;=tb,25*(x-ta)/(tb-ta),x&lt;=tc,25+25*(x-tb)/(tc-tb),x&lt;=te,50+25*(x-tc)/(te-tc),x&lt;tf,75+25*(x-te)/(tf-te),TRUE,100)))</f>
        <v>0</v>
      </c>
      <c r="J61" s="35">
        <f>IF(Inputs!J61="","",LET(d,Rulebook!$L61,x,Inputs!J61*d,ta,Rulebook!$G61*d,tb,Rulebook!$H61*d,tc,Rulebook!$I61*d,te,Rulebook!$J61*d,tf,Rulebook!$K61*d,IFS(x&lt;=ta,0,x&lt;=tb,25*(x-ta)/(tb-ta),x&lt;=tc,25+25*(x-tb)/(tc-tb),x&lt;=te,50+25*(x-tc)/(te-tc),x&lt;tf,75+25*(x-te)/(tf-te),TRUE,100)))</f>
        <v>0</v>
      </c>
      <c r="K61" s="35">
        <f>IF(Inputs!K61="","",LET(d,Rulebook!$L61,x,Inputs!K61*d,ta,Rulebook!$G61*d,tb,Rulebook!$H61*d,tc,Rulebook!$I61*d,te,Rulebook!$J61*d,tf,Rulebook!$K61*d,IFS(x&lt;=ta,0,x&lt;=tb,25*(x-ta)/(tb-ta),x&lt;=tc,25+25*(x-tb)/(tc-tb),x&lt;=te,50+25*(x-tc)/(te-tc),x&lt;tf,75+25*(x-te)/(tf-te),TRUE,100)))</f>
        <v>0</v>
      </c>
      <c r="L61" s="35">
        <f>IF(Inputs!L61="","",LET(d,Rulebook!$L61,x,Inputs!L61*d,ta,Rulebook!$G61*d,tb,Rulebook!$H61*d,tc,Rulebook!$I61*d,te,Rulebook!$J61*d,tf,Rulebook!$K61*d,IFS(x&lt;=ta,0,x&lt;=tb,25*(x-ta)/(tb-ta),x&lt;=tc,25+25*(x-tb)/(tc-tb),x&lt;=te,50+25*(x-tc)/(te-tc),x&lt;tf,75+25*(x-te)/(tf-te),TRUE,100)))</f>
        <v>50</v>
      </c>
      <c r="M61" s="35">
        <f>IF(Inputs!M61="","",LET(d,Rulebook!$L61,x,Inputs!M61*d,ta,Rulebook!$G61*d,tb,Rulebook!$H61*d,tc,Rulebook!$I61*d,te,Rulebook!$J61*d,tf,Rulebook!$K61*d,IFS(x&lt;=ta,0,x&lt;=tb,25*(x-ta)/(tb-ta),x&lt;=tc,25+25*(x-tb)/(tc-tb),x&lt;=te,50+25*(x-tc)/(te-tc),x&lt;tf,75+25*(x-te)/(tf-te),TRUE,100)))</f>
        <v>75</v>
      </c>
      <c r="N61" s="35">
        <f>IF(Inputs!N61="","",LET(d,Rulebook!$L61,x,Inputs!N61*d,ta,Rulebook!$G61*d,tb,Rulebook!$H61*d,tc,Rulebook!$I61*d,te,Rulebook!$J61*d,tf,Rulebook!$K61*d,IFS(x&lt;=ta,0,x&lt;=tb,25*(x-ta)/(tb-ta),x&lt;=tc,25+25*(x-tb)/(tc-tb),x&lt;=te,50+25*(x-tc)/(te-tc),x&lt;tf,75+25*(x-te)/(tf-te),TRUE,100)))</f>
        <v>0</v>
      </c>
      <c r="O61" s="35">
        <f>IF(Inputs!O61="","",LET(d,Rulebook!$L61,x,Inputs!O61*d,ta,Rulebook!$G61*d,tb,Rulebook!$H61*d,tc,Rulebook!$I61*d,te,Rulebook!$J61*d,tf,Rulebook!$K61*d,IFS(x&lt;=ta,0,x&lt;=tb,25*(x-ta)/(tb-ta),x&lt;=tc,25+25*(x-tb)/(tc-tb),x&lt;=te,50+25*(x-tc)/(te-tc),x&lt;tf,75+25*(x-te)/(tf-te),TRUE,100)))</f>
        <v>0</v>
      </c>
      <c r="P61" s="35">
        <f>IF(Inputs!P61="","",LET(d,Rulebook!$L61,x,Inputs!P61*d,ta,Rulebook!$G61*d,tb,Rulebook!$H61*d,tc,Rulebook!$I61*d,te,Rulebook!$J61*d,tf,Rulebook!$K61*d,IFS(x&lt;=ta,0,x&lt;=tb,25*(x-ta)/(tb-ta),x&lt;=tc,25+25*(x-tb)/(tc-tb),x&lt;=te,50+25*(x-tc)/(te-tc),x&lt;tf,75+25*(x-te)/(tf-te),TRUE,100)))</f>
        <v>0</v>
      </c>
      <c r="Q61" s="35">
        <f>IF(Inputs!Q61="","",LET(d,Rulebook!$L61,x,Inputs!Q61*d,ta,Rulebook!$G61*d,tb,Rulebook!$H61*d,tc,Rulebook!$I61*d,te,Rulebook!$J61*d,tf,Rulebook!$K61*d,IFS(x&lt;=ta,0,x&lt;=tb,25*(x-ta)/(tb-ta),x&lt;=tc,25+25*(x-tb)/(tc-tb),x&lt;=te,50+25*(x-tc)/(te-tc),x&lt;tf,75+25*(x-te)/(tf-te),TRUE,100)))</f>
        <v>50</v>
      </c>
      <c r="R61" s="35">
        <f>IF(Inputs!R61="","",LET(d,Rulebook!$L61,x,Inputs!R61*d,ta,Rulebook!$G61*d,tb,Rulebook!$H61*d,tc,Rulebook!$I61*d,te,Rulebook!$J61*d,tf,Rulebook!$K61*d,IFS(x&lt;=ta,0,x&lt;=tb,25*(x-ta)/(tb-ta),x&lt;=tc,25+25*(x-tb)/(tc-tb),x&lt;=te,50+25*(x-tc)/(te-tc),x&lt;tf,75+25*(x-te)/(tf-te),TRUE,100)))</f>
        <v>25</v>
      </c>
      <c r="S61" s="35">
        <f>IF(Inputs!S61="","",LET(d,Rulebook!$L61,x,Inputs!S61*d,ta,Rulebook!$G61*d,tb,Rulebook!$H61*d,tc,Rulebook!$I61*d,te,Rulebook!$J61*d,tf,Rulebook!$K61*d,IFS(x&lt;=ta,0,x&lt;=tb,25*(x-ta)/(tb-ta),x&lt;=tc,25+25*(x-tb)/(tc-tb),x&lt;=te,50+25*(x-tc)/(te-tc),x&lt;tf,75+25*(x-te)/(tf-te),TRUE,100)))</f>
        <v>75</v>
      </c>
      <c r="T61" s="35">
        <f>IF(Inputs!T61="","",LET(d,Rulebook!$L61,x,Inputs!T61*d,ta,Rulebook!$G61*d,tb,Rulebook!$H61*d,tc,Rulebook!$I61*d,te,Rulebook!$J61*d,tf,Rulebook!$K61*d,IFS(x&lt;=ta,0,x&lt;=tb,25*(x-ta)/(tb-ta),x&lt;=tc,25+25*(x-tb)/(tc-tb),x&lt;=te,50+25*(x-tc)/(te-tc),x&lt;tf,75+25*(x-te)/(tf-te),TRUE,100)))</f>
        <v>0</v>
      </c>
      <c r="U61" s="35">
        <f>IF(Inputs!U61="","",LET(d,Rulebook!$L61,x,Inputs!U61*d,ta,Rulebook!$G61*d,tb,Rulebook!$H61*d,tc,Rulebook!$I61*d,te,Rulebook!$J61*d,tf,Rulebook!$K61*d,IFS(x&lt;=ta,0,x&lt;=tb,25*(x-ta)/(tb-ta),x&lt;=tc,25+25*(x-tb)/(tc-tb),x&lt;=te,50+25*(x-tc)/(te-tc),x&lt;tf,75+25*(x-te)/(tf-te),TRUE,100)))</f>
        <v>0</v>
      </c>
      <c r="V61" s="35">
        <f>IF(Inputs!V61="","",LET(d,Rulebook!$L61,x,Inputs!V61*d,ta,Rulebook!$G61*d,tb,Rulebook!$H61*d,tc,Rulebook!$I61*d,te,Rulebook!$J61*d,tf,Rulebook!$K61*d,IFS(x&lt;=ta,0,x&lt;=tb,25*(x-ta)/(tb-ta),x&lt;=tc,25+25*(x-tb)/(tc-tb),x&lt;=te,50+25*(x-tc)/(te-tc),x&lt;tf,75+25*(x-te)/(tf-te),TRUE,100)))</f>
        <v>0</v>
      </c>
    </row>
    <row r="62">
      <c r="A62" s="26" t="s">
        <v>712</v>
      </c>
      <c r="B62" s="26">
        <v>6.0</v>
      </c>
      <c r="C62" s="26" t="s">
        <v>713</v>
      </c>
      <c r="D62" s="26" t="s">
        <v>714</v>
      </c>
      <c r="E62" s="35">
        <f>IF(Inputs!E62="","",LET(d,Rulebook!$L62,x,Inputs!E62*d,ta,Rulebook!$G62*d,tb,Rulebook!$H62*d,tc,Rulebook!$I62*d,te,Rulebook!$J62*d,tf,Rulebook!$K62*d,IFS(x&lt;=ta,0,x&lt;=tb,25*(x-ta)/(tb-ta),x&lt;=tc,25+25*(x-tb)/(tc-tb),x&lt;=te,50+25*(x-tc)/(te-tc),x&lt;tf,75+25*(x-te)/(tf-te),TRUE,100)))</f>
        <v>0</v>
      </c>
      <c r="F62" s="35">
        <f>IF(Inputs!F62="","",LET(d,Rulebook!$L62,x,Inputs!F62*d,ta,Rulebook!$G62*d,tb,Rulebook!$H62*d,tc,Rulebook!$I62*d,te,Rulebook!$J62*d,tf,Rulebook!$K62*d,IFS(x&lt;=ta,0,x&lt;=tb,25*(x-ta)/(tb-ta),x&lt;=tc,25+25*(x-tb)/(tc-tb),x&lt;=te,50+25*(x-tc)/(te-tc),x&lt;tf,75+25*(x-te)/(tf-te),TRUE,100)))</f>
        <v>20.83333333</v>
      </c>
      <c r="G62" s="35">
        <f>IF(Inputs!G62="","",LET(d,Rulebook!$L62,x,Inputs!G62*d,ta,Rulebook!$G62*d,tb,Rulebook!$H62*d,tc,Rulebook!$I62*d,te,Rulebook!$J62*d,tf,Rulebook!$K62*d,IFS(x&lt;=ta,0,x&lt;=tb,25*(x-ta)/(tb-ta),x&lt;=tc,25+25*(x-tb)/(tc-tb),x&lt;=te,50+25*(x-tc)/(te-tc),x&lt;tf,75+25*(x-te)/(tf-te),TRUE,100)))</f>
        <v>0</v>
      </c>
      <c r="H62" s="35">
        <f>IF(Inputs!H62="","",LET(d,Rulebook!$L62,x,Inputs!H62*d,ta,Rulebook!$G62*d,tb,Rulebook!$H62*d,tc,Rulebook!$I62*d,te,Rulebook!$J62*d,tf,Rulebook!$K62*d,IFS(x&lt;=ta,0,x&lt;=tb,25*(x-ta)/(tb-ta),x&lt;=tc,25+25*(x-tb)/(tc-tb),x&lt;=te,50+25*(x-tc)/(te-tc),x&lt;tf,75+25*(x-te)/(tf-te),TRUE,100)))</f>
        <v>0</v>
      </c>
      <c r="I62" s="35">
        <f>IF(Inputs!I62="","",LET(d,Rulebook!$L62,x,Inputs!I62*d,ta,Rulebook!$G62*d,tb,Rulebook!$H62*d,tc,Rulebook!$I62*d,te,Rulebook!$J62*d,tf,Rulebook!$K62*d,IFS(x&lt;=ta,0,x&lt;=tb,25*(x-ta)/(tb-ta),x&lt;=tc,25+25*(x-tb)/(tc-tb),x&lt;=te,50+25*(x-tc)/(te-tc),x&lt;tf,75+25*(x-te)/(tf-te),TRUE,100)))</f>
        <v>0</v>
      </c>
      <c r="J62" s="35">
        <f>IF(Inputs!J62="","",LET(d,Rulebook!$L62,x,Inputs!J62*d,ta,Rulebook!$G62*d,tb,Rulebook!$H62*d,tc,Rulebook!$I62*d,te,Rulebook!$J62*d,tf,Rulebook!$K62*d,IFS(x&lt;=ta,0,x&lt;=tb,25*(x-ta)/(tb-ta),x&lt;=tc,25+25*(x-tb)/(tc-tb),x&lt;=te,50+25*(x-tc)/(te-tc),x&lt;tf,75+25*(x-te)/(tf-te),TRUE,100)))</f>
        <v>0</v>
      </c>
      <c r="K62" s="35">
        <f>IF(Inputs!K62="","",LET(d,Rulebook!$L62,x,Inputs!K62*d,ta,Rulebook!$G62*d,tb,Rulebook!$H62*d,tc,Rulebook!$I62*d,te,Rulebook!$J62*d,tf,Rulebook!$K62*d,IFS(x&lt;=ta,0,x&lt;=tb,25*(x-ta)/(tb-ta),x&lt;=tc,25+25*(x-tb)/(tc-tb),x&lt;=te,50+25*(x-tc)/(te-tc),x&lt;tf,75+25*(x-te)/(tf-te),TRUE,100)))</f>
        <v>0</v>
      </c>
      <c r="L62" s="35">
        <f>IF(Inputs!L62="","",LET(d,Rulebook!$L62,x,Inputs!L62*d,ta,Rulebook!$G62*d,tb,Rulebook!$H62*d,tc,Rulebook!$I62*d,te,Rulebook!$J62*d,tf,Rulebook!$K62*d,IFS(x&lt;=ta,0,x&lt;=tb,25*(x-ta)/(tb-ta),x&lt;=tc,25+25*(x-tb)/(tc-tb),x&lt;=te,50+25*(x-tc)/(te-tc),x&lt;tf,75+25*(x-te)/(tf-te),TRUE,100)))</f>
        <v>6.666666667</v>
      </c>
      <c r="M62" s="35">
        <f>IF(Inputs!M62="","",LET(d,Rulebook!$L62,x,Inputs!M62*d,ta,Rulebook!$G62*d,tb,Rulebook!$H62*d,tc,Rulebook!$I62*d,te,Rulebook!$J62*d,tf,Rulebook!$K62*d,IFS(x&lt;=ta,0,x&lt;=tb,25*(x-ta)/(tb-ta),x&lt;=tc,25+25*(x-tb)/(tc-tb),x&lt;=te,50+25*(x-tc)/(te-tc),x&lt;tf,75+25*(x-te)/(tf-te),TRUE,100)))</f>
        <v>16.66666667</v>
      </c>
      <c r="N62" s="35">
        <f>IF(Inputs!N62="","",LET(d,Rulebook!$L62,x,Inputs!N62*d,ta,Rulebook!$G62*d,tb,Rulebook!$H62*d,tc,Rulebook!$I62*d,te,Rulebook!$J62*d,tf,Rulebook!$K62*d,IFS(x&lt;=ta,0,x&lt;=tb,25*(x-ta)/(tb-ta),x&lt;=tc,25+25*(x-tb)/(tc-tb),x&lt;=te,50+25*(x-tc)/(te-tc),x&lt;tf,75+25*(x-te)/(tf-te),TRUE,100)))</f>
        <v>87.5</v>
      </c>
      <c r="O62" s="35">
        <f>IF(Inputs!O62="","",LET(d,Rulebook!$L62,x,Inputs!O62*d,ta,Rulebook!$G62*d,tb,Rulebook!$H62*d,tc,Rulebook!$I62*d,te,Rulebook!$J62*d,tf,Rulebook!$K62*d,IFS(x&lt;=ta,0,x&lt;=tb,25*(x-ta)/(tb-ta),x&lt;=tc,25+25*(x-tb)/(tc-tb),x&lt;=te,50+25*(x-tc)/(te-tc),x&lt;tf,75+25*(x-te)/(tf-te),TRUE,100)))</f>
        <v>75</v>
      </c>
      <c r="P62" s="35">
        <f>IF(Inputs!P62="","",LET(d,Rulebook!$L62,x,Inputs!P62*d,ta,Rulebook!$G62*d,tb,Rulebook!$H62*d,tc,Rulebook!$I62*d,te,Rulebook!$J62*d,tf,Rulebook!$K62*d,IFS(x&lt;=ta,0,x&lt;=tb,25*(x-ta)/(tb-ta),x&lt;=tc,25+25*(x-tb)/(tc-tb),x&lt;=te,50+25*(x-tc)/(te-tc),x&lt;tf,75+25*(x-te)/(tf-te),TRUE,100)))</f>
        <v>16.66666667</v>
      </c>
      <c r="Q62" s="35">
        <f>IF(Inputs!Q62="","",LET(d,Rulebook!$L62,x,Inputs!Q62*d,ta,Rulebook!$G62*d,tb,Rulebook!$H62*d,tc,Rulebook!$I62*d,te,Rulebook!$J62*d,tf,Rulebook!$K62*d,IFS(x&lt;=ta,0,x&lt;=tb,25*(x-ta)/(tb-ta),x&lt;=tc,25+25*(x-tb)/(tc-tb),x&lt;=te,50+25*(x-tc)/(te-tc),x&lt;tf,75+25*(x-te)/(tf-te),TRUE,100)))</f>
        <v>81.25</v>
      </c>
      <c r="R62" s="35">
        <f>IF(Inputs!R62="","",LET(d,Rulebook!$L62,x,Inputs!R62*d,ta,Rulebook!$G62*d,tb,Rulebook!$H62*d,tc,Rulebook!$I62*d,te,Rulebook!$J62*d,tf,Rulebook!$K62*d,IFS(x&lt;=ta,0,x&lt;=tb,25*(x-ta)/(tb-ta),x&lt;=tc,25+25*(x-tb)/(tc-tb),x&lt;=te,50+25*(x-tc)/(te-tc),x&lt;tf,75+25*(x-te)/(tf-te),TRUE,100)))</f>
        <v>75</v>
      </c>
      <c r="S62" s="35">
        <f>IF(Inputs!S62="","",LET(d,Rulebook!$L62,x,Inputs!S62*d,ta,Rulebook!$G62*d,tb,Rulebook!$H62*d,tc,Rulebook!$I62*d,te,Rulebook!$J62*d,tf,Rulebook!$K62*d,IFS(x&lt;=ta,0,x&lt;=tb,25*(x-ta)/(tb-ta),x&lt;=tc,25+25*(x-tb)/(tc-tb),x&lt;=te,50+25*(x-tc)/(te-tc),x&lt;tf,75+25*(x-te)/(tf-te),TRUE,100)))</f>
        <v>77.5</v>
      </c>
      <c r="T62" s="35">
        <f>IF(Inputs!T62="","",LET(d,Rulebook!$L62,x,Inputs!T62*d,ta,Rulebook!$G62*d,tb,Rulebook!$H62*d,tc,Rulebook!$I62*d,te,Rulebook!$J62*d,tf,Rulebook!$K62*d,IFS(x&lt;=ta,0,x&lt;=tb,25*(x-ta)/(tb-ta),x&lt;=tc,25+25*(x-tb)/(tc-tb),x&lt;=te,50+25*(x-tc)/(te-tc),x&lt;tf,75+25*(x-te)/(tf-te),TRUE,100)))</f>
        <v>0</v>
      </c>
      <c r="U62" s="35">
        <f>IF(Inputs!U62="","",LET(d,Rulebook!$L62,x,Inputs!U62*d,ta,Rulebook!$G62*d,tb,Rulebook!$H62*d,tc,Rulebook!$I62*d,te,Rulebook!$J62*d,tf,Rulebook!$K62*d,IFS(x&lt;=ta,0,x&lt;=tb,25*(x-ta)/(tb-ta),x&lt;=tc,25+25*(x-tb)/(tc-tb),x&lt;=te,50+25*(x-tc)/(te-tc),x&lt;tf,75+25*(x-te)/(tf-te),TRUE,100)))</f>
        <v>25</v>
      </c>
      <c r="V62" s="35">
        <f>IF(Inputs!V62="","",LET(d,Rulebook!$L62,x,Inputs!V62*d,ta,Rulebook!$G62*d,tb,Rulebook!$H62*d,tc,Rulebook!$I62*d,te,Rulebook!$J62*d,tf,Rulebook!$K62*d,IFS(x&lt;=ta,0,x&lt;=tb,25*(x-ta)/(tb-ta),x&lt;=tc,25+25*(x-tb)/(tc-tb),x&lt;=te,50+25*(x-tc)/(te-tc),x&lt;tf,75+25*(x-te)/(tf-te),TRUE,100)))</f>
        <v>25</v>
      </c>
    </row>
    <row r="63">
      <c r="A63" s="26" t="s">
        <v>717</v>
      </c>
      <c r="B63" s="26">
        <v>6.0</v>
      </c>
      <c r="C63" s="26" t="s">
        <v>718</v>
      </c>
      <c r="D63" s="26" t="s">
        <v>254</v>
      </c>
      <c r="E63" s="35">
        <f>IF(Inputs!E63="","",LET(d,Rulebook!$L63,x,Inputs!E63*d,ta,Rulebook!$G63*d,tb,Rulebook!$H63*d,tc,Rulebook!$I63*d,te,Rulebook!$J63*d,tf,Rulebook!$K63*d,IFS(x&lt;=ta,0,x&lt;=tb,25*(x-ta)/(tb-ta),x&lt;=tc,25+25*(x-tb)/(tc-tb),x&lt;=te,50+25*(x-tc)/(te-tc),x&lt;tf,75+25*(x-te)/(tf-te),TRUE,100)))</f>
        <v>0</v>
      </c>
      <c r="F63" s="35">
        <f>IF(Inputs!F63="","",LET(d,Rulebook!$L63,x,Inputs!F63*d,ta,Rulebook!$G63*d,tb,Rulebook!$H63*d,tc,Rulebook!$I63*d,te,Rulebook!$J63*d,tf,Rulebook!$K63*d,IFS(x&lt;=ta,0,x&lt;=tb,25*(x-ta)/(tb-ta),x&lt;=tc,25+25*(x-tb)/(tc-tb),x&lt;=te,50+25*(x-tc)/(te-tc),x&lt;tf,75+25*(x-te)/(tf-te),TRUE,100)))</f>
        <v>25</v>
      </c>
      <c r="G63" s="35">
        <f>IF(Inputs!G63="","",LET(d,Rulebook!$L63,x,Inputs!G63*d,ta,Rulebook!$G63*d,tb,Rulebook!$H63*d,tc,Rulebook!$I63*d,te,Rulebook!$J63*d,tf,Rulebook!$K63*d,IFS(x&lt;=ta,0,x&lt;=tb,25*(x-ta)/(tb-ta),x&lt;=tc,25+25*(x-tb)/(tc-tb),x&lt;=te,50+25*(x-tc)/(te-tc),x&lt;tf,75+25*(x-te)/(tf-te),TRUE,100)))</f>
        <v>0</v>
      </c>
      <c r="H63" s="35">
        <f>IF(Inputs!H63="","",LET(d,Rulebook!$L63,x,Inputs!H63*d,ta,Rulebook!$G63*d,tb,Rulebook!$H63*d,tc,Rulebook!$I63*d,te,Rulebook!$J63*d,tf,Rulebook!$K63*d,IFS(x&lt;=ta,0,x&lt;=tb,25*(x-ta)/(tb-ta),x&lt;=tc,25+25*(x-tb)/(tc-tb),x&lt;=te,50+25*(x-tc)/(te-tc),x&lt;tf,75+25*(x-te)/(tf-te),TRUE,100)))</f>
        <v>0</v>
      </c>
      <c r="I63" s="35">
        <f>IF(Inputs!I63="","",LET(d,Rulebook!$L63,x,Inputs!I63*d,ta,Rulebook!$G63*d,tb,Rulebook!$H63*d,tc,Rulebook!$I63*d,te,Rulebook!$J63*d,tf,Rulebook!$K63*d,IFS(x&lt;=ta,0,x&lt;=tb,25*(x-ta)/(tb-ta),x&lt;=tc,25+25*(x-tb)/(tc-tb),x&lt;=te,50+25*(x-tc)/(te-tc),x&lt;tf,75+25*(x-te)/(tf-te),TRUE,100)))</f>
        <v>0</v>
      </c>
      <c r="J63" s="35">
        <f>IF(Inputs!J63="","",LET(d,Rulebook!$L63,x,Inputs!J63*d,ta,Rulebook!$G63*d,tb,Rulebook!$H63*d,tc,Rulebook!$I63*d,te,Rulebook!$J63*d,tf,Rulebook!$K63*d,IFS(x&lt;=ta,0,x&lt;=tb,25*(x-ta)/(tb-ta),x&lt;=tc,25+25*(x-tb)/(tc-tb),x&lt;=te,50+25*(x-tc)/(te-tc),x&lt;tf,75+25*(x-te)/(tf-te),TRUE,100)))</f>
        <v>0</v>
      </c>
      <c r="K63" s="35">
        <f>IF(Inputs!K63="","",LET(d,Rulebook!$L63,x,Inputs!K63*d,ta,Rulebook!$G63*d,tb,Rulebook!$H63*d,tc,Rulebook!$I63*d,te,Rulebook!$J63*d,tf,Rulebook!$K63*d,IFS(x&lt;=ta,0,x&lt;=tb,25*(x-ta)/(tb-ta),x&lt;=tc,25+25*(x-tb)/(tc-tb),x&lt;=te,50+25*(x-tc)/(te-tc),x&lt;tf,75+25*(x-te)/(tf-te),TRUE,100)))</f>
        <v>0</v>
      </c>
      <c r="L63" s="35">
        <f>IF(Inputs!L63="","",LET(d,Rulebook!$L63,x,Inputs!L63*d,ta,Rulebook!$G63*d,tb,Rulebook!$H63*d,tc,Rulebook!$I63*d,te,Rulebook!$J63*d,tf,Rulebook!$K63*d,IFS(x&lt;=ta,0,x&lt;=tb,25*(x-ta)/(tb-ta),x&lt;=tc,25+25*(x-tb)/(tc-tb),x&lt;=te,50+25*(x-tc)/(te-tc),x&lt;tf,75+25*(x-te)/(tf-te),TRUE,100)))</f>
        <v>25</v>
      </c>
      <c r="M63" s="35">
        <f>IF(Inputs!M63="","",LET(d,Rulebook!$L63,x,Inputs!M63*d,ta,Rulebook!$G63*d,tb,Rulebook!$H63*d,tc,Rulebook!$I63*d,te,Rulebook!$J63*d,tf,Rulebook!$K63*d,IFS(x&lt;=ta,0,x&lt;=tb,25*(x-ta)/(tb-ta),x&lt;=tc,25+25*(x-tb)/(tc-tb),x&lt;=te,50+25*(x-tc)/(te-tc),x&lt;tf,75+25*(x-te)/(tf-te),TRUE,100)))</f>
        <v>25</v>
      </c>
      <c r="N63" s="35">
        <f>IF(Inputs!N63="","",LET(d,Rulebook!$L63,x,Inputs!N63*d,ta,Rulebook!$G63*d,tb,Rulebook!$H63*d,tc,Rulebook!$I63*d,te,Rulebook!$J63*d,tf,Rulebook!$K63*d,IFS(x&lt;=ta,0,x&lt;=tb,25*(x-ta)/(tb-ta),x&lt;=tc,25+25*(x-tb)/(tc-tb),x&lt;=te,50+25*(x-tc)/(te-tc),x&lt;tf,75+25*(x-te)/(tf-te),TRUE,100)))</f>
        <v>50</v>
      </c>
      <c r="O63" s="35">
        <f>IF(Inputs!O63="","",LET(d,Rulebook!$L63,x,Inputs!O63*d,ta,Rulebook!$G63*d,tb,Rulebook!$H63*d,tc,Rulebook!$I63*d,te,Rulebook!$J63*d,tf,Rulebook!$K63*d,IFS(x&lt;=ta,0,x&lt;=tb,25*(x-ta)/(tb-ta),x&lt;=tc,25+25*(x-tb)/(tc-tb),x&lt;=te,50+25*(x-tc)/(te-tc),x&lt;tf,75+25*(x-te)/(tf-te),TRUE,100)))</f>
        <v>75</v>
      </c>
      <c r="P63" s="35">
        <f>IF(Inputs!P63="","",LET(d,Rulebook!$L63,x,Inputs!P63*d,ta,Rulebook!$G63*d,tb,Rulebook!$H63*d,tc,Rulebook!$I63*d,te,Rulebook!$J63*d,tf,Rulebook!$K63*d,IFS(x&lt;=ta,0,x&lt;=tb,25*(x-ta)/(tb-ta),x&lt;=tc,25+25*(x-tb)/(tc-tb),x&lt;=te,50+25*(x-tc)/(te-tc),x&lt;tf,75+25*(x-te)/(tf-te),TRUE,100)))</f>
        <v>25</v>
      </c>
      <c r="Q63" s="35">
        <f>IF(Inputs!Q63="","",LET(d,Rulebook!$L63,x,Inputs!Q63*d,ta,Rulebook!$G63*d,tb,Rulebook!$H63*d,tc,Rulebook!$I63*d,te,Rulebook!$J63*d,tf,Rulebook!$K63*d,IFS(x&lt;=ta,0,x&lt;=tb,25*(x-ta)/(tb-ta),x&lt;=tc,25+25*(x-tb)/(tc-tb),x&lt;=te,50+25*(x-tc)/(te-tc),x&lt;tf,75+25*(x-te)/(tf-te),TRUE,100)))</f>
        <v>75</v>
      </c>
      <c r="R63" s="35">
        <f>IF(Inputs!R63="","",LET(d,Rulebook!$L63,x,Inputs!R63*d,ta,Rulebook!$G63*d,tb,Rulebook!$H63*d,tc,Rulebook!$I63*d,te,Rulebook!$J63*d,tf,Rulebook!$K63*d,IFS(x&lt;=ta,0,x&lt;=tb,25*(x-ta)/(tb-ta),x&lt;=tc,25+25*(x-tb)/(tc-tb),x&lt;=te,50+25*(x-tc)/(te-tc),x&lt;tf,75+25*(x-te)/(tf-te),TRUE,100)))</f>
        <v>75</v>
      </c>
      <c r="S63" s="35">
        <f>IF(Inputs!S63="","",LET(d,Rulebook!$L63,x,Inputs!S63*d,ta,Rulebook!$G63*d,tb,Rulebook!$H63*d,tc,Rulebook!$I63*d,te,Rulebook!$J63*d,tf,Rulebook!$K63*d,IFS(x&lt;=ta,0,x&lt;=tb,25*(x-ta)/(tb-ta),x&lt;=tc,25+25*(x-tb)/(tc-tb),x&lt;=te,50+25*(x-tc)/(te-tc),x&lt;tf,75+25*(x-te)/(tf-te),TRUE,100)))</f>
        <v>50</v>
      </c>
      <c r="T63" s="35">
        <f>IF(Inputs!T63="","",LET(d,Rulebook!$L63,x,Inputs!T63*d,ta,Rulebook!$G63*d,tb,Rulebook!$H63*d,tc,Rulebook!$I63*d,te,Rulebook!$J63*d,tf,Rulebook!$K63*d,IFS(x&lt;=ta,0,x&lt;=tb,25*(x-ta)/(tb-ta),x&lt;=tc,25+25*(x-tb)/(tc-tb),x&lt;=te,50+25*(x-tc)/(te-tc),x&lt;tf,75+25*(x-te)/(tf-te),TRUE,100)))</f>
        <v>0</v>
      </c>
      <c r="U63" s="35">
        <f>IF(Inputs!U63="","",LET(d,Rulebook!$L63,x,Inputs!U63*d,ta,Rulebook!$G63*d,tb,Rulebook!$H63*d,tc,Rulebook!$I63*d,te,Rulebook!$J63*d,tf,Rulebook!$K63*d,IFS(x&lt;=ta,0,x&lt;=tb,25*(x-ta)/(tb-ta),x&lt;=tc,25+25*(x-tb)/(tc-tb),x&lt;=te,50+25*(x-tc)/(te-tc),x&lt;tf,75+25*(x-te)/(tf-te),TRUE,100)))</f>
        <v>25</v>
      </c>
      <c r="V63" s="35">
        <f>IF(Inputs!V63="","",LET(d,Rulebook!$L63,x,Inputs!V63*d,ta,Rulebook!$G63*d,tb,Rulebook!$H63*d,tc,Rulebook!$I63*d,te,Rulebook!$J63*d,tf,Rulebook!$K63*d,IFS(x&lt;=ta,0,x&lt;=tb,25*(x-ta)/(tb-ta),x&lt;=tc,25+25*(x-tb)/(tc-tb),x&lt;=te,50+25*(x-tc)/(te-tc),x&lt;tf,75+25*(x-te)/(tf-te),TRUE,100)))</f>
        <v>25</v>
      </c>
    </row>
    <row r="64">
      <c r="A64" s="26" t="s">
        <v>721</v>
      </c>
      <c r="B64" s="26">
        <v>6.0</v>
      </c>
      <c r="C64" s="26" t="s">
        <v>722</v>
      </c>
      <c r="D64" s="26" t="s">
        <v>254</v>
      </c>
      <c r="E64" s="35">
        <f>IF(Inputs!E64="","",LET(d,Rulebook!$L64,x,Inputs!E64*d,ta,Rulebook!$G64*d,tb,Rulebook!$H64*d,tc,Rulebook!$I64*d,te,Rulebook!$J64*d,tf,Rulebook!$K64*d,IFS(x&lt;=ta,0,x&lt;=tb,25*(x-ta)/(tb-ta),x&lt;=tc,25+25*(x-tb)/(tc-tb),x&lt;=te,50+25*(x-tc)/(te-tc),x&lt;tf,75+25*(x-te)/(tf-te),TRUE,100)))</f>
        <v>0</v>
      </c>
      <c r="F64" s="35">
        <f>IF(Inputs!F64="","",LET(d,Rulebook!$L64,x,Inputs!F64*d,ta,Rulebook!$G64*d,tb,Rulebook!$H64*d,tc,Rulebook!$I64*d,te,Rulebook!$J64*d,tf,Rulebook!$K64*d,IFS(x&lt;=ta,0,x&lt;=tb,25*(x-ta)/(tb-ta),x&lt;=tc,25+25*(x-tb)/(tc-tb),x&lt;=te,50+25*(x-tc)/(te-tc),x&lt;tf,75+25*(x-te)/(tf-te),TRUE,100)))</f>
        <v>25</v>
      </c>
      <c r="G64" s="35">
        <f>IF(Inputs!G64="","",LET(d,Rulebook!$L64,x,Inputs!G64*d,ta,Rulebook!$G64*d,tb,Rulebook!$H64*d,tc,Rulebook!$I64*d,te,Rulebook!$J64*d,tf,Rulebook!$K64*d,IFS(x&lt;=ta,0,x&lt;=tb,25*(x-ta)/(tb-ta),x&lt;=tc,25+25*(x-tb)/(tc-tb),x&lt;=te,50+25*(x-tc)/(te-tc),x&lt;tf,75+25*(x-te)/(tf-te),TRUE,100)))</f>
        <v>0</v>
      </c>
      <c r="H64" s="35">
        <f>IF(Inputs!H64="","",LET(d,Rulebook!$L64,x,Inputs!H64*d,ta,Rulebook!$G64*d,tb,Rulebook!$H64*d,tc,Rulebook!$I64*d,te,Rulebook!$J64*d,tf,Rulebook!$K64*d,IFS(x&lt;=ta,0,x&lt;=tb,25*(x-ta)/(tb-ta),x&lt;=tc,25+25*(x-tb)/(tc-tb),x&lt;=te,50+25*(x-tc)/(te-tc),x&lt;tf,75+25*(x-te)/(tf-te),TRUE,100)))</f>
        <v>0</v>
      </c>
      <c r="I64" s="35">
        <f>IF(Inputs!I64="","",LET(d,Rulebook!$L64,x,Inputs!I64*d,ta,Rulebook!$G64*d,tb,Rulebook!$H64*d,tc,Rulebook!$I64*d,te,Rulebook!$J64*d,tf,Rulebook!$K64*d,IFS(x&lt;=ta,0,x&lt;=tb,25*(x-ta)/(tb-ta),x&lt;=tc,25+25*(x-tb)/(tc-tb),x&lt;=te,50+25*(x-tc)/(te-tc),x&lt;tf,75+25*(x-te)/(tf-te),TRUE,100)))</f>
        <v>0</v>
      </c>
      <c r="J64" s="35">
        <f>IF(Inputs!J64="","",LET(d,Rulebook!$L64,x,Inputs!J64*d,ta,Rulebook!$G64*d,tb,Rulebook!$H64*d,tc,Rulebook!$I64*d,te,Rulebook!$J64*d,tf,Rulebook!$K64*d,IFS(x&lt;=ta,0,x&lt;=tb,25*(x-ta)/(tb-ta),x&lt;=tc,25+25*(x-tb)/(tc-tb),x&lt;=te,50+25*(x-tc)/(te-tc),x&lt;tf,75+25*(x-te)/(tf-te),TRUE,100)))</f>
        <v>0</v>
      </c>
      <c r="K64" s="35">
        <f>IF(Inputs!K64="","",LET(d,Rulebook!$L64,x,Inputs!K64*d,ta,Rulebook!$G64*d,tb,Rulebook!$H64*d,tc,Rulebook!$I64*d,te,Rulebook!$J64*d,tf,Rulebook!$K64*d,IFS(x&lt;=ta,0,x&lt;=tb,25*(x-ta)/(tb-ta),x&lt;=tc,25+25*(x-tb)/(tc-tb),x&lt;=te,50+25*(x-tc)/(te-tc),x&lt;tf,75+25*(x-te)/(tf-te),TRUE,100)))</f>
        <v>0</v>
      </c>
      <c r="L64" s="35">
        <f>IF(Inputs!L64="","",LET(d,Rulebook!$L64,x,Inputs!L64*d,ta,Rulebook!$G64*d,tb,Rulebook!$H64*d,tc,Rulebook!$I64*d,te,Rulebook!$J64*d,tf,Rulebook!$K64*d,IFS(x&lt;=ta,0,x&lt;=tb,25*(x-ta)/(tb-ta),x&lt;=tc,25+25*(x-tb)/(tc-tb),x&lt;=te,50+25*(x-tc)/(te-tc),x&lt;tf,75+25*(x-te)/(tf-te),TRUE,100)))</f>
        <v>25</v>
      </c>
      <c r="M64" s="35">
        <f>IF(Inputs!M64="","",LET(d,Rulebook!$L64,x,Inputs!M64*d,ta,Rulebook!$G64*d,tb,Rulebook!$H64*d,tc,Rulebook!$I64*d,te,Rulebook!$J64*d,tf,Rulebook!$K64*d,IFS(x&lt;=ta,0,x&lt;=tb,25*(x-ta)/(tb-ta),x&lt;=tc,25+25*(x-tb)/(tc-tb),x&lt;=te,50+25*(x-tc)/(te-tc),x&lt;tf,75+25*(x-te)/(tf-te),TRUE,100)))</f>
        <v>75</v>
      </c>
      <c r="N64" s="35">
        <f>IF(Inputs!N64="","",LET(d,Rulebook!$L64,x,Inputs!N64*d,ta,Rulebook!$G64*d,tb,Rulebook!$H64*d,tc,Rulebook!$I64*d,te,Rulebook!$J64*d,tf,Rulebook!$K64*d,IFS(x&lt;=ta,0,x&lt;=tb,25*(x-ta)/(tb-ta),x&lt;=tc,25+25*(x-tb)/(tc-tb),x&lt;=te,50+25*(x-tc)/(te-tc),x&lt;tf,75+25*(x-te)/(tf-te),TRUE,100)))</f>
        <v>25</v>
      </c>
      <c r="O64" s="35">
        <f>IF(Inputs!O64="","",LET(d,Rulebook!$L64,x,Inputs!O64*d,ta,Rulebook!$G64*d,tb,Rulebook!$H64*d,tc,Rulebook!$I64*d,te,Rulebook!$J64*d,tf,Rulebook!$K64*d,IFS(x&lt;=ta,0,x&lt;=tb,25*(x-ta)/(tb-ta),x&lt;=tc,25+25*(x-tb)/(tc-tb),x&lt;=te,50+25*(x-tc)/(te-tc),x&lt;tf,75+25*(x-te)/(tf-te),TRUE,100)))</f>
        <v>25</v>
      </c>
      <c r="P64" s="35">
        <f>IF(Inputs!P64="","",LET(d,Rulebook!$L64,x,Inputs!P64*d,ta,Rulebook!$G64*d,tb,Rulebook!$H64*d,tc,Rulebook!$I64*d,te,Rulebook!$J64*d,tf,Rulebook!$K64*d,IFS(x&lt;=ta,0,x&lt;=tb,25*(x-ta)/(tb-ta),x&lt;=tc,25+25*(x-tb)/(tc-tb),x&lt;=te,50+25*(x-tc)/(te-tc),x&lt;tf,75+25*(x-te)/(tf-te),TRUE,100)))</f>
        <v>0</v>
      </c>
      <c r="Q64" s="35">
        <f>IF(Inputs!Q64="","",LET(d,Rulebook!$L64,x,Inputs!Q64*d,ta,Rulebook!$G64*d,tb,Rulebook!$H64*d,tc,Rulebook!$I64*d,te,Rulebook!$J64*d,tf,Rulebook!$K64*d,IFS(x&lt;=ta,0,x&lt;=tb,25*(x-ta)/(tb-ta),x&lt;=tc,25+25*(x-tb)/(tc-tb),x&lt;=te,50+25*(x-tc)/(te-tc),x&lt;tf,75+25*(x-te)/(tf-te),TRUE,100)))</f>
        <v>75</v>
      </c>
      <c r="R64" s="35">
        <f>IF(Inputs!R64="","",LET(d,Rulebook!$L64,x,Inputs!R64*d,ta,Rulebook!$G64*d,tb,Rulebook!$H64*d,tc,Rulebook!$I64*d,te,Rulebook!$J64*d,tf,Rulebook!$K64*d,IFS(x&lt;=ta,0,x&lt;=tb,25*(x-ta)/(tb-ta),x&lt;=tc,25+25*(x-tb)/(tc-tb),x&lt;=te,50+25*(x-tc)/(te-tc),x&lt;tf,75+25*(x-te)/(tf-te),TRUE,100)))</f>
        <v>50</v>
      </c>
      <c r="S64" s="35">
        <f>IF(Inputs!S64="","",LET(d,Rulebook!$L64,x,Inputs!S64*d,ta,Rulebook!$G64*d,tb,Rulebook!$H64*d,tc,Rulebook!$I64*d,te,Rulebook!$J64*d,tf,Rulebook!$K64*d,IFS(x&lt;=ta,0,x&lt;=tb,25*(x-ta)/(tb-ta),x&lt;=tc,25+25*(x-tb)/(tc-tb),x&lt;=te,50+25*(x-tc)/(te-tc),x&lt;tf,75+25*(x-te)/(tf-te),TRUE,100)))</f>
        <v>75</v>
      </c>
      <c r="T64" s="35">
        <f>IF(Inputs!T64="","",LET(d,Rulebook!$L64,x,Inputs!T64*d,ta,Rulebook!$G64*d,tb,Rulebook!$H64*d,tc,Rulebook!$I64*d,te,Rulebook!$J64*d,tf,Rulebook!$K64*d,IFS(x&lt;=ta,0,x&lt;=tb,25*(x-ta)/(tb-ta),x&lt;=tc,25+25*(x-tb)/(tc-tb),x&lt;=te,50+25*(x-tc)/(te-tc),x&lt;tf,75+25*(x-te)/(tf-te),TRUE,100)))</f>
        <v>0</v>
      </c>
      <c r="U64" s="35">
        <f>IF(Inputs!U64="","",LET(d,Rulebook!$L64,x,Inputs!U64*d,ta,Rulebook!$G64*d,tb,Rulebook!$H64*d,tc,Rulebook!$I64*d,te,Rulebook!$J64*d,tf,Rulebook!$K64*d,IFS(x&lt;=ta,0,x&lt;=tb,25*(x-ta)/(tb-ta),x&lt;=tc,25+25*(x-tb)/(tc-tb),x&lt;=te,50+25*(x-tc)/(te-tc),x&lt;tf,75+25*(x-te)/(tf-te),TRUE,100)))</f>
        <v>0</v>
      </c>
      <c r="V64" s="35">
        <f>IF(Inputs!V64="","",LET(d,Rulebook!$L64,x,Inputs!V64*d,ta,Rulebook!$G64*d,tb,Rulebook!$H64*d,tc,Rulebook!$I64*d,te,Rulebook!$J64*d,tf,Rulebook!$K64*d,IFS(x&lt;=ta,0,x&lt;=tb,25*(x-ta)/(tb-ta),x&lt;=tc,25+25*(x-tb)/(tc-tb),x&lt;=te,50+25*(x-tc)/(te-tc),x&lt;tf,75+25*(x-te)/(tf-te),TRUE,100)))</f>
        <v>25</v>
      </c>
    </row>
    <row r="65">
      <c r="A65" s="26" t="s">
        <v>726</v>
      </c>
      <c r="B65" s="26">
        <v>6.0</v>
      </c>
      <c r="C65" s="26" t="s">
        <v>727</v>
      </c>
      <c r="D65" s="26" t="s">
        <v>254</v>
      </c>
      <c r="E65" s="35">
        <f>IF(Inputs!E65="","",LET(d,Rulebook!$L65,x,Inputs!E65*d,ta,Rulebook!$G65*d,tb,Rulebook!$H65*d,tc,Rulebook!$I65*d,te,Rulebook!$J65*d,tf,Rulebook!$K65*d,IFS(x&lt;=ta,0,x&lt;=tb,25*(x-ta)/(tb-ta),x&lt;=tc,25+25*(x-tb)/(tc-tb),x&lt;=te,50+25*(x-tc)/(te-tc),x&lt;tf,75+25*(x-te)/(tf-te),TRUE,100)))</f>
        <v>0</v>
      </c>
      <c r="F65" s="35">
        <f>IF(Inputs!F65="","",LET(d,Rulebook!$L65,x,Inputs!F65*d,ta,Rulebook!$G65*d,tb,Rulebook!$H65*d,tc,Rulebook!$I65*d,te,Rulebook!$J65*d,tf,Rulebook!$K65*d,IFS(x&lt;=ta,0,x&lt;=tb,25*(x-ta)/(tb-ta),x&lt;=tc,25+25*(x-tb)/(tc-tb),x&lt;=te,50+25*(x-tc)/(te-tc),x&lt;tf,75+25*(x-te)/(tf-te),TRUE,100)))</f>
        <v>25</v>
      </c>
      <c r="G65" s="35">
        <f>IF(Inputs!G65="","",LET(d,Rulebook!$L65,x,Inputs!G65*d,ta,Rulebook!$G65*d,tb,Rulebook!$H65*d,tc,Rulebook!$I65*d,te,Rulebook!$J65*d,tf,Rulebook!$K65*d,IFS(x&lt;=ta,0,x&lt;=tb,25*(x-ta)/(tb-ta),x&lt;=tc,25+25*(x-tb)/(tc-tb),x&lt;=te,50+25*(x-tc)/(te-tc),x&lt;tf,75+25*(x-te)/(tf-te),TRUE,100)))</f>
        <v>0</v>
      </c>
      <c r="H65" s="35">
        <f>IF(Inputs!H65="","",LET(d,Rulebook!$L65,x,Inputs!H65*d,ta,Rulebook!$G65*d,tb,Rulebook!$H65*d,tc,Rulebook!$I65*d,te,Rulebook!$J65*d,tf,Rulebook!$K65*d,IFS(x&lt;=ta,0,x&lt;=tb,25*(x-ta)/(tb-ta),x&lt;=tc,25+25*(x-tb)/(tc-tb),x&lt;=te,50+25*(x-tc)/(te-tc),x&lt;tf,75+25*(x-te)/(tf-te),TRUE,100)))</f>
        <v>0</v>
      </c>
      <c r="I65" s="35">
        <f>IF(Inputs!I65="","",LET(d,Rulebook!$L65,x,Inputs!I65*d,ta,Rulebook!$G65*d,tb,Rulebook!$H65*d,tc,Rulebook!$I65*d,te,Rulebook!$J65*d,tf,Rulebook!$K65*d,IFS(x&lt;=ta,0,x&lt;=tb,25*(x-ta)/(tb-ta),x&lt;=tc,25+25*(x-tb)/(tc-tb),x&lt;=te,50+25*(x-tc)/(te-tc),x&lt;tf,75+25*(x-te)/(tf-te),TRUE,100)))</f>
        <v>0</v>
      </c>
      <c r="J65" s="35">
        <f>IF(Inputs!J65="","",LET(d,Rulebook!$L65,x,Inputs!J65*d,ta,Rulebook!$G65*d,tb,Rulebook!$H65*d,tc,Rulebook!$I65*d,te,Rulebook!$J65*d,tf,Rulebook!$K65*d,IFS(x&lt;=ta,0,x&lt;=tb,25*(x-ta)/(tb-ta),x&lt;=tc,25+25*(x-tb)/(tc-tb),x&lt;=te,50+25*(x-tc)/(te-tc),x&lt;tf,75+25*(x-te)/(tf-te),TRUE,100)))</f>
        <v>0</v>
      </c>
      <c r="K65" s="35">
        <f>IF(Inputs!K65="","",LET(d,Rulebook!$L65,x,Inputs!K65*d,ta,Rulebook!$G65*d,tb,Rulebook!$H65*d,tc,Rulebook!$I65*d,te,Rulebook!$J65*d,tf,Rulebook!$K65*d,IFS(x&lt;=ta,0,x&lt;=tb,25*(x-ta)/(tb-ta),x&lt;=tc,25+25*(x-tb)/(tc-tb),x&lt;=te,50+25*(x-tc)/(te-tc),x&lt;tf,75+25*(x-te)/(tf-te),TRUE,100)))</f>
        <v>0</v>
      </c>
      <c r="L65" s="35">
        <f>IF(Inputs!L65="","",LET(d,Rulebook!$L65,x,Inputs!L65*d,ta,Rulebook!$G65*d,tb,Rulebook!$H65*d,tc,Rulebook!$I65*d,te,Rulebook!$J65*d,tf,Rulebook!$K65*d,IFS(x&lt;=ta,0,x&lt;=tb,25*(x-ta)/(tb-ta),x&lt;=tc,25+25*(x-tb)/(tc-tb),x&lt;=te,50+25*(x-tc)/(te-tc),x&lt;tf,75+25*(x-te)/(tf-te),TRUE,100)))</f>
        <v>25</v>
      </c>
      <c r="M65" s="35">
        <f>IF(Inputs!M65="","",LET(d,Rulebook!$L65,x,Inputs!M65*d,ta,Rulebook!$G65*d,tb,Rulebook!$H65*d,tc,Rulebook!$I65*d,te,Rulebook!$J65*d,tf,Rulebook!$K65*d,IFS(x&lt;=ta,0,x&lt;=tb,25*(x-ta)/(tb-ta),x&lt;=tc,25+25*(x-tb)/(tc-tb),x&lt;=te,50+25*(x-tc)/(te-tc),x&lt;tf,75+25*(x-te)/(tf-te),TRUE,100)))</f>
        <v>50</v>
      </c>
      <c r="N65" s="35">
        <f>IF(Inputs!N65="","",LET(d,Rulebook!$L65,x,Inputs!N65*d,ta,Rulebook!$G65*d,tb,Rulebook!$H65*d,tc,Rulebook!$I65*d,te,Rulebook!$J65*d,tf,Rulebook!$K65*d,IFS(x&lt;=ta,0,x&lt;=tb,25*(x-ta)/(tb-ta),x&lt;=tc,25+25*(x-tb)/(tc-tb),x&lt;=te,50+25*(x-tc)/(te-tc),x&lt;tf,75+25*(x-te)/(tf-te),TRUE,100)))</f>
        <v>0</v>
      </c>
      <c r="O65" s="35">
        <f>IF(Inputs!O65="","",LET(d,Rulebook!$L65,x,Inputs!O65*d,ta,Rulebook!$G65*d,tb,Rulebook!$H65*d,tc,Rulebook!$I65*d,te,Rulebook!$J65*d,tf,Rulebook!$K65*d,IFS(x&lt;=ta,0,x&lt;=tb,25*(x-ta)/(tb-ta),x&lt;=tc,25+25*(x-tb)/(tc-tb),x&lt;=te,50+25*(x-tc)/(te-tc),x&lt;tf,75+25*(x-te)/(tf-te),TRUE,100)))</f>
        <v>50</v>
      </c>
      <c r="P65" s="35">
        <f>IF(Inputs!P65="","",LET(d,Rulebook!$L65,x,Inputs!P65*d,ta,Rulebook!$G65*d,tb,Rulebook!$H65*d,tc,Rulebook!$I65*d,te,Rulebook!$J65*d,tf,Rulebook!$K65*d,IFS(x&lt;=ta,0,x&lt;=tb,25*(x-ta)/(tb-ta),x&lt;=tc,25+25*(x-tb)/(tc-tb),x&lt;=te,50+25*(x-tc)/(te-tc),x&lt;tf,75+25*(x-te)/(tf-te),TRUE,100)))</f>
        <v>0</v>
      </c>
      <c r="Q65" s="35">
        <f>IF(Inputs!Q65="","",LET(d,Rulebook!$L65,x,Inputs!Q65*d,ta,Rulebook!$G65*d,tb,Rulebook!$H65*d,tc,Rulebook!$I65*d,te,Rulebook!$J65*d,tf,Rulebook!$K65*d,IFS(x&lt;=ta,0,x&lt;=tb,25*(x-ta)/(tb-ta),x&lt;=tc,25+25*(x-tb)/(tc-tb),x&lt;=te,50+25*(x-tc)/(te-tc),x&lt;tf,75+25*(x-te)/(tf-te),TRUE,100)))</f>
        <v>75</v>
      </c>
      <c r="R65" s="35">
        <f>IF(Inputs!R65="","",LET(d,Rulebook!$L65,x,Inputs!R65*d,ta,Rulebook!$G65*d,tb,Rulebook!$H65*d,tc,Rulebook!$I65*d,te,Rulebook!$J65*d,tf,Rulebook!$K65*d,IFS(x&lt;=ta,0,x&lt;=tb,25*(x-ta)/(tb-ta),x&lt;=tc,25+25*(x-tb)/(tc-tb),x&lt;=te,50+25*(x-tc)/(te-tc),x&lt;tf,75+25*(x-te)/(tf-te),TRUE,100)))</f>
        <v>50</v>
      </c>
      <c r="S65" s="35">
        <f>IF(Inputs!S65="","",LET(d,Rulebook!$L65,x,Inputs!S65*d,ta,Rulebook!$G65*d,tb,Rulebook!$H65*d,tc,Rulebook!$I65*d,te,Rulebook!$J65*d,tf,Rulebook!$K65*d,IFS(x&lt;=ta,0,x&lt;=tb,25*(x-ta)/(tb-ta),x&lt;=tc,25+25*(x-tb)/(tc-tb),x&lt;=te,50+25*(x-tc)/(te-tc),x&lt;tf,75+25*(x-te)/(tf-te),TRUE,100)))</f>
        <v>75</v>
      </c>
      <c r="T65" s="35">
        <f>IF(Inputs!T65="","",LET(d,Rulebook!$L65,x,Inputs!T65*d,ta,Rulebook!$G65*d,tb,Rulebook!$H65*d,tc,Rulebook!$I65*d,te,Rulebook!$J65*d,tf,Rulebook!$K65*d,IFS(x&lt;=ta,0,x&lt;=tb,25*(x-ta)/(tb-ta),x&lt;=tc,25+25*(x-tb)/(tc-tb),x&lt;=te,50+25*(x-tc)/(te-tc),x&lt;tf,75+25*(x-te)/(tf-te),TRUE,100)))</f>
        <v>0</v>
      </c>
      <c r="U65" s="35">
        <f>IF(Inputs!U65="","",LET(d,Rulebook!$L65,x,Inputs!U65*d,ta,Rulebook!$G65*d,tb,Rulebook!$H65*d,tc,Rulebook!$I65*d,te,Rulebook!$J65*d,tf,Rulebook!$K65*d,IFS(x&lt;=ta,0,x&lt;=tb,25*(x-ta)/(tb-ta),x&lt;=tc,25+25*(x-tb)/(tc-tb),x&lt;=te,50+25*(x-tc)/(te-tc),x&lt;tf,75+25*(x-te)/(tf-te),TRUE,100)))</f>
        <v>0</v>
      </c>
      <c r="V65" s="35">
        <f>IF(Inputs!V65="","",LET(d,Rulebook!$L65,x,Inputs!V65*d,ta,Rulebook!$G65*d,tb,Rulebook!$H65*d,tc,Rulebook!$I65*d,te,Rulebook!$J65*d,tf,Rulebook!$K65*d,IFS(x&lt;=ta,0,x&lt;=tb,25*(x-ta)/(tb-ta),x&lt;=tc,25+25*(x-tb)/(tc-tb),x&lt;=te,50+25*(x-tc)/(te-tc),x&lt;tf,75+25*(x-te)/(tf-te),TRUE,100)))</f>
        <v>0</v>
      </c>
    </row>
    <row r="66">
      <c r="A66" s="26" t="s">
        <v>730</v>
      </c>
      <c r="B66" s="26">
        <v>6.0</v>
      </c>
      <c r="C66" s="26" t="s">
        <v>731</v>
      </c>
      <c r="D66" s="26" t="s">
        <v>112</v>
      </c>
      <c r="E66" s="35">
        <f>IF(Inputs!E66="","",LET(d,Rulebook!$L66,x,Inputs!E66*d,ta,Rulebook!$G66*d,tb,Rulebook!$H66*d,tc,Rulebook!$I66*d,te,Rulebook!$J66*d,tf,Rulebook!$K66*d,IFS(x&lt;=ta,0,x&lt;=tb,25*(x-ta)/(tb-ta),x&lt;=tc,25+25*(x-tb)/(tc-tb),x&lt;=te,50+25*(x-tc)/(te-tc),x&lt;tf,75+25*(x-te)/(tf-te),TRUE,100)))</f>
        <v>0</v>
      </c>
      <c r="F66" s="35">
        <f>IF(Inputs!F66="","",LET(d,Rulebook!$L66,x,Inputs!F66*d,ta,Rulebook!$G66*d,tb,Rulebook!$H66*d,tc,Rulebook!$I66*d,te,Rulebook!$J66*d,tf,Rulebook!$K66*d,IFS(x&lt;=ta,0,x&lt;=tb,25*(x-ta)/(tb-ta),x&lt;=tc,25+25*(x-tb)/(tc-tb),x&lt;=te,50+25*(x-tc)/(te-tc),x&lt;tf,75+25*(x-te)/(tf-te),TRUE,100)))</f>
        <v>12.5</v>
      </c>
      <c r="G66" s="35">
        <f>IF(Inputs!G66="","",LET(d,Rulebook!$L66,x,Inputs!G66*d,ta,Rulebook!$G66*d,tb,Rulebook!$H66*d,tc,Rulebook!$I66*d,te,Rulebook!$J66*d,tf,Rulebook!$K66*d,IFS(x&lt;=ta,0,x&lt;=tb,25*(x-ta)/(tb-ta),x&lt;=tc,25+25*(x-tb)/(tc-tb),x&lt;=te,50+25*(x-tc)/(te-tc),x&lt;tf,75+25*(x-te)/(tf-te),TRUE,100)))</f>
        <v>45.83333333</v>
      </c>
      <c r="H66" s="35">
        <f>IF(Inputs!H66="","",LET(d,Rulebook!$L66,x,Inputs!H66*d,ta,Rulebook!$G66*d,tb,Rulebook!$H66*d,tc,Rulebook!$I66*d,te,Rulebook!$J66*d,tf,Rulebook!$K66*d,IFS(x&lt;=ta,0,x&lt;=tb,25*(x-ta)/(tb-ta),x&lt;=tc,25+25*(x-tb)/(tc-tb),x&lt;=te,50+25*(x-tc)/(te-tc),x&lt;tf,75+25*(x-te)/(tf-te),TRUE,100)))</f>
        <v>18.75</v>
      </c>
      <c r="I66" s="35">
        <f>IF(Inputs!I66="","",LET(d,Rulebook!$L66,x,Inputs!I66*d,ta,Rulebook!$G66*d,tb,Rulebook!$H66*d,tc,Rulebook!$I66*d,te,Rulebook!$J66*d,tf,Rulebook!$K66*d,IFS(x&lt;=ta,0,x&lt;=tb,25*(x-ta)/(tb-ta),x&lt;=tc,25+25*(x-tb)/(tc-tb),x&lt;=te,50+25*(x-tc)/(te-tc),x&lt;tf,75+25*(x-te)/(tf-te),TRUE,100)))</f>
        <v>0</v>
      </c>
      <c r="J66" s="35">
        <f>IF(Inputs!J66="","",LET(d,Rulebook!$L66,x,Inputs!J66*d,ta,Rulebook!$G66*d,tb,Rulebook!$H66*d,tc,Rulebook!$I66*d,te,Rulebook!$J66*d,tf,Rulebook!$K66*d,IFS(x&lt;=ta,0,x&lt;=tb,25*(x-ta)/(tb-ta),x&lt;=tc,25+25*(x-tb)/(tc-tb),x&lt;=te,50+25*(x-tc)/(te-tc),x&lt;tf,75+25*(x-te)/(tf-te),TRUE,100)))</f>
        <v>0</v>
      </c>
      <c r="K66" s="35">
        <f>IF(Inputs!K66="","",LET(d,Rulebook!$L66,x,Inputs!K66*d,ta,Rulebook!$G66*d,tb,Rulebook!$H66*d,tc,Rulebook!$I66*d,te,Rulebook!$J66*d,tf,Rulebook!$K66*d,IFS(x&lt;=ta,0,x&lt;=tb,25*(x-ta)/(tb-ta),x&lt;=tc,25+25*(x-tb)/(tc-tb),x&lt;=te,50+25*(x-tc)/(te-tc),x&lt;tf,75+25*(x-te)/(tf-te),TRUE,100)))</f>
        <v>0</v>
      </c>
      <c r="L66" s="35">
        <f>IF(Inputs!L66="","",LET(d,Rulebook!$L66,x,Inputs!L66*d,ta,Rulebook!$G66*d,tb,Rulebook!$H66*d,tc,Rulebook!$I66*d,te,Rulebook!$J66*d,tf,Rulebook!$K66*d,IFS(x&lt;=ta,0,x&lt;=tb,25*(x-ta)/(tb-ta),x&lt;=tc,25+25*(x-tb)/(tc-tb),x&lt;=te,50+25*(x-tc)/(te-tc),x&lt;tf,75+25*(x-te)/(tf-te),TRUE,100)))</f>
        <v>41.66666667</v>
      </c>
      <c r="M66" s="35">
        <f>IF(Inputs!M66="","",LET(d,Rulebook!$L66,x,Inputs!M66*d,ta,Rulebook!$G66*d,tb,Rulebook!$H66*d,tc,Rulebook!$I66*d,te,Rulebook!$J66*d,tf,Rulebook!$K66*d,IFS(x&lt;=ta,0,x&lt;=tb,25*(x-ta)/(tb-ta),x&lt;=tc,25+25*(x-tb)/(tc-tb),x&lt;=te,50+25*(x-tc)/(te-tc),x&lt;tf,75+25*(x-te)/(tf-te),TRUE,100)))</f>
        <v>12.5</v>
      </c>
      <c r="N66" s="35">
        <f>IF(Inputs!N66="","",LET(d,Rulebook!$L66,x,Inputs!N66*d,ta,Rulebook!$G66*d,tb,Rulebook!$H66*d,tc,Rulebook!$I66*d,te,Rulebook!$J66*d,tf,Rulebook!$K66*d,IFS(x&lt;=ta,0,x&lt;=tb,25*(x-ta)/(tb-ta),x&lt;=tc,25+25*(x-tb)/(tc-tb),x&lt;=te,50+25*(x-tc)/(te-tc),x&lt;tf,75+25*(x-te)/(tf-te),TRUE,100)))</f>
        <v>29.16666667</v>
      </c>
      <c r="O66" s="35">
        <f>IF(Inputs!O66="","",LET(d,Rulebook!$L66,x,Inputs!O66*d,ta,Rulebook!$G66*d,tb,Rulebook!$H66*d,tc,Rulebook!$I66*d,te,Rulebook!$J66*d,tf,Rulebook!$K66*d,IFS(x&lt;=ta,0,x&lt;=tb,25*(x-ta)/(tb-ta),x&lt;=tc,25+25*(x-tb)/(tc-tb),x&lt;=te,50+25*(x-tc)/(te-tc),x&lt;tf,75+25*(x-te)/(tf-te),TRUE,100)))</f>
        <v>37.5</v>
      </c>
      <c r="P66" s="35">
        <f>IF(Inputs!P66="","",LET(d,Rulebook!$L66,x,Inputs!P66*d,ta,Rulebook!$G66*d,tb,Rulebook!$H66*d,tc,Rulebook!$I66*d,te,Rulebook!$J66*d,tf,Rulebook!$K66*d,IFS(x&lt;=ta,0,x&lt;=tb,25*(x-ta)/(tb-ta),x&lt;=tc,25+25*(x-tb)/(tc-tb),x&lt;=te,50+25*(x-tc)/(te-tc),x&lt;tf,75+25*(x-te)/(tf-te),TRUE,100)))</f>
        <v>50</v>
      </c>
      <c r="Q66" s="35">
        <f>IF(Inputs!Q66="","",LET(d,Rulebook!$L66,x,Inputs!Q66*d,ta,Rulebook!$G66*d,tb,Rulebook!$H66*d,tc,Rulebook!$I66*d,te,Rulebook!$J66*d,tf,Rulebook!$K66*d,IFS(x&lt;=ta,0,x&lt;=tb,25*(x-ta)/(tb-ta),x&lt;=tc,25+25*(x-tb)/(tc-tb),x&lt;=te,50+25*(x-tc)/(te-tc),x&lt;tf,75+25*(x-te)/(tf-te),TRUE,100)))</f>
        <v>57.14285714</v>
      </c>
      <c r="R66" s="35">
        <f>IF(Inputs!R66="","",LET(d,Rulebook!$L66,x,Inputs!R66*d,ta,Rulebook!$G66*d,tb,Rulebook!$H66*d,tc,Rulebook!$I66*d,te,Rulebook!$J66*d,tf,Rulebook!$K66*d,IFS(x&lt;=ta,0,x&lt;=tb,25*(x-ta)/(tb-ta),x&lt;=tc,25+25*(x-tb)/(tc-tb),x&lt;=te,50+25*(x-tc)/(te-tc),x&lt;tf,75+25*(x-te)/(tf-te),TRUE,100)))</f>
        <v>25</v>
      </c>
      <c r="S66" s="35">
        <f>IF(Inputs!S66="","",LET(d,Rulebook!$L66,x,Inputs!S66*d,ta,Rulebook!$G66*d,tb,Rulebook!$H66*d,tc,Rulebook!$I66*d,te,Rulebook!$J66*d,tf,Rulebook!$K66*d,IFS(x&lt;=ta,0,x&lt;=tb,25*(x-ta)/(tb-ta),x&lt;=tc,25+25*(x-tb)/(tc-tb),x&lt;=te,50+25*(x-tc)/(te-tc),x&lt;tf,75+25*(x-te)/(tf-te),TRUE,100)))</f>
        <v>0</v>
      </c>
      <c r="T66" s="35">
        <f>IF(Inputs!T66="","",LET(d,Rulebook!$L66,x,Inputs!T66*d,ta,Rulebook!$G66*d,tb,Rulebook!$H66*d,tc,Rulebook!$I66*d,te,Rulebook!$J66*d,tf,Rulebook!$K66*d,IFS(x&lt;=ta,0,x&lt;=tb,25*(x-ta)/(tb-ta),x&lt;=tc,25+25*(x-tb)/(tc-tb),x&lt;=te,50+25*(x-tc)/(te-tc),x&lt;tf,75+25*(x-te)/(tf-te),TRUE,100)))</f>
        <v>0</v>
      </c>
      <c r="U66" s="35">
        <f>IF(Inputs!U66="","",LET(d,Rulebook!$L66,x,Inputs!U66*d,ta,Rulebook!$G66*d,tb,Rulebook!$H66*d,tc,Rulebook!$I66*d,te,Rulebook!$J66*d,tf,Rulebook!$K66*d,IFS(x&lt;=ta,0,x&lt;=tb,25*(x-ta)/(tb-ta),x&lt;=tc,25+25*(x-tb)/(tc-tb),x&lt;=te,50+25*(x-tc)/(te-tc),x&lt;tf,75+25*(x-te)/(tf-te),TRUE,100)))</f>
        <v>25</v>
      </c>
      <c r="V66" s="35">
        <f>IF(Inputs!V66="","",LET(d,Rulebook!$L66,x,Inputs!V66*d,ta,Rulebook!$G66*d,tb,Rulebook!$H66*d,tc,Rulebook!$I66*d,te,Rulebook!$J66*d,tf,Rulebook!$K66*d,IFS(x&lt;=ta,0,x&lt;=tb,25*(x-ta)/(tb-ta),x&lt;=tc,25+25*(x-tb)/(tc-tb),x&lt;=te,50+25*(x-tc)/(te-tc),x&lt;tf,75+25*(x-te)/(tf-te),TRUE,100)))</f>
        <v>37.5</v>
      </c>
    </row>
    <row r="67">
      <c r="A67" s="26" t="s">
        <v>734</v>
      </c>
      <c r="B67" s="26">
        <v>6.0</v>
      </c>
      <c r="C67" s="26" t="s">
        <v>735</v>
      </c>
      <c r="D67" s="26" t="s">
        <v>736</v>
      </c>
      <c r="E67" s="35">
        <f>IF(Inputs!E67="","",LET(d,Rulebook!$L67,x,Inputs!E67*d,ta,Rulebook!$G67*d,tb,Rulebook!$H67*d,tc,Rulebook!$I67*d,te,Rulebook!$J67*d,tf,Rulebook!$K67*d,IFS(x&lt;=ta,0,x&lt;=tb,25*(x-ta)/(tb-ta),x&lt;=tc,25+25*(x-tb)/(tc-tb),x&lt;=te,50+25*(x-tc)/(te-tc),x&lt;tf,75+25*(x-te)/(tf-te),TRUE,100)))</f>
        <v>58.33333333</v>
      </c>
      <c r="F67" s="35">
        <f>IF(Inputs!F67="","",LET(d,Rulebook!$L67,x,Inputs!F67*d,ta,Rulebook!$G67*d,tb,Rulebook!$H67*d,tc,Rulebook!$I67*d,te,Rulebook!$J67*d,tf,Rulebook!$K67*d,IFS(x&lt;=ta,0,x&lt;=tb,25*(x-ta)/(tb-ta),x&lt;=tc,25+25*(x-tb)/(tc-tb),x&lt;=te,50+25*(x-tc)/(te-tc),x&lt;tf,75+25*(x-te)/(tf-te),TRUE,100)))</f>
        <v>66.66666667</v>
      </c>
      <c r="G67" s="35">
        <f>IF(Inputs!G67="","",LET(d,Rulebook!$L67,x,Inputs!G67*d,ta,Rulebook!$G67*d,tb,Rulebook!$H67*d,tc,Rulebook!$I67*d,te,Rulebook!$J67*d,tf,Rulebook!$K67*d,IFS(x&lt;=ta,0,x&lt;=tb,25*(x-ta)/(tb-ta),x&lt;=tc,25+25*(x-tb)/(tc-tb),x&lt;=te,50+25*(x-tc)/(te-tc),x&lt;tf,75+25*(x-te)/(tf-te),TRUE,100)))</f>
        <v>68.33333333</v>
      </c>
      <c r="H67" s="35">
        <f>IF(Inputs!H67="","",LET(d,Rulebook!$L67,x,Inputs!H67*d,ta,Rulebook!$G67*d,tb,Rulebook!$H67*d,tc,Rulebook!$I67*d,te,Rulebook!$J67*d,tf,Rulebook!$K67*d,IFS(x&lt;=ta,0,x&lt;=tb,25*(x-ta)/(tb-ta),x&lt;=tc,25+25*(x-tb)/(tc-tb),x&lt;=te,50+25*(x-tc)/(te-tc),x&lt;tf,75+25*(x-te)/(tf-te),TRUE,100)))</f>
        <v>58.33333333</v>
      </c>
      <c r="I67" s="35">
        <f>IF(Inputs!I67="","",LET(d,Rulebook!$L67,x,Inputs!I67*d,ta,Rulebook!$G67*d,tb,Rulebook!$H67*d,tc,Rulebook!$I67*d,te,Rulebook!$J67*d,tf,Rulebook!$K67*d,IFS(x&lt;=ta,0,x&lt;=tb,25*(x-ta)/(tb-ta),x&lt;=tc,25+25*(x-tb)/(tc-tb),x&lt;=te,50+25*(x-tc)/(te-tc),x&lt;tf,75+25*(x-te)/(tf-te),TRUE,100)))</f>
        <v>12.5</v>
      </c>
      <c r="J67" s="35">
        <f>IF(Inputs!J67="","",LET(d,Rulebook!$L67,x,Inputs!J67*d,ta,Rulebook!$G67*d,tb,Rulebook!$H67*d,tc,Rulebook!$I67*d,te,Rulebook!$J67*d,tf,Rulebook!$K67*d,IFS(x&lt;=ta,0,x&lt;=tb,25*(x-ta)/(tb-ta),x&lt;=tc,25+25*(x-tb)/(tc-tb),x&lt;=te,50+25*(x-tc)/(te-tc),x&lt;tf,75+25*(x-te)/(tf-te),TRUE,100)))</f>
        <v>30</v>
      </c>
      <c r="K67" s="35">
        <f>IF(Inputs!K67="","",LET(d,Rulebook!$L67,x,Inputs!K67*d,ta,Rulebook!$G67*d,tb,Rulebook!$H67*d,tc,Rulebook!$I67*d,te,Rulebook!$J67*d,tf,Rulebook!$K67*d,IFS(x&lt;=ta,0,x&lt;=tb,25*(x-ta)/(tb-ta),x&lt;=tc,25+25*(x-tb)/(tc-tb),x&lt;=te,50+25*(x-tc)/(te-tc),x&lt;tf,75+25*(x-te)/(tf-te),TRUE,100)))</f>
        <v>28.33333333</v>
      </c>
      <c r="L67" s="35">
        <f>IF(Inputs!L67="","",LET(d,Rulebook!$L67,x,Inputs!L67*d,ta,Rulebook!$G67*d,tb,Rulebook!$H67*d,tc,Rulebook!$I67*d,te,Rulebook!$J67*d,tf,Rulebook!$K67*d,IFS(x&lt;=ta,0,x&lt;=tb,25*(x-ta)/(tb-ta),x&lt;=tc,25+25*(x-tb)/(tc-tb),x&lt;=te,50+25*(x-tc)/(te-tc),x&lt;tf,75+25*(x-te)/(tf-te),TRUE,100)))</f>
        <v>56.66666667</v>
      </c>
      <c r="M67" s="35">
        <f>IF(Inputs!M67="","",LET(d,Rulebook!$L67,x,Inputs!M67*d,ta,Rulebook!$G67*d,tb,Rulebook!$H67*d,tc,Rulebook!$I67*d,te,Rulebook!$J67*d,tf,Rulebook!$K67*d,IFS(x&lt;=ta,0,x&lt;=tb,25*(x-ta)/(tb-ta),x&lt;=tc,25+25*(x-tb)/(tc-tb),x&lt;=te,50+25*(x-tc)/(te-tc),x&lt;tf,75+25*(x-te)/(tf-te),TRUE,100)))</f>
        <v>58.33333333</v>
      </c>
      <c r="N67" s="35">
        <f>IF(Inputs!N67="","",LET(d,Rulebook!$L67,x,Inputs!N67*d,ta,Rulebook!$G67*d,tb,Rulebook!$H67*d,tc,Rulebook!$I67*d,te,Rulebook!$J67*d,tf,Rulebook!$K67*d,IFS(x&lt;=ta,0,x&lt;=tb,25*(x-ta)/(tb-ta),x&lt;=tc,25+25*(x-tb)/(tc-tb),x&lt;=te,50+25*(x-tc)/(te-tc),x&lt;tf,75+25*(x-te)/(tf-te),TRUE,100)))</f>
        <v>50</v>
      </c>
      <c r="O67" s="35">
        <f>IF(Inputs!O67="","",LET(d,Rulebook!$L67,x,Inputs!O67*d,ta,Rulebook!$G67*d,tb,Rulebook!$H67*d,tc,Rulebook!$I67*d,te,Rulebook!$J67*d,tf,Rulebook!$K67*d,IFS(x&lt;=ta,0,x&lt;=tb,25*(x-ta)/(tb-ta),x&lt;=tc,25+25*(x-tb)/(tc-tb),x&lt;=te,50+25*(x-tc)/(te-tc),x&lt;tf,75+25*(x-te)/(tf-te),TRUE,100)))</f>
        <v>75</v>
      </c>
      <c r="P67" s="35">
        <f>IF(Inputs!P67="","",LET(d,Rulebook!$L67,x,Inputs!P67*d,ta,Rulebook!$G67*d,tb,Rulebook!$H67*d,tc,Rulebook!$I67*d,te,Rulebook!$J67*d,tf,Rulebook!$K67*d,IFS(x&lt;=ta,0,x&lt;=tb,25*(x-ta)/(tb-ta),x&lt;=tc,25+25*(x-tb)/(tc-tb),x&lt;=te,50+25*(x-tc)/(te-tc),x&lt;tf,75+25*(x-te)/(tf-te),TRUE,100)))</f>
        <v>50</v>
      </c>
      <c r="Q67" s="35">
        <f>IF(Inputs!Q67="","",LET(d,Rulebook!$L67,x,Inputs!Q67*d,ta,Rulebook!$G67*d,tb,Rulebook!$H67*d,tc,Rulebook!$I67*d,te,Rulebook!$J67*d,tf,Rulebook!$K67*d,IFS(x&lt;=ta,0,x&lt;=tb,25*(x-ta)/(tb-ta),x&lt;=tc,25+25*(x-tb)/(tc-tb),x&lt;=te,50+25*(x-tc)/(te-tc),x&lt;tf,75+25*(x-te)/(tf-te),TRUE,100)))</f>
        <v>90</v>
      </c>
      <c r="R67" s="35">
        <f>IF(Inputs!R67="","",LET(d,Rulebook!$L67,x,Inputs!R67*d,ta,Rulebook!$G67*d,tb,Rulebook!$H67*d,tc,Rulebook!$I67*d,te,Rulebook!$J67*d,tf,Rulebook!$K67*d,IFS(x&lt;=ta,0,x&lt;=tb,25*(x-ta)/(tb-ta),x&lt;=tc,25+25*(x-tb)/(tc-tb),x&lt;=te,50+25*(x-tc)/(te-tc),x&lt;tf,75+25*(x-te)/(tf-te),TRUE,100)))</f>
        <v>75</v>
      </c>
      <c r="S67" s="35">
        <f>IF(Inputs!S67="","",LET(d,Rulebook!$L67,x,Inputs!S67*d,ta,Rulebook!$G67*d,tb,Rulebook!$H67*d,tc,Rulebook!$I67*d,te,Rulebook!$J67*d,tf,Rulebook!$K67*d,IFS(x&lt;=ta,0,x&lt;=tb,25*(x-ta)/(tb-ta),x&lt;=tc,25+25*(x-tb)/(tc-tb),x&lt;=te,50+25*(x-tc)/(te-tc),x&lt;tf,75+25*(x-te)/(tf-te),TRUE,100)))</f>
        <v>82.5</v>
      </c>
      <c r="T67" s="35">
        <f>IF(Inputs!T67="","",LET(d,Rulebook!$L67,x,Inputs!T67*d,ta,Rulebook!$G67*d,tb,Rulebook!$H67*d,tc,Rulebook!$I67*d,te,Rulebook!$J67*d,tf,Rulebook!$K67*d,IFS(x&lt;=ta,0,x&lt;=tb,25*(x-ta)/(tb-ta),x&lt;=tc,25+25*(x-tb)/(tc-tb),x&lt;=te,50+25*(x-tc)/(te-tc),x&lt;tf,75+25*(x-te)/(tf-te),TRUE,100)))</f>
        <v>46.66666667</v>
      </c>
      <c r="U67" s="35">
        <f>IF(Inputs!U67="","",LET(d,Rulebook!$L67,x,Inputs!U67*d,ta,Rulebook!$G67*d,tb,Rulebook!$H67*d,tc,Rulebook!$I67*d,te,Rulebook!$J67*d,tf,Rulebook!$K67*d,IFS(x&lt;=ta,0,x&lt;=tb,25*(x-ta)/(tb-ta),x&lt;=tc,25+25*(x-tb)/(tc-tb),x&lt;=te,50+25*(x-tc)/(te-tc),x&lt;tf,75+25*(x-te)/(tf-te),TRUE,100)))</f>
        <v>50</v>
      </c>
      <c r="V67" s="35">
        <f>IF(Inputs!V67="","",LET(d,Rulebook!$L67,x,Inputs!V67*d,ta,Rulebook!$G67*d,tb,Rulebook!$H67*d,tc,Rulebook!$I67*d,te,Rulebook!$J67*d,tf,Rulebook!$K67*d,IFS(x&lt;=ta,0,x&lt;=tb,25*(x-ta)/(tb-ta),x&lt;=tc,25+25*(x-tb)/(tc-tb),x&lt;=te,50+25*(x-tc)/(te-tc),x&lt;tf,75+25*(x-te)/(tf-te),TRUE,100)))</f>
        <v>56.66666667</v>
      </c>
    </row>
    <row r="68">
      <c r="A68" s="26" t="s">
        <v>739</v>
      </c>
      <c r="B68" s="26">
        <v>6.0</v>
      </c>
      <c r="C68" s="26" t="s">
        <v>740</v>
      </c>
      <c r="D68" s="26" t="s">
        <v>254</v>
      </c>
      <c r="E68" s="35">
        <f>IF(Inputs!E68="","",LET(d,Rulebook!$L68,x,Inputs!E68*d,ta,Rulebook!$G68*d,tb,Rulebook!$H68*d,tc,Rulebook!$I68*d,te,Rulebook!$J68*d,tf,Rulebook!$K68*d,IFS(x&lt;=ta,0,x&lt;=tb,25*(x-ta)/(tb-ta),x&lt;=tc,25+25*(x-tb)/(tc-tb),x&lt;=te,50+25*(x-tc)/(te-tc),x&lt;tf,75+25*(x-te)/(tf-te),TRUE,100)))</f>
        <v>25</v>
      </c>
      <c r="F68" s="35">
        <f>IF(Inputs!F68="","",LET(d,Rulebook!$L68,x,Inputs!F68*d,ta,Rulebook!$G68*d,tb,Rulebook!$H68*d,tc,Rulebook!$I68*d,te,Rulebook!$J68*d,tf,Rulebook!$K68*d,IFS(x&lt;=ta,0,x&lt;=tb,25*(x-ta)/(tb-ta),x&lt;=tc,25+25*(x-tb)/(tc-tb),x&lt;=te,50+25*(x-tc)/(te-tc),x&lt;tf,75+25*(x-te)/(tf-te),TRUE,100)))</f>
        <v>50</v>
      </c>
      <c r="G68" s="35">
        <f>IF(Inputs!G68="","",LET(d,Rulebook!$L68,x,Inputs!G68*d,ta,Rulebook!$G68*d,tb,Rulebook!$H68*d,tc,Rulebook!$I68*d,te,Rulebook!$J68*d,tf,Rulebook!$K68*d,IFS(x&lt;=ta,0,x&lt;=tb,25*(x-ta)/(tb-ta),x&lt;=tc,25+25*(x-tb)/(tc-tb),x&lt;=te,50+25*(x-tc)/(te-tc),x&lt;tf,75+25*(x-te)/(tf-te),TRUE,100)))</f>
        <v>25</v>
      </c>
      <c r="H68" s="35">
        <f>IF(Inputs!H68="","",LET(d,Rulebook!$L68,x,Inputs!H68*d,ta,Rulebook!$G68*d,tb,Rulebook!$H68*d,tc,Rulebook!$I68*d,te,Rulebook!$J68*d,tf,Rulebook!$K68*d,IFS(x&lt;=ta,0,x&lt;=tb,25*(x-ta)/(tb-ta),x&lt;=tc,25+25*(x-tb)/(tc-tb),x&lt;=te,50+25*(x-tc)/(te-tc),x&lt;tf,75+25*(x-te)/(tf-te),TRUE,100)))</f>
        <v>25</v>
      </c>
      <c r="I68" s="35">
        <f>IF(Inputs!I68="","",LET(d,Rulebook!$L68,x,Inputs!I68*d,ta,Rulebook!$G68*d,tb,Rulebook!$H68*d,tc,Rulebook!$I68*d,te,Rulebook!$J68*d,tf,Rulebook!$K68*d,IFS(x&lt;=ta,0,x&lt;=tb,25*(x-ta)/(tb-ta),x&lt;=tc,25+25*(x-tb)/(tc-tb),x&lt;=te,50+25*(x-tc)/(te-tc),x&lt;tf,75+25*(x-te)/(tf-te),TRUE,100)))</f>
        <v>0</v>
      </c>
      <c r="J68" s="35">
        <f>IF(Inputs!J68="","",LET(d,Rulebook!$L68,x,Inputs!J68*d,ta,Rulebook!$G68*d,tb,Rulebook!$H68*d,tc,Rulebook!$I68*d,te,Rulebook!$J68*d,tf,Rulebook!$K68*d,IFS(x&lt;=ta,0,x&lt;=tb,25*(x-ta)/(tb-ta),x&lt;=tc,25+25*(x-tb)/(tc-tb),x&lt;=te,50+25*(x-tc)/(te-tc),x&lt;tf,75+25*(x-te)/(tf-te),TRUE,100)))</f>
        <v>25</v>
      </c>
      <c r="K68" s="35">
        <f>IF(Inputs!K68="","",LET(d,Rulebook!$L68,x,Inputs!K68*d,ta,Rulebook!$G68*d,tb,Rulebook!$H68*d,tc,Rulebook!$I68*d,te,Rulebook!$J68*d,tf,Rulebook!$K68*d,IFS(x&lt;=ta,0,x&lt;=tb,25*(x-ta)/(tb-ta),x&lt;=tc,25+25*(x-tb)/(tc-tb),x&lt;=te,50+25*(x-tc)/(te-tc),x&lt;tf,75+25*(x-te)/(tf-te),TRUE,100)))</f>
        <v>25</v>
      </c>
      <c r="L68" s="35">
        <f>IF(Inputs!L68="","",LET(d,Rulebook!$L68,x,Inputs!L68*d,ta,Rulebook!$G68*d,tb,Rulebook!$H68*d,tc,Rulebook!$I68*d,te,Rulebook!$J68*d,tf,Rulebook!$K68*d,IFS(x&lt;=ta,0,x&lt;=tb,25*(x-ta)/(tb-ta),x&lt;=tc,25+25*(x-tb)/(tc-tb),x&lt;=te,50+25*(x-tc)/(te-tc),x&lt;tf,75+25*(x-te)/(tf-te),TRUE,100)))</f>
        <v>25</v>
      </c>
      <c r="M68" s="35">
        <f>IF(Inputs!M68="","",LET(d,Rulebook!$L68,x,Inputs!M68*d,ta,Rulebook!$G68*d,tb,Rulebook!$H68*d,tc,Rulebook!$I68*d,te,Rulebook!$J68*d,tf,Rulebook!$K68*d,IFS(x&lt;=ta,0,x&lt;=tb,25*(x-ta)/(tb-ta),x&lt;=tc,25+25*(x-tb)/(tc-tb),x&lt;=te,50+25*(x-tc)/(te-tc),x&lt;tf,75+25*(x-te)/(tf-te),TRUE,100)))</f>
        <v>50</v>
      </c>
      <c r="N68" s="35">
        <f>IF(Inputs!N68="","",LET(d,Rulebook!$L68,x,Inputs!N68*d,ta,Rulebook!$G68*d,tb,Rulebook!$H68*d,tc,Rulebook!$I68*d,te,Rulebook!$J68*d,tf,Rulebook!$K68*d,IFS(x&lt;=ta,0,x&lt;=tb,25*(x-ta)/(tb-ta),x&lt;=tc,25+25*(x-tb)/(tc-tb),x&lt;=te,50+25*(x-tc)/(te-tc),x&lt;tf,75+25*(x-te)/(tf-te),TRUE,100)))</f>
        <v>50</v>
      </c>
      <c r="O68" s="35">
        <f>IF(Inputs!O68="","",LET(d,Rulebook!$L68,x,Inputs!O68*d,ta,Rulebook!$G68*d,tb,Rulebook!$H68*d,tc,Rulebook!$I68*d,te,Rulebook!$J68*d,tf,Rulebook!$K68*d,IFS(x&lt;=ta,0,x&lt;=tb,25*(x-ta)/(tb-ta),x&lt;=tc,25+25*(x-tb)/(tc-tb),x&lt;=te,50+25*(x-tc)/(te-tc),x&lt;tf,75+25*(x-te)/(tf-te),TRUE,100)))</f>
        <v>50</v>
      </c>
      <c r="P68" s="35">
        <f>IF(Inputs!P68="","",LET(d,Rulebook!$L68,x,Inputs!P68*d,ta,Rulebook!$G68*d,tb,Rulebook!$H68*d,tc,Rulebook!$I68*d,te,Rulebook!$J68*d,tf,Rulebook!$K68*d,IFS(x&lt;=ta,0,x&lt;=tb,25*(x-ta)/(tb-ta),x&lt;=tc,25+25*(x-tb)/(tc-tb),x&lt;=te,50+25*(x-tc)/(te-tc),x&lt;tf,75+25*(x-te)/(tf-te),TRUE,100)))</f>
        <v>25</v>
      </c>
      <c r="Q68" s="35">
        <f>IF(Inputs!Q68="","",LET(d,Rulebook!$L68,x,Inputs!Q68*d,ta,Rulebook!$G68*d,tb,Rulebook!$H68*d,tc,Rulebook!$I68*d,te,Rulebook!$J68*d,tf,Rulebook!$K68*d,IFS(x&lt;=ta,0,x&lt;=tb,25*(x-ta)/(tb-ta),x&lt;=tc,25+25*(x-tb)/(tc-tb),x&lt;=te,50+25*(x-tc)/(te-tc),x&lt;tf,75+25*(x-te)/(tf-te),TRUE,100)))</f>
        <v>50</v>
      </c>
      <c r="R68" s="35">
        <f>IF(Inputs!R68="","",LET(d,Rulebook!$L68,x,Inputs!R68*d,ta,Rulebook!$G68*d,tb,Rulebook!$H68*d,tc,Rulebook!$I68*d,te,Rulebook!$J68*d,tf,Rulebook!$K68*d,IFS(x&lt;=ta,0,x&lt;=tb,25*(x-ta)/(tb-ta),x&lt;=tc,25+25*(x-tb)/(tc-tb),x&lt;=te,50+25*(x-tc)/(te-tc),x&lt;tf,75+25*(x-te)/(tf-te),TRUE,100)))</f>
        <v>50</v>
      </c>
      <c r="S68" s="35">
        <f>IF(Inputs!S68="","",LET(d,Rulebook!$L68,x,Inputs!S68*d,ta,Rulebook!$G68*d,tb,Rulebook!$H68*d,tc,Rulebook!$I68*d,te,Rulebook!$J68*d,tf,Rulebook!$K68*d,IFS(x&lt;=ta,0,x&lt;=tb,25*(x-ta)/(tb-ta),x&lt;=tc,25+25*(x-tb)/(tc-tb),x&lt;=te,50+25*(x-tc)/(te-tc),x&lt;tf,75+25*(x-te)/(tf-te),TRUE,100)))</f>
        <v>50</v>
      </c>
      <c r="T68" s="35">
        <f>IF(Inputs!T68="","",LET(d,Rulebook!$L68,x,Inputs!T68*d,ta,Rulebook!$G68*d,tb,Rulebook!$H68*d,tc,Rulebook!$I68*d,te,Rulebook!$J68*d,tf,Rulebook!$K68*d,IFS(x&lt;=ta,0,x&lt;=tb,25*(x-ta)/(tb-ta),x&lt;=tc,25+25*(x-tb)/(tc-tb),x&lt;=te,50+25*(x-tc)/(te-tc),x&lt;tf,75+25*(x-te)/(tf-te),TRUE,100)))</f>
        <v>50</v>
      </c>
      <c r="U68" s="35">
        <f>IF(Inputs!U68="","",LET(d,Rulebook!$L68,x,Inputs!U68*d,ta,Rulebook!$G68*d,tb,Rulebook!$H68*d,tc,Rulebook!$I68*d,te,Rulebook!$J68*d,tf,Rulebook!$K68*d,IFS(x&lt;=ta,0,x&lt;=tb,25*(x-ta)/(tb-ta),x&lt;=tc,25+25*(x-tb)/(tc-tb),x&lt;=te,50+25*(x-tc)/(te-tc),x&lt;tf,75+25*(x-te)/(tf-te),TRUE,100)))</f>
        <v>50</v>
      </c>
      <c r="V68" s="35">
        <f>IF(Inputs!V68="","",LET(d,Rulebook!$L68,x,Inputs!V68*d,ta,Rulebook!$G68*d,tb,Rulebook!$H68*d,tc,Rulebook!$I68*d,te,Rulebook!$J68*d,tf,Rulebook!$K68*d,IFS(x&lt;=ta,0,x&lt;=tb,25*(x-ta)/(tb-ta),x&lt;=tc,25+25*(x-tb)/(tc-tb),x&lt;=te,50+25*(x-tc)/(te-tc),x&lt;tf,75+25*(x-te)/(tf-te),TRUE,100)))</f>
        <v>50</v>
      </c>
    </row>
    <row r="69">
      <c r="A69" s="26" t="s">
        <v>743</v>
      </c>
      <c r="B69" s="26">
        <v>6.0</v>
      </c>
      <c r="C69" s="26" t="s">
        <v>744</v>
      </c>
      <c r="D69" s="26" t="s">
        <v>745</v>
      </c>
      <c r="E69" s="35">
        <f>IF(Inputs!E69="","",LET(d,Rulebook!$L69,x,Inputs!E69*d,ta,Rulebook!$G69*d,tb,Rulebook!$H69*d,tc,Rulebook!$I69*d,te,Rulebook!$J69*d,tf,Rulebook!$K69*d,IFS(x&lt;=ta,0,x&lt;=tb,25*(x-ta)/(tb-ta),x&lt;=tc,25+25*(x-tb)/(tc-tb),x&lt;=te,50+25*(x-tc)/(te-tc),x&lt;tf,75+25*(x-te)/(tf-te),TRUE,100)))</f>
        <v>25</v>
      </c>
      <c r="F69" s="35">
        <f>IF(Inputs!F69="","",LET(d,Rulebook!$L69,x,Inputs!F69*d,ta,Rulebook!$G69*d,tb,Rulebook!$H69*d,tc,Rulebook!$I69*d,te,Rulebook!$J69*d,tf,Rulebook!$K69*d,IFS(x&lt;=ta,0,x&lt;=tb,25*(x-ta)/(tb-ta),x&lt;=tc,25+25*(x-tb)/(tc-tb),x&lt;=te,50+25*(x-tc)/(te-tc),x&lt;tf,75+25*(x-te)/(tf-te),TRUE,100)))</f>
        <v>12.5</v>
      </c>
      <c r="G69" s="35">
        <f>IF(Inputs!G69="","",LET(d,Rulebook!$L69,x,Inputs!G69*d,ta,Rulebook!$G69*d,tb,Rulebook!$H69*d,tc,Rulebook!$I69*d,te,Rulebook!$J69*d,tf,Rulebook!$K69*d,IFS(x&lt;=ta,0,x&lt;=tb,25*(x-ta)/(tb-ta),x&lt;=tc,25+25*(x-tb)/(tc-tb),x&lt;=te,50+25*(x-tc)/(te-tc),x&lt;tf,75+25*(x-te)/(tf-te),TRUE,100)))</f>
        <v>25</v>
      </c>
      <c r="H69" s="35">
        <f>IF(Inputs!H69="","",LET(d,Rulebook!$L69,x,Inputs!H69*d,ta,Rulebook!$G69*d,tb,Rulebook!$H69*d,tc,Rulebook!$I69*d,te,Rulebook!$J69*d,tf,Rulebook!$K69*d,IFS(x&lt;=ta,0,x&lt;=tb,25*(x-ta)/(tb-ta),x&lt;=tc,25+25*(x-tb)/(tc-tb),x&lt;=te,50+25*(x-tc)/(te-tc),x&lt;tf,75+25*(x-te)/(tf-te),TRUE,100)))</f>
        <v>25</v>
      </c>
      <c r="I69" s="35">
        <f>IF(Inputs!I69="","",LET(d,Rulebook!$L69,x,Inputs!I69*d,ta,Rulebook!$G69*d,tb,Rulebook!$H69*d,tc,Rulebook!$I69*d,te,Rulebook!$J69*d,tf,Rulebook!$K69*d,IFS(x&lt;=ta,0,x&lt;=tb,25*(x-ta)/(tb-ta),x&lt;=tc,25+25*(x-tb)/(tc-tb),x&lt;=te,50+25*(x-tc)/(te-tc),x&lt;tf,75+25*(x-te)/(tf-te),TRUE,100)))</f>
        <v>25</v>
      </c>
      <c r="J69" s="35">
        <f>IF(Inputs!J69="","",LET(d,Rulebook!$L69,x,Inputs!J69*d,ta,Rulebook!$G69*d,tb,Rulebook!$H69*d,tc,Rulebook!$I69*d,te,Rulebook!$J69*d,tf,Rulebook!$K69*d,IFS(x&lt;=ta,0,x&lt;=tb,25*(x-ta)/(tb-ta),x&lt;=tc,25+25*(x-tb)/(tc-tb),x&lt;=te,50+25*(x-tc)/(te-tc),x&lt;tf,75+25*(x-te)/(tf-te),TRUE,100)))</f>
        <v>25</v>
      </c>
      <c r="K69" s="35">
        <f>IF(Inputs!K69="","",LET(d,Rulebook!$L69,x,Inputs!K69*d,ta,Rulebook!$G69*d,tb,Rulebook!$H69*d,tc,Rulebook!$I69*d,te,Rulebook!$J69*d,tf,Rulebook!$K69*d,IFS(x&lt;=ta,0,x&lt;=tb,25*(x-ta)/(tb-ta),x&lt;=tc,25+25*(x-tb)/(tc-tb),x&lt;=te,50+25*(x-tc)/(te-tc),x&lt;tf,75+25*(x-te)/(tf-te),TRUE,100)))</f>
        <v>25</v>
      </c>
      <c r="L69" s="35">
        <f>IF(Inputs!L69="","",LET(d,Rulebook!$L69,x,Inputs!L69*d,ta,Rulebook!$G69*d,tb,Rulebook!$H69*d,tc,Rulebook!$I69*d,te,Rulebook!$J69*d,tf,Rulebook!$K69*d,IFS(x&lt;=ta,0,x&lt;=tb,25*(x-ta)/(tb-ta),x&lt;=tc,25+25*(x-tb)/(tc-tb),x&lt;=te,50+25*(x-tc)/(te-tc),x&lt;tf,75+25*(x-te)/(tf-te),TRUE,100)))</f>
        <v>25</v>
      </c>
      <c r="M69" s="35">
        <f>IF(Inputs!M69="","",LET(d,Rulebook!$L69,x,Inputs!M69*d,ta,Rulebook!$G69*d,tb,Rulebook!$H69*d,tc,Rulebook!$I69*d,te,Rulebook!$J69*d,tf,Rulebook!$K69*d,IFS(x&lt;=ta,0,x&lt;=tb,25*(x-ta)/(tb-ta),x&lt;=tc,25+25*(x-tb)/(tc-tb),x&lt;=te,50+25*(x-tc)/(te-tc),x&lt;tf,75+25*(x-te)/(tf-te),TRUE,100)))</f>
        <v>50</v>
      </c>
      <c r="N69" s="35">
        <f>IF(Inputs!N69="","",LET(d,Rulebook!$L69,x,Inputs!N69*d,ta,Rulebook!$G69*d,tb,Rulebook!$H69*d,tc,Rulebook!$I69*d,te,Rulebook!$J69*d,tf,Rulebook!$K69*d,IFS(x&lt;=ta,0,x&lt;=tb,25*(x-ta)/(tb-ta),x&lt;=tc,25+25*(x-tb)/(tc-tb),x&lt;=te,50+25*(x-tc)/(te-tc),x&lt;tf,75+25*(x-te)/(tf-te),TRUE,100)))</f>
        <v>25</v>
      </c>
      <c r="O69" s="35">
        <f>IF(Inputs!O69="","",LET(d,Rulebook!$L69,x,Inputs!O69*d,ta,Rulebook!$G69*d,tb,Rulebook!$H69*d,tc,Rulebook!$I69*d,te,Rulebook!$J69*d,tf,Rulebook!$K69*d,IFS(x&lt;=ta,0,x&lt;=tb,25*(x-ta)/(tb-ta),x&lt;=tc,25+25*(x-tb)/(tc-tb),x&lt;=te,50+25*(x-tc)/(te-tc),x&lt;tf,75+25*(x-te)/(tf-te),TRUE,100)))</f>
        <v>25</v>
      </c>
      <c r="P69" s="35">
        <f>IF(Inputs!P69="","",LET(d,Rulebook!$L69,x,Inputs!P69*d,ta,Rulebook!$G69*d,tb,Rulebook!$H69*d,tc,Rulebook!$I69*d,te,Rulebook!$J69*d,tf,Rulebook!$K69*d,IFS(x&lt;=ta,0,x&lt;=tb,25*(x-ta)/(tb-ta),x&lt;=tc,25+25*(x-tb)/(tc-tb),x&lt;=te,50+25*(x-tc)/(te-tc),x&lt;tf,75+25*(x-te)/(tf-te),TRUE,100)))</f>
        <v>25</v>
      </c>
      <c r="Q69" s="35">
        <f>IF(Inputs!Q69="","",LET(d,Rulebook!$L69,x,Inputs!Q69*d,ta,Rulebook!$G69*d,tb,Rulebook!$H69*d,tc,Rulebook!$I69*d,te,Rulebook!$J69*d,tf,Rulebook!$K69*d,IFS(x&lt;=ta,0,x&lt;=tb,25*(x-ta)/(tb-ta),x&lt;=tc,25+25*(x-tb)/(tc-tb),x&lt;=te,50+25*(x-tc)/(te-tc),x&lt;tf,75+25*(x-te)/(tf-te),TRUE,100)))</f>
        <v>35</v>
      </c>
      <c r="R69" s="35">
        <f>IF(Inputs!R69="","",LET(d,Rulebook!$L69,x,Inputs!R69*d,ta,Rulebook!$G69*d,tb,Rulebook!$H69*d,tc,Rulebook!$I69*d,te,Rulebook!$J69*d,tf,Rulebook!$K69*d,IFS(x&lt;=ta,0,x&lt;=tb,25*(x-ta)/(tb-ta),x&lt;=tc,25+25*(x-tb)/(tc-tb),x&lt;=te,50+25*(x-tc)/(te-tc),x&lt;tf,75+25*(x-te)/(tf-te),TRUE,100)))</f>
        <v>25</v>
      </c>
      <c r="S69" s="35">
        <f>IF(Inputs!S69="","",LET(d,Rulebook!$L69,x,Inputs!S69*d,ta,Rulebook!$G69*d,tb,Rulebook!$H69*d,tc,Rulebook!$I69*d,te,Rulebook!$J69*d,tf,Rulebook!$K69*d,IFS(x&lt;=ta,0,x&lt;=tb,25*(x-ta)/(tb-ta),x&lt;=tc,25+25*(x-tb)/(tc-tb),x&lt;=te,50+25*(x-tc)/(te-tc),x&lt;tf,75+25*(x-te)/(tf-te),TRUE,100)))</f>
        <v>30</v>
      </c>
      <c r="T69" s="35">
        <f>IF(Inputs!T69="","",LET(d,Rulebook!$L69,x,Inputs!T69*d,ta,Rulebook!$G69*d,tb,Rulebook!$H69*d,tc,Rulebook!$I69*d,te,Rulebook!$J69*d,tf,Rulebook!$K69*d,IFS(x&lt;=ta,0,x&lt;=tb,25*(x-ta)/(tb-ta),x&lt;=tc,25+25*(x-tb)/(tc-tb),x&lt;=te,50+25*(x-tc)/(te-tc),x&lt;tf,75+25*(x-te)/(tf-te),TRUE,100)))</f>
        <v>0</v>
      </c>
      <c r="U69" s="35">
        <f>IF(Inputs!U69="","",LET(d,Rulebook!$L69,x,Inputs!U69*d,ta,Rulebook!$G69*d,tb,Rulebook!$H69*d,tc,Rulebook!$I69*d,te,Rulebook!$J69*d,tf,Rulebook!$K69*d,IFS(x&lt;=ta,0,x&lt;=tb,25*(x-ta)/(tb-ta),x&lt;=tc,25+25*(x-tb)/(tc-tb),x&lt;=te,50+25*(x-tc)/(te-tc),x&lt;tf,75+25*(x-te)/(tf-te),TRUE,100)))</f>
        <v>25</v>
      </c>
      <c r="V69" s="35">
        <f>IF(Inputs!V69="","",LET(d,Rulebook!$L69,x,Inputs!V69*d,ta,Rulebook!$G69*d,tb,Rulebook!$H69*d,tc,Rulebook!$I69*d,te,Rulebook!$J69*d,tf,Rulebook!$K69*d,IFS(x&lt;=ta,0,x&lt;=tb,25*(x-ta)/(tb-ta),x&lt;=tc,25+25*(x-tb)/(tc-tb),x&lt;=te,50+25*(x-tc)/(te-tc),x&lt;tf,75+25*(x-te)/(tf-te),TRUE,100)))</f>
        <v>25</v>
      </c>
    </row>
    <row r="70">
      <c r="A70" s="26" t="s">
        <v>748</v>
      </c>
      <c r="B70" s="26">
        <v>6.0</v>
      </c>
      <c r="C70" s="26" t="s">
        <v>749</v>
      </c>
      <c r="D70" s="26" t="s">
        <v>254</v>
      </c>
      <c r="E70" s="35">
        <f>IF(Inputs!E70="","",LET(d,Rulebook!$L70,x,Inputs!E70*d,ta,Rulebook!$G70*d,tb,Rulebook!$H70*d,tc,Rulebook!$I70*d,te,Rulebook!$J70*d,tf,Rulebook!$K70*d,IFS(x&lt;=ta,0,x&lt;=tb,25*(x-ta)/(tb-ta),x&lt;=tc,25+25*(x-tb)/(tc-tb),x&lt;=te,50+25*(x-tc)/(te-tc),x&lt;tf,75+25*(x-te)/(tf-te),TRUE,100)))</f>
        <v>25</v>
      </c>
      <c r="F70" s="35">
        <f>IF(Inputs!F70="","",LET(d,Rulebook!$L70,x,Inputs!F70*d,ta,Rulebook!$G70*d,tb,Rulebook!$H70*d,tc,Rulebook!$I70*d,te,Rulebook!$J70*d,tf,Rulebook!$K70*d,IFS(x&lt;=ta,0,x&lt;=tb,25*(x-ta)/(tb-ta),x&lt;=tc,25+25*(x-tb)/(tc-tb),x&lt;=te,50+25*(x-tc)/(te-tc),x&lt;tf,75+25*(x-te)/(tf-te),TRUE,100)))</f>
        <v>50</v>
      </c>
      <c r="G70" s="35">
        <f>IF(Inputs!G70="","",LET(d,Rulebook!$L70,x,Inputs!G70*d,ta,Rulebook!$G70*d,tb,Rulebook!$H70*d,tc,Rulebook!$I70*d,te,Rulebook!$J70*d,tf,Rulebook!$K70*d,IFS(x&lt;=ta,0,x&lt;=tb,25*(x-ta)/(tb-ta),x&lt;=tc,25+25*(x-tb)/(tc-tb),x&lt;=te,50+25*(x-tc)/(te-tc),x&lt;tf,75+25*(x-te)/(tf-te),TRUE,100)))</f>
        <v>75</v>
      </c>
      <c r="H70" s="35">
        <f>IF(Inputs!H70="","",LET(d,Rulebook!$L70,x,Inputs!H70*d,ta,Rulebook!$G70*d,tb,Rulebook!$H70*d,tc,Rulebook!$I70*d,te,Rulebook!$J70*d,tf,Rulebook!$K70*d,IFS(x&lt;=ta,0,x&lt;=tb,25*(x-ta)/(tb-ta),x&lt;=tc,25+25*(x-tb)/(tc-tb),x&lt;=te,50+25*(x-tc)/(te-tc),x&lt;tf,75+25*(x-te)/(tf-te),TRUE,100)))</f>
        <v>50</v>
      </c>
      <c r="I70" s="35">
        <f>IF(Inputs!I70="","",LET(d,Rulebook!$L70,x,Inputs!I70*d,ta,Rulebook!$G70*d,tb,Rulebook!$H70*d,tc,Rulebook!$I70*d,te,Rulebook!$J70*d,tf,Rulebook!$K70*d,IFS(x&lt;=ta,0,x&lt;=tb,25*(x-ta)/(tb-ta),x&lt;=tc,25+25*(x-tb)/(tc-tb),x&lt;=te,50+25*(x-tc)/(te-tc),x&lt;tf,75+25*(x-te)/(tf-te),TRUE,100)))</f>
        <v>50</v>
      </c>
      <c r="J70" s="35">
        <f>IF(Inputs!J70="","",LET(d,Rulebook!$L70,x,Inputs!J70*d,ta,Rulebook!$G70*d,tb,Rulebook!$H70*d,tc,Rulebook!$I70*d,te,Rulebook!$J70*d,tf,Rulebook!$K70*d,IFS(x&lt;=ta,0,x&lt;=tb,25*(x-ta)/(tb-ta),x&lt;=tc,25+25*(x-tb)/(tc-tb),x&lt;=te,50+25*(x-tc)/(te-tc),x&lt;tf,75+25*(x-te)/(tf-te),TRUE,100)))</f>
        <v>0</v>
      </c>
      <c r="K70" s="35">
        <f>IF(Inputs!K70="","",LET(d,Rulebook!$L70,x,Inputs!K70*d,ta,Rulebook!$G70*d,tb,Rulebook!$H70*d,tc,Rulebook!$I70*d,te,Rulebook!$J70*d,tf,Rulebook!$K70*d,IFS(x&lt;=ta,0,x&lt;=tb,25*(x-ta)/(tb-ta),x&lt;=tc,25+25*(x-tb)/(tc-tb),x&lt;=te,50+25*(x-tc)/(te-tc),x&lt;tf,75+25*(x-te)/(tf-te),TRUE,100)))</f>
        <v>0</v>
      </c>
      <c r="L70" s="35">
        <f>IF(Inputs!L70="","",LET(d,Rulebook!$L70,x,Inputs!L70*d,ta,Rulebook!$G70*d,tb,Rulebook!$H70*d,tc,Rulebook!$I70*d,te,Rulebook!$J70*d,tf,Rulebook!$K70*d,IFS(x&lt;=ta,0,x&lt;=tb,25*(x-ta)/(tb-ta),x&lt;=tc,25+25*(x-tb)/(tc-tb),x&lt;=te,50+25*(x-tc)/(te-tc),x&lt;tf,75+25*(x-te)/(tf-te),TRUE,100)))</f>
        <v>50</v>
      </c>
      <c r="M70" s="35">
        <f>IF(Inputs!M70="","",LET(d,Rulebook!$L70,x,Inputs!M70*d,ta,Rulebook!$G70*d,tb,Rulebook!$H70*d,tc,Rulebook!$I70*d,te,Rulebook!$J70*d,tf,Rulebook!$K70*d,IFS(x&lt;=ta,0,x&lt;=tb,25*(x-ta)/(tb-ta),x&lt;=tc,25+25*(x-tb)/(tc-tb),x&lt;=te,50+25*(x-tc)/(te-tc),x&lt;tf,75+25*(x-te)/(tf-te),TRUE,100)))</f>
        <v>50</v>
      </c>
      <c r="N70" s="35">
        <f>IF(Inputs!N70="","",LET(d,Rulebook!$L70,x,Inputs!N70*d,ta,Rulebook!$G70*d,tb,Rulebook!$H70*d,tc,Rulebook!$I70*d,te,Rulebook!$J70*d,tf,Rulebook!$K70*d,IFS(x&lt;=ta,0,x&lt;=tb,25*(x-ta)/(tb-ta),x&lt;=tc,25+25*(x-tb)/(tc-tb),x&lt;=te,50+25*(x-tc)/(te-tc),x&lt;tf,75+25*(x-te)/(tf-te),TRUE,100)))</f>
        <v>50</v>
      </c>
      <c r="O70" s="35">
        <f>IF(Inputs!O70="","",LET(d,Rulebook!$L70,x,Inputs!O70*d,ta,Rulebook!$G70*d,tb,Rulebook!$H70*d,tc,Rulebook!$I70*d,te,Rulebook!$J70*d,tf,Rulebook!$K70*d,IFS(x&lt;=ta,0,x&lt;=tb,25*(x-ta)/(tb-ta),x&lt;=tc,25+25*(x-tb)/(tc-tb),x&lt;=te,50+25*(x-tc)/(te-tc),x&lt;tf,75+25*(x-te)/(tf-te),TRUE,100)))</f>
        <v>75</v>
      </c>
      <c r="P70" s="35">
        <f>IF(Inputs!P70="","",LET(d,Rulebook!$L70,x,Inputs!P70*d,ta,Rulebook!$G70*d,tb,Rulebook!$H70*d,tc,Rulebook!$I70*d,te,Rulebook!$J70*d,tf,Rulebook!$K70*d,IFS(x&lt;=ta,0,x&lt;=tb,25*(x-ta)/(tb-ta),x&lt;=tc,25+25*(x-tb)/(tc-tb),x&lt;=te,50+25*(x-tc)/(te-tc),x&lt;tf,75+25*(x-te)/(tf-te),TRUE,100)))</f>
        <v>25</v>
      </c>
      <c r="Q70" s="35">
        <f>IF(Inputs!Q70="","",LET(d,Rulebook!$L70,x,Inputs!Q70*d,ta,Rulebook!$G70*d,tb,Rulebook!$H70*d,tc,Rulebook!$I70*d,te,Rulebook!$J70*d,tf,Rulebook!$K70*d,IFS(x&lt;=ta,0,x&lt;=tb,25*(x-ta)/(tb-ta),x&lt;=tc,25+25*(x-tb)/(tc-tb),x&lt;=te,50+25*(x-tc)/(te-tc),x&lt;tf,75+25*(x-te)/(tf-te),TRUE,100)))</f>
        <v>75</v>
      </c>
      <c r="R70" s="35">
        <f>IF(Inputs!R70="","",LET(d,Rulebook!$L70,x,Inputs!R70*d,ta,Rulebook!$G70*d,tb,Rulebook!$H70*d,tc,Rulebook!$I70*d,te,Rulebook!$J70*d,tf,Rulebook!$K70*d,IFS(x&lt;=ta,0,x&lt;=tb,25*(x-ta)/(tb-ta),x&lt;=tc,25+25*(x-tb)/(tc-tb),x&lt;=te,50+25*(x-tc)/(te-tc),x&lt;tf,75+25*(x-te)/(tf-te),TRUE,100)))</f>
        <v>50</v>
      </c>
      <c r="S70" s="35">
        <f>IF(Inputs!S70="","",LET(d,Rulebook!$L70,x,Inputs!S70*d,ta,Rulebook!$G70*d,tb,Rulebook!$H70*d,tc,Rulebook!$I70*d,te,Rulebook!$J70*d,tf,Rulebook!$K70*d,IFS(x&lt;=ta,0,x&lt;=tb,25*(x-ta)/(tb-ta),x&lt;=tc,25+25*(x-tb)/(tc-tb),x&lt;=te,50+25*(x-tc)/(te-tc),x&lt;tf,75+25*(x-te)/(tf-te),TRUE,100)))</f>
        <v>50</v>
      </c>
      <c r="T70" s="35">
        <f>IF(Inputs!T70="","",LET(d,Rulebook!$L70,x,Inputs!T70*d,ta,Rulebook!$G70*d,tb,Rulebook!$H70*d,tc,Rulebook!$I70*d,te,Rulebook!$J70*d,tf,Rulebook!$K70*d,IFS(x&lt;=ta,0,x&lt;=tb,25*(x-ta)/(tb-ta),x&lt;=tc,25+25*(x-tb)/(tc-tb),x&lt;=te,50+25*(x-tc)/(te-tc),x&lt;tf,75+25*(x-te)/(tf-te),TRUE,100)))</f>
        <v>25</v>
      </c>
      <c r="U70" s="35">
        <f>IF(Inputs!U70="","",LET(d,Rulebook!$L70,x,Inputs!U70*d,ta,Rulebook!$G70*d,tb,Rulebook!$H70*d,tc,Rulebook!$I70*d,te,Rulebook!$J70*d,tf,Rulebook!$K70*d,IFS(x&lt;=ta,0,x&lt;=tb,25*(x-ta)/(tb-ta),x&lt;=tc,25+25*(x-tb)/(tc-tb),x&lt;=te,50+25*(x-tc)/(te-tc),x&lt;tf,75+25*(x-te)/(tf-te),TRUE,100)))</f>
        <v>100</v>
      </c>
      <c r="V70" s="35">
        <f>IF(Inputs!V70="","",LET(d,Rulebook!$L70,x,Inputs!V70*d,ta,Rulebook!$G70*d,tb,Rulebook!$H70*d,tc,Rulebook!$I70*d,te,Rulebook!$J70*d,tf,Rulebook!$K70*d,IFS(x&lt;=ta,0,x&lt;=tb,25*(x-ta)/(tb-ta),x&lt;=tc,25+25*(x-tb)/(tc-tb),x&lt;=te,50+25*(x-tc)/(te-tc),x&lt;tf,75+25*(x-te)/(tf-te),TRUE,100)))</f>
        <v>50</v>
      </c>
    </row>
    <row r="71">
      <c r="A71" s="26" t="s">
        <v>753</v>
      </c>
      <c r="B71" s="26">
        <v>6.0</v>
      </c>
      <c r="C71" s="26" t="s">
        <v>754</v>
      </c>
      <c r="D71" s="26" t="s">
        <v>112</v>
      </c>
      <c r="E71" s="35">
        <f>IF(Inputs!E71="","",LET(d,Rulebook!$L71,x,Inputs!E71*d,ta,Rulebook!$G71*d,tb,Rulebook!$H71*d,tc,Rulebook!$I71*d,te,Rulebook!$J71*d,tf,Rulebook!$K71*d,IFS(x&lt;=ta,0,x&lt;=tb,25*(x-ta)/(tb-ta),x&lt;=tc,25+25*(x-tb)/(tc-tb),x&lt;=te,50+25*(x-tc)/(te-tc),x&lt;tf,75+25*(x-te)/(tf-te),TRUE,100)))</f>
        <v>0</v>
      </c>
      <c r="F71" s="35">
        <f>IF(Inputs!F71="","",LET(d,Rulebook!$L71,x,Inputs!F71*d,ta,Rulebook!$G71*d,tb,Rulebook!$H71*d,tc,Rulebook!$I71*d,te,Rulebook!$J71*d,tf,Rulebook!$K71*d,IFS(x&lt;=ta,0,x&lt;=tb,25*(x-ta)/(tb-ta),x&lt;=tc,25+25*(x-tb)/(tc-tb),x&lt;=te,50+25*(x-tc)/(te-tc),x&lt;tf,75+25*(x-te)/(tf-te),TRUE,100)))</f>
        <v>0</v>
      </c>
      <c r="G71" s="35">
        <f>IF(Inputs!G71="","",LET(d,Rulebook!$L71,x,Inputs!G71*d,ta,Rulebook!$G71*d,tb,Rulebook!$H71*d,tc,Rulebook!$I71*d,te,Rulebook!$J71*d,tf,Rulebook!$K71*d,IFS(x&lt;=ta,0,x&lt;=tb,25*(x-ta)/(tb-ta),x&lt;=tc,25+25*(x-tb)/(tc-tb),x&lt;=te,50+25*(x-tc)/(te-tc),x&lt;tf,75+25*(x-te)/(tf-te),TRUE,100)))</f>
        <v>0</v>
      </c>
      <c r="H71" s="35">
        <f>IF(Inputs!H71="","",LET(d,Rulebook!$L71,x,Inputs!H71*d,ta,Rulebook!$G71*d,tb,Rulebook!$H71*d,tc,Rulebook!$I71*d,te,Rulebook!$J71*d,tf,Rulebook!$K71*d,IFS(x&lt;=ta,0,x&lt;=tb,25*(x-ta)/(tb-ta),x&lt;=tc,25+25*(x-tb)/(tc-tb),x&lt;=te,50+25*(x-tc)/(te-tc),x&lt;tf,75+25*(x-te)/(tf-te),TRUE,100)))</f>
        <v>0</v>
      </c>
      <c r="I71" s="35">
        <f>IF(Inputs!I71="","",LET(d,Rulebook!$L71,x,Inputs!I71*d,ta,Rulebook!$G71*d,tb,Rulebook!$H71*d,tc,Rulebook!$I71*d,te,Rulebook!$J71*d,tf,Rulebook!$K71*d,IFS(x&lt;=ta,0,x&lt;=tb,25*(x-ta)/(tb-ta),x&lt;=tc,25+25*(x-tb)/(tc-tb),x&lt;=te,50+25*(x-tc)/(te-tc),x&lt;tf,75+25*(x-te)/(tf-te),TRUE,100)))</f>
        <v>0</v>
      </c>
      <c r="J71" s="35">
        <f>IF(Inputs!J71="","",LET(d,Rulebook!$L71,x,Inputs!J71*d,ta,Rulebook!$G71*d,tb,Rulebook!$H71*d,tc,Rulebook!$I71*d,te,Rulebook!$J71*d,tf,Rulebook!$K71*d,IFS(x&lt;=ta,0,x&lt;=tb,25*(x-ta)/(tb-ta),x&lt;=tc,25+25*(x-tb)/(tc-tb),x&lt;=te,50+25*(x-tc)/(te-tc),x&lt;tf,75+25*(x-te)/(tf-te),TRUE,100)))</f>
        <v>0</v>
      </c>
      <c r="K71" s="35">
        <f>IF(Inputs!K71="","",LET(d,Rulebook!$L71,x,Inputs!K71*d,ta,Rulebook!$G71*d,tb,Rulebook!$H71*d,tc,Rulebook!$I71*d,te,Rulebook!$J71*d,tf,Rulebook!$K71*d,IFS(x&lt;=ta,0,x&lt;=tb,25*(x-ta)/(tb-ta),x&lt;=tc,25+25*(x-tb)/(tc-tb),x&lt;=te,50+25*(x-tc)/(te-tc),x&lt;tf,75+25*(x-te)/(tf-te),TRUE,100)))</f>
        <v>0</v>
      </c>
      <c r="L71" s="35">
        <f>IF(Inputs!L71="","",LET(d,Rulebook!$L71,x,Inputs!L71*d,ta,Rulebook!$G71*d,tb,Rulebook!$H71*d,tc,Rulebook!$I71*d,te,Rulebook!$J71*d,tf,Rulebook!$K71*d,IFS(x&lt;=ta,0,x&lt;=tb,25*(x-ta)/(tb-ta),x&lt;=tc,25+25*(x-tb)/(tc-tb),x&lt;=te,50+25*(x-tc)/(te-tc),x&lt;tf,75+25*(x-te)/(tf-te),TRUE,100)))</f>
        <v>0</v>
      </c>
      <c r="M71" s="35">
        <f>IF(Inputs!M71="","",LET(d,Rulebook!$L71,x,Inputs!M71*d,ta,Rulebook!$G71*d,tb,Rulebook!$H71*d,tc,Rulebook!$I71*d,te,Rulebook!$J71*d,tf,Rulebook!$K71*d,IFS(x&lt;=ta,0,x&lt;=tb,25*(x-ta)/(tb-ta),x&lt;=tc,25+25*(x-tb)/(tc-tb),x&lt;=te,50+25*(x-tc)/(te-tc),x&lt;tf,75+25*(x-te)/(tf-te),TRUE,100)))</f>
        <v>55</v>
      </c>
      <c r="N71" s="35">
        <f>IF(Inputs!N71="","",LET(d,Rulebook!$L71,x,Inputs!N71*d,ta,Rulebook!$G71*d,tb,Rulebook!$H71*d,tc,Rulebook!$I71*d,te,Rulebook!$J71*d,tf,Rulebook!$K71*d,IFS(x&lt;=ta,0,x&lt;=tb,25*(x-ta)/(tb-ta),x&lt;=tc,25+25*(x-tb)/(tc-tb),x&lt;=te,50+25*(x-tc)/(te-tc),x&lt;tf,75+25*(x-te)/(tf-te),TRUE,100)))</f>
        <v>0</v>
      </c>
      <c r="O71" s="35">
        <f>IF(Inputs!O71="","",LET(d,Rulebook!$L71,x,Inputs!O71*d,ta,Rulebook!$G71*d,tb,Rulebook!$H71*d,tc,Rulebook!$I71*d,te,Rulebook!$J71*d,tf,Rulebook!$K71*d,IFS(x&lt;=ta,0,x&lt;=tb,25*(x-ta)/(tb-ta),x&lt;=tc,25+25*(x-tb)/(tc-tb),x&lt;=te,50+25*(x-tc)/(te-tc),x&lt;tf,75+25*(x-te)/(tf-te),TRUE,100)))</f>
        <v>0</v>
      </c>
      <c r="P71" s="35">
        <f>IF(Inputs!P71="","",LET(d,Rulebook!$L71,x,Inputs!P71*d,ta,Rulebook!$G71*d,tb,Rulebook!$H71*d,tc,Rulebook!$I71*d,te,Rulebook!$J71*d,tf,Rulebook!$K71*d,IFS(x&lt;=ta,0,x&lt;=tb,25*(x-ta)/(tb-ta),x&lt;=tc,25+25*(x-tb)/(tc-tb),x&lt;=te,50+25*(x-tc)/(te-tc),x&lt;tf,75+25*(x-te)/(tf-te),TRUE,100)))</f>
        <v>0</v>
      </c>
      <c r="Q71" s="35">
        <f>IF(Inputs!Q71="","",LET(d,Rulebook!$L71,x,Inputs!Q71*d,ta,Rulebook!$G71*d,tb,Rulebook!$H71*d,tc,Rulebook!$I71*d,te,Rulebook!$J71*d,tf,Rulebook!$K71*d,IFS(x&lt;=ta,0,x&lt;=tb,25*(x-ta)/(tb-ta),x&lt;=tc,25+25*(x-tb)/(tc-tb),x&lt;=te,50+25*(x-tc)/(te-tc),x&lt;tf,75+25*(x-te)/(tf-te),TRUE,100)))</f>
        <v>8.333333333</v>
      </c>
      <c r="R71" s="35">
        <f>IF(Inputs!R71="","",LET(d,Rulebook!$L71,x,Inputs!R71*d,ta,Rulebook!$G71*d,tb,Rulebook!$H71*d,tc,Rulebook!$I71*d,te,Rulebook!$J71*d,tf,Rulebook!$K71*d,IFS(x&lt;=ta,0,x&lt;=tb,25*(x-ta)/(tb-ta),x&lt;=tc,25+25*(x-tb)/(tc-tb),x&lt;=te,50+25*(x-tc)/(te-tc),x&lt;tf,75+25*(x-te)/(tf-te),TRUE,100)))</f>
        <v>62.5</v>
      </c>
      <c r="S71" s="35">
        <f>IF(Inputs!S71="","",LET(d,Rulebook!$L71,x,Inputs!S71*d,ta,Rulebook!$G71*d,tb,Rulebook!$H71*d,tc,Rulebook!$I71*d,te,Rulebook!$J71*d,tf,Rulebook!$K71*d,IFS(x&lt;=ta,0,x&lt;=tb,25*(x-ta)/(tb-ta),x&lt;=tc,25+25*(x-tb)/(tc-tb),x&lt;=te,50+25*(x-tc)/(te-tc),x&lt;tf,75+25*(x-te)/(tf-te),TRUE,100)))</f>
        <v>60</v>
      </c>
      <c r="T71" s="35">
        <f>IF(Inputs!T71="","",LET(d,Rulebook!$L71,x,Inputs!T71*d,ta,Rulebook!$G71*d,tb,Rulebook!$H71*d,tc,Rulebook!$I71*d,te,Rulebook!$J71*d,tf,Rulebook!$K71*d,IFS(x&lt;=ta,0,x&lt;=tb,25*(x-ta)/(tb-ta),x&lt;=tc,25+25*(x-tb)/(tc-tb),x&lt;=te,50+25*(x-tc)/(te-tc),x&lt;tf,75+25*(x-te)/(tf-te),TRUE,100)))</f>
        <v>16.66666667</v>
      </c>
      <c r="U71" s="35">
        <f>IF(Inputs!U71="","",LET(d,Rulebook!$L71,x,Inputs!U71*d,ta,Rulebook!$G71*d,tb,Rulebook!$H71*d,tc,Rulebook!$I71*d,te,Rulebook!$J71*d,tf,Rulebook!$K71*d,IFS(x&lt;=ta,0,x&lt;=tb,25*(x-ta)/(tb-ta),x&lt;=tc,25+25*(x-tb)/(tc-tb),x&lt;=te,50+25*(x-tc)/(te-tc),x&lt;tf,75+25*(x-te)/(tf-te),TRUE,100)))</f>
        <v>50</v>
      </c>
      <c r="V71" s="35">
        <f>IF(Inputs!V71="","",LET(d,Rulebook!$L71,x,Inputs!V71*d,ta,Rulebook!$G71*d,tb,Rulebook!$H71*d,tc,Rulebook!$I71*d,te,Rulebook!$J71*d,tf,Rulebook!$K71*d,IFS(x&lt;=ta,0,x&lt;=tb,25*(x-ta)/(tb-ta),x&lt;=tc,25+25*(x-tb)/(tc-tb),x&lt;=te,50+25*(x-tc)/(te-tc),x&lt;tf,75+25*(x-te)/(tf-te),TRUE,100)))</f>
        <v>62.5</v>
      </c>
    </row>
    <row r="72">
      <c r="A72" s="26" t="s">
        <v>757</v>
      </c>
      <c r="B72" s="26">
        <v>6.0</v>
      </c>
      <c r="C72" s="26" t="s">
        <v>758</v>
      </c>
      <c r="D72" s="26" t="s">
        <v>254</v>
      </c>
      <c r="E72" s="35">
        <f>IF(Inputs!E72="","",LET(d,Rulebook!$L72,x,Inputs!E72*d,ta,Rulebook!$G72*d,tb,Rulebook!$H72*d,tc,Rulebook!$I72*d,te,Rulebook!$J72*d,tf,Rulebook!$K72*d,IFS(x&lt;=ta,0,x&lt;=tb,25*(x-ta)/(tb-ta),x&lt;=tc,25+25*(x-tb)/(tc-tb),x&lt;=te,50+25*(x-tc)/(te-tc),x&lt;tf,75+25*(x-te)/(tf-te),TRUE,100)))</f>
        <v>0</v>
      </c>
      <c r="F72" s="35">
        <f>IF(Inputs!F72="","",LET(d,Rulebook!$L72,x,Inputs!F72*d,ta,Rulebook!$G72*d,tb,Rulebook!$H72*d,tc,Rulebook!$I72*d,te,Rulebook!$J72*d,tf,Rulebook!$K72*d,IFS(x&lt;=ta,0,x&lt;=tb,25*(x-ta)/(tb-ta),x&lt;=tc,25+25*(x-tb)/(tc-tb),x&lt;=te,50+25*(x-tc)/(te-tc),x&lt;tf,75+25*(x-te)/(tf-te),TRUE,100)))</f>
        <v>0</v>
      </c>
      <c r="G72" s="35">
        <f>IF(Inputs!G72="","",LET(d,Rulebook!$L72,x,Inputs!G72*d,ta,Rulebook!$G72*d,tb,Rulebook!$H72*d,tc,Rulebook!$I72*d,te,Rulebook!$J72*d,tf,Rulebook!$K72*d,IFS(x&lt;=ta,0,x&lt;=tb,25*(x-ta)/(tb-ta),x&lt;=tc,25+25*(x-tb)/(tc-tb),x&lt;=te,50+25*(x-tc)/(te-tc),x&lt;tf,75+25*(x-te)/(tf-te),TRUE,100)))</f>
        <v>50</v>
      </c>
      <c r="H72" s="35">
        <f>IF(Inputs!H72="","",LET(d,Rulebook!$L72,x,Inputs!H72*d,ta,Rulebook!$G72*d,tb,Rulebook!$H72*d,tc,Rulebook!$I72*d,te,Rulebook!$J72*d,tf,Rulebook!$K72*d,IFS(x&lt;=ta,0,x&lt;=tb,25*(x-ta)/(tb-ta),x&lt;=tc,25+25*(x-tb)/(tc-tb),x&lt;=te,50+25*(x-tc)/(te-tc),x&lt;tf,75+25*(x-te)/(tf-te),TRUE,100)))</f>
        <v>0</v>
      </c>
      <c r="I72" s="35">
        <f>IF(Inputs!I72="","",LET(d,Rulebook!$L72,x,Inputs!I72*d,ta,Rulebook!$G72*d,tb,Rulebook!$H72*d,tc,Rulebook!$I72*d,te,Rulebook!$J72*d,tf,Rulebook!$K72*d,IFS(x&lt;=ta,0,x&lt;=tb,25*(x-ta)/(tb-ta),x&lt;=tc,25+25*(x-tb)/(tc-tb),x&lt;=te,50+25*(x-tc)/(te-tc),x&lt;tf,75+25*(x-te)/(tf-te),TRUE,100)))</f>
        <v>0</v>
      </c>
      <c r="J72" s="35">
        <f>IF(Inputs!J72="","",LET(d,Rulebook!$L72,x,Inputs!J72*d,ta,Rulebook!$G72*d,tb,Rulebook!$H72*d,tc,Rulebook!$I72*d,te,Rulebook!$J72*d,tf,Rulebook!$K72*d,IFS(x&lt;=ta,0,x&lt;=tb,25*(x-ta)/(tb-ta),x&lt;=tc,25+25*(x-tb)/(tc-tb),x&lt;=te,50+25*(x-tc)/(te-tc),x&lt;tf,75+25*(x-te)/(tf-te),TRUE,100)))</f>
        <v>0</v>
      </c>
      <c r="K72" s="35">
        <f>IF(Inputs!K72="","",LET(d,Rulebook!$L72,x,Inputs!K72*d,ta,Rulebook!$G72*d,tb,Rulebook!$H72*d,tc,Rulebook!$I72*d,te,Rulebook!$J72*d,tf,Rulebook!$K72*d,IFS(x&lt;=ta,0,x&lt;=tb,25*(x-ta)/(tb-ta),x&lt;=tc,25+25*(x-tb)/(tc-tb),x&lt;=te,50+25*(x-tc)/(te-tc),x&lt;tf,75+25*(x-te)/(tf-te),TRUE,100)))</f>
        <v>25</v>
      </c>
      <c r="L72" s="35">
        <f>IF(Inputs!L72="","",LET(d,Rulebook!$L72,x,Inputs!L72*d,ta,Rulebook!$G72*d,tb,Rulebook!$H72*d,tc,Rulebook!$I72*d,te,Rulebook!$J72*d,tf,Rulebook!$K72*d,IFS(x&lt;=ta,0,x&lt;=tb,25*(x-ta)/(tb-ta),x&lt;=tc,25+25*(x-tb)/(tc-tb),x&lt;=te,50+25*(x-tc)/(te-tc),x&lt;tf,75+25*(x-te)/(tf-te),TRUE,100)))</f>
        <v>50</v>
      </c>
      <c r="M72" s="35">
        <f>IF(Inputs!M72="","",LET(d,Rulebook!$L72,x,Inputs!M72*d,ta,Rulebook!$G72*d,tb,Rulebook!$H72*d,tc,Rulebook!$I72*d,te,Rulebook!$J72*d,tf,Rulebook!$K72*d,IFS(x&lt;=ta,0,x&lt;=tb,25*(x-ta)/(tb-ta),x&lt;=tc,25+25*(x-tb)/(tc-tb),x&lt;=te,50+25*(x-tc)/(te-tc),x&lt;tf,75+25*(x-te)/(tf-te),TRUE,100)))</f>
        <v>75</v>
      </c>
      <c r="N72" s="35">
        <f>IF(Inputs!N72="","",LET(d,Rulebook!$L72,x,Inputs!N72*d,ta,Rulebook!$G72*d,tb,Rulebook!$H72*d,tc,Rulebook!$I72*d,te,Rulebook!$J72*d,tf,Rulebook!$K72*d,IFS(x&lt;=ta,0,x&lt;=tb,25*(x-ta)/(tb-ta),x&lt;=tc,25+25*(x-tb)/(tc-tb),x&lt;=te,50+25*(x-tc)/(te-tc),x&lt;tf,75+25*(x-te)/(tf-te),TRUE,100)))</f>
        <v>0</v>
      </c>
      <c r="O72" s="35">
        <f>IF(Inputs!O72="","",LET(d,Rulebook!$L72,x,Inputs!O72*d,ta,Rulebook!$G72*d,tb,Rulebook!$H72*d,tc,Rulebook!$I72*d,te,Rulebook!$J72*d,tf,Rulebook!$K72*d,IFS(x&lt;=ta,0,x&lt;=tb,25*(x-ta)/(tb-ta),x&lt;=tc,25+25*(x-tb)/(tc-tb),x&lt;=te,50+25*(x-tc)/(te-tc),x&lt;tf,75+25*(x-te)/(tf-te),TRUE,100)))</f>
        <v>0</v>
      </c>
      <c r="P72" s="35">
        <f>IF(Inputs!P72="","",LET(d,Rulebook!$L72,x,Inputs!P72*d,ta,Rulebook!$G72*d,tb,Rulebook!$H72*d,tc,Rulebook!$I72*d,te,Rulebook!$J72*d,tf,Rulebook!$K72*d,IFS(x&lt;=ta,0,x&lt;=tb,25*(x-ta)/(tb-ta),x&lt;=tc,25+25*(x-tb)/(tc-tb),x&lt;=te,50+25*(x-tc)/(te-tc),x&lt;tf,75+25*(x-te)/(tf-te),TRUE,100)))</f>
        <v>0</v>
      </c>
      <c r="Q72" s="35">
        <f>IF(Inputs!Q72="","",LET(d,Rulebook!$L72,x,Inputs!Q72*d,ta,Rulebook!$G72*d,tb,Rulebook!$H72*d,tc,Rulebook!$I72*d,te,Rulebook!$J72*d,tf,Rulebook!$K72*d,IFS(x&lt;=ta,0,x&lt;=tb,25*(x-ta)/(tb-ta),x&lt;=tc,25+25*(x-tb)/(tc-tb),x&lt;=te,50+25*(x-tc)/(te-tc),x&lt;tf,75+25*(x-te)/(tf-te),TRUE,100)))</f>
        <v>50</v>
      </c>
      <c r="R72" s="35">
        <f>IF(Inputs!R72="","",LET(d,Rulebook!$L72,x,Inputs!R72*d,ta,Rulebook!$G72*d,tb,Rulebook!$H72*d,tc,Rulebook!$I72*d,te,Rulebook!$J72*d,tf,Rulebook!$K72*d,IFS(x&lt;=ta,0,x&lt;=tb,25*(x-ta)/(tb-ta),x&lt;=tc,25+25*(x-tb)/(tc-tb),x&lt;=te,50+25*(x-tc)/(te-tc),x&lt;tf,75+25*(x-te)/(tf-te),TRUE,100)))</f>
        <v>25</v>
      </c>
      <c r="S72" s="35">
        <f>IF(Inputs!S72="","",LET(d,Rulebook!$L72,x,Inputs!S72*d,ta,Rulebook!$G72*d,tb,Rulebook!$H72*d,tc,Rulebook!$I72*d,te,Rulebook!$J72*d,tf,Rulebook!$K72*d,IFS(x&lt;=ta,0,x&lt;=tb,25*(x-ta)/(tb-ta),x&lt;=tc,25+25*(x-tb)/(tc-tb),x&lt;=te,50+25*(x-tc)/(te-tc),x&lt;tf,75+25*(x-te)/(tf-te),TRUE,100)))</f>
        <v>50</v>
      </c>
      <c r="T72" s="35">
        <f>IF(Inputs!T72="","",LET(d,Rulebook!$L72,x,Inputs!T72*d,ta,Rulebook!$G72*d,tb,Rulebook!$H72*d,tc,Rulebook!$I72*d,te,Rulebook!$J72*d,tf,Rulebook!$K72*d,IFS(x&lt;=ta,0,x&lt;=tb,25*(x-ta)/(tb-ta),x&lt;=tc,25+25*(x-tb)/(tc-tb),x&lt;=te,50+25*(x-tc)/(te-tc),x&lt;tf,75+25*(x-te)/(tf-te),TRUE,100)))</f>
        <v>50</v>
      </c>
      <c r="U72" s="35">
        <f>IF(Inputs!U72="","",LET(d,Rulebook!$L72,x,Inputs!U72*d,ta,Rulebook!$G72*d,tb,Rulebook!$H72*d,tc,Rulebook!$I72*d,te,Rulebook!$J72*d,tf,Rulebook!$K72*d,IFS(x&lt;=ta,0,x&lt;=tb,25*(x-ta)/(tb-ta),x&lt;=tc,25+25*(x-tb)/(tc-tb),x&lt;=te,50+25*(x-tc)/(te-tc),x&lt;tf,75+25*(x-te)/(tf-te),TRUE,100)))</f>
        <v>25</v>
      </c>
      <c r="V72" s="35">
        <f>IF(Inputs!V72="","",LET(d,Rulebook!$L72,x,Inputs!V72*d,ta,Rulebook!$G72*d,tb,Rulebook!$H72*d,tc,Rulebook!$I72*d,te,Rulebook!$J72*d,tf,Rulebook!$K72*d,IFS(x&lt;=ta,0,x&lt;=tb,25*(x-ta)/(tb-ta),x&lt;=tc,25+25*(x-tb)/(tc-tb),x&lt;=te,50+25*(x-tc)/(te-tc),x&lt;tf,75+25*(x-te)/(tf-te),TRUE,100)))</f>
        <v>25</v>
      </c>
    </row>
    <row r="73">
      <c r="A73" s="26" t="s">
        <v>762</v>
      </c>
      <c r="B73" s="26">
        <v>6.0</v>
      </c>
      <c r="C73" s="26" t="s">
        <v>763</v>
      </c>
      <c r="D73" s="26" t="s">
        <v>764</v>
      </c>
      <c r="E73" s="35">
        <f>IF(Inputs!E73="","",LET(d,Rulebook!$L73,x,Inputs!E73*d,ta,Rulebook!$G73*d,tb,Rulebook!$H73*d,tc,Rulebook!$I73*d,te,Rulebook!$J73*d,tf,Rulebook!$K73*d,IFS(x&lt;=ta,0,x&lt;=tb,25*(x-ta)/(tb-ta),x&lt;=tc,25+25*(x-tb)/(tc-tb),x&lt;=te,50+25*(x-tc)/(te-tc),x&lt;tf,75+25*(x-te)/(tf-te),TRUE,100)))</f>
        <v>0</v>
      </c>
      <c r="F73" s="35">
        <f>IF(Inputs!F73="","",LET(d,Rulebook!$L73,x,Inputs!F73*d,ta,Rulebook!$G73*d,tb,Rulebook!$H73*d,tc,Rulebook!$I73*d,te,Rulebook!$J73*d,tf,Rulebook!$K73*d,IFS(x&lt;=ta,0,x&lt;=tb,25*(x-ta)/(tb-ta),x&lt;=tc,25+25*(x-tb)/(tc-tb),x&lt;=te,50+25*(x-tc)/(te-tc),x&lt;tf,75+25*(x-te)/(tf-te),TRUE,100)))</f>
        <v>50</v>
      </c>
      <c r="G73" s="35">
        <f>IF(Inputs!G73="","",LET(d,Rulebook!$L73,x,Inputs!G73*d,ta,Rulebook!$G73*d,tb,Rulebook!$H73*d,tc,Rulebook!$I73*d,te,Rulebook!$J73*d,tf,Rulebook!$K73*d,IFS(x&lt;=ta,0,x&lt;=tb,25*(x-ta)/(tb-ta),x&lt;=tc,25+25*(x-tb)/(tc-tb),x&lt;=te,50+25*(x-tc)/(te-tc),x&lt;tf,75+25*(x-te)/(tf-te),TRUE,100)))</f>
        <v>0</v>
      </c>
      <c r="H73" s="35">
        <f>IF(Inputs!H73="","",LET(d,Rulebook!$L73,x,Inputs!H73*d,ta,Rulebook!$G73*d,tb,Rulebook!$H73*d,tc,Rulebook!$I73*d,te,Rulebook!$J73*d,tf,Rulebook!$K73*d,IFS(x&lt;=ta,0,x&lt;=tb,25*(x-ta)/(tb-ta),x&lt;=tc,25+25*(x-tb)/(tc-tb),x&lt;=te,50+25*(x-tc)/(te-tc),x&lt;tf,75+25*(x-te)/(tf-te),TRUE,100)))</f>
        <v>0</v>
      </c>
      <c r="I73" s="35">
        <f>IF(Inputs!I73="","",LET(d,Rulebook!$L73,x,Inputs!I73*d,ta,Rulebook!$G73*d,tb,Rulebook!$H73*d,tc,Rulebook!$I73*d,te,Rulebook!$J73*d,tf,Rulebook!$K73*d,IFS(x&lt;=ta,0,x&lt;=tb,25*(x-ta)/(tb-ta),x&lt;=tc,25+25*(x-tb)/(tc-tb),x&lt;=te,50+25*(x-tc)/(te-tc),x&lt;tf,75+25*(x-te)/(tf-te),TRUE,100)))</f>
        <v>0</v>
      </c>
      <c r="J73" s="35">
        <f>IF(Inputs!J73="","",LET(d,Rulebook!$L73,x,Inputs!J73*d,ta,Rulebook!$G73*d,tb,Rulebook!$H73*d,tc,Rulebook!$I73*d,te,Rulebook!$J73*d,tf,Rulebook!$K73*d,IFS(x&lt;=ta,0,x&lt;=tb,25*(x-ta)/(tb-ta),x&lt;=tc,25+25*(x-tb)/(tc-tb),x&lt;=te,50+25*(x-tc)/(te-tc),x&lt;tf,75+25*(x-te)/(tf-te),TRUE,100)))</f>
        <v>0</v>
      </c>
      <c r="K73" s="35">
        <f>IF(Inputs!K73="","",LET(d,Rulebook!$L73,x,Inputs!K73*d,ta,Rulebook!$G73*d,tb,Rulebook!$H73*d,tc,Rulebook!$I73*d,te,Rulebook!$J73*d,tf,Rulebook!$K73*d,IFS(x&lt;=ta,0,x&lt;=tb,25*(x-ta)/(tb-ta),x&lt;=tc,25+25*(x-tb)/(tc-tb),x&lt;=te,50+25*(x-tc)/(te-tc),x&lt;tf,75+25*(x-te)/(tf-te),TRUE,100)))</f>
        <v>0</v>
      </c>
      <c r="L73" s="35">
        <f>IF(Inputs!L73="","",LET(d,Rulebook!$L73,x,Inputs!L73*d,ta,Rulebook!$G73*d,tb,Rulebook!$H73*d,tc,Rulebook!$I73*d,te,Rulebook!$J73*d,tf,Rulebook!$K73*d,IFS(x&lt;=ta,0,x&lt;=tb,25*(x-ta)/(tb-ta),x&lt;=tc,25+25*(x-tb)/(tc-tb),x&lt;=te,50+25*(x-tc)/(te-tc),x&lt;tf,75+25*(x-te)/(tf-te),TRUE,100)))</f>
        <v>75</v>
      </c>
      <c r="M73" s="35">
        <f>IF(Inputs!M73="","",LET(d,Rulebook!$L73,x,Inputs!M73*d,ta,Rulebook!$G73*d,tb,Rulebook!$H73*d,tc,Rulebook!$I73*d,te,Rulebook!$J73*d,tf,Rulebook!$K73*d,IFS(x&lt;=ta,0,x&lt;=tb,25*(x-ta)/(tb-ta),x&lt;=tc,25+25*(x-tb)/(tc-tb),x&lt;=te,50+25*(x-tc)/(te-tc),x&lt;tf,75+25*(x-te)/(tf-te),TRUE,100)))</f>
        <v>100</v>
      </c>
      <c r="N73" s="35">
        <f>IF(Inputs!N73="","",LET(d,Rulebook!$L73,x,Inputs!N73*d,ta,Rulebook!$G73*d,tb,Rulebook!$H73*d,tc,Rulebook!$I73*d,te,Rulebook!$J73*d,tf,Rulebook!$K73*d,IFS(x&lt;=ta,0,x&lt;=tb,25*(x-ta)/(tb-ta),x&lt;=tc,25+25*(x-tb)/(tc-tb),x&lt;=te,50+25*(x-tc)/(te-tc),x&lt;tf,75+25*(x-te)/(tf-te),TRUE,100)))</f>
        <v>0</v>
      </c>
      <c r="O73" s="35">
        <f>IF(Inputs!O73="","",LET(d,Rulebook!$L73,x,Inputs!O73*d,ta,Rulebook!$G73*d,tb,Rulebook!$H73*d,tc,Rulebook!$I73*d,te,Rulebook!$J73*d,tf,Rulebook!$K73*d,IFS(x&lt;=ta,0,x&lt;=tb,25*(x-ta)/(tb-ta),x&lt;=tc,25+25*(x-tb)/(tc-tb),x&lt;=te,50+25*(x-tc)/(te-tc),x&lt;tf,75+25*(x-te)/(tf-te),TRUE,100)))</f>
        <v>16.66666667</v>
      </c>
      <c r="P73" s="35">
        <f>IF(Inputs!P73="","",LET(d,Rulebook!$L73,x,Inputs!P73*d,ta,Rulebook!$G73*d,tb,Rulebook!$H73*d,tc,Rulebook!$I73*d,te,Rulebook!$J73*d,tf,Rulebook!$K73*d,IFS(x&lt;=ta,0,x&lt;=tb,25*(x-ta)/(tb-ta),x&lt;=tc,25+25*(x-tb)/(tc-tb),x&lt;=te,50+25*(x-tc)/(te-tc),x&lt;tf,75+25*(x-te)/(tf-te),TRUE,100)))</f>
        <v>16.66666667</v>
      </c>
      <c r="Q73" s="35">
        <f>IF(Inputs!Q73="","",LET(d,Rulebook!$L73,x,Inputs!Q73*d,ta,Rulebook!$G73*d,tb,Rulebook!$H73*d,tc,Rulebook!$I73*d,te,Rulebook!$J73*d,tf,Rulebook!$K73*d,IFS(x&lt;=ta,0,x&lt;=tb,25*(x-ta)/(tb-ta),x&lt;=tc,25+25*(x-tb)/(tc-tb),x&lt;=te,50+25*(x-tc)/(te-tc),x&lt;tf,75+25*(x-te)/(tf-te),TRUE,100)))</f>
        <v>62.5</v>
      </c>
      <c r="R73" s="35">
        <f>IF(Inputs!R73="","",LET(d,Rulebook!$L73,x,Inputs!R73*d,ta,Rulebook!$G73*d,tb,Rulebook!$H73*d,tc,Rulebook!$I73*d,te,Rulebook!$J73*d,tf,Rulebook!$K73*d,IFS(x&lt;=ta,0,x&lt;=tb,25*(x-ta)/(tb-ta),x&lt;=tc,25+25*(x-tb)/(tc-tb),x&lt;=te,50+25*(x-tc)/(te-tc),x&lt;tf,75+25*(x-te)/(tf-te),TRUE,100)))</f>
        <v>16.66666667</v>
      </c>
      <c r="S73" s="35">
        <f>IF(Inputs!S73="","",LET(d,Rulebook!$L73,x,Inputs!S73*d,ta,Rulebook!$G73*d,tb,Rulebook!$H73*d,tc,Rulebook!$I73*d,te,Rulebook!$J73*d,tf,Rulebook!$K73*d,IFS(x&lt;=ta,0,x&lt;=tb,25*(x-ta)/(tb-ta),x&lt;=tc,25+25*(x-tb)/(tc-tb),x&lt;=te,50+25*(x-tc)/(te-tc),x&lt;tf,75+25*(x-te)/(tf-te),TRUE,100)))</f>
        <v>95</v>
      </c>
      <c r="T73" s="35">
        <f>IF(Inputs!T73="","",LET(d,Rulebook!$L73,x,Inputs!T73*d,ta,Rulebook!$G73*d,tb,Rulebook!$H73*d,tc,Rulebook!$I73*d,te,Rulebook!$J73*d,tf,Rulebook!$K73*d,IFS(x&lt;=ta,0,x&lt;=tb,25*(x-ta)/(tb-ta),x&lt;=tc,25+25*(x-tb)/(tc-tb),x&lt;=te,50+25*(x-tc)/(te-tc),x&lt;tf,75+25*(x-te)/(tf-te),TRUE,100)))</f>
        <v>0</v>
      </c>
      <c r="U73" s="35">
        <f>IF(Inputs!U73="","",LET(d,Rulebook!$L73,x,Inputs!U73*d,ta,Rulebook!$G73*d,tb,Rulebook!$H73*d,tc,Rulebook!$I73*d,te,Rulebook!$J73*d,tf,Rulebook!$K73*d,IFS(x&lt;=ta,0,x&lt;=tb,25*(x-ta)/(tb-ta),x&lt;=tc,25+25*(x-tb)/(tc-tb),x&lt;=te,50+25*(x-tc)/(te-tc),x&lt;tf,75+25*(x-te)/(tf-te),TRUE,100)))</f>
        <v>0</v>
      </c>
      <c r="V73" s="35">
        <f>IF(Inputs!V73="","",LET(d,Rulebook!$L73,x,Inputs!V73*d,ta,Rulebook!$G73*d,tb,Rulebook!$H73*d,tc,Rulebook!$I73*d,te,Rulebook!$J73*d,tf,Rulebook!$K73*d,IFS(x&lt;=ta,0,x&lt;=tb,25*(x-ta)/(tb-ta),x&lt;=tc,25+25*(x-tb)/(tc-tb),x&lt;=te,50+25*(x-tc)/(te-tc),x&lt;tf,75+25*(x-te)/(tf-te),TRUE,100)))</f>
        <v>0</v>
      </c>
    </row>
    <row r="74">
      <c r="A74" s="26" t="s">
        <v>767</v>
      </c>
      <c r="B74" s="26">
        <v>6.0</v>
      </c>
      <c r="C74" s="26" t="s">
        <v>768</v>
      </c>
      <c r="D74" s="26" t="s">
        <v>254</v>
      </c>
      <c r="E74" s="35">
        <f>IF(Inputs!E74="","",LET(d,Rulebook!$L74,x,Inputs!E74*d,ta,Rulebook!$G74*d,tb,Rulebook!$H74*d,tc,Rulebook!$I74*d,te,Rulebook!$J74*d,tf,Rulebook!$K74*d,IFS(x&lt;=ta,0,x&lt;=tb,25*(x-ta)/(tb-ta),x&lt;=tc,25+25*(x-tb)/(tc-tb),x&lt;=te,50+25*(x-tc)/(te-tc),x&lt;tf,75+25*(x-te)/(tf-te),TRUE,100)))</f>
        <v>50</v>
      </c>
      <c r="F74" s="35">
        <f>IF(Inputs!F74="","",LET(d,Rulebook!$L74,x,Inputs!F74*d,ta,Rulebook!$G74*d,tb,Rulebook!$H74*d,tc,Rulebook!$I74*d,te,Rulebook!$J74*d,tf,Rulebook!$K74*d,IFS(x&lt;=ta,0,x&lt;=tb,25*(x-ta)/(tb-ta),x&lt;=tc,25+25*(x-tb)/(tc-tb),x&lt;=te,50+25*(x-tc)/(te-tc),x&lt;tf,75+25*(x-te)/(tf-te),TRUE,100)))</f>
        <v>75</v>
      </c>
      <c r="G74" s="35">
        <f>IF(Inputs!G74="","",LET(d,Rulebook!$L74,x,Inputs!G74*d,ta,Rulebook!$G74*d,tb,Rulebook!$H74*d,tc,Rulebook!$I74*d,te,Rulebook!$J74*d,tf,Rulebook!$K74*d,IFS(x&lt;=ta,0,x&lt;=tb,25*(x-ta)/(tb-ta),x&lt;=tc,25+25*(x-tb)/(tc-tb),x&lt;=te,50+25*(x-tc)/(te-tc),x&lt;tf,75+25*(x-te)/(tf-te),TRUE,100)))</f>
        <v>75</v>
      </c>
      <c r="H74" s="35">
        <f>IF(Inputs!H74="","",LET(d,Rulebook!$L74,x,Inputs!H74*d,ta,Rulebook!$G74*d,tb,Rulebook!$H74*d,tc,Rulebook!$I74*d,te,Rulebook!$J74*d,tf,Rulebook!$K74*d,IFS(x&lt;=ta,0,x&lt;=tb,25*(x-ta)/(tb-ta),x&lt;=tc,25+25*(x-tb)/(tc-tb),x&lt;=te,50+25*(x-tc)/(te-tc),x&lt;tf,75+25*(x-te)/(tf-te),TRUE,100)))</f>
        <v>25</v>
      </c>
      <c r="I74" s="35">
        <f>IF(Inputs!I74="","",LET(d,Rulebook!$L74,x,Inputs!I74*d,ta,Rulebook!$G74*d,tb,Rulebook!$H74*d,tc,Rulebook!$I74*d,te,Rulebook!$J74*d,tf,Rulebook!$K74*d,IFS(x&lt;=ta,0,x&lt;=tb,25*(x-ta)/(tb-ta),x&lt;=tc,25+25*(x-tb)/(tc-tb),x&lt;=te,50+25*(x-tc)/(te-tc),x&lt;tf,75+25*(x-te)/(tf-te),TRUE,100)))</f>
        <v>0</v>
      </c>
      <c r="J74" s="35">
        <f>IF(Inputs!J74="","",LET(d,Rulebook!$L74,x,Inputs!J74*d,ta,Rulebook!$G74*d,tb,Rulebook!$H74*d,tc,Rulebook!$I74*d,te,Rulebook!$J74*d,tf,Rulebook!$K74*d,IFS(x&lt;=ta,0,x&lt;=tb,25*(x-ta)/(tb-ta),x&lt;=tc,25+25*(x-tb)/(tc-tb),x&lt;=te,50+25*(x-tc)/(te-tc),x&lt;tf,75+25*(x-te)/(tf-te),TRUE,100)))</f>
        <v>0</v>
      </c>
      <c r="K74" s="35">
        <f>IF(Inputs!K74="","",LET(d,Rulebook!$L74,x,Inputs!K74*d,ta,Rulebook!$G74*d,tb,Rulebook!$H74*d,tc,Rulebook!$I74*d,te,Rulebook!$J74*d,tf,Rulebook!$K74*d,IFS(x&lt;=ta,0,x&lt;=tb,25*(x-ta)/(tb-ta),x&lt;=tc,25+25*(x-tb)/(tc-tb),x&lt;=te,50+25*(x-tc)/(te-tc),x&lt;tf,75+25*(x-te)/(tf-te),TRUE,100)))</f>
        <v>25</v>
      </c>
      <c r="L74" s="35">
        <f>IF(Inputs!L74="","",LET(d,Rulebook!$L74,x,Inputs!L74*d,ta,Rulebook!$G74*d,tb,Rulebook!$H74*d,tc,Rulebook!$I74*d,te,Rulebook!$J74*d,tf,Rulebook!$K74*d,IFS(x&lt;=ta,0,x&lt;=tb,25*(x-ta)/(tb-ta),x&lt;=tc,25+25*(x-tb)/(tc-tb),x&lt;=te,50+25*(x-tc)/(te-tc),x&lt;tf,75+25*(x-te)/(tf-te),TRUE,100)))</f>
        <v>50</v>
      </c>
      <c r="M74" s="35">
        <f>IF(Inputs!M74="","",LET(d,Rulebook!$L74,x,Inputs!M74*d,ta,Rulebook!$G74*d,tb,Rulebook!$H74*d,tc,Rulebook!$I74*d,te,Rulebook!$J74*d,tf,Rulebook!$K74*d,IFS(x&lt;=ta,0,x&lt;=tb,25*(x-ta)/(tb-ta),x&lt;=tc,25+25*(x-tb)/(tc-tb),x&lt;=te,50+25*(x-tc)/(te-tc),x&lt;tf,75+25*(x-te)/(tf-te),TRUE,100)))</f>
        <v>75</v>
      </c>
      <c r="N74" s="35">
        <f>IF(Inputs!N74="","",LET(d,Rulebook!$L74,x,Inputs!N74*d,ta,Rulebook!$G74*d,tb,Rulebook!$H74*d,tc,Rulebook!$I74*d,te,Rulebook!$J74*d,tf,Rulebook!$K74*d,IFS(x&lt;=ta,0,x&lt;=tb,25*(x-ta)/(tb-ta),x&lt;=tc,25+25*(x-tb)/(tc-tb),x&lt;=te,50+25*(x-tc)/(te-tc),x&lt;tf,75+25*(x-te)/(tf-te),TRUE,100)))</f>
        <v>50</v>
      </c>
      <c r="O74" s="35">
        <f>IF(Inputs!O74="","",LET(d,Rulebook!$L74,x,Inputs!O74*d,ta,Rulebook!$G74*d,tb,Rulebook!$H74*d,tc,Rulebook!$I74*d,te,Rulebook!$J74*d,tf,Rulebook!$K74*d,IFS(x&lt;=ta,0,x&lt;=tb,25*(x-ta)/(tb-ta),x&lt;=tc,25+25*(x-tb)/(tc-tb),x&lt;=te,50+25*(x-tc)/(te-tc),x&lt;tf,75+25*(x-te)/(tf-te),TRUE,100)))</f>
        <v>50</v>
      </c>
      <c r="P74" s="35">
        <f>IF(Inputs!P74="","",LET(d,Rulebook!$L74,x,Inputs!P74*d,ta,Rulebook!$G74*d,tb,Rulebook!$H74*d,tc,Rulebook!$I74*d,te,Rulebook!$J74*d,tf,Rulebook!$K74*d,IFS(x&lt;=ta,0,x&lt;=tb,25*(x-ta)/(tb-ta),x&lt;=tc,25+25*(x-tb)/(tc-tb),x&lt;=te,50+25*(x-tc)/(te-tc),x&lt;tf,75+25*(x-te)/(tf-te),TRUE,100)))</f>
        <v>25</v>
      </c>
      <c r="Q74" s="35">
        <f>IF(Inputs!Q74="","",LET(d,Rulebook!$L74,x,Inputs!Q74*d,ta,Rulebook!$G74*d,tb,Rulebook!$H74*d,tc,Rulebook!$I74*d,te,Rulebook!$J74*d,tf,Rulebook!$K74*d,IFS(x&lt;=ta,0,x&lt;=tb,25*(x-ta)/(tb-ta),x&lt;=tc,25+25*(x-tb)/(tc-tb),x&lt;=te,50+25*(x-tc)/(te-tc),x&lt;tf,75+25*(x-te)/(tf-te),TRUE,100)))</f>
        <v>50</v>
      </c>
      <c r="R74" s="35">
        <f>IF(Inputs!R74="","",LET(d,Rulebook!$L74,x,Inputs!R74*d,ta,Rulebook!$G74*d,tb,Rulebook!$H74*d,tc,Rulebook!$I74*d,te,Rulebook!$J74*d,tf,Rulebook!$K74*d,IFS(x&lt;=ta,0,x&lt;=tb,25*(x-ta)/(tb-ta),x&lt;=tc,25+25*(x-tb)/(tc-tb),x&lt;=te,50+25*(x-tc)/(te-tc),x&lt;tf,75+25*(x-te)/(tf-te),TRUE,100)))</f>
        <v>100</v>
      </c>
      <c r="S74" s="35">
        <f>IF(Inputs!S74="","",LET(d,Rulebook!$L74,x,Inputs!S74*d,ta,Rulebook!$G74*d,tb,Rulebook!$H74*d,tc,Rulebook!$I74*d,te,Rulebook!$J74*d,tf,Rulebook!$K74*d,IFS(x&lt;=ta,0,x&lt;=tb,25*(x-ta)/(tb-ta),x&lt;=tc,25+25*(x-tb)/(tc-tb),x&lt;=te,50+25*(x-tc)/(te-tc),x&lt;tf,75+25*(x-te)/(tf-te),TRUE,100)))</f>
        <v>75</v>
      </c>
      <c r="T74" s="35">
        <f>IF(Inputs!T74="","",LET(d,Rulebook!$L74,x,Inputs!T74*d,ta,Rulebook!$G74*d,tb,Rulebook!$H74*d,tc,Rulebook!$I74*d,te,Rulebook!$J74*d,tf,Rulebook!$K74*d,IFS(x&lt;=ta,0,x&lt;=tb,25*(x-ta)/(tb-ta),x&lt;=tc,25+25*(x-tb)/(tc-tb),x&lt;=te,50+25*(x-tc)/(te-tc),x&lt;tf,75+25*(x-te)/(tf-te),TRUE,100)))</f>
        <v>25</v>
      </c>
      <c r="U74" s="35">
        <f>IF(Inputs!U74="","",LET(d,Rulebook!$L74,x,Inputs!U74*d,ta,Rulebook!$G74*d,tb,Rulebook!$H74*d,tc,Rulebook!$I74*d,te,Rulebook!$J74*d,tf,Rulebook!$K74*d,IFS(x&lt;=ta,0,x&lt;=tb,25*(x-ta)/(tb-ta),x&lt;=tc,25+25*(x-tb)/(tc-tb),x&lt;=te,50+25*(x-tc)/(te-tc),x&lt;tf,75+25*(x-te)/(tf-te),TRUE,100)))</f>
        <v>25</v>
      </c>
      <c r="V74" s="35">
        <f>IF(Inputs!V74="","",LET(d,Rulebook!$L74,x,Inputs!V74*d,ta,Rulebook!$G74*d,tb,Rulebook!$H74*d,tc,Rulebook!$I74*d,te,Rulebook!$J74*d,tf,Rulebook!$K74*d,IFS(x&lt;=ta,0,x&lt;=tb,25*(x-ta)/(tb-ta),x&lt;=tc,25+25*(x-tb)/(tc-tb),x&lt;=te,50+25*(x-tc)/(te-tc),x&lt;tf,75+25*(x-te)/(tf-te),TRUE,100)))</f>
        <v>75</v>
      </c>
    </row>
    <row r="75">
      <c r="A75" s="26" t="s">
        <v>771</v>
      </c>
      <c r="B75" s="26">
        <v>7.0</v>
      </c>
      <c r="C75" s="26" t="s">
        <v>772</v>
      </c>
      <c r="D75" s="26" t="s">
        <v>37</v>
      </c>
      <c r="E75" s="35">
        <f>IF(Inputs!E75="","",LET(d,Rulebook!$L75,x,Inputs!E75*d,ta,Rulebook!$G75*d,tb,Rulebook!$H75*d,tc,Rulebook!$I75*d,te,Rulebook!$J75*d,tf,Rulebook!$K75*d,IFS(x&lt;=ta,0,x&lt;=tb,25*(x-ta)/(tb-ta),x&lt;=tc,25+25*(x-tb)/(tc-tb),x&lt;=te,50+25*(x-tc)/(te-tc),x&lt;tf,75+25*(x-te)/(tf-te),TRUE,100)))</f>
        <v>59.375</v>
      </c>
      <c r="F75" s="35">
        <f>IF(Inputs!F75="","",LET(d,Rulebook!$L75,x,Inputs!F75*d,ta,Rulebook!$G75*d,tb,Rulebook!$H75*d,tc,Rulebook!$I75*d,te,Rulebook!$J75*d,tf,Rulebook!$K75*d,IFS(x&lt;=ta,0,x&lt;=tb,25*(x-ta)/(tb-ta),x&lt;=tc,25+25*(x-tb)/(tc-tb),x&lt;=te,50+25*(x-tc)/(te-tc),x&lt;tf,75+25*(x-te)/(tf-te),TRUE,100)))</f>
        <v>75</v>
      </c>
      <c r="G75" s="35">
        <f>IF(Inputs!G75="","",LET(d,Rulebook!$L75,x,Inputs!G75*d,ta,Rulebook!$G75*d,tb,Rulebook!$H75*d,tc,Rulebook!$I75*d,te,Rulebook!$J75*d,tf,Rulebook!$K75*d,IFS(x&lt;=ta,0,x&lt;=tb,25*(x-ta)/(tb-ta),x&lt;=tc,25+25*(x-tb)/(tc-tb),x&lt;=te,50+25*(x-tc)/(te-tc),x&lt;tf,75+25*(x-te)/(tf-te),TRUE,100)))</f>
        <v>25</v>
      </c>
      <c r="H75" s="35">
        <f>IF(Inputs!H75="","",LET(d,Rulebook!$L75,x,Inputs!H75*d,ta,Rulebook!$G75*d,tb,Rulebook!$H75*d,tc,Rulebook!$I75*d,te,Rulebook!$J75*d,tf,Rulebook!$K75*d,IFS(x&lt;=ta,0,x&lt;=tb,25*(x-ta)/(tb-ta),x&lt;=tc,25+25*(x-tb)/(tc-tb),x&lt;=te,50+25*(x-tc)/(te-tc),x&lt;tf,75+25*(x-te)/(tf-te),TRUE,100)))</f>
        <v>25</v>
      </c>
      <c r="I75" s="35">
        <f>IF(Inputs!I75="","",LET(d,Rulebook!$L75,x,Inputs!I75*d,ta,Rulebook!$G75*d,tb,Rulebook!$H75*d,tc,Rulebook!$I75*d,te,Rulebook!$J75*d,tf,Rulebook!$K75*d,IFS(x&lt;=ta,0,x&lt;=tb,25*(x-ta)/(tb-ta),x&lt;=tc,25+25*(x-tb)/(tc-tb),x&lt;=te,50+25*(x-tc)/(te-tc),x&lt;tf,75+25*(x-te)/(tf-te),TRUE,100)))</f>
        <v>0</v>
      </c>
      <c r="J75" s="35">
        <f>IF(Inputs!J75="","",LET(d,Rulebook!$L75,x,Inputs!J75*d,ta,Rulebook!$G75*d,tb,Rulebook!$H75*d,tc,Rulebook!$I75*d,te,Rulebook!$J75*d,tf,Rulebook!$K75*d,IFS(x&lt;=ta,0,x&lt;=tb,25*(x-ta)/(tb-ta),x&lt;=tc,25+25*(x-tb)/(tc-tb),x&lt;=te,50+25*(x-tc)/(te-tc),x&lt;tf,75+25*(x-te)/(tf-te),TRUE,100)))</f>
        <v>37.5</v>
      </c>
      <c r="K75" s="35">
        <f>IF(Inputs!K75="","",LET(d,Rulebook!$L75,x,Inputs!K75*d,ta,Rulebook!$G75*d,tb,Rulebook!$H75*d,tc,Rulebook!$I75*d,te,Rulebook!$J75*d,tf,Rulebook!$K75*d,IFS(x&lt;=ta,0,x&lt;=tb,25*(x-ta)/(tb-ta),x&lt;=tc,25+25*(x-tb)/(tc-tb),x&lt;=te,50+25*(x-tc)/(te-tc),x&lt;tf,75+25*(x-te)/(tf-te),TRUE,100)))</f>
        <v>0</v>
      </c>
      <c r="L75" s="35">
        <f>IF(Inputs!L75="","",LET(d,Rulebook!$L75,x,Inputs!L75*d,ta,Rulebook!$G75*d,tb,Rulebook!$H75*d,tc,Rulebook!$I75*d,te,Rulebook!$J75*d,tf,Rulebook!$K75*d,IFS(x&lt;=ta,0,x&lt;=tb,25*(x-ta)/(tb-ta),x&lt;=tc,25+25*(x-tb)/(tc-tb),x&lt;=te,50+25*(x-tc)/(te-tc),x&lt;tf,75+25*(x-te)/(tf-te),TRUE,100)))</f>
        <v>37.5</v>
      </c>
      <c r="M75" s="35">
        <f>IF(Inputs!M75="","",LET(d,Rulebook!$L75,x,Inputs!M75*d,ta,Rulebook!$G75*d,tb,Rulebook!$H75*d,tc,Rulebook!$I75*d,te,Rulebook!$J75*d,tf,Rulebook!$K75*d,IFS(x&lt;=ta,0,x&lt;=tb,25*(x-ta)/(tb-ta),x&lt;=tc,25+25*(x-tb)/(tc-tb),x&lt;=te,50+25*(x-tc)/(te-tc),x&lt;tf,75+25*(x-te)/(tf-te),TRUE,100)))</f>
        <v>65.625</v>
      </c>
      <c r="N75" s="35">
        <f>IF(Inputs!N75="","",LET(d,Rulebook!$L75,x,Inputs!N75*d,ta,Rulebook!$G75*d,tb,Rulebook!$H75*d,tc,Rulebook!$I75*d,te,Rulebook!$J75*d,tf,Rulebook!$K75*d,IFS(x&lt;=ta,0,x&lt;=tb,25*(x-ta)/(tb-ta),x&lt;=tc,25+25*(x-tb)/(tc-tb),x&lt;=te,50+25*(x-tc)/(te-tc),x&lt;tf,75+25*(x-te)/(tf-te),TRUE,100)))</f>
        <v>100</v>
      </c>
      <c r="O75" s="35">
        <f>IF(Inputs!O75="","",LET(d,Rulebook!$L75,x,Inputs!O75*d,ta,Rulebook!$G75*d,tb,Rulebook!$H75*d,tc,Rulebook!$I75*d,te,Rulebook!$J75*d,tf,Rulebook!$K75*d,IFS(x&lt;=ta,0,x&lt;=tb,25*(x-ta)/(tb-ta),x&lt;=tc,25+25*(x-tb)/(tc-tb),x&lt;=te,50+25*(x-tc)/(te-tc),x&lt;tf,75+25*(x-te)/(tf-te),TRUE,100)))</f>
        <v>12.5</v>
      </c>
      <c r="P75" s="35">
        <f>IF(Inputs!P75="","",LET(d,Rulebook!$L75,x,Inputs!P75*d,ta,Rulebook!$G75*d,tb,Rulebook!$H75*d,tc,Rulebook!$I75*d,te,Rulebook!$J75*d,tf,Rulebook!$K75*d,IFS(x&lt;=ta,0,x&lt;=tb,25*(x-ta)/(tb-ta),x&lt;=tc,25+25*(x-tb)/(tc-tb),x&lt;=te,50+25*(x-tc)/(te-tc),x&lt;tf,75+25*(x-te)/(tf-te),TRUE,100)))</f>
        <v>25</v>
      </c>
      <c r="Q75" s="35">
        <f>IF(Inputs!Q75="","",LET(d,Rulebook!$L75,x,Inputs!Q75*d,ta,Rulebook!$G75*d,tb,Rulebook!$H75*d,tc,Rulebook!$I75*d,te,Rulebook!$J75*d,tf,Rulebook!$K75*d,IFS(x&lt;=ta,0,x&lt;=tb,25*(x-ta)/(tb-ta),x&lt;=tc,25+25*(x-tb)/(tc-tb),x&lt;=te,50+25*(x-tc)/(te-tc),x&lt;tf,75+25*(x-te)/(tf-te),TRUE,100)))</f>
        <v>37.5</v>
      </c>
      <c r="R75" s="35">
        <f>IF(Inputs!R75="","",LET(d,Rulebook!$L75,x,Inputs!R75*d,ta,Rulebook!$G75*d,tb,Rulebook!$H75*d,tc,Rulebook!$I75*d,te,Rulebook!$J75*d,tf,Rulebook!$K75*d,IFS(x&lt;=ta,0,x&lt;=tb,25*(x-ta)/(tb-ta),x&lt;=tc,25+25*(x-tb)/(tc-tb),x&lt;=te,50+25*(x-tc)/(te-tc),x&lt;tf,75+25*(x-te)/(tf-te),TRUE,100)))</f>
        <v>25</v>
      </c>
      <c r="S75" s="35">
        <f>IF(Inputs!S75="","",LET(d,Rulebook!$L75,x,Inputs!S75*d,ta,Rulebook!$G75*d,tb,Rulebook!$H75*d,tc,Rulebook!$I75*d,te,Rulebook!$J75*d,tf,Rulebook!$K75*d,IFS(x&lt;=ta,0,x&lt;=tb,25*(x-ta)/(tb-ta),x&lt;=tc,25+25*(x-tb)/(tc-tb),x&lt;=te,50+25*(x-tc)/(te-tc),x&lt;tf,75+25*(x-te)/(tf-te),TRUE,100)))</f>
        <v>37.5</v>
      </c>
      <c r="T75" s="35">
        <f>IF(Inputs!T75="","",LET(d,Rulebook!$L75,x,Inputs!T75*d,ta,Rulebook!$G75*d,tb,Rulebook!$H75*d,tc,Rulebook!$I75*d,te,Rulebook!$J75*d,tf,Rulebook!$K75*d,IFS(x&lt;=ta,0,x&lt;=tb,25*(x-ta)/(tb-ta),x&lt;=tc,25+25*(x-tb)/(tc-tb),x&lt;=te,50+25*(x-tc)/(te-tc),x&lt;tf,75+25*(x-te)/(tf-te),TRUE,100)))</f>
        <v>31.25</v>
      </c>
      <c r="U75" s="35">
        <f>IF(Inputs!U75="","",LET(d,Rulebook!$L75,x,Inputs!U75*d,ta,Rulebook!$G75*d,tb,Rulebook!$H75*d,tc,Rulebook!$I75*d,te,Rulebook!$J75*d,tf,Rulebook!$K75*d,IFS(x&lt;=ta,0,x&lt;=tb,25*(x-ta)/(tb-ta),x&lt;=tc,25+25*(x-tb)/(tc-tb),x&lt;=te,50+25*(x-tc)/(te-tc),x&lt;tf,75+25*(x-te)/(tf-te),TRUE,100)))</f>
        <v>53.125</v>
      </c>
      <c r="V75" s="35">
        <f>IF(Inputs!V75="","",LET(d,Rulebook!$L75,x,Inputs!V75*d,ta,Rulebook!$G75*d,tb,Rulebook!$H75*d,tc,Rulebook!$I75*d,te,Rulebook!$J75*d,tf,Rulebook!$K75*d,IFS(x&lt;=ta,0,x&lt;=tb,25*(x-ta)/(tb-ta),x&lt;=tc,25+25*(x-tb)/(tc-tb),x&lt;=te,50+25*(x-tc)/(te-tc),x&lt;tf,75+25*(x-te)/(tf-te),TRUE,100)))</f>
        <v>59.375</v>
      </c>
    </row>
    <row r="76">
      <c r="A76" s="26" t="s">
        <v>775</v>
      </c>
      <c r="B76" s="26">
        <v>7.0</v>
      </c>
      <c r="C76" s="26" t="s">
        <v>776</v>
      </c>
      <c r="D76" s="26" t="s">
        <v>37</v>
      </c>
      <c r="E76" s="35">
        <f>IF(Inputs!E76="","",LET(d,Rulebook!$L76,x,Inputs!E76*d,ta,Rulebook!$G76*d,tb,Rulebook!$H76*d,tc,Rulebook!$I76*d,te,Rulebook!$J76*d,tf,Rulebook!$K76*d,IFS(x&lt;=ta,0,x&lt;=tb,25*(x-ta)/(tb-ta),x&lt;=tc,25+25*(x-tb)/(tc-tb),x&lt;=te,50+25*(x-tc)/(te-tc),x&lt;tf,75+25*(x-te)/(tf-te),TRUE,100)))</f>
        <v>40</v>
      </c>
      <c r="F76" s="35">
        <f>IF(Inputs!F76="","",LET(d,Rulebook!$L76,x,Inputs!F76*d,ta,Rulebook!$G76*d,tb,Rulebook!$H76*d,tc,Rulebook!$I76*d,te,Rulebook!$J76*d,tf,Rulebook!$K76*d,IFS(x&lt;=ta,0,x&lt;=tb,25*(x-ta)/(tb-ta),x&lt;=tc,25+25*(x-tb)/(tc-tb),x&lt;=te,50+25*(x-tc)/(te-tc),x&lt;tf,75+25*(x-te)/(tf-te),TRUE,100)))</f>
        <v>53.33333333</v>
      </c>
      <c r="G76" s="35">
        <f>IF(Inputs!G76="","",LET(d,Rulebook!$L76,x,Inputs!G76*d,ta,Rulebook!$G76*d,tb,Rulebook!$H76*d,tc,Rulebook!$I76*d,te,Rulebook!$J76*d,tf,Rulebook!$K76*d,IFS(x&lt;=ta,0,x&lt;=tb,25*(x-ta)/(tb-ta),x&lt;=tc,25+25*(x-tb)/(tc-tb),x&lt;=te,50+25*(x-tc)/(te-tc),x&lt;tf,75+25*(x-te)/(tf-te),TRUE,100)))</f>
        <v>8.333333333</v>
      </c>
      <c r="H76" s="35">
        <f>IF(Inputs!H76="","",LET(d,Rulebook!$L76,x,Inputs!H76*d,ta,Rulebook!$G76*d,tb,Rulebook!$H76*d,tc,Rulebook!$I76*d,te,Rulebook!$J76*d,tf,Rulebook!$K76*d,IFS(x&lt;=ta,0,x&lt;=tb,25*(x-ta)/(tb-ta),x&lt;=tc,25+25*(x-tb)/(tc-tb),x&lt;=te,50+25*(x-tc)/(te-tc),x&lt;tf,75+25*(x-te)/(tf-te),TRUE,100)))</f>
        <v>8.333333333</v>
      </c>
      <c r="I76" s="35">
        <f>IF(Inputs!I76="","",LET(d,Rulebook!$L76,x,Inputs!I76*d,ta,Rulebook!$G76*d,tb,Rulebook!$H76*d,tc,Rulebook!$I76*d,te,Rulebook!$J76*d,tf,Rulebook!$K76*d,IFS(x&lt;=ta,0,x&lt;=tb,25*(x-ta)/(tb-ta),x&lt;=tc,25+25*(x-tb)/(tc-tb),x&lt;=te,50+25*(x-tc)/(te-tc),x&lt;tf,75+25*(x-te)/(tf-te),TRUE,100)))</f>
        <v>0</v>
      </c>
      <c r="J76" s="35">
        <f>IF(Inputs!J76="","",LET(d,Rulebook!$L76,x,Inputs!J76*d,ta,Rulebook!$G76*d,tb,Rulebook!$H76*d,tc,Rulebook!$I76*d,te,Rulebook!$J76*d,tf,Rulebook!$K76*d,IFS(x&lt;=ta,0,x&lt;=tb,25*(x-ta)/(tb-ta),x&lt;=tc,25+25*(x-tb)/(tc-tb),x&lt;=te,50+25*(x-tc)/(te-tc),x&lt;tf,75+25*(x-te)/(tf-te),TRUE,100)))</f>
        <v>40</v>
      </c>
      <c r="K76" s="35">
        <f>IF(Inputs!K76="","",LET(d,Rulebook!$L76,x,Inputs!K76*d,ta,Rulebook!$G76*d,tb,Rulebook!$H76*d,tc,Rulebook!$I76*d,te,Rulebook!$J76*d,tf,Rulebook!$K76*d,IFS(x&lt;=ta,0,x&lt;=tb,25*(x-ta)/(tb-ta),x&lt;=tc,25+25*(x-tb)/(tc-tb),x&lt;=te,50+25*(x-tc)/(te-tc),x&lt;tf,75+25*(x-te)/(tf-te),TRUE,100)))</f>
        <v>0</v>
      </c>
      <c r="L76" s="35">
        <f>IF(Inputs!L76="","",LET(d,Rulebook!$L76,x,Inputs!L76*d,ta,Rulebook!$G76*d,tb,Rulebook!$H76*d,tc,Rulebook!$I76*d,te,Rulebook!$J76*d,tf,Rulebook!$K76*d,IFS(x&lt;=ta,0,x&lt;=tb,25*(x-ta)/(tb-ta),x&lt;=tc,25+25*(x-tb)/(tc-tb),x&lt;=te,50+25*(x-tc)/(te-tc),x&lt;tf,75+25*(x-te)/(tf-te),TRUE,100)))</f>
        <v>16.66666667</v>
      </c>
      <c r="M76" s="35">
        <f>IF(Inputs!M76="","",LET(d,Rulebook!$L76,x,Inputs!M76*d,ta,Rulebook!$G76*d,tb,Rulebook!$H76*d,tc,Rulebook!$I76*d,te,Rulebook!$J76*d,tf,Rulebook!$K76*d,IFS(x&lt;=ta,0,x&lt;=tb,25*(x-ta)/(tb-ta),x&lt;=tc,25+25*(x-tb)/(tc-tb),x&lt;=te,50+25*(x-tc)/(te-tc),x&lt;tf,75+25*(x-te)/(tf-te),TRUE,100)))</f>
        <v>53.33333333</v>
      </c>
      <c r="N76" s="35">
        <f>IF(Inputs!N76="","",LET(d,Rulebook!$L76,x,Inputs!N76*d,ta,Rulebook!$G76*d,tb,Rulebook!$H76*d,tc,Rulebook!$I76*d,te,Rulebook!$J76*d,tf,Rulebook!$K76*d,IFS(x&lt;=ta,0,x&lt;=tb,25*(x-ta)/(tb-ta),x&lt;=tc,25+25*(x-tb)/(tc-tb),x&lt;=te,50+25*(x-tc)/(te-tc),x&lt;tf,75+25*(x-te)/(tf-te),TRUE,100)))</f>
        <v>90</v>
      </c>
      <c r="O76" s="35">
        <f>IF(Inputs!O76="","",LET(d,Rulebook!$L76,x,Inputs!O76*d,ta,Rulebook!$G76*d,tb,Rulebook!$H76*d,tc,Rulebook!$I76*d,te,Rulebook!$J76*d,tf,Rulebook!$K76*d,IFS(x&lt;=ta,0,x&lt;=tb,25*(x-ta)/(tb-ta),x&lt;=tc,25+25*(x-tb)/(tc-tb),x&lt;=te,50+25*(x-tc)/(te-tc),x&lt;tf,75+25*(x-te)/(tf-te),TRUE,100)))</f>
        <v>0</v>
      </c>
      <c r="P76" s="35">
        <f>IF(Inputs!P76="","",LET(d,Rulebook!$L76,x,Inputs!P76*d,ta,Rulebook!$G76*d,tb,Rulebook!$H76*d,tc,Rulebook!$I76*d,te,Rulebook!$J76*d,tf,Rulebook!$K76*d,IFS(x&lt;=ta,0,x&lt;=tb,25*(x-ta)/(tb-ta),x&lt;=tc,25+25*(x-tb)/(tc-tb),x&lt;=te,50+25*(x-tc)/(te-tc),x&lt;tf,75+25*(x-te)/(tf-te),TRUE,100)))</f>
        <v>8.333333333</v>
      </c>
      <c r="Q76" s="35">
        <f>IF(Inputs!Q76="","",LET(d,Rulebook!$L76,x,Inputs!Q76*d,ta,Rulebook!$G76*d,tb,Rulebook!$H76*d,tc,Rulebook!$I76*d,te,Rulebook!$J76*d,tf,Rulebook!$K76*d,IFS(x&lt;=ta,0,x&lt;=tb,25*(x-ta)/(tb-ta),x&lt;=tc,25+25*(x-tb)/(tc-tb),x&lt;=te,50+25*(x-tc)/(te-tc),x&lt;tf,75+25*(x-te)/(tf-te),TRUE,100)))</f>
        <v>30</v>
      </c>
      <c r="R76" s="35">
        <f>IF(Inputs!R76="","",LET(d,Rulebook!$L76,x,Inputs!R76*d,ta,Rulebook!$G76*d,tb,Rulebook!$H76*d,tc,Rulebook!$I76*d,te,Rulebook!$J76*d,tf,Rulebook!$K76*d,IFS(x&lt;=ta,0,x&lt;=tb,25*(x-ta)/(tb-ta),x&lt;=tc,25+25*(x-tb)/(tc-tb),x&lt;=te,50+25*(x-tc)/(te-tc),x&lt;tf,75+25*(x-te)/(tf-te),TRUE,100)))</f>
        <v>8.333333333</v>
      </c>
      <c r="S76" s="35">
        <f>IF(Inputs!S76="","",LET(d,Rulebook!$L76,x,Inputs!S76*d,ta,Rulebook!$G76*d,tb,Rulebook!$H76*d,tc,Rulebook!$I76*d,te,Rulebook!$J76*d,tf,Rulebook!$K76*d,IFS(x&lt;=ta,0,x&lt;=tb,25*(x-ta)/(tb-ta),x&lt;=tc,25+25*(x-tb)/(tc-tb),x&lt;=te,50+25*(x-tc)/(te-tc),x&lt;tf,75+25*(x-te)/(tf-te),TRUE,100)))</f>
        <v>16.66666667</v>
      </c>
      <c r="T76" s="35">
        <f>IF(Inputs!T76="","",LET(d,Rulebook!$L76,x,Inputs!T76*d,ta,Rulebook!$G76*d,tb,Rulebook!$H76*d,tc,Rulebook!$I76*d,te,Rulebook!$J76*d,tf,Rulebook!$K76*d,IFS(x&lt;=ta,0,x&lt;=tb,25*(x-ta)/(tb-ta),x&lt;=tc,25+25*(x-tb)/(tc-tb),x&lt;=te,50+25*(x-tc)/(te-tc),x&lt;tf,75+25*(x-te)/(tf-te),TRUE,100)))</f>
        <v>16.66666667</v>
      </c>
      <c r="U76" s="35">
        <f>IF(Inputs!U76="","",LET(d,Rulebook!$L76,x,Inputs!U76*d,ta,Rulebook!$G76*d,tb,Rulebook!$H76*d,tc,Rulebook!$I76*d,te,Rulebook!$J76*d,tf,Rulebook!$K76*d,IFS(x&lt;=ta,0,x&lt;=tb,25*(x-ta)/(tb-ta),x&lt;=tc,25+25*(x-tb)/(tc-tb),x&lt;=te,50+25*(x-tc)/(te-tc),x&lt;tf,75+25*(x-te)/(tf-te),TRUE,100)))</f>
        <v>40</v>
      </c>
      <c r="V76" s="35">
        <f>IF(Inputs!V76="","",LET(d,Rulebook!$L76,x,Inputs!V76*d,ta,Rulebook!$G76*d,tb,Rulebook!$H76*d,tc,Rulebook!$I76*d,te,Rulebook!$J76*d,tf,Rulebook!$K76*d,IFS(x&lt;=ta,0,x&lt;=tb,25*(x-ta)/(tb-ta),x&lt;=tc,25+25*(x-tb)/(tc-tb),x&lt;=te,50+25*(x-tc)/(te-tc),x&lt;tf,75+25*(x-te)/(tf-te),TRUE,100)))</f>
        <v>50</v>
      </c>
    </row>
    <row r="77">
      <c r="A77" s="26" t="s">
        <v>779</v>
      </c>
      <c r="B77" s="26">
        <v>7.0</v>
      </c>
      <c r="C77" s="26" t="s">
        <v>780</v>
      </c>
      <c r="D77" s="26" t="s">
        <v>112</v>
      </c>
      <c r="E77" s="35">
        <f>IF(Inputs!E77="","",LET(d,Rulebook!$L77,x,Inputs!E77*d,ta,Rulebook!$G77*d,tb,Rulebook!$H77*d,tc,Rulebook!$I77*d,te,Rulebook!$J77*d,tf,Rulebook!$K77*d,IFS(x&lt;=ta,0,x&lt;=tb,25*(x-ta)/(tb-ta),x&lt;=tc,25+25*(x-tb)/(tc-tb),x&lt;=te,50+25*(x-tc)/(te-tc),x&lt;tf,75+25*(x-te)/(tf-te),TRUE,100)))</f>
        <v>58.33333333</v>
      </c>
      <c r="F77" s="35">
        <f>IF(Inputs!F77="","",LET(d,Rulebook!$L77,x,Inputs!F77*d,ta,Rulebook!$G77*d,tb,Rulebook!$H77*d,tc,Rulebook!$I77*d,te,Rulebook!$J77*d,tf,Rulebook!$K77*d,IFS(x&lt;=ta,0,x&lt;=tb,25*(x-ta)/(tb-ta),x&lt;=tc,25+25*(x-tb)/(tc-tb),x&lt;=te,50+25*(x-tc)/(te-tc),x&lt;tf,75+25*(x-te)/(tf-te),TRUE,100)))</f>
        <v>91.66666667</v>
      </c>
      <c r="G77" s="35">
        <f>IF(Inputs!G77="","",LET(d,Rulebook!$L77,x,Inputs!G77*d,ta,Rulebook!$G77*d,tb,Rulebook!$H77*d,tc,Rulebook!$I77*d,te,Rulebook!$J77*d,tf,Rulebook!$K77*d,IFS(x&lt;=ta,0,x&lt;=tb,25*(x-ta)/(tb-ta),x&lt;=tc,25+25*(x-tb)/(tc-tb),x&lt;=te,50+25*(x-tc)/(te-tc),x&lt;tf,75+25*(x-te)/(tf-te),TRUE,100)))</f>
        <v>25</v>
      </c>
      <c r="H77" s="35">
        <f>IF(Inputs!H77="","",LET(d,Rulebook!$L77,x,Inputs!H77*d,ta,Rulebook!$G77*d,tb,Rulebook!$H77*d,tc,Rulebook!$I77*d,te,Rulebook!$J77*d,tf,Rulebook!$K77*d,IFS(x&lt;=ta,0,x&lt;=tb,25*(x-ta)/(tb-ta),x&lt;=tc,25+25*(x-tb)/(tc-tb),x&lt;=te,50+25*(x-tc)/(te-tc),x&lt;tf,75+25*(x-te)/(tf-te),TRUE,100)))</f>
        <v>25</v>
      </c>
      <c r="I77" s="35">
        <f>IF(Inputs!I77="","",LET(d,Rulebook!$L77,x,Inputs!I77*d,ta,Rulebook!$G77*d,tb,Rulebook!$H77*d,tc,Rulebook!$I77*d,te,Rulebook!$J77*d,tf,Rulebook!$K77*d,IFS(x&lt;=ta,0,x&lt;=tb,25*(x-ta)/(tb-ta),x&lt;=tc,25+25*(x-tb)/(tc-tb),x&lt;=te,50+25*(x-tc)/(te-tc),x&lt;tf,75+25*(x-te)/(tf-te),TRUE,100)))</f>
        <v>0</v>
      </c>
      <c r="J77" s="35">
        <f>IF(Inputs!J77="","",LET(d,Rulebook!$L77,x,Inputs!J77*d,ta,Rulebook!$G77*d,tb,Rulebook!$H77*d,tc,Rulebook!$I77*d,te,Rulebook!$J77*d,tf,Rulebook!$K77*d,IFS(x&lt;=ta,0,x&lt;=tb,25*(x-ta)/(tb-ta),x&lt;=tc,25+25*(x-tb)/(tc-tb),x&lt;=te,50+25*(x-tc)/(te-tc),x&lt;tf,75+25*(x-te)/(tf-te),TRUE,100)))</f>
        <v>37.5</v>
      </c>
      <c r="K77" s="35">
        <f>IF(Inputs!K77="","",LET(d,Rulebook!$L77,x,Inputs!K77*d,ta,Rulebook!$G77*d,tb,Rulebook!$H77*d,tc,Rulebook!$I77*d,te,Rulebook!$J77*d,tf,Rulebook!$K77*d,IFS(x&lt;=ta,0,x&lt;=tb,25*(x-ta)/(tb-ta),x&lt;=tc,25+25*(x-tb)/(tc-tb),x&lt;=te,50+25*(x-tc)/(te-tc),x&lt;tf,75+25*(x-te)/(tf-te),TRUE,100)))</f>
        <v>0</v>
      </c>
      <c r="L77" s="35">
        <f>IF(Inputs!L77="","",LET(d,Rulebook!$L77,x,Inputs!L77*d,ta,Rulebook!$G77*d,tb,Rulebook!$H77*d,tc,Rulebook!$I77*d,te,Rulebook!$J77*d,tf,Rulebook!$K77*d,IFS(x&lt;=ta,0,x&lt;=tb,25*(x-ta)/(tb-ta),x&lt;=tc,25+25*(x-tb)/(tc-tb),x&lt;=te,50+25*(x-tc)/(te-tc),x&lt;tf,75+25*(x-te)/(tf-te),TRUE,100)))</f>
        <v>37.5</v>
      </c>
      <c r="M77" s="35">
        <f>IF(Inputs!M77="","",LET(d,Rulebook!$L77,x,Inputs!M77*d,ta,Rulebook!$G77*d,tb,Rulebook!$H77*d,tc,Rulebook!$I77*d,te,Rulebook!$J77*d,tf,Rulebook!$K77*d,IFS(x&lt;=ta,0,x&lt;=tb,25*(x-ta)/(tb-ta),x&lt;=tc,25+25*(x-tb)/(tc-tb),x&lt;=te,50+25*(x-tc)/(te-tc),x&lt;tf,75+25*(x-te)/(tf-te),TRUE,100)))</f>
        <v>75</v>
      </c>
      <c r="N77" s="35">
        <f>IF(Inputs!N77="","",LET(d,Rulebook!$L77,x,Inputs!N77*d,ta,Rulebook!$G77*d,tb,Rulebook!$H77*d,tc,Rulebook!$I77*d,te,Rulebook!$J77*d,tf,Rulebook!$K77*d,IFS(x&lt;=ta,0,x&lt;=tb,25*(x-ta)/(tb-ta),x&lt;=tc,25+25*(x-tb)/(tc-tb),x&lt;=te,50+25*(x-tc)/(te-tc),x&lt;tf,75+25*(x-te)/(tf-te),TRUE,100)))</f>
        <v>91.66666667</v>
      </c>
      <c r="O77" s="35">
        <f>IF(Inputs!O77="","",LET(d,Rulebook!$L77,x,Inputs!O77*d,ta,Rulebook!$G77*d,tb,Rulebook!$H77*d,tc,Rulebook!$I77*d,te,Rulebook!$J77*d,tf,Rulebook!$K77*d,IFS(x&lt;=ta,0,x&lt;=tb,25*(x-ta)/(tb-ta),x&lt;=tc,25+25*(x-tb)/(tc-tb),x&lt;=te,50+25*(x-tc)/(te-tc),x&lt;tf,75+25*(x-te)/(tf-te),TRUE,100)))</f>
        <v>0</v>
      </c>
      <c r="P77" s="35">
        <f>IF(Inputs!P77="","",LET(d,Rulebook!$L77,x,Inputs!P77*d,ta,Rulebook!$G77*d,tb,Rulebook!$H77*d,tc,Rulebook!$I77*d,te,Rulebook!$J77*d,tf,Rulebook!$K77*d,IFS(x&lt;=ta,0,x&lt;=tb,25*(x-ta)/(tb-ta),x&lt;=tc,25+25*(x-tb)/(tc-tb),x&lt;=te,50+25*(x-tc)/(te-tc),x&lt;tf,75+25*(x-te)/(tf-te),TRUE,100)))</f>
        <v>15</v>
      </c>
      <c r="Q77" s="35">
        <f>IF(Inputs!Q77="","",LET(d,Rulebook!$L77,x,Inputs!Q77*d,ta,Rulebook!$G77*d,tb,Rulebook!$H77*d,tc,Rulebook!$I77*d,te,Rulebook!$J77*d,tf,Rulebook!$K77*d,IFS(x&lt;=ta,0,x&lt;=tb,25*(x-ta)/(tb-ta),x&lt;=tc,25+25*(x-tb)/(tc-tb),x&lt;=te,50+25*(x-tc)/(te-tc),x&lt;tf,75+25*(x-te)/(tf-te),TRUE,100)))</f>
        <v>37.5</v>
      </c>
      <c r="R77" s="35">
        <f>IF(Inputs!R77="","",LET(d,Rulebook!$L77,x,Inputs!R77*d,ta,Rulebook!$G77*d,tb,Rulebook!$H77*d,tc,Rulebook!$I77*d,te,Rulebook!$J77*d,tf,Rulebook!$K77*d,IFS(x&lt;=ta,0,x&lt;=tb,25*(x-ta)/(tb-ta),x&lt;=tc,25+25*(x-tb)/(tc-tb),x&lt;=te,50+25*(x-tc)/(te-tc),x&lt;tf,75+25*(x-te)/(tf-te),TRUE,100)))</f>
        <v>15</v>
      </c>
      <c r="S77" s="35">
        <f>IF(Inputs!S77="","",LET(d,Rulebook!$L77,x,Inputs!S77*d,ta,Rulebook!$G77*d,tb,Rulebook!$H77*d,tc,Rulebook!$I77*d,te,Rulebook!$J77*d,tf,Rulebook!$K77*d,IFS(x&lt;=ta,0,x&lt;=tb,25*(x-ta)/(tb-ta),x&lt;=tc,25+25*(x-tb)/(tc-tb),x&lt;=te,50+25*(x-tc)/(te-tc),x&lt;tf,75+25*(x-te)/(tf-te),TRUE,100)))</f>
        <v>37.5</v>
      </c>
      <c r="T77" s="35">
        <f>IF(Inputs!T77="","",LET(d,Rulebook!$L77,x,Inputs!T77*d,ta,Rulebook!$G77*d,tb,Rulebook!$H77*d,tc,Rulebook!$I77*d,te,Rulebook!$J77*d,tf,Rulebook!$K77*d,IFS(x&lt;=ta,0,x&lt;=tb,25*(x-ta)/(tb-ta),x&lt;=tc,25+25*(x-tb)/(tc-tb),x&lt;=te,50+25*(x-tc)/(te-tc),x&lt;tf,75+25*(x-te)/(tf-te),TRUE,100)))</f>
        <v>25</v>
      </c>
      <c r="U77" s="35">
        <f>IF(Inputs!U77="","",LET(d,Rulebook!$L77,x,Inputs!U77*d,ta,Rulebook!$G77*d,tb,Rulebook!$H77*d,tc,Rulebook!$I77*d,te,Rulebook!$J77*d,tf,Rulebook!$K77*d,IFS(x&lt;=ta,0,x&lt;=tb,25*(x-ta)/(tb-ta),x&lt;=tc,25+25*(x-tb)/(tc-tb),x&lt;=te,50+25*(x-tc)/(te-tc),x&lt;tf,75+25*(x-te)/(tf-te),TRUE,100)))</f>
        <v>66.66666667</v>
      </c>
      <c r="V77" s="35">
        <f>IF(Inputs!V77="","",LET(d,Rulebook!$L77,x,Inputs!V77*d,ta,Rulebook!$G77*d,tb,Rulebook!$H77*d,tc,Rulebook!$I77*d,te,Rulebook!$J77*d,tf,Rulebook!$K77*d,IFS(x&lt;=ta,0,x&lt;=tb,25*(x-ta)/(tb-ta),x&lt;=tc,25+25*(x-tb)/(tc-tb),x&lt;=te,50+25*(x-tc)/(te-tc),x&lt;tf,75+25*(x-te)/(tf-te),TRUE,100)))</f>
        <v>75</v>
      </c>
    </row>
    <row r="78">
      <c r="A78" s="26" t="s">
        <v>783</v>
      </c>
      <c r="B78" s="26">
        <v>7.0</v>
      </c>
      <c r="C78" s="26" t="s">
        <v>784</v>
      </c>
      <c r="D78" s="26" t="s">
        <v>112</v>
      </c>
      <c r="E78" s="35">
        <f>IF(Inputs!E78="","",LET(d,Rulebook!$L78,x,Inputs!E78*d,ta,Rulebook!$G78*d,tb,Rulebook!$H78*d,tc,Rulebook!$I78*d,te,Rulebook!$J78*d,tf,Rulebook!$K78*d,IFS(x&lt;=ta,0,x&lt;=tb,25*(x-ta)/(tb-ta),x&lt;=tc,25+25*(x-tb)/(tc-tb),x&lt;=te,50+25*(x-tc)/(te-tc),x&lt;tf,75+25*(x-te)/(tf-te),TRUE,100)))</f>
        <v>25</v>
      </c>
      <c r="F78" s="35">
        <f>IF(Inputs!F78="","",LET(d,Rulebook!$L78,x,Inputs!F78*d,ta,Rulebook!$G78*d,tb,Rulebook!$H78*d,tc,Rulebook!$I78*d,te,Rulebook!$J78*d,tf,Rulebook!$K78*d,IFS(x&lt;=ta,0,x&lt;=tb,25*(x-ta)/(tb-ta),x&lt;=tc,25+25*(x-tb)/(tc-tb),x&lt;=te,50+25*(x-tc)/(te-tc),x&lt;tf,75+25*(x-te)/(tf-te),TRUE,100)))</f>
        <v>25</v>
      </c>
      <c r="G78" s="35">
        <f>IF(Inputs!G78="","",LET(d,Rulebook!$L78,x,Inputs!G78*d,ta,Rulebook!$G78*d,tb,Rulebook!$H78*d,tc,Rulebook!$I78*d,te,Rulebook!$J78*d,tf,Rulebook!$K78*d,IFS(x&lt;=ta,0,x&lt;=tb,25*(x-ta)/(tb-ta),x&lt;=tc,25+25*(x-tb)/(tc-tb),x&lt;=te,50+25*(x-tc)/(te-tc),x&lt;tf,75+25*(x-te)/(tf-te),TRUE,100)))</f>
        <v>0</v>
      </c>
      <c r="H78" s="35">
        <f>IF(Inputs!H78="","",LET(d,Rulebook!$L78,x,Inputs!H78*d,ta,Rulebook!$G78*d,tb,Rulebook!$H78*d,tc,Rulebook!$I78*d,te,Rulebook!$J78*d,tf,Rulebook!$K78*d,IFS(x&lt;=ta,0,x&lt;=tb,25*(x-ta)/(tb-ta),x&lt;=tc,25+25*(x-tb)/(tc-tb),x&lt;=te,50+25*(x-tc)/(te-tc),x&lt;tf,75+25*(x-te)/(tf-te),TRUE,100)))</f>
        <v>12.5</v>
      </c>
      <c r="I78" s="35">
        <f>IF(Inputs!I78="","",LET(d,Rulebook!$L78,x,Inputs!I78*d,ta,Rulebook!$G78*d,tb,Rulebook!$H78*d,tc,Rulebook!$I78*d,te,Rulebook!$J78*d,tf,Rulebook!$K78*d,IFS(x&lt;=ta,0,x&lt;=tb,25*(x-ta)/(tb-ta),x&lt;=tc,25+25*(x-tb)/(tc-tb),x&lt;=te,50+25*(x-tc)/(te-tc),x&lt;tf,75+25*(x-te)/(tf-te),TRUE,100)))</f>
        <v>0</v>
      </c>
      <c r="J78" s="35">
        <f>IF(Inputs!J78="","",LET(d,Rulebook!$L78,x,Inputs!J78*d,ta,Rulebook!$G78*d,tb,Rulebook!$H78*d,tc,Rulebook!$I78*d,te,Rulebook!$J78*d,tf,Rulebook!$K78*d,IFS(x&lt;=ta,0,x&lt;=tb,25*(x-ta)/(tb-ta),x&lt;=tc,25+25*(x-tb)/(tc-tb),x&lt;=te,50+25*(x-tc)/(te-tc),x&lt;tf,75+25*(x-te)/(tf-te),TRUE,100)))</f>
        <v>0</v>
      </c>
      <c r="K78" s="35">
        <f>IF(Inputs!K78="","",LET(d,Rulebook!$L78,x,Inputs!K78*d,ta,Rulebook!$G78*d,tb,Rulebook!$H78*d,tc,Rulebook!$I78*d,te,Rulebook!$J78*d,tf,Rulebook!$K78*d,IFS(x&lt;=ta,0,x&lt;=tb,25*(x-ta)/(tb-ta),x&lt;=tc,25+25*(x-tb)/(tc-tb),x&lt;=te,50+25*(x-tc)/(te-tc),x&lt;tf,75+25*(x-te)/(tf-te),TRUE,100)))</f>
        <v>0</v>
      </c>
      <c r="L78" s="35">
        <f>IF(Inputs!L78="","",LET(d,Rulebook!$L78,x,Inputs!L78*d,ta,Rulebook!$G78*d,tb,Rulebook!$H78*d,tc,Rulebook!$I78*d,te,Rulebook!$J78*d,tf,Rulebook!$K78*d,IFS(x&lt;=ta,0,x&lt;=tb,25*(x-ta)/(tb-ta),x&lt;=tc,25+25*(x-tb)/(tc-tb),x&lt;=te,50+25*(x-tc)/(te-tc),x&lt;tf,75+25*(x-te)/(tf-te),TRUE,100)))</f>
        <v>12.5</v>
      </c>
      <c r="M78" s="35">
        <f>IF(Inputs!M78="","",LET(d,Rulebook!$L78,x,Inputs!M78*d,ta,Rulebook!$G78*d,tb,Rulebook!$H78*d,tc,Rulebook!$I78*d,te,Rulebook!$J78*d,tf,Rulebook!$K78*d,IFS(x&lt;=ta,0,x&lt;=tb,25*(x-ta)/(tb-ta),x&lt;=tc,25+25*(x-tb)/(tc-tb),x&lt;=te,50+25*(x-tc)/(te-tc),x&lt;tf,75+25*(x-te)/(tf-te),TRUE,100)))</f>
        <v>33.33333333</v>
      </c>
      <c r="N78" s="35">
        <f>IF(Inputs!N78="","",LET(d,Rulebook!$L78,x,Inputs!N78*d,ta,Rulebook!$G78*d,tb,Rulebook!$H78*d,tc,Rulebook!$I78*d,te,Rulebook!$J78*d,tf,Rulebook!$K78*d,IFS(x&lt;=ta,0,x&lt;=tb,25*(x-ta)/(tb-ta),x&lt;=tc,25+25*(x-tb)/(tc-tb),x&lt;=te,50+25*(x-tc)/(te-tc),x&lt;tf,75+25*(x-te)/(tf-te),TRUE,100)))</f>
        <v>75</v>
      </c>
      <c r="O78" s="35">
        <f>IF(Inputs!O78="","",LET(d,Rulebook!$L78,x,Inputs!O78*d,ta,Rulebook!$G78*d,tb,Rulebook!$H78*d,tc,Rulebook!$I78*d,te,Rulebook!$J78*d,tf,Rulebook!$K78*d,IFS(x&lt;=ta,0,x&lt;=tb,25*(x-ta)/(tb-ta),x&lt;=tc,25+25*(x-tb)/(tc-tb),x&lt;=te,50+25*(x-tc)/(te-tc),x&lt;tf,75+25*(x-te)/(tf-te),TRUE,100)))</f>
        <v>41.66666667</v>
      </c>
      <c r="P78" s="35">
        <f>IF(Inputs!P78="","",LET(d,Rulebook!$L78,x,Inputs!P78*d,ta,Rulebook!$G78*d,tb,Rulebook!$H78*d,tc,Rulebook!$I78*d,te,Rulebook!$J78*d,tf,Rulebook!$K78*d,IFS(x&lt;=ta,0,x&lt;=tb,25*(x-ta)/(tb-ta),x&lt;=tc,25+25*(x-tb)/(tc-tb),x&lt;=te,50+25*(x-tc)/(te-tc),x&lt;tf,75+25*(x-te)/(tf-te),TRUE,100)))</f>
        <v>58.33333333</v>
      </c>
      <c r="Q78" s="35">
        <f>IF(Inputs!Q78="","",LET(d,Rulebook!$L78,x,Inputs!Q78*d,ta,Rulebook!$G78*d,tb,Rulebook!$H78*d,tc,Rulebook!$I78*d,te,Rulebook!$J78*d,tf,Rulebook!$K78*d,IFS(x&lt;=ta,0,x&lt;=tb,25*(x-ta)/(tb-ta),x&lt;=tc,25+25*(x-tb)/(tc-tb),x&lt;=te,50+25*(x-tc)/(te-tc),x&lt;tf,75+25*(x-te)/(tf-te),TRUE,100)))</f>
        <v>12.5</v>
      </c>
      <c r="R78" s="35">
        <f>IF(Inputs!R78="","",LET(d,Rulebook!$L78,x,Inputs!R78*d,ta,Rulebook!$G78*d,tb,Rulebook!$H78*d,tc,Rulebook!$I78*d,te,Rulebook!$J78*d,tf,Rulebook!$K78*d,IFS(x&lt;=ta,0,x&lt;=tb,25*(x-ta)/(tb-ta),x&lt;=tc,25+25*(x-tb)/(tc-tb),x&lt;=te,50+25*(x-tc)/(te-tc),x&lt;tf,75+25*(x-te)/(tf-te),TRUE,100)))</f>
        <v>0</v>
      </c>
      <c r="S78" s="35">
        <f>IF(Inputs!S78="","",LET(d,Rulebook!$L78,x,Inputs!S78*d,ta,Rulebook!$G78*d,tb,Rulebook!$H78*d,tc,Rulebook!$I78*d,te,Rulebook!$J78*d,tf,Rulebook!$K78*d,IFS(x&lt;=ta,0,x&lt;=tb,25*(x-ta)/(tb-ta),x&lt;=tc,25+25*(x-tb)/(tc-tb),x&lt;=te,50+25*(x-tc)/(te-tc),x&lt;tf,75+25*(x-te)/(tf-te),TRUE,100)))</f>
        <v>12.5</v>
      </c>
      <c r="T78" s="35">
        <f>IF(Inputs!T78="","",LET(d,Rulebook!$L78,x,Inputs!T78*d,ta,Rulebook!$G78*d,tb,Rulebook!$H78*d,tc,Rulebook!$I78*d,te,Rulebook!$J78*d,tf,Rulebook!$K78*d,IFS(x&lt;=ta,0,x&lt;=tb,25*(x-ta)/(tb-ta),x&lt;=tc,25+25*(x-tb)/(tc-tb),x&lt;=te,50+25*(x-tc)/(te-tc),x&lt;tf,75+25*(x-te)/(tf-te),TRUE,100)))</f>
        <v>25</v>
      </c>
      <c r="U78" s="35">
        <f>IF(Inputs!U78="","",LET(d,Rulebook!$L78,x,Inputs!U78*d,ta,Rulebook!$G78*d,tb,Rulebook!$H78*d,tc,Rulebook!$I78*d,te,Rulebook!$J78*d,tf,Rulebook!$K78*d,IFS(x&lt;=ta,0,x&lt;=tb,25*(x-ta)/(tb-ta),x&lt;=tc,25+25*(x-tb)/(tc-tb),x&lt;=te,50+25*(x-tc)/(te-tc),x&lt;tf,75+25*(x-te)/(tf-te),TRUE,100)))</f>
        <v>41.66666667</v>
      </c>
      <c r="V78" s="35">
        <f>IF(Inputs!V78="","",LET(d,Rulebook!$L78,x,Inputs!V78*d,ta,Rulebook!$G78*d,tb,Rulebook!$H78*d,tc,Rulebook!$I78*d,te,Rulebook!$J78*d,tf,Rulebook!$K78*d,IFS(x&lt;=ta,0,x&lt;=tb,25*(x-ta)/(tb-ta),x&lt;=tc,25+25*(x-tb)/(tc-tb),x&lt;=te,50+25*(x-tc)/(te-tc),x&lt;tf,75+25*(x-te)/(tf-te),TRUE,100)))</f>
        <v>50</v>
      </c>
    </row>
    <row r="79">
      <c r="A79" s="26" t="s">
        <v>786</v>
      </c>
      <c r="B79" s="26">
        <v>7.0</v>
      </c>
      <c r="C79" s="26" t="s">
        <v>787</v>
      </c>
      <c r="D79" s="26" t="s">
        <v>112</v>
      </c>
      <c r="E79" s="35">
        <f>IF(Inputs!E79="","",LET(d,Rulebook!$L79,x,Inputs!E79*d,ta,Rulebook!$G79*d,tb,Rulebook!$H79*d,tc,Rulebook!$I79*d,te,Rulebook!$J79*d,tf,Rulebook!$K79*d,IFS(x&lt;=ta,0,x&lt;=tb,25*(x-ta)/(tb-ta),x&lt;=tc,25+25*(x-tb)/(tc-tb),x&lt;=te,50+25*(x-tc)/(te-tc),x&lt;tf,75+25*(x-te)/(tf-te),TRUE,100)))</f>
        <v>100</v>
      </c>
      <c r="F79" s="35">
        <f>IF(Inputs!F79="","",LET(d,Rulebook!$L79,x,Inputs!F79*d,ta,Rulebook!$G79*d,tb,Rulebook!$H79*d,tc,Rulebook!$I79*d,te,Rulebook!$J79*d,tf,Rulebook!$K79*d,IFS(x&lt;=ta,0,x&lt;=tb,25*(x-ta)/(tb-ta),x&lt;=tc,25+25*(x-tb)/(tc-tb),x&lt;=te,50+25*(x-tc)/(te-tc),x&lt;tf,75+25*(x-te)/(tf-te),TRUE,100)))</f>
        <v>82.14285714</v>
      </c>
      <c r="G79" s="35">
        <f>IF(Inputs!G79="","",LET(d,Rulebook!$L79,x,Inputs!G79*d,ta,Rulebook!$G79*d,tb,Rulebook!$H79*d,tc,Rulebook!$I79*d,te,Rulebook!$J79*d,tf,Rulebook!$K79*d,IFS(x&lt;=ta,0,x&lt;=tb,25*(x-ta)/(tb-ta),x&lt;=tc,25+25*(x-tb)/(tc-tb),x&lt;=te,50+25*(x-tc)/(te-tc),x&lt;tf,75+25*(x-te)/(tf-te),TRUE,100)))</f>
        <v>69.23076923</v>
      </c>
      <c r="H79" s="35">
        <f>IF(Inputs!H79="","",LET(d,Rulebook!$L79,x,Inputs!H79*d,ta,Rulebook!$G79*d,tb,Rulebook!$H79*d,tc,Rulebook!$I79*d,te,Rulebook!$J79*d,tf,Rulebook!$K79*d,IFS(x&lt;=ta,0,x&lt;=tb,25*(x-ta)/(tb-ta),x&lt;=tc,25+25*(x-tb)/(tc-tb),x&lt;=te,50+25*(x-tc)/(te-tc),x&lt;tf,75+25*(x-te)/(tf-te),TRUE,100)))</f>
        <v>69.23076923</v>
      </c>
      <c r="I79" s="35">
        <f>IF(Inputs!I79="","",LET(d,Rulebook!$L79,x,Inputs!I79*d,ta,Rulebook!$G79*d,tb,Rulebook!$H79*d,tc,Rulebook!$I79*d,te,Rulebook!$J79*d,tf,Rulebook!$K79*d,IFS(x&lt;=ta,0,x&lt;=tb,25*(x-ta)/(tb-ta),x&lt;=tc,25+25*(x-tb)/(tc-tb),x&lt;=te,50+25*(x-tc)/(te-tc),x&lt;tf,75+25*(x-te)/(tf-te),TRUE,100)))</f>
        <v>12.5</v>
      </c>
      <c r="J79" s="35">
        <f>IF(Inputs!J79="","",LET(d,Rulebook!$L79,x,Inputs!J79*d,ta,Rulebook!$G79*d,tb,Rulebook!$H79*d,tc,Rulebook!$I79*d,te,Rulebook!$J79*d,tf,Rulebook!$K79*d,IFS(x&lt;=ta,0,x&lt;=tb,25*(x-ta)/(tb-ta),x&lt;=tc,25+25*(x-tb)/(tc-tb),x&lt;=te,50+25*(x-tc)/(te-tc),x&lt;tf,75+25*(x-te)/(tf-te),TRUE,100)))</f>
        <v>33.33333333</v>
      </c>
      <c r="K79" s="35">
        <f>IF(Inputs!K79="","",LET(d,Rulebook!$L79,x,Inputs!K79*d,ta,Rulebook!$G79*d,tb,Rulebook!$H79*d,tc,Rulebook!$I79*d,te,Rulebook!$J79*d,tf,Rulebook!$K79*d,IFS(x&lt;=ta,0,x&lt;=tb,25*(x-ta)/(tb-ta),x&lt;=tc,25+25*(x-tb)/(tc-tb),x&lt;=te,50+25*(x-tc)/(te-tc),x&lt;tf,75+25*(x-te)/(tf-te),TRUE,100)))</f>
        <v>25</v>
      </c>
      <c r="L79" s="35">
        <f>IF(Inputs!L79="","",LET(d,Rulebook!$L79,x,Inputs!L79*d,ta,Rulebook!$G79*d,tb,Rulebook!$H79*d,tc,Rulebook!$I79*d,te,Rulebook!$J79*d,tf,Rulebook!$K79*d,IFS(x&lt;=ta,0,x&lt;=tb,25*(x-ta)/(tb-ta),x&lt;=tc,25+25*(x-tb)/(tc-tb),x&lt;=te,50+25*(x-tc)/(te-tc),x&lt;tf,75+25*(x-te)/(tf-te),TRUE,100)))</f>
        <v>89.28571429</v>
      </c>
      <c r="M79" s="35">
        <f>IF(Inputs!M79="","",LET(d,Rulebook!$L79,x,Inputs!M79*d,ta,Rulebook!$G79*d,tb,Rulebook!$H79*d,tc,Rulebook!$I79*d,te,Rulebook!$J79*d,tf,Rulebook!$K79*d,IFS(x&lt;=ta,0,x&lt;=tb,25*(x-ta)/(tb-ta),x&lt;=tc,25+25*(x-tb)/(tc-tb),x&lt;=te,50+25*(x-tc)/(te-tc),x&lt;tf,75+25*(x-te)/(tf-te),TRUE,100)))</f>
        <v>100</v>
      </c>
      <c r="N79" s="35">
        <f>IF(Inputs!N79="","",LET(d,Rulebook!$L79,x,Inputs!N79*d,ta,Rulebook!$G79*d,tb,Rulebook!$H79*d,tc,Rulebook!$I79*d,te,Rulebook!$J79*d,tf,Rulebook!$K79*d,IFS(x&lt;=ta,0,x&lt;=tb,25*(x-ta)/(tb-ta),x&lt;=tc,25+25*(x-tb)/(tc-tb),x&lt;=te,50+25*(x-tc)/(te-tc),x&lt;tf,75+25*(x-te)/(tf-te),TRUE,100)))</f>
        <v>82.14285714</v>
      </c>
      <c r="O79" s="35">
        <f>IF(Inputs!O79="","",LET(d,Rulebook!$L79,x,Inputs!O79*d,ta,Rulebook!$G79*d,tb,Rulebook!$H79*d,tc,Rulebook!$I79*d,te,Rulebook!$J79*d,tf,Rulebook!$K79*d,IFS(x&lt;=ta,0,x&lt;=tb,25*(x-ta)/(tb-ta),x&lt;=tc,25+25*(x-tb)/(tc-tb),x&lt;=te,50+25*(x-tc)/(te-tc),x&lt;tf,75+25*(x-te)/(tf-te),TRUE,100)))</f>
        <v>69.23076923</v>
      </c>
      <c r="P79" s="35">
        <f>IF(Inputs!P79="","",LET(d,Rulebook!$L79,x,Inputs!P79*d,ta,Rulebook!$G79*d,tb,Rulebook!$H79*d,tc,Rulebook!$I79*d,te,Rulebook!$J79*d,tf,Rulebook!$K79*d,IFS(x&lt;=ta,0,x&lt;=tb,25*(x-ta)/(tb-ta),x&lt;=tc,25+25*(x-tb)/(tc-tb),x&lt;=te,50+25*(x-tc)/(te-tc),x&lt;tf,75+25*(x-te)/(tf-te),TRUE,100)))</f>
        <v>59.61538462</v>
      </c>
      <c r="Q79" s="35">
        <f>IF(Inputs!Q79="","",LET(d,Rulebook!$L79,x,Inputs!Q79*d,ta,Rulebook!$G79*d,tb,Rulebook!$H79*d,tc,Rulebook!$I79*d,te,Rulebook!$J79*d,tf,Rulebook!$K79*d,IFS(x&lt;=ta,0,x&lt;=tb,25*(x-ta)/(tb-ta),x&lt;=tc,25+25*(x-tb)/(tc-tb),x&lt;=te,50+25*(x-tc)/(te-tc),x&lt;tf,75+25*(x-te)/(tf-te),TRUE,100)))</f>
        <v>59.61538462</v>
      </c>
      <c r="R79" s="35">
        <f>IF(Inputs!R79="","",LET(d,Rulebook!$L79,x,Inputs!R79*d,ta,Rulebook!$G79*d,tb,Rulebook!$H79*d,tc,Rulebook!$I79*d,te,Rulebook!$J79*d,tf,Rulebook!$K79*d,IFS(x&lt;=ta,0,x&lt;=tb,25*(x-ta)/(tb-ta),x&lt;=tc,25+25*(x-tb)/(tc-tb),x&lt;=te,50+25*(x-tc)/(te-tc),x&lt;tf,75+25*(x-te)/(tf-te),TRUE,100)))</f>
        <v>100</v>
      </c>
      <c r="S79" s="35">
        <f>IF(Inputs!S79="","",LET(d,Rulebook!$L79,x,Inputs!S79*d,ta,Rulebook!$G79*d,tb,Rulebook!$H79*d,tc,Rulebook!$I79*d,te,Rulebook!$J79*d,tf,Rulebook!$K79*d,IFS(x&lt;=ta,0,x&lt;=tb,25*(x-ta)/(tb-ta),x&lt;=tc,25+25*(x-tb)/(tc-tb),x&lt;=te,50+25*(x-tc)/(te-tc),x&lt;tf,75+25*(x-te)/(tf-te),TRUE,100)))</f>
        <v>100</v>
      </c>
      <c r="T79" s="35">
        <f>IF(Inputs!T79="","",LET(d,Rulebook!$L79,x,Inputs!T79*d,ta,Rulebook!$G79*d,tb,Rulebook!$H79*d,tc,Rulebook!$I79*d,te,Rulebook!$J79*d,tf,Rulebook!$K79*d,IFS(x&lt;=ta,0,x&lt;=tb,25*(x-ta)/(tb-ta),x&lt;=tc,25+25*(x-tb)/(tc-tb),x&lt;=te,50+25*(x-tc)/(te-tc),x&lt;tf,75+25*(x-te)/(tf-te),TRUE,100)))</f>
        <v>100</v>
      </c>
      <c r="U79" s="35">
        <f>IF(Inputs!U79="","",LET(d,Rulebook!$L79,x,Inputs!U79*d,ta,Rulebook!$G79*d,tb,Rulebook!$H79*d,tc,Rulebook!$I79*d,te,Rulebook!$J79*d,tf,Rulebook!$K79*d,IFS(x&lt;=ta,0,x&lt;=tb,25*(x-ta)/(tb-ta),x&lt;=tc,25+25*(x-tb)/(tc-tb),x&lt;=te,50+25*(x-tc)/(te-tc),x&lt;tf,75+25*(x-te)/(tf-te),TRUE,100)))</f>
        <v>100</v>
      </c>
      <c r="V79" s="35">
        <f>IF(Inputs!V79="","",LET(d,Rulebook!$L79,x,Inputs!V79*d,ta,Rulebook!$G79*d,tb,Rulebook!$H79*d,tc,Rulebook!$I79*d,te,Rulebook!$J79*d,tf,Rulebook!$K79*d,IFS(x&lt;=ta,0,x&lt;=tb,25*(x-ta)/(tb-ta),x&lt;=tc,25+25*(x-tb)/(tc-tb),x&lt;=te,50+25*(x-tc)/(te-tc),x&lt;tf,75+25*(x-te)/(tf-te),TRUE,100)))</f>
        <v>100</v>
      </c>
    </row>
    <row r="80">
      <c r="A80" s="26" t="s">
        <v>790</v>
      </c>
      <c r="B80" s="26">
        <v>7.0</v>
      </c>
      <c r="C80" s="26" t="s">
        <v>791</v>
      </c>
      <c r="D80" s="26" t="s">
        <v>254</v>
      </c>
      <c r="E80" s="35">
        <f>IF(Inputs!E80="","",LET(d,Rulebook!$L80,x,Inputs!E80*d,ta,Rulebook!$G80*d,tb,Rulebook!$H80*d,tc,Rulebook!$I80*d,te,Rulebook!$J80*d,tf,Rulebook!$K80*d,IFS(x&lt;=ta,0,x&lt;=tb,25*(x-ta)/(tb-ta),x&lt;=tc,25+25*(x-tb)/(tc-tb),x&lt;=te,50+25*(x-tc)/(te-tc),x&lt;tf,75+25*(x-te)/(tf-te),TRUE,100)))</f>
        <v>75</v>
      </c>
      <c r="F80" s="35">
        <f>IF(Inputs!F80="","",LET(d,Rulebook!$L80,x,Inputs!F80*d,ta,Rulebook!$G80*d,tb,Rulebook!$H80*d,tc,Rulebook!$I80*d,te,Rulebook!$J80*d,tf,Rulebook!$K80*d,IFS(x&lt;=ta,0,x&lt;=tb,25*(x-ta)/(tb-ta),x&lt;=tc,25+25*(x-tb)/(tc-tb),x&lt;=te,50+25*(x-tc)/(te-tc),x&lt;tf,75+25*(x-te)/(tf-te),TRUE,100)))</f>
        <v>25</v>
      </c>
      <c r="G80" s="35">
        <f>IF(Inputs!G80="","",LET(d,Rulebook!$L80,x,Inputs!G80*d,ta,Rulebook!$G80*d,tb,Rulebook!$H80*d,tc,Rulebook!$I80*d,te,Rulebook!$J80*d,tf,Rulebook!$K80*d,IFS(x&lt;=ta,0,x&lt;=tb,25*(x-ta)/(tb-ta),x&lt;=tc,25+25*(x-tb)/(tc-tb),x&lt;=te,50+25*(x-tc)/(te-tc),x&lt;tf,75+25*(x-te)/(tf-te),TRUE,100)))</f>
        <v>50</v>
      </c>
      <c r="H80" s="35">
        <f>IF(Inputs!H80="","",LET(d,Rulebook!$L80,x,Inputs!H80*d,ta,Rulebook!$G80*d,tb,Rulebook!$H80*d,tc,Rulebook!$I80*d,te,Rulebook!$J80*d,tf,Rulebook!$K80*d,IFS(x&lt;=ta,0,x&lt;=tb,25*(x-ta)/(tb-ta),x&lt;=tc,25+25*(x-tb)/(tc-tb),x&lt;=te,50+25*(x-tc)/(te-tc),x&lt;tf,75+25*(x-te)/(tf-te),TRUE,100)))</f>
        <v>50</v>
      </c>
      <c r="I80" s="35">
        <f>IF(Inputs!I80="","",LET(d,Rulebook!$L80,x,Inputs!I80*d,ta,Rulebook!$G80*d,tb,Rulebook!$H80*d,tc,Rulebook!$I80*d,te,Rulebook!$J80*d,tf,Rulebook!$K80*d,IFS(x&lt;=ta,0,x&lt;=tb,25*(x-ta)/(tb-ta),x&lt;=tc,25+25*(x-tb)/(tc-tb),x&lt;=te,50+25*(x-tc)/(te-tc),x&lt;tf,75+25*(x-te)/(tf-te),TRUE,100)))</f>
        <v>0</v>
      </c>
      <c r="J80" s="35">
        <f>IF(Inputs!J80="","",LET(d,Rulebook!$L80,x,Inputs!J80*d,ta,Rulebook!$G80*d,tb,Rulebook!$H80*d,tc,Rulebook!$I80*d,te,Rulebook!$J80*d,tf,Rulebook!$K80*d,IFS(x&lt;=ta,0,x&lt;=tb,25*(x-ta)/(tb-ta),x&lt;=tc,25+25*(x-tb)/(tc-tb),x&lt;=te,50+25*(x-tc)/(te-tc),x&lt;tf,75+25*(x-te)/(tf-te),TRUE,100)))</f>
        <v>25</v>
      </c>
      <c r="K80" s="35">
        <f>IF(Inputs!K80="","",LET(d,Rulebook!$L80,x,Inputs!K80*d,ta,Rulebook!$G80*d,tb,Rulebook!$H80*d,tc,Rulebook!$I80*d,te,Rulebook!$J80*d,tf,Rulebook!$K80*d,IFS(x&lt;=ta,0,x&lt;=tb,25*(x-ta)/(tb-ta),x&lt;=tc,25+25*(x-tb)/(tc-tb),x&lt;=te,50+25*(x-tc)/(te-tc),x&lt;tf,75+25*(x-te)/(tf-te),TRUE,100)))</f>
        <v>25</v>
      </c>
      <c r="L80" s="35">
        <f>IF(Inputs!L80="","",LET(d,Rulebook!$L80,x,Inputs!L80*d,ta,Rulebook!$G80*d,tb,Rulebook!$H80*d,tc,Rulebook!$I80*d,te,Rulebook!$J80*d,tf,Rulebook!$K80*d,IFS(x&lt;=ta,0,x&lt;=tb,25*(x-ta)/(tb-ta),x&lt;=tc,25+25*(x-tb)/(tc-tb),x&lt;=te,50+25*(x-tc)/(te-tc),x&lt;tf,75+25*(x-te)/(tf-te),TRUE,100)))</f>
        <v>50</v>
      </c>
      <c r="M80" s="35">
        <f>IF(Inputs!M80="","",LET(d,Rulebook!$L80,x,Inputs!M80*d,ta,Rulebook!$G80*d,tb,Rulebook!$H80*d,tc,Rulebook!$I80*d,te,Rulebook!$J80*d,tf,Rulebook!$K80*d,IFS(x&lt;=ta,0,x&lt;=tb,25*(x-ta)/(tb-ta),x&lt;=tc,25+25*(x-tb)/(tc-tb),x&lt;=te,50+25*(x-tc)/(te-tc),x&lt;tf,75+25*(x-te)/(tf-te),TRUE,100)))</f>
        <v>75</v>
      </c>
      <c r="N80" s="35">
        <f>IF(Inputs!N80="","",LET(d,Rulebook!$L80,x,Inputs!N80*d,ta,Rulebook!$G80*d,tb,Rulebook!$H80*d,tc,Rulebook!$I80*d,te,Rulebook!$J80*d,tf,Rulebook!$K80*d,IFS(x&lt;=ta,0,x&lt;=tb,25*(x-ta)/(tb-ta),x&lt;=tc,25+25*(x-tb)/(tc-tb),x&lt;=te,50+25*(x-tc)/(te-tc),x&lt;tf,75+25*(x-te)/(tf-te),TRUE,100)))</f>
        <v>25</v>
      </c>
      <c r="O80" s="35">
        <f>IF(Inputs!O80="","",LET(d,Rulebook!$L80,x,Inputs!O80*d,ta,Rulebook!$G80*d,tb,Rulebook!$H80*d,tc,Rulebook!$I80*d,te,Rulebook!$J80*d,tf,Rulebook!$K80*d,IFS(x&lt;=ta,0,x&lt;=tb,25*(x-ta)/(tb-ta),x&lt;=tc,25+25*(x-tb)/(tc-tb),x&lt;=te,50+25*(x-tc)/(te-tc),x&lt;tf,75+25*(x-te)/(tf-te),TRUE,100)))</f>
        <v>75</v>
      </c>
      <c r="P80" s="35">
        <f>IF(Inputs!P80="","",LET(d,Rulebook!$L80,x,Inputs!P80*d,ta,Rulebook!$G80*d,tb,Rulebook!$H80*d,tc,Rulebook!$I80*d,te,Rulebook!$J80*d,tf,Rulebook!$K80*d,IFS(x&lt;=ta,0,x&lt;=tb,25*(x-ta)/(tb-ta),x&lt;=tc,25+25*(x-tb)/(tc-tb),x&lt;=te,50+25*(x-tc)/(te-tc),x&lt;tf,75+25*(x-te)/(tf-te),TRUE,100)))</f>
        <v>75</v>
      </c>
      <c r="Q80" s="35">
        <f>IF(Inputs!Q80="","",LET(d,Rulebook!$L80,x,Inputs!Q80*d,ta,Rulebook!$G80*d,tb,Rulebook!$H80*d,tc,Rulebook!$I80*d,te,Rulebook!$J80*d,tf,Rulebook!$K80*d,IFS(x&lt;=ta,0,x&lt;=tb,25*(x-ta)/(tb-ta),x&lt;=tc,25+25*(x-tb)/(tc-tb),x&lt;=te,50+25*(x-tc)/(te-tc),x&lt;tf,75+25*(x-te)/(tf-te),TRUE,100)))</f>
        <v>25</v>
      </c>
      <c r="R80" s="35">
        <f>IF(Inputs!R80="","",LET(d,Rulebook!$L80,x,Inputs!R80*d,ta,Rulebook!$G80*d,tb,Rulebook!$H80*d,tc,Rulebook!$I80*d,te,Rulebook!$J80*d,tf,Rulebook!$K80*d,IFS(x&lt;=ta,0,x&lt;=tb,25*(x-ta)/(tb-ta),x&lt;=tc,25+25*(x-tb)/(tc-tb),x&lt;=te,50+25*(x-tc)/(te-tc),x&lt;tf,75+25*(x-te)/(tf-te),TRUE,100)))</f>
        <v>100</v>
      </c>
      <c r="S80" s="35">
        <f>IF(Inputs!S80="","",LET(d,Rulebook!$L80,x,Inputs!S80*d,ta,Rulebook!$G80*d,tb,Rulebook!$H80*d,tc,Rulebook!$I80*d,te,Rulebook!$J80*d,tf,Rulebook!$K80*d,IFS(x&lt;=ta,0,x&lt;=tb,25*(x-ta)/(tb-ta),x&lt;=tc,25+25*(x-tb)/(tc-tb),x&lt;=te,50+25*(x-tc)/(te-tc),x&lt;tf,75+25*(x-te)/(tf-te),TRUE,100)))</f>
        <v>75</v>
      </c>
      <c r="T80" s="35">
        <f>IF(Inputs!T80="","",LET(d,Rulebook!$L80,x,Inputs!T80*d,ta,Rulebook!$G80*d,tb,Rulebook!$H80*d,tc,Rulebook!$I80*d,te,Rulebook!$J80*d,tf,Rulebook!$K80*d,IFS(x&lt;=ta,0,x&lt;=tb,25*(x-ta)/(tb-ta),x&lt;=tc,25+25*(x-tb)/(tc-tb),x&lt;=te,50+25*(x-tc)/(te-tc),x&lt;tf,75+25*(x-te)/(tf-te),TRUE,100)))</f>
        <v>50</v>
      </c>
      <c r="U80" s="35">
        <f>IF(Inputs!U80="","",LET(d,Rulebook!$L80,x,Inputs!U80*d,ta,Rulebook!$G80*d,tb,Rulebook!$H80*d,tc,Rulebook!$I80*d,te,Rulebook!$J80*d,tf,Rulebook!$K80*d,IFS(x&lt;=ta,0,x&lt;=tb,25*(x-ta)/(tb-ta),x&lt;=tc,25+25*(x-tb)/(tc-tb),x&lt;=te,50+25*(x-tc)/(te-tc),x&lt;tf,75+25*(x-te)/(tf-te),TRUE,100)))</f>
        <v>75</v>
      </c>
      <c r="V80" s="35">
        <f>IF(Inputs!V80="","",LET(d,Rulebook!$L80,x,Inputs!V80*d,ta,Rulebook!$G80*d,tb,Rulebook!$H80*d,tc,Rulebook!$I80*d,te,Rulebook!$J80*d,tf,Rulebook!$K80*d,IFS(x&lt;=ta,0,x&lt;=tb,25*(x-ta)/(tb-ta),x&lt;=tc,25+25*(x-tb)/(tc-tb),x&lt;=te,50+25*(x-tc)/(te-tc),x&lt;tf,75+25*(x-te)/(tf-te),TRUE,100)))</f>
        <v>75</v>
      </c>
    </row>
    <row r="81">
      <c r="A81" s="26" t="s">
        <v>794</v>
      </c>
      <c r="B81" s="26">
        <v>7.0</v>
      </c>
      <c r="C81" s="26" t="s">
        <v>795</v>
      </c>
      <c r="D81" s="26" t="s">
        <v>254</v>
      </c>
      <c r="E81" s="35" t="str">
        <f>IF(Inputs!E81="","",LET(d,Rulebook!$L81,x,Inputs!E81*d,ta,Rulebook!$G81*d,tb,Rulebook!$H81*d,tc,Rulebook!$I81*d,te,Rulebook!$J81*d,tf,Rulebook!$K81*d,IFS(x&lt;=ta,0,x&lt;=tb,25*(x-ta)/(tb-ta),x&lt;=tc,25+25*(x-tb)/(tc-tb),x&lt;=te,50+25*(x-tc)/(te-tc),x&lt;tf,75+25*(x-te)/(tf-te),TRUE,100)))</f>
        <v/>
      </c>
      <c r="F81" s="35">
        <f>IF(Inputs!F81="","",LET(d,Rulebook!$L81,x,Inputs!F81*d,ta,Rulebook!$G81*d,tb,Rulebook!$H81*d,tc,Rulebook!$I81*d,te,Rulebook!$J81*d,tf,Rulebook!$K81*d,IFS(x&lt;=ta,0,x&lt;=tb,25*(x-ta)/(tb-ta),x&lt;=tc,25+25*(x-tb)/(tc-tb),x&lt;=te,50+25*(x-tc)/(te-tc),x&lt;tf,75+25*(x-te)/(tf-te),TRUE,100)))</f>
        <v>50</v>
      </c>
      <c r="G81" s="35" t="str">
        <f>IF(Inputs!G81="","",LET(d,Rulebook!$L81,x,Inputs!G81*d,ta,Rulebook!$G81*d,tb,Rulebook!$H81*d,tc,Rulebook!$I81*d,te,Rulebook!$J81*d,tf,Rulebook!$K81*d,IFS(x&lt;=ta,0,x&lt;=tb,25*(x-ta)/(tb-ta),x&lt;=tc,25+25*(x-tb)/(tc-tb),x&lt;=te,50+25*(x-tc)/(te-tc),x&lt;tf,75+25*(x-te)/(tf-te),TRUE,100)))</f>
        <v/>
      </c>
      <c r="H81" s="35" t="str">
        <f>IF(Inputs!H81="","",LET(d,Rulebook!$L81,x,Inputs!H81*d,ta,Rulebook!$G81*d,tb,Rulebook!$H81*d,tc,Rulebook!$I81*d,te,Rulebook!$J81*d,tf,Rulebook!$K81*d,IFS(x&lt;=ta,0,x&lt;=tb,25*(x-ta)/(tb-ta),x&lt;=tc,25+25*(x-tb)/(tc-tb),x&lt;=te,50+25*(x-tc)/(te-tc),x&lt;tf,75+25*(x-te)/(tf-te),TRUE,100)))</f>
        <v/>
      </c>
      <c r="I81" s="35" t="str">
        <f>IF(Inputs!I81="","",LET(d,Rulebook!$L81,x,Inputs!I81*d,ta,Rulebook!$G81*d,tb,Rulebook!$H81*d,tc,Rulebook!$I81*d,te,Rulebook!$J81*d,tf,Rulebook!$K81*d,IFS(x&lt;=ta,0,x&lt;=tb,25*(x-ta)/(tb-ta),x&lt;=tc,25+25*(x-tb)/(tc-tb),x&lt;=te,50+25*(x-tc)/(te-tc),x&lt;tf,75+25*(x-te)/(tf-te),TRUE,100)))</f>
        <v/>
      </c>
      <c r="J81" s="35" t="str">
        <f>IF(Inputs!J81="","",LET(d,Rulebook!$L81,x,Inputs!J81*d,ta,Rulebook!$G81*d,tb,Rulebook!$H81*d,tc,Rulebook!$I81*d,te,Rulebook!$J81*d,tf,Rulebook!$K81*d,IFS(x&lt;=ta,0,x&lt;=tb,25*(x-ta)/(tb-ta),x&lt;=tc,25+25*(x-tb)/(tc-tb),x&lt;=te,50+25*(x-tc)/(te-tc),x&lt;tf,75+25*(x-te)/(tf-te),TRUE,100)))</f>
        <v/>
      </c>
      <c r="K81" s="35" t="str">
        <f>IF(Inputs!K81="","",LET(d,Rulebook!$L81,x,Inputs!K81*d,ta,Rulebook!$G81*d,tb,Rulebook!$H81*d,tc,Rulebook!$I81*d,te,Rulebook!$J81*d,tf,Rulebook!$K81*d,IFS(x&lt;=ta,0,x&lt;=tb,25*(x-ta)/(tb-ta),x&lt;=tc,25+25*(x-tb)/(tc-tb),x&lt;=te,50+25*(x-tc)/(te-tc),x&lt;tf,75+25*(x-te)/(tf-te),TRUE,100)))</f>
        <v/>
      </c>
      <c r="L81" s="35" t="str">
        <f>IF(Inputs!L81="","",LET(d,Rulebook!$L81,x,Inputs!L81*d,ta,Rulebook!$G81*d,tb,Rulebook!$H81*d,tc,Rulebook!$I81*d,te,Rulebook!$J81*d,tf,Rulebook!$K81*d,IFS(x&lt;=ta,0,x&lt;=tb,25*(x-ta)/(tb-ta),x&lt;=tc,25+25*(x-tb)/(tc-tb),x&lt;=te,50+25*(x-tc)/(te-tc),x&lt;tf,75+25*(x-te)/(tf-te),TRUE,100)))</f>
        <v/>
      </c>
      <c r="M81" s="35" t="str">
        <f>IF(Inputs!M81="","",LET(d,Rulebook!$L81,x,Inputs!M81*d,ta,Rulebook!$G81*d,tb,Rulebook!$H81*d,tc,Rulebook!$I81*d,te,Rulebook!$J81*d,tf,Rulebook!$K81*d,IFS(x&lt;=ta,0,x&lt;=tb,25*(x-ta)/(tb-ta),x&lt;=tc,25+25*(x-tb)/(tc-tb),x&lt;=te,50+25*(x-tc)/(te-tc),x&lt;tf,75+25*(x-te)/(tf-te),TRUE,100)))</f>
        <v/>
      </c>
      <c r="N81" s="35">
        <f>IF(Inputs!N81="","",LET(d,Rulebook!$L81,x,Inputs!N81*d,ta,Rulebook!$G81*d,tb,Rulebook!$H81*d,tc,Rulebook!$I81*d,te,Rulebook!$J81*d,tf,Rulebook!$K81*d,IFS(x&lt;=ta,0,x&lt;=tb,25*(x-ta)/(tb-ta),x&lt;=tc,25+25*(x-tb)/(tc-tb),x&lt;=te,50+25*(x-tc)/(te-tc),x&lt;tf,75+25*(x-te)/(tf-te),TRUE,100)))</f>
        <v>50</v>
      </c>
      <c r="O81" s="35" t="str">
        <f>IF(Inputs!O81="","",LET(d,Rulebook!$L81,x,Inputs!O81*d,ta,Rulebook!$G81*d,tb,Rulebook!$H81*d,tc,Rulebook!$I81*d,te,Rulebook!$J81*d,tf,Rulebook!$K81*d,IFS(x&lt;=ta,0,x&lt;=tb,25*(x-ta)/(tb-ta),x&lt;=tc,25+25*(x-tb)/(tc-tb),x&lt;=te,50+25*(x-tc)/(te-tc),x&lt;tf,75+25*(x-te)/(tf-te),TRUE,100)))</f>
        <v/>
      </c>
      <c r="P81" s="35" t="str">
        <f>IF(Inputs!P81="","",LET(d,Rulebook!$L81,x,Inputs!P81*d,ta,Rulebook!$G81*d,tb,Rulebook!$H81*d,tc,Rulebook!$I81*d,te,Rulebook!$J81*d,tf,Rulebook!$K81*d,IFS(x&lt;=ta,0,x&lt;=tb,25*(x-ta)/(tb-ta),x&lt;=tc,25+25*(x-tb)/(tc-tb),x&lt;=te,50+25*(x-tc)/(te-tc),x&lt;tf,75+25*(x-te)/(tf-te),TRUE,100)))</f>
        <v/>
      </c>
      <c r="Q81" s="35">
        <f>IF(Inputs!Q81="","",LET(d,Rulebook!$L81,x,Inputs!Q81*d,ta,Rulebook!$G81*d,tb,Rulebook!$H81*d,tc,Rulebook!$I81*d,te,Rulebook!$J81*d,tf,Rulebook!$K81*d,IFS(x&lt;=ta,0,x&lt;=tb,25*(x-ta)/(tb-ta),x&lt;=tc,25+25*(x-tb)/(tc-tb),x&lt;=te,50+25*(x-tc)/(te-tc),x&lt;tf,75+25*(x-te)/(tf-te),TRUE,100)))</f>
        <v>25</v>
      </c>
      <c r="R81" s="35" t="str">
        <f>IF(Inputs!R81="","",LET(d,Rulebook!$L81,x,Inputs!R81*d,ta,Rulebook!$G81*d,tb,Rulebook!$H81*d,tc,Rulebook!$I81*d,te,Rulebook!$J81*d,tf,Rulebook!$K81*d,IFS(x&lt;=ta,0,x&lt;=tb,25*(x-ta)/(tb-ta),x&lt;=tc,25+25*(x-tb)/(tc-tb),x&lt;=te,50+25*(x-tc)/(te-tc),x&lt;tf,75+25*(x-te)/(tf-te),TRUE,100)))</f>
        <v/>
      </c>
      <c r="S81" s="35" t="str">
        <f>IF(Inputs!S81="","",LET(d,Rulebook!$L81,x,Inputs!S81*d,ta,Rulebook!$G81*d,tb,Rulebook!$H81*d,tc,Rulebook!$I81*d,te,Rulebook!$J81*d,tf,Rulebook!$K81*d,IFS(x&lt;=ta,0,x&lt;=tb,25*(x-ta)/(tb-ta),x&lt;=tc,25+25*(x-tb)/(tc-tb),x&lt;=te,50+25*(x-tc)/(te-tc),x&lt;tf,75+25*(x-te)/(tf-te),TRUE,100)))</f>
        <v/>
      </c>
      <c r="T81" s="35">
        <f>IF(Inputs!T81="","",LET(d,Rulebook!$L81,x,Inputs!T81*d,ta,Rulebook!$G81*d,tb,Rulebook!$H81*d,tc,Rulebook!$I81*d,te,Rulebook!$J81*d,tf,Rulebook!$K81*d,IFS(x&lt;=ta,0,x&lt;=tb,25*(x-ta)/(tb-ta),x&lt;=tc,25+25*(x-tb)/(tc-tb),x&lt;=te,50+25*(x-tc)/(te-tc),x&lt;tf,75+25*(x-te)/(tf-te),TRUE,100)))</f>
        <v>75</v>
      </c>
      <c r="U81" s="35" t="str">
        <f>IF(Inputs!U81="","",LET(d,Rulebook!$L81,x,Inputs!U81*d,ta,Rulebook!$G81*d,tb,Rulebook!$H81*d,tc,Rulebook!$I81*d,te,Rulebook!$J81*d,tf,Rulebook!$K81*d,IFS(x&lt;=ta,0,x&lt;=tb,25*(x-ta)/(tb-ta),x&lt;=tc,25+25*(x-tb)/(tc-tb),x&lt;=te,50+25*(x-tc)/(te-tc),x&lt;tf,75+25*(x-te)/(tf-te),TRUE,100)))</f>
        <v/>
      </c>
      <c r="V81" s="35" t="str">
        <f>IF(Inputs!V81="","",LET(d,Rulebook!$L81,x,Inputs!V81*d,ta,Rulebook!$G81*d,tb,Rulebook!$H81*d,tc,Rulebook!$I81*d,te,Rulebook!$J81*d,tf,Rulebook!$K81*d,IFS(x&lt;=ta,0,x&lt;=tb,25*(x-ta)/(tb-ta),x&lt;=tc,25+25*(x-tb)/(tc-tb),x&lt;=te,50+25*(x-tc)/(te-tc),x&lt;tf,75+25*(x-te)/(tf-te),TRUE,100)))</f>
        <v/>
      </c>
    </row>
    <row r="82">
      <c r="A82" s="26" t="s">
        <v>798</v>
      </c>
      <c r="B82" s="26">
        <v>7.0</v>
      </c>
      <c r="C82" s="26" t="s">
        <v>799</v>
      </c>
      <c r="D82" s="26" t="s">
        <v>112</v>
      </c>
      <c r="E82" s="35">
        <f>IF(Inputs!E82="","",LET(d,Rulebook!$L82,x,Inputs!E82*d,ta,Rulebook!$G82*d,tb,Rulebook!$H82*d,tc,Rulebook!$I82*d,te,Rulebook!$J82*d,tf,Rulebook!$K82*d,IFS(x&lt;=ta,0,x&lt;=tb,25*(x-ta)/(tb-ta),x&lt;=tc,25+25*(x-tb)/(tc-tb),x&lt;=te,50+25*(x-tc)/(te-tc),x&lt;tf,75+25*(x-te)/(tf-te),TRUE,100)))</f>
        <v>75</v>
      </c>
      <c r="F82" s="35">
        <f>IF(Inputs!F82="","",LET(d,Rulebook!$L82,x,Inputs!F82*d,ta,Rulebook!$G82*d,tb,Rulebook!$H82*d,tc,Rulebook!$I82*d,te,Rulebook!$J82*d,tf,Rulebook!$K82*d,IFS(x&lt;=ta,0,x&lt;=tb,25*(x-ta)/(tb-ta),x&lt;=tc,25+25*(x-tb)/(tc-tb),x&lt;=te,50+25*(x-tc)/(te-tc),x&lt;tf,75+25*(x-te)/(tf-te),TRUE,100)))</f>
        <v>58.33333333</v>
      </c>
      <c r="G82" s="35">
        <f>IF(Inputs!G82="","",LET(d,Rulebook!$L82,x,Inputs!G82*d,ta,Rulebook!$G82*d,tb,Rulebook!$H82*d,tc,Rulebook!$I82*d,te,Rulebook!$J82*d,tf,Rulebook!$K82*d,IFS(x&lt;=ta,0,x&lt;=tb,25*(x-ta)/(tb-ta),x&lt;=tc,25+25*(x-tb)/(tc-tb),x&lt;=te,50+25*(x-tc)/(te-tc),x&lt;tf,75+25*(x-te)/(tf-te),TRUE,100)))</f>
        <v>25</v>
      </c>
      <c r="H82" s="35">
        <f>IF(Inputs!H82="","",LET(d,Rulebook!$L82,x,Inputs!H82*d,ta,Rulebook!$G82*d,tb,Rulebook!$H82*d,tc,Rulebook!$I82*d,te,Rulebook!$J82*d,tf,Rulebook!$K82*d,IFS(x&lt;=ta,0,x&lt;=tb,25*(x-ta)/(tb-ta),x&lt;=tc,25+25*(x-tb)/(tc-tb),x&lt;=te,50+25*(x-tc)/(te-tc),x&lt;tf,75+25*(x-te)/(tf-te),TRUE,100)))</f>
        <v>37.5</v>
      </c>
      <c r="I82" s="35">
        <f>IF(Inputs!I82="","",LET(d,Rulebook!$L82,x,Inputs!I82*d,ta,Rulebook!$G82*d,tb,Rulebook!$H82*d,tc,Rulebook!$I82*d,te,Rulebook!$J82*d,tf,Rulebook!$K82*d,IFS(x&lt;=ta,0,x&lt;=tb,25*(x-ta)/(tb-ta),x&lt;=tc,25+25*(x-tb)/(tc-tb),x&lt;=te,50+25*(x-tc)/(te-tc),x&lt;tf,75+25*(x-te)/(tf-te),TRUE,100)))</f>
        <v>66.66666667</v>
      </c>
      <c r="J82" s="35">
        <f>IF(Inputs!J82="","",LET(d,Rulebook!$L82,x,Inputs!J82*d,ta,Rulebook!$G82*d,tb,Rulebook!$H82*d,tc,Rulebook!$I82*d,te,Rulebook!$J82*d,tf,Rulebook!$K82*d,IFS(x&lt;=ta,0,x&lt;=tb,25*(x-ta)/(tb-ta),x&lt;=tc,25+25*(x-tb)/(tc-tb),x&lt;=te,50+25*(x-tc)/(te-tc),x&lt;tf,75+25*(x-te)/(tf-te),TRUE,100)))</f>
        <v>37.5</v>
      </c>
      <c r="K82" s="35">
        <f>IF(Inputs!K82="","",LET(d,Rulebook!$L82,x,Inputs!K82*d,ta,Rulebook!$G82*d,tb,Rulebook!$H82*d,tc,Rulebook!$I82*d,te,Rulebook!$J82*d,tf,Rulebook!$K82*d,IFS(x&lt;=ta,0,x&lt;=tb,25*(x-ta)/(tb-ta),x&lt;=tc,25+25*(x-tb)/(tc-tb),x&lt;=te,50+25*(x-tc)/(te-tc),x&lt;tf,75+25*(x-te)/(tf-te),TRUE,100)))</f>
        <v>0</v>
      </c>
      <c r="L82" s="35">
        <f>IF(Inputs!L82="","",LET(d,Rulebook!$L82,x,Inputs!L82*d,ta,Rulebook!$G82*d,tb,Rulebook!$H82*d,tc,Rulebook!$I82*d,te,Rulebook!$J82*d,tf,Rulebook!$K82*d,IFS(x&lt;=ta,0,x&lt;=tb,25*(x-ta)/(tb-ta),x&lt;=tc,25+25*(x-tb)/(tc-tb),x&lt;=te,50+25*(x-tc)/(te-tc),x&lt;tf,75+25*(x-te)/(tf-te),TRUE,100)))</f>
        <v>0</v>
      </c>
      <c r="M82" s="35">
        <f>IF(Inputs!M82="","",LET(d,Rulebook!$L82,x,Inputs!M82*d,ta,Rulebook!$G82*d,tb,Rulebook!$H82*d,tc,Rulebook!$I82*d,te,Rulebook!$J82*d,tf,Rulebook!$K82*d,IFS(x&lt;=ta,0,x&lt;=tb,25*(x-ta)/(tb-ta),x&lt;=tc,25+25*(x-tb)/(tc-tb),x&lt;=te,50+25*(x-tc)/(te-tc),x&lt;tf,75+25*(x-te)/(tf-te),TRUE,100)))</f>
        <v>25</v>
      </c>
      <c r="N82" s="35">
        <f>IF(Inputs!N82="","",LET(d,Rulebook!$L82,x,Inputs!N82*d,ta,Rulebook!$G82*d,tb,Rulebook!$H82*d,tc,Rulebook!$I82*d,te,Rulebook!$J82*d,tf,Rulebook!$K82*d,IFS(x&lt;=ta,0,x&lt;=tb,25*(x-ta)/(tb-ta),x&lt;=tc,25+25*(x-tb)/(tc-tb),x&lt;=te,50+25*(x-tc)/(te-tc),x&lt;tf,75+25*(x-te)/(tf-te),TRUE,100)))</f>
        <v>91.66666667</v>
      </c>
      <c r="O82" s="35">
        <f>IF(Inputs!O82="","",LET(d,Rulebook!$L82,x,Inputs!O82*d,ta,Rulebook!$G82*d,tb,Rulebook!$H82*d,tc,Rulebook!$I82*d,te,Rulebook!$J82*d,tf,Rulebook!$K82*d,IFS(x&lt;=ta,0,x&lt;=tb,25*(x-ta)/(tb-ta),x&lt;=tc,25+25*(x-tb)/(tc-tb),x&lt;=te,50+25*(x-tc)/(te-tc),x&lt;tf,75+25*(x-te)/(tf-te),TRUE,100)))</f>
        <v>0</v>
      </c>
      <c r="P82" s="35">
        <f>IF(Inputs!P82="","",LET(d,Rulebook!$L82,x,Inputs!P82*d,ta,Rulebook!$G82*d,tb,Rulebook!$H82*d,tc,Rulebook!$I82*d,te,Rulebook!$J82*d,tf,Rulebook!$K82*d,IFS(x&lt;=ta,0,x&lt;=tb,25*(x-ta)/(tb-ta),x&lt;=tc,25+25*(x-tb)/(tc-tb),x&lt;=te,50+25*(x-tc)/(te-tc),x&lt;tf,75+25*(x-te)/(tf-te),TRUE,100)))</f>
        <v>0</v>
      </c>
      <c r="Q82" s="35">
        <f>IF(Inputs!Q82="","",LET(d,Rulebook!$L82,x,Inputs!Q82*d,ta,Rulebook!$G82*d,tb,Rulebook!$H82*d,tc,Rulebook!$I82*d,te,Rulebook!$J82*d,tf,Rulebook!$K82*d,IFS(x&lt;=ta,0,x&lt;=tb,25*(x-ta)/(tb-ta),x&lt;=tc,25+25*(x-tb)/(tc-tb),x&lt;=te,50+25*(x-tc)/(te-tc),x&lt;tf,75+25*(x-te)/(tf-te),TRUE,100)))</f>
        <v>0</v>
      </c>
      <c r="R82" s="35">
        <f>IF(Inputs!R82="","",LET(d,Rulebook!$L82,x,Inputs!R82*d,ta,Rulebook!$G82*d,tb,Rulebook!$H82*d,tc,Rulebook!$I82*d,te,Rulebook!$J82*d,tf,Rulebook!$K82*d,IFS(x&lt;=ta,0,x&lt;=tb,25*(x-ta)/(tb-ta),x&lt;=tc,25+25*(x-tb)/(tc-tb),x&lt;=te,50+25*(x-tc)/(te-tc),x&lt;tf,75+25*(x-te)/(tf-te),TRUE,100)))</f>
        <v>0</v>
      </c>
      <c r="S82" s="35">
        <f>IF(Inputs!S82="","",LET(d,Rulebook!$L82,x,Inputs!S82*d,ta,Rulebook!$G82*d,tb,Rulebook!$H82*d,tc,Rulebook!$I82*d,te,Rulebook!$J82*d,tf,Rulebook!$K82*d,IFS(x&lt;=ta,0,x&lt;=tb,25*(x-ta)/(tb-ta),x&lt;=tc,25+25*(x-tb)/(tc-tb),x&lt;=te,50+25*(x-tc)/(te-tc),x&lt;tf,75+25*(x-te)/(tf-te),TRUE,100)))</f>
        <v>25</v>
      </c>
      <c r="T82" s="35">
        <f>IF(Inputs!T82="","",LET(d,Rulebook!$L82,x,Inputs!T82*d,ta,Rulebook!$G82*d,tb,Rulebook!$H82*d,tc,Rulebook!$I82*d,te,Rulebook!$J82*d,tf,Rulebook!$K82*d,IFS(x&lt;=ta,0,x&lt;=tb,25*(x-ta)/(tb-ta),x&lt;=tc,25+25*(x-tb)/(tc-tb),x&lt;=te,50+25*(x-tc)/(te-tc),x&lt;tf,75+25*(x-te)/(tf-te),TRUE,100)))</f>
        <v>58.33333333</v>
      </c>
      <c r="U82" s="35">
        <f>IF(Inputs!U82="","",LET(d,Rulebook!$L82,x,Inputs!U82*d,ta,Rulebook!$G82*d,tb,Rulebook!$H82*d,tc,Rulebook!$I82*d,te,Rulebook!$J82*d,tf,Rulebook!$K82*d,IFS(x&lt;=ta,0,x&lt;=tb,25*(x-ta)/(tb-ta),x&lt;=tc,25+25*(x-tb)/(tc-tb),x&lt;=te,50+25*(x-tc)/(te-tc),x&lt;tf,75+25*(x-te)/(tf-te),TRUE,100)))</f>
        <v>0</v>
      </c>
      <c r="V82" s="35">
        <f>IF(Inputs!V82="","",LET(d,Rulebook!$L82,x,Inputs!V82*d,ta,Rulebook!$G82*d,tb,Rulebook!$H82*d,tc,Rulebook!$I82*d,te,Rulebook!$J82*d,tf,Rulebook!$K82*d,IFS(x&lt;=ta,0,x&lt;=tb,25*(x-ta)/(tb-ta),x&lt;=tc,25+25*(x-tb)/(tc-tb),x&lt;=te,50+25*(x-tc)/(te-tc),x&lt;tf,75+25*(x-te)/(tf-te),TRUE,100)))</f>
        <v>0</v>
      </c>
    </row>
    <row r="83">
      <c r="A83" s="26" t="s">
        <v>802</v>
      </c>
      <c r="B83" s="26">
        <v>7.0</v>
      </c>
      <c r="C83" s="26" t="s">
        <v>803</v>
      </c>
      <c r="D83" s="26" t="s">
        <v>254</v>
      </c>
      <c r="E83" s="35">
        <f>IF(Inputs!E83="","",LET(d,Rulebook!$L83,x,Inputs!E83*d,ta,Rulebook!$G83*d,tb,Rulebook!$H83*d,tc,Rulebook!$I83*d,te,Rulebook!$J83*d,tf,Rulebook!$K83*d,IFS(x&lt;=ta,0,x&lt;=tb,25*(x-ta)/(tb-ta),x&lt;=tc,25+25*(x-tb)/(tc-tb),x&lt;=te,50+25*(x-tc)/(te-tc),x&lt;tf,75+25*(x-te)/(tf-te),TRUE,100)))</f>
        <v>0</v>
      </c>
      <c r="F83" s="35">
        <f>IF(Inputs!F83="","",LET(d,Rulebook!$L83,x,Inputs!F83*d,ta,Rulebook!$G83*d,tb,Rulebook!$H83*d,tc,Rulebook!$I83*d,te,Rulebook!$J83*d,tf,Rulebook!$K83*d,IFS(x&lt;=ta,0,x&lt;=tb,25*(x-ta)/(tb-ta),x&lt;=tc,25+25*(x-tb)/(tc-tb),x&lt;=te,50+25*(x-tc)/(te-tc),x&lt;tf,75+25*(x-te)/(tf-te),TRUE,100)))</f>
        <v>0</v>
      </c>
      <c r="G83" s="35">
        <f>IF(Inputs!G83="","",LET(d,Rulebook!$L83,x,Inputs!G83*d,ta,Rulebook!$G83*d,tb,Rulebook!$H83*d,tc,Rulebook!$I83*d,te,Rulebook!$J83*d,tf,Rulebook!$K83*d,IFS(x&lt;=ta,0,x&lt;=tb,25*(x-ta)/(tb-ta),x&lt;=tc,25+25*(x-tb)/(tc-tb),x&lt;=te,50+25*(x-tc)/(te-tc),x&lt;tf,75+25*(x-te)/(tf-te),TRUE,100)))</f>
        <v>0</v>
      </c>
      <c r="H83" s="35">
        <f>IF(Inputs!H83="","",LET(d,Rulebook!$L83,x,Inputs!H83*d,ta,Rulebook!$G83*d,tb,Rulebook!$H83*d,tc,Rulebook!$I83*d,te,Rulebook!$J83*d,tf,Rulebook!$K83*d,IFS(x&lt;=ta,0,x&lt;=tb,25*(x-ta)/(tb-ta),x&lt;=tc,25+25*(x-tb)/(tc-tb),x&lt;=te,50+25*(x-tc)/(te-tc),x&lt;tf,75+25*(x-te)/(tf-te),TRUE,100)))</f>
        <v>0</v>
      </c>
      <c r="I83" s="35">
        <f>IF(Inputs!I83="","",LET(d,Rulebook!$L83,x,Inputs!I83*d,ta,Rulebook!$G83*d,tb,Rulebook!$H83*d,tc,Rulebook!$I83*d,te,Rulebook!$J83*d,tf,Rulebook!$K83*d,IFS(x&lt;=ta,0,x&lt;=tb,25*(x-ta)/(tb-ta),x&lt;=tc,25+25*(x-tb)/(tc-tb),x&lt;=te,50+25*(x-tc)/(te-tc),x&lt;tf,75+25*(x-te)/(tf-te),TRUE,100)))</f>
        <v>0</v>
      </c>
      <c r="J83" s="35">
        <f>IF(Inputs!J83="","",LET(d,Rulebook!$L83,x,Inputs!J83*d,ta,Rulebook!$G83*d,tb,Rulebook!$H83*d,tc,Rulebook!$I83*d,te,Rulebook!$J83*d,tf,Rulebook!$K83*d,IFS(x&lt;=ta,0,x&lt;=tb,25*(x-ta)/(tb-ta),x&lt;=tc,25+25*(x-tb)/(tc-tb),x&lt;=te,50+25*(x-tc)/(te-tc),x&lt;tf,75+25*(x-te)/(tf-te),TRUE,100)))</f>
        <v>0</v>
      </c>
      <c r="K83" s="35">
        <f>IF(Inputs!K83="","",LET(d,Rulebook!$L83,x,Inputs!K83*d,ta,Rulebook!$G83*d,tb,Rulebook!$H83*d,tc,Rulebook!$I83*d,te,Rulebook!$J83*d,tf,Rulebook!$K83*d,IFS(x&lt;=ta,0,x&lt;=tb,25*(x-ta)/(tb-ta),x&lt;=tc,25+25*(x-tb)/(tc-tb),x&lt;=te,50+25*(x-tc)/(te-tc),x&lt;tf,75+25*(x-te)/(tf-te),TRUE,100)))</f>
        <v>0</v>
      </c>
      <c r="L83" s="35">
        <f>IF(Inputs!L83="","",LET(d,Rulebook!$L83,x,Inputs!L83*d,ta,Rulebook!$G83*d,tb,Rulebook!$H83*d,tc,Rulebook!$I83*d,te,Rulebook!$J83*d,tf,Rulebook!$K83*d,IFS(x&lt;=ta,0,x&lt;=tb,25*(x-ta)/(tb-ta),x&lt;=tc,25+25*(x-tb)/(tc-tb),x&lt;=te,50+25*(x-tc)/(te-tc),x&lt;tf,75+25*(x-te)/(tf-te),TRUE,100)))</f>
        <v>25</v>
      </c>
      <c r="M83" s="35">
        <f>IF(Inputs!M83="","",LET(d,Rulebook!$L83,x,Inputs!M83*d,ta,Rulebook!$G83*d,tb,Rulebook!$H83*d,tc,Rulebook!$I83*d,te,Rulebook!$J83*d,tf,Rulebook!$K83*d,IFS(x&lt;=ta,0,x&lt;=tb,25*(x-ta)/(tb-ta),x&lt;=tc,25+25*(x-tb)/(tc-tb),x&lt;=te,50+25*(x-tc)/(te-tc),x&lt;tf,75+25*(x-te)/(tf-te),TRUE,100)))</f>
        <v>25</v>
      </c>
      <c r="N83" s="35">
        <f>IF(Inputs!N83="","",LET(d,Rulebook!$L83,x,Inputs!N83*d,ta,Rulebook!$G83*d,tb,Rulebook!$H83*d,tc,Rulebook!$I83*d,te,Rulebook!$J83*d,tf,Rulebook!$K83*d,IFS(x&lt;=ta,0,x&lt;=tb,25*(x-ta)/(tb-ta),x&lt;=tc,25+25*(x-tb)/(tc-tb),x&lt;=te,50+25*(x-tc)/(te-tc),x&lt;tf,75+25*(x-te)/(tf-te),TRUE,100)))</f>
        <v>0</v>
      </c>
      <c r="O83" s="35">
        <f>IF(Inputs!O83="","",LET(d,Rulebook!$L83,x,Inputs!O83*d,ta,Rulebook!$G83*d,tb,Rulebook!$H83*d,tc,Rulebook!$I83*d,te,Rulebook!$J83*d,tf,Rulebook!$K83*d,IFS(x&lt;=ta,0,x&lt;=tb,25*(x-ta)/(tb-ta),x&lt;=tc,25+25*(x-tb)/(tc-tb),x&lt;=te,50+25*(x-tc)/(te-tc),x&lt;tf,75+25*(x-te)/(tf-te),TRUE,100)))</f>
        <v>25</v>
      </c>
      <c r="P83" s="35">
        <f>IF(Inputs!P83="","",LET(d,Rulebook!$L83,x,Inputs!P83*d,ta,Rulebook!$G83*d,tb,Rulebook!$H83*d,tc,Rulebook!$I83*d,te,Rulebook!$J83*d,tf,Rulebook!$K83*d,IFS(x&lt;=ta,0,x&lt;=tb,25*(x-ta)/(tb-ta),x&lt;=tc,25+25*(x-tb)/(tc-tb),x&lt;=te,50+25*(x-tc)/(te-tc),x&lt;tf,75+25*(x-te)/(tf-te),TRUE,100)))</f>
        <v>0</v>
      </c>
      <c r="Q83" s="35">
        <f>IF(Inputs!Q83="","",LET(d,Rulebook!$L83,x,Inputs!Q83*d,ta,Rulebook!$G83*d,tb,Rulebook!$H83*d,tc,Rulebook!$I83*d,te,Rulebook!$J83*d,tf,Rulebook!$K83*d,IFS(x&lt;=ta,0,x&lt;=tb,25*(x-ta)/(tb-ta),x&lt;=tc,25+25*(x-tb)/(tc-tb),x&lt;=te,50+25*(x-tc)/(te-tc),x&lt;tf,75+25*(x-te)/(tf-te),TRUE,100)))</f>
        <v>25</v>
      </c>
      <c r="R83" s="35">
        <f>IF(Inputs!R83="","",LET(d,Rulebook!$L83,x,Inputs!R83*d,ta,Rulebook!$G83*d,tb,Rulebook!$H83*d,tc,Rulebook!$I83*d,te,Rulebook!$J83*d,tf,Rulebook!$K83*d,IFS(x&lt;=ta,0,x&lt;=tb,25*(x-ta)/(tb-ta),x&lt;=tc,25+25*(x-tb)/(tc-tb),x&lt;=te,50+25*(x-tc)/(te-tc),x&lt;tf,75+25*(x-te)/(tf-te),TRUE,100)))</f>
        <v>0</v>
      </c>
      <c r="S83" s="35">
        <f>IF(Inputs!S83="","",LET(d,Rulebook!$L83,x,Inputs!S83*d,ta,Rulebook!$G83*d,tb,Rulebook!$H83*d,tc,Rulebook!$I83*d,te,Rulebook!$J83*d,tf,Rulebook!$K83*d,IFS(x&lt;=ta,0,x&lt;=tb,25*(x-ta)/(tb-ta),x&lt;=tc,25+25*(x-tb)/(tc-tb),x&lt;=te,50+25*(x-tc)/(te-tc),x&lt;tf,75+25*(x-te)/(tf-te),TRUE,100)))</f>
        <v>75</v>
      </c>
      <c r="T83" s="35">
        <f>IF(Inputs!T83="","",LET(d,Rulebook!$L83,x,Inputs!T83*d,ta,Rulebook!$G83*d,tb,Rulebook!$H83*d,tc,Rulebook!$I83*d,te,Rulebook!$J83*d,tf,Rulebook!$K83*d,IFS(x&lt;=ta,0,x&lt;=tb,25*(x-ta)/(tb-ta),x&lt;=tc,25+25*(x-tb)/(tc-tb),x&lt;=te,50+25*(x-tc)/(te-tc),x&lt;tf,75+25*(x-te)/(tf-te),TRUE,100)))</f>
        <v>25</v>
      </c>
      <c r="U83" s="35">
        <f>IF(Inputs!U83="","",LET(d,Rulebook!$L83,x,Inputs!U83*d,ta,Rulebook!$G83*d,tb,Rulebook!$H83*d,tc,Rulebook!$I83*d,te,Rulebook!$J83*d,tf,Rulebook!$K83*d,IFS(x&lt;=ta,0,x&lt;=tb,25*(x-ta)/(tb-ta),x&lt;=tc,25+25*(x-tb)/(tc-tb),x&lt;=te,50+25*(x-tc)/(te-tc),x&lt;tf,75+25*(x-te)/(tf-te),TRUE,100)))</f>
        <v>25</v>
      </c>
      <c r="V83" s="35">
        <f>IF(Inputs!V83="","",LET(d,Rulebook!$L83,x,Inputs!V83*d,ta,Rulebook!$G83*d,tb,Rulebook!$H83*d,tc,Rulebook!$I83*d,te,Rulebook!$J83*d,tf,Rulebook!$K83*d,IFS(x&lt;=ta,0,x&lt;=tb,25*(x-ta)/(tb-ta),x&lt;=tc,25+25*(x-tb)/(tc-tb),x&lt;=te,50+25*(x-tc)/(te-tc),x&lt;tf,75+25*(x-te)/(tf-te),TRUE,100)))</f>
        <v>25</v>
      </c>
    </row>
    <row r="84">
      <c r="A84" s="26" t="s">
        <v>807</v>
      </c>
      <c r="B84" s="26">
        <v>7.0</v>
      </c>
      <c r="C84" s="26" t="s">
        <v>808</v>
      </c>
      <c r="D84" s="26" t="s">
        <v>112</v>
      </c>
      <c r="E84" s="35">
        <f>IF(Inputs!E84="","",LET(d,Rulebook!$L84,x,Inputs!E84*d,ta,Rulebook!$G84*d,tb,Rulebook!$H84*d,tc,Rulebook!$I84*d,te,Rulebook!$J84*d,tf,Rulebook!$K84*d,IFS(x&lt;=ta,0,x&lt;=tb,25*(x-ta)/(tb-ta),x&lt;=tc,25+25*(x-tb)/(tc-tb),x&lt;=te,50+25*(x-tc)/(te-tc),x&lt;tf,75+25*(x-te)/(tf-te),TRUE,100)))</f>
        <v>0</v>
      </c>
      <c r="F84" s="35">
        <f>IF(Inputs!F84="","",LET(d,Rulebook!$L84,x,Inputs!F84*d,ta,Rulebook!$G84*d,tb,Rulebook!$H84*d,tc,Rulebook!$I84*d,te,Rulebook!$J84*d,tf,Rulebook!$K84*d,IFS(x&lt;=ta,0,x&lt;=tb,25*(x-ta)/(tb-ta),x&lt;=tc,25+25*(x-tb)/(tc-tb),x&lt;=te,50+25*(x-tc)/(te-tc),x&lt;tf,75+25*(x-te)/(tf-te),TRUE,100)))</f>
        <v>0</v>
      </c>
      <c r="G84" s="35">
        <f>IF(Inputs!G84="","",LET(d,Rulebook!$L84,x,Inputs!G84*d,ta,Rulebook!$G84*d,tb,Rulebook!$H84*d,tc,Rulebook!$I84*d,te,Rulebook!$J84*d,tf,Rulebook!$K84*d,IFS(x&lt;=ta,0,x&lt;=tb,25*(x-ta)/(tb-ta),x&lt;=tc,25+25*(x-tb)/(tc-tb),x&lt;=te,50+25*(x-tc)/(te-tc),x&lt;tf,75+25*(x-te)/(tf-te),TRUE,100)))</f>
        <v>0</v>
      </c>
      <c r="H84" s="35">
        <f>IF(Inputs!H84="","",LET(d,Rulebook!$L84,x,Inputs!H84*d,ta,Rulebook!$G84*d,tb,Rulebook!$H84*d,tc,Rulebook!$I84*d,te,Rulebook!$J84*d,tf,Rulebook!$K84*d,IFS(x&lt;=ta,0,x&lt;=tb,25*(x-ta)/(tb-ta),x&lt;=tc,25+25*(x-tb)/(tc-tb),x&lt;=te,50+25*(x-tc)/(te-tc),x&lt;tf,75+25*(x-te)/(tf-te),TRUE,100)))</f>
        <v>33.33333333</v>
      </c>
      <c r="I84" s="35">
        <f>IF(Inputs!I84="","",LET(d,Rulebook!$L84,x,Inputs!I84*d,ta,Rulebook!$G84*d,tb,Rulebook!$H84*d,tc,Rulebook!$I84*d,te,Rulebook!$J84*d,tf,Rulebook!$K84*d,IFS(x&lt;=ta,0,x&lt;=tb,25*(x-ta)/(tb-ta),x&lt;=tc,25+25*(x-tb)/(tc-tb),x&lt;=te,50+25*(x-tc)/(te-tc),x&lt;tf,75+25*(x-te)/(tf-te),TRUE,100)))</f>
        <v>25</v>
      </c>
      <c r="J84" s="35">
        <f>IF(Inputs!J84="","",LET(d,Rulebook!$L84,x,Inputs!J84*d,ta,Rulebook!$G84*d,tb,Rulebook!$H84*d,tc,Rulebook!$I84*d,te,Rulebook!$J84*d,tf,Rulebook!$K84*d,IFS(x&lt;=ta,0,x&lt;=tb,25*(x-ta)/(tb-ta),x&lt;=tc,25+25*(x-tb)/(tc-tb),x&lt;=te,50+25*(x-tc)/(te-tc),x&lt;tf,75+25*(x-te)/(tf-te),TRUE,100)))</f>
        <v>0</v>
      </c>
      <c r="K84" s="35">
        <f>IF(Inputs!K84="","",LET(d,Rulebook!$L84,x,Inputs!K84*d,ta,Rulebook!$G84*d,tb,Rulebook!$H84*d,tc,Rulebook!$I84*d,te,Rulebook!$J84*d,tf,Rulebook!$K84*d,IFS(x&lt;=ta,0,x&lt;=tb,25*(x-ta)/(tb-ta),x&lt;=tc,25+25*(x-tb)/(tc-tb),x&lt;=te,50+25*(x-tc)/(te-tc),x&lt;tf,75+25*(x-te)/(tf-te),TRUE,100)))</f>
        <v>12.5</v>
      </c>
      <c r="L84" s="35">
        <f>IF(Inputs!L84="","",LET(d,Rulebook!$L84,x,Inputs!L84*d,ta,Rulebook!$G84*d,tb,Rulebook!$H84*d,tc,Rulebook!$I84*d,te,Rulebook!$J84*d,tf,Rulebook!$K84*d,IFS(x&lt;=ta,0,x&lt;=tb,25*(x-ta)/(tb-ta),x&lt;=tc,25+25*(x-tb)/(tc-tb),x&lt;=te,50+25*(x-tc)/(te-tc),x&lt;tf,75+25*(x-te)/(tf-te),TRUE,100)))</f>
        <v>17.5</v>
      </c>
      <c r="M84" s="35">
        <f>IF(Inputs!M84="","",LET(d,Rulebook!$L84,x,Inputs!M84*d,ta,Rulebook!$G84*d,tb,Rulebook!$H84*d,tc,Rulebook!$I84*d,te,Rulebook!$J84*d,tf,Rulebook!$K84*d,IFS(x&lt;=ta,0,x&lt;=tb,25*(x-ta)/(tb-ta),x&lt;=tc,25+25*(x-tb)/(tc-tb),x&lt;=te,50+25*(x-tc)/(te-tc),x&lt;tf,75+25*(x-te)/(tf-te),TRUE,100)))</f>
        <v>0</v>
      </c>
      <c r="N84" s="35">
        <f>IF(Inputs!N84="","",LET(d,Rulebook!$L84,x,Inputs!N84*d,ta,Rulebook!$G84*d,tb,Rulebook!$H84*d,tc,Rulebook!$I84*d,te,Rulebook!$J84*d,tf,Rulebook!$K84*d,IFS(x&lt;=ta,0,x&lt;=tb,25*(x-ta)/(tb-ta),x&lt;=tc,25+25*(x-tb)/(tc-tb),x&lt;=te,50+25*(x-tc)/(te-tc),x&lt;tf,75+25*(x-te)/(tf-te),TRUE,100)))</f>
        <v>0</v>
      </c>
      <c r="O84" s="35">
        <f>IF(Inputs!O84="","",LET(d,Rulebook!$L84,x,Inputs!O84*d,ta,Rulebook!$G84*d,tb,Rulebook!$H84*d,tc,Rulebook!$I84*d,te,Rulebook!$J84*d,tf,Rulebook!$K84*d,IFS(x&lt;=ta,0,x&lt;=tb,25*(x-ta)/(tb-ta),x&lt;=tc,25+25*(x-tb)/(tc-tb),x&lt;=te,50+25*(x-tc)/(te-tc),x&lt;tf,75+25*(x-te)/(tf-te),TRUE,100)))</f>
        <v>25</v>
      </c>
      <c r="P84" s="35">
        <f>IF(Inputs!P84="","",LET(d,Rulebook!$L84,x,Inputs!P84*d,ta,Rulebook!$G84*d,tb,Rulebook!$H84*d,tc,Rulebook!$I84*d,te,Rulebook!$J84*d,tf,Rulebook!$K84*d,IFS(x&lt;=ta,0,x&lt;=tb,25*(x-ta)/(tb-ta),x&lt;=tc,25+25*(x-tb)/(tc-tb),x&lt;=te,50+25*(x-tc)/(te-tc),x&lt;tf,75+25*(x-te)/(tf-te),TRUE,100)))</f>
        <v>12.5</v>
      </c>
      <c r="Q84" s="35">
        <f>IF(Inputs!Q84="","",LET(d,Rulebook!$L84,x,Inputs!Q84*d,ta,Rulebook!$G84*d,tb,Rulebook!$H84*d,tc,Rulebook!$I84*d,te,Rulebook!$J84*d,tf,Rulebook!$K84*d,IFS(x&lt;=ta,0,x&lt;=tb,25*(x-ta)/(tb-ta),x&lt;=tc,25+25*(x-tb)/(tc-tb),x&lt;=te,50+25*(x-tc)/(te-tc),x&lt;tf,75+25*(x-te)/(tf-te),TRUE,100)))</f>
        <v>75</v>
      </c>
      <c r="R84" s="35">
        <f>IF(Inputs!R84="","",LET(d,Rulebook!$L84,x,Inputs!R84*d,ta,Rulebook!$G84*d,tb,Rulebook!$H84*d,tc,Rulebook!$I84*d,te,Rulebook!$J84*d,tf,Rulebook!$K84*d,IFS(x&lt;=ta,0,x&lt;=tb,25*(x-ta)/(tb-ta),x&lt;=tc,25+25*(x-tb)/(tc-tb),x&lt;=te,50+25*(x-tc)/(te-tc),x&lt;tf,75+25*(x-te)/(tf-te),TRUE,100)))</f>
        <v>100</v>
      </c>
      <c r="S84" s="35">
        <f>IF(Inputs!S84="","",LET(d,Rulebook!$L84,x,Inputs!S84*d,ta,Rulebook!$G84*d,tb,Rulebook!$H84*d,tc,Rulebook!$I84*d,te,Rulebook!$J84*d,tf,Rulebook!$K84*d,IFS(x&lt;=ta,0,x&lt;=tb,25*(x-ta)/(tb-ta),x&lt;=tc,25+25*(x-tb)/(tc-tb),x&lt;=te,50+25*(x-tc)/(te-tc),x&lt;tf,75+25*(x-te)/(tf-te),TRUE,100)))</f>
        <v>100</v>
      </c>
      <c r="T84" s="35">
        <f>IF(Inputs!T84="","",LET(d,Rulebook!$L84,x,Inputs!T84*d,ta,Rulebook!$G84*d,tb,Rulebook!$H84*d,tc,Rulebook!$I84*d,te,Rulebook!$J84*d,tf,Rulebook!$K84*d,IFS(x&lt;=ta,0,x&lt;=tb,25*(x-ta)/(tb-ta),x&lt;=tc,25+25*(x-tb)/(tc-tb),x&lt;=te,50+25*(x-tc)/(te-tc),x&lt;tf,75+25*(x-te)/(tf-te),TRUE,100)))</f>
        <v>33.33333333</v>
      </c>
      <c r="U84" s="35">
        <f>IF(Inputs!U84="","",LET(d,Rulebook!$L84,x,Inputs!U84*d,ta,Rulebook!$G84*d,tb,Rulebook!$H84*d,tc,Rulebook!$I84*d,te,Rulebook!$J84*d,tf,Rulebook!$K84*d,IFS(x&lt;=ta,0,x&lt;=tb,25*(x-ta)/(tb-ta),x&lt;=tc,25+25*(x-tb)/(tc-tb),x&lt;=te,50+25*(x-tc)/(te-tc),x&lt;tf,75+25*(x-te)/(tf-te),TRUE,100)))</f>
        <v>0</v>
      </c>
      <c r="V84" s="35">
        <f>IF(Inputs!V84="","",LET(d,Rulebook!$L84,x,Inputs!V84*d,ta,Rulebook!$G84*d,tb,Rulebook!$H84*d,tc,Rulebook!$I84*d,te,Rulebook!$J84*d,tf,Rulebook!$K84*d,IFS(x&lt;=ta,0,x&lt;=tb,25*(x-ta)/(tb-ta),x&lt;=tc,25+25*(x-tb)/(tc-tb),x&lt;=te,50+25*(x-tc)/(te-tc),x&lt;tf,75+25*(x-te)/(tf-te),TRUE,100)))</f>
        <v>0</v>
      </c>
    </row>
    <row r="85">
      <c r="A85" s="26" t="s">
        <v>811</v>
      </c>
      <c r="B85" s="26">
        <v>7.0</v>
      </c>
      <c r="C85" s="26" t="s">
        <v>812</v>
      </c>
      <c r="D85" s="26" t="s">
        <v>813</v>
      </c>
      <c r="E85" s="35">
        <f>IF(Inputs!E85="","",LET(d,Rulebook!$L85,x,Inputs!E85*d,ta,Rulebook!$G85*d,tb,Rulebook!$H85*d,tc,Rulebook!$I85*d,te,Rulebook!$J85*d,tf,Rulebook!$K85*d,IFS(x&lt;=ta,0,x&lt;=tb,25*(x-ta)/(tb-ta),x&lt;=tc,25+25*(x-tb)/(tc-tb),x&lt;=te,50+25*(x-tc)/(te-tc),x&lt;tf,75+25*(x-te)/(tf-te),TRUE,100)))</f>
        <v>30</v>
      </c>
      <c r="F85" s="35">
        <f>IF(Inputs!F85="","",LET(d,Rulebook!$L85,x,Inputs!F85*d,ta,Rulebook!$G85*d,tb,Rulebook!$H85*d,tc,Rulebook!$I85*d,te,Rulebook!$J85*d,tf,Rulebook!$K85*d,IFS(x&lt;=ta,0,x&lt;=tb,25*(x-ta)/(tb-ta),x&lt;=tc,25+25*(x-tb)/(tc-tb),x&lt;=te,50+25*(x-tc)/(te-tc),x&lt;tf,75+25*(x-te)/(tf-te),TRUE,100)))</f>
        <v>50</v>
      </c>
      <c r="G85" s="35">
        <f>IF(Inputs!G85="","",LET(d,Rulebook!$L85,x,Inputs!G85*d,ta,Rulebook!$G85*d,tb,Rulebook!$H85*d,tc,Rulebook!$I85*d,te,Rulebook!$J85*d,tf,Rulebook!$K85*d,IFS(x&lt;=ta,0,x&lt;=tb,25*(x-ta)/(tb-ta),x&lt;=tc,25+25*(x-tb)/(tc-tb),x&lt;=te,50+25*(x-tc)/(te-tc),x&lt;tf,75+25*(x-te)/(tf-te),TRUE,100)))</f>
        <v>5</v>
      </c>
      <c r="H85" s="35">
        <f>IF(Inputs!H85="","",LET(d,Rulebook!$L85,x,Inputs!H85*d,ta,Rulebook!$G85*d,tb,Rulebook!$H85*d,tc,Rulebook!$I85*d,te,Rulebook!$J85*d,tf,Rulebook!$K85*d,IFS(x&lt;=ta,0,x&lt;=tb,25*(x-ta)/(tb-ta),x&lt;=tc,25+25*(x-tb)/(tc-tb),x&lt;=te,50+25*(x-tc)/(te-tc),x&lt;tf,75+25*(x-te)/(tf-te),TRUE,100)))</f>
        <v>10</v>
      </c>
      <c r="I85" s="35">
        <f>IF(Inputs!I85="","",LET(d,Rulebook!$L85,x,Inputs!I85*d,ta,Rulebook!$G85*d,tb,Rulebook!$H85*d,tc,Rulebook!$I85*d,te,Rulebook!$J85*d,tf,Rulebook!$K85*d,IFS(x&lt;=ta,0,x&lt;=tb,25*(x-ta)/(tb-ta),x&lt;=tc,25+25*(x-tb)/(tc-tb),x&lt;=te,50+25*(x-tc)/(te-tc),x&lt;tf,75+25*(x-te)/(tf-te),TRUE,100)))</f>
        <v>0</v>
      </c>
      <c r="J85" s="35">
        <f>IF(Inputs!J85="","",LET(d,Rulebook!$L85,x,Inputs!J85*d,ta,Rulebook!$G85*d,tb,Rulebook!$H85*d,tc,Rulebook!$I85*d,te,Rulebook!$J85*d,tf,Rulebook!$K85*d,IFS(x&lt;=ta,0,x&lt;=tb,25*(x-ta)/(tb-ta),x&lt;=tc,25+25*(x-tb)/(tc-tb),x&lt;=te,50+25*(x-tc)/(te-tc),x&lt;tf,75+25*(x-te)/(tf-te),TRUE,100)))</f>
        <v>0</v>
      </c>
      <c r="K85" s="35">
        <f>IF(Inputs!K85="","",LET(d,Rulebook!$L85,x,Inputs!K85*d,ta,Rulebook!$G85*d,tb,Rulebook!$H85*d,tc,Rulebook!$I85*d,te,Rulebook!$J85*d,tf,Rulebook!$K85*d,IFS(x&lt;=ta,0,x&lt;=tb,25*(x-ta)/(tb-ta),x&lt;=tc,25+25*(x-tb)/(tc-tb),x&lt;=te,50+25*(x-tc)/(te-tc),x&lt;tf,75+25*(x-te)/(tf-te),TRUE,100)))</f>
        <v>0</v>
      </c>
      <c r="L85" s="35">
        <f>IF(Inputs!L85="","",LET(d,Rulebook!$L85,x,Inputs!L85*d,ta,Rulebook!$G85*d,tb,Rulebook!$H85*d,tc,Rulebook!$I85*d,te,Rulebook!$J85*d,tf,Rulebook!$K85*d,IFS(x&lt;=ta,0,x&lt;=tb,25*(x-ta)/(tb-ta),x&lt;=tc,25+25*(x-tb)/(tc-tb),x&lt;=te,50+25*(x-tc)/(te-tc),x&lt;tf,75+25*(x-te)/(tf-te),TRUE,100)))</f>
        <v>60.71428571</v>
      </c>
      <c r="M85" s="35">
        <f>IF(Inputs!M85="","",LET(d,Rulebook!$L85,x,Inputs!M85*d,ta,Rulebook!$G85*d,tb,Rulebook!$H85*d,tc,Rulebook!$I85*d,te,Rulebook!$J85*d,tf,Rulebook!$K85*d,IFS(x&lt;=ta,0,x&lt;=tb,25*(x-ta)/(tb-ta),x&lt;=tc,25+25*(x-tb)/(tc-tb),x&lt;=te,50+25*(x-tc)/(te-tc),x&lt;tf,75+25*(x-te)/(tf-te),TRUE,100)))</f>
        <v>67.85714286</v>
      </c>
      <c r="N85" s="35">
        <f>IF(Inputs!N85="","",LET(d,Rulebook!$L85,x,Inputs!N85*d,ta,Rulebook!$G85*d,tb,Rulebook!$H85*d,tc,Rulebook!$I85*d,te,Rulebook!$J85*d,tf,Rulebook!$K85*d,IFS(x&lt;=ta,0,x&lt;=tb,25*(x-ta)/(tb-ta),x&lt;=tc,25+25*(x-tb)/(tc-tb),x&lt;=te,50+25*(x-tc)/(te-tc),x&lt;tf,75+25*(x-te)/(tf-te),TRUE,100)))</f>
        <v>50</v>
      </c>
      <c r="O85" s="35">
        <f>IF(Inputs!O85="","",LET(d,Rulebook!$L85,x,Inputs!O85*d,ta,Rulebook!$G85*d,tb,Rulebook!$H85*d,tc,Rulebook!$I85*d,te,Rulebook!$J85*d,tf,Rulebook!$K85*d,IFS(x&lt;=ta,0,x&lt;=tb,25*(x-ta)/(tb-ta),x&lt;=tc,25+25*(x-tb)/(tc-tb),x&lt;=te,50+25*(x-tc)/(te-tc),x&lt;tf,75+25*(x-te)/(tf-te),TRUE,100)))</f>
        <v>15</v>
      </c>
      <c r="P85" s="35">
        <f>IF(Inputs!P85="","",LET(d,Rulebook!$L85,x,Inputs!P85*d,ta,Rulebook!$G85*d,tb,Rulebook!$H85*d,tc,Rulebook!$I85*d,te,Rulebook!$J85*d,tf,Rulebook!$K85*d,IFS(x&lt;=ta,0,x&lt;=tb,25*(x-ta)/(tb-ta),x&lt;=tc,25+25*(x-tb)/(tc-tb),x&lt;=te,50+25*(x-tc)/(te-tc),x&lt;tf,75+25*(x-te)/(tf-te),TRUE,100)))</f>
        <v>5</v>
      </c>
      <c r="Q85" s="35">
        <f>IF(Inputs!Q85="","",LET(d,Rulebook!$L85,x,Inputs!Q85*d,ta,Rulebook!$G85*d,tb,Rulebook!$H85*d,tc,Rulebook!$I85*d,te,Rulebook!$J85*d,tf,Rulebook!$K85*d,IFS(x&lt;=ta,0,x&lt;=tb,25*(x-ta)/(tb-ta),x&lt;=tc,25+25*(x-tb)/(tc-tb),x&lt;=te,50+25*(x-tc)/(te-tc),x&lt;tf,75+25*(x-te)/(tf-te),TRUE,100)))</f>
        <v>20</v>
      </c>
      <c r="R85" s="35">
        <f>IF(Inputs!R85="","",LET(d,Rulebook!$L85,x,Inputs!R85*d,ta,Rulebook!$G85*d,tb,Rulebook!$H85*d,tc,Rulebook!$I85*d,te,Rulebook!$J85*d,tf,Rulebook!$K85*d,IFS(x&lt;=ta,0,x&lt;=tb,25*(x-ta)/(tb-ta),x&lt;=tc,25+25*(x-tb)/(tc-tb),x&lt;=te,50+25*(x-tc)/(te-tc),x&lt;tf,75+25*(x-te)/(tf-te),TRUE,100)))</f>
        <v>35</v>
      </c>
      <c r="S85" s="35">
        <f>IF(Inputs!S85="","",LET(d,Rulebook!$L85,x,Inputs!S85*d,ta,Rulebook!$G85*d,tb,Rulebook!$H85*d,tc,Rulebook!$I85*d,te,Rulebook!$J85*d,tf,Rulebook!$K85*d,IFS(x&lt;=ta,0,x&lt;=tb,25*(x-ta)/(tb-ta),x&lt;=tc,25+25*(x-tb)/(tc-tb),x&lt;=te,50+25*(x-tc)/(te-tc),x&lt;tf,75+25*(x-te)/(tf-te),TRUE,100)))</f>
        <v>79.16666667</v>
      </c>
      <c r="T85" s="35">
        <f>IF(Inputs!T85="","",LET(d,Rulebook!$L85,x,Inputs!T85*d,ta,Rulebook!$G85*d,tb,Rulebook!$H85*d,tc,Rulebook!$I85*d,te,Rulebook!$J85*d,tf,Rulebook!$K85*d,IFS(x&lt;=ta,0,x&lt;=tb,25*(x-ta)/(tb-ta),x&lt;=tc,25+25*(x-tb)/(tc-tb),x&lt;=te,50+25*(x-tc)/(te-tc),x&lt;tf,75+25*(x-te)/(tf-te),TRUE,100)))</f>
        <v>75</v>
      </c>
      <c r="U85" s="35">
        <f>IF(Inputs!U85="","",LET(d,Rulebook!$L85,x,Inputs!U85*d,ta,Rulebook!$G85*d,tb,Rulebook!$H85*d,tc,Rulebook!$I85*d,te,Rulebook!$J85*d,tf,Rulebook!$K85*d,IFS(x&lt;=ta,0,x&lt;=tb,25*(x-ta)/(tb-ta),x&lt;=tc,25+25*(x-tb)/(tc-tb),x&lt;=te,50+25*(x-tc)/(te-tc),x&lt;tf,75+25*(x-te)/(tf-te),TRUE,100)))</f>
        <v>79.16666667</v>
      </c>
      <c r="V85" s="35">
        <f>IF(Inputs!V85="","",LET(d,Rulebook!$L85,x,Inputs!V85*d,ta,Rulebook!$G85*d,tb,Rulebook!$H85*d,tc,Rulebook!$I85*d,te,Rulebook!$J85*d,tf,Rulebook!$K85*d,IFS(x&lt;=ta,0,x&lt;=tb,25*(x-ta)/(tb-ta),x&lt;=tc,25+25*(x-tb)/(tc-tb),x&lt;=te,50+25*(x-tc)/(te-tc),x&lt;tf,75+25*(x-te)/(tf-te),TRUE,100)))</f>
        <v>75</v>
      </c>
    </row>
    <row r="86">
      <c r="A86" s="26" t="s">
        <v>816</v>
      </c>
      <c r="B86" s="26">
        <v>7.0</v>
      </c>
      <c r="C86" s="26" t="s">
        <v>817</v>
      </c>
      <c r="D86" s="26" t="s">
        <v>254</v>
      </c>
      <c r="E86" s="35">
        <f>IF(Inputs!E86="","",LET(d,Rulebook!$L86,x,Inputs!E86*d,ta,Rulebook!$G86*d,tb,Rulebook!$H86*d,tc,Rulebook!$I86*d,te,Rulebook!$J86*d,tf,Rulebook!$K86*d,IFS(x&lt;=ta,0,x&lt;=tb,25*(x-ta)/(tb-ta),x&lt;=tc,25+25*(x-tb)/(tc-tb),x&lt;=te,50+25*(x-tc)/(te-tc),x&lt;tf,75+25*(x-te)/(tf-te),TRUE,100)))</f>
        <v>25</v>
      </c>
      <c r="F86" s="35">
        <f>IF(Inputs!F86="","",LET(d,Rulebook!$L86,x,Inputs!F86*d,ta,Rulebook!$G86*d,tb,Rulebook!$H86*d,tc,Rulebook!$I86*d,te,Rulebook!$J86*d,tf,Rulebook!$K86*d,IFS(x&lt;=ta,0,x&lt;=tb,25*(x-ta)/(tb-ta),x&lt;=tc,25+25*(x-tb)/(tc-tb),x&lt;=te,50+25*(x-tc)/(te-tc),x&lt;tf,75+25*(x-te)/(tf-te),TRUE,100)))</f>
        <v>25</v>
      </c>
      <c r="G86" s="35">
        <f>IF(Inputs!G86="","",LET(d,Rulebook!$L86,x,Inputs!G86*d,ta,Rulebook!$G86*d,tb,Rulebook!$H86*d,tc,Rulebook!$I86*d,te,Rulebook!$J86*d,tf,Rulebook!$K86*d,IFS(x&lt;=ta,0,x&lt;=tb,25*(x-ta)/(tb-ta),x&lt;=tc,25+25*(x-tb)/(tc-tb),x&lt;=te,50+25*(x-tc)/(te-tc),x&lt;tf,75+25*(x-te)/(tf-te),TRUE,100)))</f>
        <v>75</v>
      </c>
      <c r="H86" s="35">
        <f>IF(Inputs!H86="","",LET(d,Rulebook!$L86,x,Inputs!H86*d,ta,Rulebook!$G86*d,tb,Rulebook!$H86*d,tc,Rulebook!$I86*d,te,Rulebook!$J86*d,tf,Rulebook!$K86*d,IFS(x&lt;=ta,0,x&lt;=tb,25*(x-ta)/(tb-ta),x&lt;=tc,25+25*(x-tb)/(tc-tb),x&lt;=te,50+25*(x-tc)/(te-tc),x&lt;tf,75+25*(x-te)/(tf-te),TRUE,100)))</f>
        <v>0</v>
      </c>
      <c r="I86" s="35">
        <f>IF(Inputs!I86="","",LET(d,Rulebook!$L86,x,Inputs!I86*d,ta,Rulebook!$G86*d,tb,Rulebook!$H86*d,tc,Rulebook!$I86*d,te,Rulebook!$J86*d,tf,Rulebook!$K86*d,IFS(x&lt;=ta,0,x&lt;=tb,25*(x-ta)/(tb-ta),x&lt;=tc,25+25*(x-tb)/(tc-tb),x&lt;=te,50+25*(x-tc)/(te-tc),x&lt;tf,75+25*(x-te)/(tf-te),TRUE,100)))</f>
        <v>100</v>
      </c>
      <c r="J86" s="35">
        <f>IF(Inputs!J86="","",LET(d,Rulebook!$L86,x,Inputs!J86*d,ta,Rulebook!$G86*d,tb,Rulebook!$H86*d,tc,Rulebook!$I86*d,te,Rulebook!$J86*d,tf,Rulebook!$K86*d,IFS(x&lt;=ta,0,x&lt;=tb,25*(x-ta)/(tb-ta),x&lt;=tc,25+25*(x-tb)/(tc-tb),x&lt;=te,50+25*(x-tc)/(te-tc),x&lt;tf,75+25*(x-te)/(tf-te),TRUE,100)))</f>
        <v>50</v>
      </c>
      <c r="K86" s="35">
        <f>IF(Inputs!K86="","",LET(d,Rulebook!$L86,x,Inputs!K86*d,ta,Rulebook!$G86*d,tb,Rulebook!$H86*d,tc,Rulebook!$I86*d,te,Rulebook!$J86*d,tf,Rulebook!$K86*d,IFS(x&lt;=ta,0,x&lt;=tb,25*(x-ta)/(tb-ta),x&lt;=tc,25+25*(x-tb)/(tc-tb),x&lt;=te,50+25*(x-tc)/(te-tc),x&lt;tf,75+25*(x-te)/(tf-te),TRUE,100)))</f>
        <v>50</v>
      </c>
      <c r="L86" s="35">
        <f>IF(Inputs!L86="","",LET(d,Rulebook!$L86,x,Inputs!L86*d,ta,Rulebook!$G86*d,tb,Rulebook!$H86*d,tc,Rulebook!$I86*d,te,Rulebook!$J86*d,tf,Rulebook!$K86*d,IFS(x&lt;=ta,0,x&lt;=tb,25*(x-ta)/(tb-ta),x&lt;=tc,25+25*(x-tb)/(tc-tb),x&lt;=te,50+25*(x-tc)/(te-tc),x&lt;tf,75+25*(x-te)/(tf-te),TRUE,100)))</f>
        <v>100</v>
      </c>
      <c r="M86" s="35">
        <f>IF(Inputs!M86="","",LET(d,Rulebook!$L86,x,Inputs!M86*d,ta,Rulebook!$G86*d,tb,Rulebook!$H86*d,tc,Rulebook!$I86*d,te,Rulebook!$J86*d,tf,Rulebook!$K86*d,IFS(x&lt;=ta,0,x&lt;=tb,25*(x-ta)/(tb-ta),x&lt;=tc,25+25*(x-tb)/(tc-tb),x&lt;=te,50+25*(x-tc)/(te-tc),x&lt;tf,75+25*(x-te)/(tf-te),TRUE,100)))</f>
        <v>100</v>
      </c>
      <c r="N86" s="35">
        <f>IF(Inputs!N86="","",LET(d,Rulebook!$L86,x,Inputs!N86*d,ta,Rulebook!$G86*d,tb,Rulebook!$H86*d,tc,Rulebook!$I86*d,te,Rulebook!$J86*d,tf,Rulebook!$K86*d,IFS(x&lt;=ta,0,x&lt;=tb,25*(x-ta)/(tb-ta),x&lt;=tc,25+25*(x-tb)/(tc-tb),x&lt;=te,50+25*(x-tc)/(te-tc),x&lt;tf,75+25*(x-te)/(tf-te),TRUE,100)))</f>
        <v>0</v>
      </c>
      <c r="O86" s="35">
        <f>IF(Inputs!O86="","",LET(d,Rulebook!$L86,x,Inputs!O86*d,ta,Rulebook!$G86*d,tb,Rulebook!$H86*d,tc,Rulebook!$I86*d,te,Rulebook!$J86*d,tf,Rulebook!$K86*d,IFS(x&lt;=ta,0,x&lt;=tb,25*(x-ta)/(tb-ta),x&lt;=tc,25+25*(x-tb)/(tc-tb),x&lt;=te,50+25*(x-tc)/(te-tc),x&lt;tf,75+25*(x-te)/(tf-te),TRUE,100)))</f>
        <v>0</v>
      </c>
      <c r="P86" s="35">
        <f>IF(Inputs!P86="","",LET(d,Rulebook!$L86,x,Inputs!P86*d,ta,Rulebook!$G86*d,tb,Rulebook!$H86*d,tc,Rulebook!$I86*d,te,Rulebook!$J86*d,tf,Rulebook!$K86*d,IFS(x&lt;=ta,0,x&lt;=tb,25*(x-ta)/(tb-ta),x&lt;=tc,25+25*(x-tb)/(tc-tb),x&lt;=te,50+25*(x-tc)/(te-tc),x&lt;tf,75+25*(x-te)/(tf-te),TRUE,100)))</f>
        <v>25</v>
      </c>
      <c r="Q86" s="35">
        <f>IF(Inputs!Q86="","",LET(d,Rulebook!$L86,x,Inputs!Q86*d,ta,Rulebook!$G86*d,tb,Rulebook!$H86*d,tc,Rulebook!$I86*d,te,Rulebook!$J86*d,tf,Rulebook!$K86*d,IFS(x&lt;=ta,0,x&lt;=tb,25*(x-ta)/(tb-ta),x&lt;=tc,25+25*(x-tb)/(tc-tb),x&lt;=te,50+25*(x-tc)/(te-tc),x&lt;tf,75+25*(x-te)/(tf-te),TRUE,100)))</f>
        <v>0</v>
      </c>
      <c r="R86" s="35">
        <f>IF(Inputs!R86="","",LET(d,Rulebook!$L86,x,Inputs!R86*d,ta,Rulebook!$G86*d,tb,Rulebook!$H86*d,tc,Rulebook!$I86*d,te,Rulebook!$J86*d,tf,Rulebook!$K86*d,IFS(x&lt;=ta,0,x&lt;=tb,25*(x-ta)/(tb-ta),x&lt;=tc,25+25*(x-tb)/(tc-tb),x&lt;=te,50+25*(x-tc)/(te-tc),x&lt;tf,75+25*(x-te)/(tf-te),TRUE,100)))</f>
        <v>25</v>
      </c>
      <c r="S86" s="35">
        <f>IF(Inputs!S86="","",LET(d,Rulebook!$L86,x,Inputs!S86*d,ta,Rulebook!$G86*d,tb,Rulebook!$H86*d,tc,Rulebook!$I86*d,te,Rulebook!$J86*d,tf,Rulebook!$K86*d,IFS(x&lt;=ta,0,x&lt;=tb,25*(x-ta)/(tb-ta),x&lt;=tc,25+25*(x-tb)/(tc-tb),x&lt;=te,50+25*(x-tc)/(te-tc),x&lt;tf,75+25*(x-te)/(tf-te),TRUE,100)))</f>
        <v>25</v>
      </c>
      <c r="T86" s="35">
        <f>IF(Inputs!T86="","",LET(d,Rulebook!$L86,x,Inputs!T86*d,ta,Rulebook!$G86*d,tb,Rulebook!$H86*d,tc,Rulebook!$I86*d,te,Rulebook!$J86*d,tf,Rulebook!$K86*d,IFS(x&lt;=ta,0,x&lt;=tb,25*(x-ta)/(tb-ta),x&lt;=tc,25+25*(x-tb)/(tc-tb),x&lt;=te,50+25*(x-tc)/(te-tc),x&lt;tf,75+25*(x-te)/(tf-te),TRUE,100)))</f>
        <v>50</v>
      </c>
      <c r="U86" s="35">
        <f>IF(Inputs!U86="","",LET(d,Rulebook!$L86,x,Inputs!U86*d,ta,Rulebook!$G86*d,tb,Rulebook!$H86*d,tc,Rulebook!$I86*d,te,Rulebook!$J86*d,tf,Rulebook!$K86*d,IFS(x&lt;=ta,0,x&lt;=tb,25*(x-ta)/(tb-ta),x&lt;=tc,25+25*(x-tb)/(tc-tb),x&lt;=te,50+25*(x-tc)/(te-tc),x&lt;tf,75+25*(x-te)/(tf-te),TRUE,100)))</f>
        <v>0</v>
      </c>
      <c r="V86" s="35">
        <f>IF(Inputs!V86="","",LET(d,Rulebook!$L86,x,Inputs!V86*d,ta,Rulebook!$G86*d,tb,Rulebook!$H86*d,tc,Rulebook!$I86*d,te,Rulebook!$J86*d,tf,Rulebook!$K86*d,IFS(x&lt;=ta,0,x&lt;=tb,25*(x-ta)/(tb-ta),x&lt;=tc,25+25*(x-tb)/(tc-tb),x&lt;=te,50+25*(x-tc)/(te-tc),x&lt;tf,75+25*(x-te)/(tf-te),TRUE,100)))</f>
        <v>50</v>
      </c>
    </row>
    <row r="87">
      <c r="A87" s="26" t="s">
        <v>821</v>
      </c>
      <c r="B87" s="26">
        <v>7.0</v>
      </c>
      <c r="C87" s="26" t="s">
        <v>822</v>
      </c>
      <c r="D87" s="26" t="s">
        <v>823</v>
      </c>
      <c r="E87" s="35">
        <f>IF(Inputs!E87="","",LET(d,Rulebook!$L87,x,Inputs!E87*d,ta,Rulebook!$G87*d,tb,Rulebook!$H87*d,tc,Rulebook!$I87*d,te,Rulebook!$J87*d,tf,Rulebook!$K87*d,IFS(x&lt;=ta,0,x&lt;=tb,25*(x-ta)/(tb-ta),x&lt;=tc,25+25*(x-tb)/(tc-tb),x&lt;=te,50+25*(x-tc)/(te-tc),x&lt;tf,75+25*(x-te)/(tf-te),TRUE,100)))</f>
        <v>0</v>
      </c>
      <c r="F87" s="35">
        <f>IF(Inputs!F87="","",LET(d,Rulebook!$L87,x,Inputs!F87*d,ta,Rulebook!$G87*d,tb,Rulebook!$H87*d,tc,Rulebook!$I87*d,te,Rulebook!$J87*d,tf,Rulebook!$K87*d,IFS(x&lt;=ta,0,x&lt;=tb,25*(x-ta)/(tb-ta),x&lt;=tc,25+25*(x-tb)/(tc-tb),x&lt;=te,50+25*(x-tc)/(te-tc),x&lt;tf,75+25*(x-te)/(tf-te),TRUE,100)))</f>
        <v>0</v>
      </c>
      <c r="G87" s="35">
        <f>IF(Inputs!G87="","",LET(d,Rulebook!$L87,x,Inputs!G87*d,ta,Rulebook!$G87*d,tb,Rulebook!$H87*d,tc,Rulebook!$I87*d,te,Rulebook!$J87*d,tf,Rulebook!$K87*d,IFS(x&lt;=ta,0,x&lt;=tb,25*(x-ta)/(tb-ta),x&lt;=tc,25+25*(x-tb)/(tc-tb),x&lt;=te,50+25*(x-tc)/(te-tc),x&lt;tf,75+25*(x-te)/(tf-te),TRUE,100)))</f>
        <v>0</v>
      </c>
      <c r="H87" s="35">
        <f>IF(Inputs!H87="","",LET(d,Rulebook!$L87,x,Inputs!H87*d,ta,Rulebook!$G87*d,tb,Rulebook!$H87*d,tc,Rulebook!$I87*d,te,Rulebook!$J87*d,tf,Rulebook!$K87*d,IFS(x&lt;=ta,0,x&lt;=tb,25*(x-ta)/(tb-ta),x&lt;=tc,25+25*(x-tb)/(tc-tb),x&lt;=te,50+25*(x-tc)/(te-tc),x&lt;tf,75+25*(x-te)/(tf-te),TRUE,100)))</f>
        <v>0</v>
      </c>
      <c r="I87" s="35">
        <f>IF(Inputs!I87="","",LET(d,Rulebook!$L87,x,Inputs!I87*d,ta,Rulebook!$G87*d,tb,Rulebook!$H87*d,tc,Rulebook!$I87*d,te,Rulebook!$J87*d,tf,Rulebook!$K87*d,IFS(x&lt;=ta,0,x&lt;=tb,25*(x-ta)/(tb-ta),x&lt;=tc,25+25*(x-tb)/(tc-tb),x&lt;=te,50+25*(x-tc)/(te-tc),x&lt;tf,75+25*(x-te)/(tf-te),TRUE,100)))</f>
        <v>0</v>
      </c>
      <c r="J87" s="35">
        <f>IF(Inputs!J87="","",LET(d,Rulebook!$L87,x,Inputs!J87*d,ta,Rulebook!$G87*d,tb,Rulebook!$H87*d,tc,Rulebook!$I87*d,te,Rulebook!$J87*d,tf,Rulebook!$K87*d,IFS(x&lt;=ta,0,x&lt;=tb,25*(x-ta)/(tb-ta),x&lt;=tc,25+25*(x-tb)/(tc-tb),x&lt;=te,50+25*(x-tc)/(te-tc),x&lt;tf,75+25*(x-te)/(tf-te),TRUE,100)))</f>
        <v>25</v>
      </c>
      <c r="K87" s="35">
        <f>IF(Inputs!K87="","",LET(d,Rulebook!$L87,x,Inputs!K87*d,ta,Rulebook!$G87*d,tb,Rulebook!$H87*d,tc,Rulebook!$I87*d,te,Rulebook!$J87*d,tf,Rulebook!$K87*d,IFS(x&lt;=ta,0,x&lt;=tb,25*(x-ta)/(tb-ta),x&lt;=tc,25+25*(x-tb)/(tc-tb),x&lt;=te,50+25*(x-tc)/(te-tc),x&lt;tf,75+25*(x-te)/(tf-te),TRUE,100)))</f>
        <v>0</v>
      </c>
      <c r="L87" s="35">
        <f>IF(Inputs!L87="","",LET(d,Rulebook!$L87,x,Inputs!L87*d,ta,Rulebook!$G87*d,tb,Rulebook!$H87*d,tc,Rulebook!$I87*d,te,Rulebook!$J87*d,tf,Rulebook!$K87*d,IFS(x&lt;=ta,0,x&lt;=tb,25*(x-ta)/(tb-ta),x&lt;=tc,25+25*(x-tb)/(tc-tb),x&lt;=te,50+25*(x-tc)/(te-tc),x&lt;tf,75+25*(x-te)/(tf-te),TRUE,100)))</f>
        <v>0</v>
      </c>
      <c r="M87" s="35">
        <f>IF(Inputs!M87="","",LET(d,Rulebook!$L87,x,Inputs!M87*d,ta,Rulebook!$G87*d,tb,Rulebook!$H87*d,tc,Rulebook!$I87*d,te,Rulebook!$J87*d,tf,Rulebook!$K87*d,IFS(x&lt;=ta,0,x&lt;=tb,25*(x-ta)/(tb-ta),x&lt;=tc,25+25*(x-tb)/(tc-tb),x&lt;=te,50+25*(x-tc)/(te-tc),x&lt;tf,75+25*(x-te)/(tf-te),TRUE,100)))</f>
        <v>25</v>
      </c>
      <c r="N87" s="35">
        <f>IF(Inputs!N87="","",LET(d,Rulebook!$L87,x,Inputs!N87*d,ta,Rulebook!$G87*d,tb,Rulebook!$H87*d,tc,Rulebook!$I87*d,te,Rulebook!$J87*d,tf,Rulebook!$K87*d,IFS(x&lt;=ta,0,x&lt;=tb,25*(x-ta)/(tb-ta),x&lt;=tc,25+25*(x-tb)/(tc-tb),x&lt;=te,50+25*(x-tc)/(te-tc),x&lt;tf,75+25*(x-te)/(tf-te),TRUE,100)))</f>
        <v>25</v>
      </c>
      <c r="O87" s="35">
        <f>IF(Inputs!O87="","",LET(d,Rulebook!$L87,x,Inputs!O87*d,ta,Rulebook!$G87*d,tb,Rulebook!$H87*d,tc,Rulebook!$I87*d,te,Rulebook!$J87*d,tf,Rulebook!$K87*d,IFS(x&lt;=ta,0,x&lt;=tb,25*(x-ta)/(tb-ta),x&lt;=tc,25+25*(x-tb)/(tc-tb),x&lt;=te,50+25*(x-tc)/(te-tc),x&lt;tf,75+25*(x-te)/(tf-te),TRUE,100)))</f>
        <v>0</v>
      </c>
      <c r="P87" s="35">
        <f>IF(Inputs!P87="","",LET(d,Rulebook!$L87,x,Inputs!P87*d,ta,Rulebook!$G87*d,tb,Rulebook!$H87*d,tc,Rulebook!$I87*d,te,Rulebook!$J87*d,tf,Rulebook!$K87*d,IFS(x&lt;=ta,0,x&lt;=tb,25*(x-ta)/(tb-ta),x&lt;=tc,25+25*(x-tb)/(tc-tb),x&lt;=te,50+25*(x-tc)/(te-tc),x&lt;tf,75+25*(x-te)/(tf-te),TRUE,100)))</f>
        <v>0</v>
      </c>
      <c r="Q87" s="35">
        <f>IF(Inputs!Q87="","",LET(d,Rulebook!$L87,x,Inputs!Q87*d,ta,Rulebook!$G87*d,tb,Rulebook!$H87*d,tc,Rulebook!$I87*d,te,Rulebook!$J87*d,tf,Rulebook!$K87*d,IFS(x&lt;=ta,0,x&lt;=tb,25*(x-ta)/(tb-ta),x&lt;=tc,25+25*(x-tb)/(tc-tb),x&lt;=te,50+25*(x-tc)/(te-tc),x&lt;tf,75+25*(x-te)/(tf-te),TRUE,100)))</f>
        <v>0</v>
      </c>
      <c r="R87" s="35">
        <f>IF(Inputs!R87="","",LET(d,Rulebook!$L87,x,Inputs!R87*d,ta,Rulebook!$G87*d,tb,Rulebook!$H87*d,tc,Rulebook!$I87*d,te,Rulebook!$J87*d,tf,Rulebook!$K87*d,IFS(x&lt;=ta,0,x&lt;=tb,25*(x-ta)/(tb-ta),x&lt;=tc,25+25*(x-tb)/(tc-tb),x&lt;=te,50+25*(x-tc)/(te-tc),x&lt;tf,75+25*(x-te)/(tf-te),TRUE,100)))</f>
        <v>100</v>
      </c>
      <c r="S87" s="35">
        <f>IF(Inputs!S87="","",LET(d,Rulebook!$L87,x,Inputs!S87*d,ta,Rulebook!$G87*d,tb,Rulebook!$H87*d,tc,Rulebook!$I87*d,te,Rulebook!$J87*d,tf,Rulebook!$K87*d,IFS(x&lt;=ta,0,x&lt;=tb,25*(x-ta)/(tb-ta),x&lt;=tc,25+25*(x-tb)/(tc-tb),x&lt;=te,50+25*(x-tc)/(te-tc),x&lt;tf,75+25*(x-te)/(tf-te),TRUE,100)))</f>
        <v>0</v>
      </c>
      <c r="T87" s="35">
        <f>IF(Inputs!T87="","",LET(d,Rulebook!$L87,x,Inputs!T87*d,ta,Rulebook!$G87*d,tb,Rulebook!$H87*d,tc,Rulebook!$I87*d,te,Rulebook!$J87*d,tf,Rulebook!$K87*d,IFS(x&lt;=ta,0,x&lt;=tb,25*(x-ta)/(tb-ta),x&lt;=tc,25+25*(x-tb)/(tc-tb),x&lt;=te,50+25*(x-tc)/(te-tc),x&lt;tf,75+25*(x-te)/(tf-te),TRUE,100)))</f>
        <v>0</v>
      </c>
      <c r="U87" s="35">
        <f>IF(Inputs!U87="","",LET(d,Rulebook!$L87,x,Inputs!U87*d,ta,Rulebook!$G87*d,tb,Rulebook!$H87*d,tc,Rulebook!$I87*d,te,Rulebook!$J87*d,tf,Rulebook!$K87*d,IFS(x&lt;=ta,0,x&lt;=tb,25*(x-ta)/(tb-ta),x&lt;=tc,25+25*(x-tb)/(tc-tb),x&lt;=te,50+25*(x-tc)/(te-tc),x&lt;tf,75+25*(x-te)/(tf-te),TRUE,100)))</f>
        <v>25</v>
      </c>
      <c r="V87" s="35">
        <f>IF(Inputs!V87="","",LET(d,Rulebook!$L87,x,Inputs!V87*d,ta,Rulebook!$G87*d,tb,Rulebook!$H87*d,tc,Rulebook!$I87*d,te,Rulebook!$J87*d,tf,Rulebook!$K87*d,IFS(x&lt;=ta,0,x&lt;=tb,25*(x-ta)/(tb-ta),x&lt;=tc,25+25*(x-tb)/(tc-tb),x&lt;=te,50+25*(x-tc)/(te-tc),x&lt;tf,75+25*(x-te)/(tf-te),TRUE,100)))</f>
        <v>50</v>
      </c>
    </row>
  </sheetData>
  <conditionalFormatting sqref="E5:V87">
    <cfRule type="colorScale" priority="1">
      <colorScale>
        <cfvo type="formula" val="0"/>
        <cfvo type="formula" val="50"/>
        <cfvo type="formula" val="100"/>
        <color rgb="FF56BA89"/>
        <color rgb="FFFFD566"/>
        <color rgb="FFE67B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2" width="6.38"/>
    <col customWidth="1" min="3" max="3" width="41.38"/>
    <col customWidth="1" min="4" max="4" width="18.88"/>
    <col customWidth="1" min="5" max="22" width="11.63"/>
  </cols>
  <sheetData>
    <row r="1">
      <c r="A1" s="2" t="s">
        <v>825</v>
      </c>
    </row>
    <row r="2">
      <c r="A2" s="5" t="s">
        <v>828</v>
      </c>
    </row>
    <row r="4">
      <c r="A4" s="21" t="str">
        <f t="array" ref="A4:D87">Rulebook!A4:D87</f>
        <v>ID</v>
      </c>
      <c r="B4" s="21" t="s">
        <v>43</v>
      </c>
      <c r="C4" s="21" t="s">
        <v>68</v>
      </c>
      <c r="D4" s="21" t="s">
        <v>9</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26" t="s">
        <v>100</v>
      </c>
      <c r="B5" s="26">
        <v>1.0</v>
      </c>
      <c r="C5" s="26" t="s">
        <v>104</v>
      </c>
      <c r="D5" s="26" t="s">
        <v>105</v>
      </c>
      <c r="E5" s="35" t="str">
        <f>IF('Stress Inputs'!E5="","",LET(d,Rulebook!$L5,x,'Stress Inputs'!E5*d,ta,Rulebook!$G5*d,tb,Rulebook!$H5*d,tc,Rulebook!$I5*d,te,Rulebook!$J5*d,tf,Rulebook!$K5*d,IFS(x&lt;=ta,0,x&lt;=tb,25*(x-ta)/(tb-ta),x&lt;=tc,25+25*(x-tb)/(tc-tb),x&lt;=te,50+25*(x-tc)/(te-tc),x&lt;tf,75+25*(x-te)/(tf-te),TRUE,100)))</f>
        <v/>
      </c>
      <c r="F5" s="35" t="str">
        <f>IF('Stress Inputs'!F5="","",LET(d,Rulebook!$L5,x,'Stress Inputs'!F5*d,ta,Rulebook!$G5*d,tb,Rulebook!$H5*d,tc,Rulebook!$I5*d,te,Rulebook!$J5*d,tf,Rulebook!$K5*d,IFS(x&lt;=ta,0,x&lt;=tb,25*(x-ta)/(tb-ta),x&lt;=tc,25+25*(x-tb)/(tc-tb),x&lt;=te,50+25*(x-tc)/(te-tc),x&lt;tf,75+25*(x-te)/(tf-te),TRUE,100)))</f>
        <v/>
      </c>
      <c r="G5" s="35" t="str">
        <f>IF('Stress Inputs'!G5="","",LET(d,Rulebook!$L5,x,'Stress Inputs'!G5*d,ta,Rulebook!$G5*d,tb,Rulebook!$H5*d,tc,Rulebook!$I5*d,te,Rulebook!$J5*d,tf,Rulebook!$K5*d,IFS(x&lt;=ta,0,x&lt;=tb,25*(x-ta)/(tb-ta),x&lt;=tc,25+25*(x-tb)/(tc-tb),x&lt;=te,50+25*(x-tc)/(te-tc),x&lt;tf,75+25*(x-te)/(tf-te),TRUE,100)))</f>
        <v/>
      </c>
      <c r="H5" s="35" t="str">
        <f>IF('Stress Inputs'!H5="","",LET(d,Rulebook!$L5,x,'Stress Inputs'!H5*d,ta,Rulebook!$G5*d,tb,Rulebook!$H5*d,tc,Rulebook!$I5*d,te,Rulebook!$J5*d,tf,Rulebook!$K5*d,IFS(x&lt;=ta,0,x&lt;=tb,25*(x-ta)/(tb-ta),x&lt;=tc,25+25*(x-tb)/(tc-tb),x&lt;=te,50+25*(x-tc)/(te-tc),x&lt;tf,75+25*(x-te)/(tf-te),TRUE,100)))</f>
        <v/>
      </c>
      <c r="I5" s="35" t="str">
        <f>IF('Stress Inputs'!I5="","",LET(d,Rulebook!$L5,x,'Stress Inputs'!I5*d,ta,Rulebook!$G5*d,tb,Rulebook!$H5*d,tc,Rulebook!$I5*d,te,Rulebook!$J5*d,tf,Rulebook!$K5*d,IFS(x&lt;=ta,0,x&lt;=tb,25*(x-ta)/(tb-ta),x&lt;=tc,25+25*(x-tb)/(tc-tb),x&lt;=te,50+25*(x-tc)/(te-tc),x&lt;tf,75+25*(x-te)/(tf-te),TRUE,100)))</f>
        <v/>
      </c>
      <c r="J5" s="35" t="str">
        <f>IF('Stress Inputs'!J5="","",LET(d,Rulebook!$L5,x,'Stress Inputs'!J5*d,ta,Rulebook!$G5*d,tb,Rulebook!$H5*d,tc,Rulebook!$I5*d,te,Rulebook!$J5*d,tf,Rulebook!$K5*d,IFS(x&lt;=ta,0,x&lt;=tb,25*(x-ta)/(tb-ta),x&lt;=tc,25+25*(x-tb)/(tc-tb),x&lt;=te,50+25*(x-tc)/(te-tc),x&lt;tf,75+25*(x-te)/(tf-te),TRUE,100)))</f>
        <v/>
      </c>
      <c r="K5" s="35" t="str">
        <f>IF('Stress Inputs'!K5="","",LET(d,Rulebook!$L5,x,'Stress Inputs'!K5*d,ta,Rulebook!$G5*d,tb,Rulebook!$H5*d,tc,Rulebook!$I5*d,te,Rulebook!$J5*d,tf,Rulebook!$K5*d,IFS(x&lt;=ta,0,x&lt;=tb,25*(x-ta)/(tb-ta),x&lt;=tc,25+25*(x-tb)/(tc-tb),x&lt;=te,50+25*(x-tc)/(te-tc),x&lt;tf,75+25*(x-te)/(tf-te),TRUE,100)))</f>
        <v/>
      </c>
      <c r="L5" s="35" t="str">
        <f>IF('Stress Inputs'!L5="","",LET(d,Rulebook!$L5,x,'Stress Inputs'!L5*d,ta,Rulebook!$G5*d,tb,Rulebook!$H5*d,tc,Rulebook!$I5*d,te,Rulebook!$J5*d,tf,Rulebook!$K5*d,IFS(x&lt;=ta,0,x&lt;=tb,25*(x-ta)/(tb-ta),x&lt;=tc,25+25*(x-tb)/(tc-tb),x&lt;=te,50+25*(x-tc)/(te-tc),x&lt;tf,75+25*(x-te)/(tf-te),TRUE,100)))</f>
        <v/>
      </c>
      <c r="M5" s="35" t="str">
        <f>IF('Stress Inputs'!M5="","",LET(d,Rulebook!$L5,x,'Stress Inputs'!M5*d,ta,Rulebook!$G5*d,tb,Rulebook!$H5*d,tc,Rulebook!$I5*d,te,Rulebook!$J5*d,tf,Rulebook!$K5*d,IFS(x&lt;=ta,0,x&lt;=tb,25*(x-ta)/(tb-ta),x&lt;=tc,25+25*(x-tb)/(tc-tb),x&lt;=te,50+25*(x-tc)/(te-tc),x&lt;tf,75+25*(x-te)/(tf-te),TRUE,100)))</f>
        <v/>
      </c>
      <c r="N5" s="35" t="str">
        <f>IF('Stress Inputs'!N5="","",LET(d,Rulebook!$L5,x,'Stress Inputs'!N5*d,ta,Rulebook!$G5*d,tb,Rulebook!$H5*d,tc,Rulebook!$I5*d,te,Rulebook!$J5*d,tf,Rulebook!$K5*d,IFS(x&lt;=ta,0,x&lt;=tb,25*(x-ta)/(tb-ta),x&lt;=tc,25+25*(x-tb)/(tc-tb),x&lt;=te,50+25*(x-tc)/(te-tc),x&lt;tf,75+25*(x-te)/(tf-te),TRUE,100)))</f>
        <v/>
      </c>
      <c r="O5" s="35" t="str">
        <f>IF('Stress Inputs'!O5="","",LET(d,Rulebook!$L5,x,'Stress Inputs'!O5*d,ta,Rulebook!$G5*d,tb,Rulebook!$H5*d,tc,Rulebook!$I5*d,te,Rulebook!$J5*d,tf,Rulebook!$K5*d,IFS(x&lt;=ta,0,x&lt;=tb,25*(x-ta)/(tb-ta),x&lt;=tc,25+25*(x-tb)/(tc-tb),x&lt;=te,50+25*(x-tc)/(te-tc),x&lt;tf,75+25*(x-te)/(tf-te),TRUE,100)))</f>
        <v/>
      </c>
      <c r="P5" s="35" t="str">
        <f>IF('Stress Inputs'!P5="","",LET(d,Rulebook!$L5,x,'Stress Inputs'!P5*d,ta,Rulebook!$G5*d,tb,Rulebook!$H5*d,tc,Rulebook!$I5*d,te,Rulebook!$J5*d,tf,Rulebook!$K5*d,IFS(x&lt;=ta,0,x&lt;=tb,25*(x-ta)/(tb-ta),x&lt;=tc,25+25*(x-tb)/(tc-tb),x&lt;=te,50+25*(x-tc)/(te-tc),x&lt;tf,75+25*(x-te)/(tf-te),TRUE,100)))</f>
        <v/>
      </c>
      <c r="Q5" s="35" t="str">
        <f>IF('Stress Inputs'!Q5="","",LET(d,Rulebook!$L5,x,'Stress Inputs'!Q5*d,ta,Rulebook!$G5*d,tb,Rulebook!$H5*d,tc,Rulebook!$I5*d,te,Rulebook!$J5*d,tf,Rulebook!$K5*d,IFS(x&lt;=ta,0,x&lt;=tb,25*(x-ta)/(tb-ta),x&lt;=tc,25+25*(x-tb)/(tc-tb),x&lt;=te,50+25*(x-tc)/(te-tc),x&lt;tf,75+25*(x-te)/(tf-te),TRUE,100)))</f>
        <v/>
      </c>
      <c r="R5" s="35" t="str">
        <f>IF('Stress Inputs'!R5="","",LET(d,Rulebook!$L5,x,'Stress Inputs'!R5*d,ta,Rulebook!$G5*d,tb,Rulebook!$H5*d,tc,Rulebook!$I5*d,te,Rulebook!$J5*d,tf,Rulebook!$K5*d,IFS(x&lt;=ta,0,x&lt;=tb,25*(x-ta)/(tb-ta),x&lt;=tc,25+25*(x-tb)/(tc-tb),x&lt;=te,50+25*(x-tc)/(te-tc),x&lt;tf,75+25*(x-te)/(tf-te),TRUE,100)))</f>
        <v/>
      </c>
      <c r="S5" s="35" t="str">
        <f>IF('Stress Inputs'!S5="","",LET(d,Rulebook!$L5,x,'Stress Inputs'!S5*d,ta,Rulebook!$G5*d,tb,Rulebook!$H5*d,tc,Rulebook!$I5*d,te,Rulebook!$J5*d,tf,Rulebook!$K5*d,IFS(x&lt;=ta,0,x&lt;=tb,25*(x-ta)/(tb-ta),x&lt;=tc,25+25*(x-tb)/(tc-tb),x&lt;=te,50+25*(x-tc)/(te-tc),x&lt;tf,75+25*(x-te)/(tf-te),TRUE,100)))</f>
        <v/>
      </c>
      <c r="T5" s="35" t="str">
        <f>IF('Stress Inputs'!T5="","",LET(d,Rulebook!$L5,x,'Stress Inputs'!T5*d,ta,Rulebook!$G5*d,tb,Rulebook!$H5*d,tc,Rulebook!$I5*d,te,Rulebook!$J5*d,tf,Rulebook!$K5*d,IFS(x&lt;=ta,0,x&lt;=tb,25*(x-ta)/(tb-ta),x&lt;=tc,25+25*(x-tb)/(tc-tb),x&lt;=te,50+25*(x-tc)/(te-tc),x&lt;tf,75+25*(x-te)/(tf-te),TRUE,100)))</f>
        <v/>
      </c>
      <c r="U5" s="35" t="str">
        <f>IF('Stress Inputs'!U5="","",LET(d,Rulebook!$L5,x,'Stress Inputs'!U5*d,ta,Rulebook!$G5*d,tb,Rulebook!$H5*d,tc,Rulebook!$I5*d,te,Rulebook!$J5*d,tf,Rulebook!$K5*d,IFS(x&lt;=ta,0,x&lt;=tb,25*(x-ta)/(tb-ta),x&lt;=tc,25+25*(x-tb)/(tc-tb),x&lt;=te,50+25*(x-tc)/(te-tc),x&lt;tf,75+25*(x-te)/(tf-te),TRUE,100)))</f>
        <v/>
      </c>
      <c r="V5" s="35" t="str">
        <f>IF('Stress Inputs'!V5="","",LET(d,Rulebook!$L5,x,'Stress Inputs'!V5*d,ta,Rulebook!$G5*d,tb,Rulebook!$H5*d,tc,Rulebook!$I5*d,te,Rulebook!$J5*d,tf,Rulebook!$K5*d,IFS(x&lt;=ta,0,x&lt;=tb,25*(x-ta)/(tb-ta),x&lt;=tc,25+25*(x-tb)/(tc-tb),x&lt;=te,50+25*(x-tc)/(te-tc),x&lt;tf,75+25*(x-te)/(tf-te),TRUE,100)))</f>
        <v/>
      </c>
    </row>
    <row r="6">
      <c r="A6" s="26" t="s">
        <v>129</v>
      </c>
      <c r="B6" s="26">
        <v>1.0</v>
      </c>
      <c r="C6" s="26" t="s">
        <v>133</v>
      </c>
      <c r="D6" s="26" t="s">
        <v>134</v>
      </c>
      <c r="E6" s="35" t="str">
        <f>IF('Stress Inputs'!E6="","",LET(d,Rulebook!$L6,x,'Stress Inputs'!E6*d,ta,Rulebook!$G6*d,tb,Rulebook!$H6*d,tc,Rulebook!$I6*d,te,Rulebook!$J6*d,tf,Rulebook!$K6*d,IFS(x&lt;=ta,0,x&lt;=tb,25*(x-ta)/(tb-ta),x&lt;=tc,25+25*(x-tb)/(tc-tb),x&lt;=te,50+25*(x-tc)/(te-tc),x&lt;tf,75+25*(x-te)/(tf-te),TRUE,100)))</f>
        <v/>
      </c>
      <c r="F6" s="35" t="str">
        <f>IF('Stress Inputs'!F6="","",LET(d,Rulebook!$L6,x,'Stress Inputs'!F6*d,ta,Rulebook!$G6*d,tb,Rulebook!$H6*d,tc,Rulebook!$I6*d,te,Rulebook!$J6*d,tf,Rulebook!$K6*d,IFS(x&lt;=ta,0,x&lt;=tb,25*(x-ta)/(tb-ta),x&lt;=tc,25+25*(x-tb)/(tc-tb),x&lt;=te,50+25*(x-tc)/(te-tc),x&lt;tf,75+25*(x-te)/(tf-te),TRUE,100)))</f>
        <v/>
      </c>
      <c r="G6" s="35" t="str">
        <f>IF('Stress Inputs'!G6="","",LET(d,Rulebook!$L6,x,'Stress Inputs'!G6*d,ta,Rulebook!$G6*d,tb,Rulebook!$H6*d,tc,Rulebook!$I6*d,te,Rulebook!$J6*d,tf,Rulebook!$K6*d,IFS(x&lt;=ta,0,x&lt;=tb,25*(x-ta)/(tb-ta),x&lt;=tc,25+25*(x-tb)/(tc-tb),x&lt;=te,50+25*(x-tc)/(te-tc),x&lt;tf,75+25*(x-te)/(tf-te),TRUE,100)))</f>
        <v/>
      </c>
      <c r="H6" s="35" t="str">
        <f>IF('Stress Inputs'!H6="","",LET(d,Rulebook!$L6,x,'Stress Inputs'!H6*d,ta,Rulebook!$G6*d,tb,Rulebook!$H6*d,tc,Rulebook!$I6*d,te,Rulebook!$J6*d,tf,Rulebook!$K6*d,IFS(x&lt;=ta,0,x&lt;=tb,25*(x-ta)/(tb-ta),x&lt;=tc,25+25*(x-tb)/(tc-tb),x&lt;=te,50+25*(x-tc)/(te-tc),x&lt;tf,75+25*(x-te)/(tf-te),TRUE,100)))</f>
        <v/>
      </c>
      <c r="I6" s="35" t="str">
        <f>IF('Stress Inputs'!I6="","",LET(d,Rulebook!$L6,x,'Stress Inputs'!I6*d,ta,Rulebook!$G6*d,tb,Rulebook!$H6*d,tc,Rulebook!$I6*d,te,Rulebook!$J6*d,tf,Rulebook!$K6*d,IFS(x&lt;=ta,0,x&lt;=tb,25*(x-ta)/(tb-ta),x&lt;=tc,25+25*(x-tb)/(tc-tb),x&lt;=te,50+25*(x-tc)/(te-tc),x&lt;tf,75+25*(x-te)/(tf-te),TRUE,100)))</f>
        <v/>
      </c>
      <c r="J6" s="35" t="str">
        <f>IF('Stress Inputs'!J6="","",LET(d,Rulebook!$L6,x,'Stress Inputs'!J6*d,ta,Rulebook!$G6*d,tb,Rulebook!$H6*d,tc,Rulebook!$I6*d,te,Rulebook!$J6*d,tf,Rulebook!$K6*d,IFS(x&lt;=ta,0,x&lt;=tb,25*(x-ta)/(tb-ta),x&lt;=tc,25+25*(x-tb)/(tc-tb),x&lt;=te,50+25*(x-tc)/(te-tc),x&lt;tf,75+25*(x-te)/(tf-te),TRUE,100)))</f>
        <v/>
      </c>
      <c r="K6" s="35" t="str">
        <f>IF('Stress Inputs'!K6="","",LET(d,Rulebook!$L6,x,'Stress Inputs'!K6*d,ta,Rulebook!$G6*d,tb,Rulebook!$H6*d,tc,Rulebook!$I6*d,te,Rulebook!$J6*d,tf,Rulebook!$K6*d,IFS(x&lt;=ta,0,x&lt;=tb,25*(x-ta)/(tb-ta),x&lt;=tc,25+25*(x-tb)/(tc-tb),x&lt;=te,50+25*(x-tc)/(te-tc),x&lt;tf,75+25*(x-te)/(tf-te),TRUE,100)))</f>
        <v/>
      </c>
      <c r="L6" s="35" t="str">
        <f>IF('Stress Inputs'!L6="","",LET(d,Rulebook!$L6,x,'Stress Inputs'!L6*d,ta,Rulebook!$G6*d,tb,Rulebook!$H6*d,tc,Rulebook!$I6*d,te,Rulebook!$J6*d,tf,Rulebook!$K6*d,IFS(x&lt;=ta,0,x&lt;=tb,25*(x-ta)/(tb-ta),x&lt;=tc,25+25*(x-tb)/(tc-tb),x&lt;=te,50+25*(x-tc)/(te-tc),x&lt;tf,75+25*(x-te)/(tf-te),TRUE,100)))</f>
        <v/>
      </c>
      <c r="M6" s="35" t="str">
        <f>IF('Stress Inputs'!M6="","",LET(d,Rulebook!$L6,x,'Stress Inputs'!M6*d,ta,Rulebook!$G6*d,tb,Rulebook!$H6*d,tc,Rulebook!$I6*d,te,Rulebook!$J6*d,tf,Rulebook!$K6*d,IFS(x&lt;=ta,0,x&lt;=tb,25*(x-ta)/(tb-ta),x&lt;=tc,25+25*(x-tb)/(tc-tb),x&lt;=te,50+25*(x-tc)/(te-tc),x&lt;tf,75+25*(x-te)/(tf-te),TRUE,100)))</f>
        <v/>
      </c>
      <c r="N6" s="35" t="str">
        <f>IF('Stress Inputs'!N6="","",LET(d,Rulebook!$L6,x,'Stress Inputs'!N6*d,ta,Rulebook!$G6*d,tb,Rulebook!$H6*d,tc,Rulebook!$I6*d,te,Rulebook!$J6*d,tf,Rulebook!$K6*d,IFS(x&lt;=ta,0,x&lt;=tb,25*(x-ta)/(tb-ta),x&lt;=tc,25+25*(x-tb)/(tc-tb),x&lt;=te,50+25*(x-tc)/(te-tc),x&lt;tf,75+25*(x-te)/(tf-te),TRUE,100)))</f>
        <v/>
      </c>
      <c r="O6" s="35" t="str">
        <f>IF('Stress Inputs'!O6="","",LET(d,Rulebook!$L6,x,'Stress Inputs'!O6*d,ta,Rulebook!$G6*d,tb,Rulebook!$H6*d,tc,Rulebook!$I6*d,te,Rulebook!$J6*d,tf,Rulebook!$K6*d,IFS(x&lt;=ta,0,x&lt;=tb,25*(x-ta)/(tb-ta),x&lt;=tc,25+25*(x-tb)/(tc-tb),x&lt;=te,50+25*(x-tc)/(te-tc),x&lt;tf,75+25*(x-te)/(tf-te),TRUE,100)))</f>
        <v/>
      </c>
      <c r="P6" s="35" t="str">
        <f>IF('Stress Inputs'!P6="","",LET(d,Rulebook!$L6,x,'Stress Inputs'!P6*d,ta,Rulebook!$G6*d,tb,Rulebook!$H6*d,tc,Rulebook!$I6*d,te,Rulebook!$J6*d,tf,Rulebook!$K6*d,IFS(x&lt;=ta,0,x&lt;=tb,25*(x-ta)/(tb-ta),x&lt;=tc,25+25*(x-tb)/(tc-tb),x&lt;=te,50+25*(x-tc)/(te-tc),x&lt;tf,75+25*(x-te)/(tf-te),TRUE,100)))</f>
        <v/>
      </c>
      <c r="Q6" s="35" t="str">
        <f>IF('Stress Inputs'!Q6="","",LET(d,Rulebook!$L6,x,'Stress Inputs'!Q6*d,ta,Rulebook!$G6*d,tb,Rulebook!$H6*d,tc,Rulebook!$I6*d,te,Rulebook!$J6*d,tf,Rulebook!$K6*d,IFS(x&lt;=ta,0,x&lt;=tb,25*(x-ta)/(tb-ta),x&lt;=tc,25+25*(x-tb)/(tc-tb),x&lt;=te,50+25*(x-tc)/(te-tc),x&lt;tf,75+25*(x-te)/(tf-te),TRUE,100)))</f>
        <v/>
      </c>
      <c r="R6" s="35" t="str">
        <f>IF('Stress Inputs'!R6="","",LET(d,Rulebook!$L6,x,'Stress Inputs'!R6*d,ta,Rulebook!$G6*d,tb,Rulebook!$H6*d,tc,Rulebook!$I6*d,te,Rulebook!$J6*d,tf,Rulebook!$K6*d,IFS(x&lt;=ta,0,x&lt;=tb,25*(x-ta)/(tb-ta),x&lt;=tc,25+25*(x-tb)/(tc-tb),x&lt;=te,50+25*(x-tc)/(te-tc),x&lt;tf,75+25*(x-te)/(tf-te),TRUE,100)))</f>
        <v/>
      </c>
      <c r="S6" s="35" t="str">
        <f>IF('Stress Inputs'!S6="","",LET(d,Rulebook!$L6,x,'Stress Inputs'!S6*d,ta,Rulebook!$G6*d,tb,Rulebook!$H6*d,tc,Rulebook!$I6*d,te,Rulebook!$J6*d,tf,Rulebook!$K6*d,IFS(x&lt;=ta,0,x&lt;=tb,25*(x-ta)/(tb-ta),x&lt;=tc,25+25*(x-tb)/(tc-tb),x&lt;=te,50+25*(x-tc)/(te-tc),x&lt;tf,75+25*(x-te)/(tf-te),TRUE,100)))</f>
        <v/>
      </c>
      <c r="T6" s="35" t="str">
        <f>IF('Stress Inputs'!T6="","",LET(d,Rulebook!$L6,x,'Stress Inputs'!T6*d,ta,Rulebook!$G6*d,tb,Rulebook!$H6*d,tc,Rulebook!$I6*d,te,Rulebook!$J6*d,tf,Rulebook!$K6*d,IFS(x&lt;=ta,0,x&lt;=tb,25*(x-ta)/(tb-ta),x&lt;=tc,25+25*(x-tb)/(tc-tb),x&lt;=te,50+25*(x-tc)/(te-tc),x&lt;tf,75+25*(x-te)/(tf-te),TRUE,100)))</f>
        <v/>
      </c>
      <c r="U6" s="35" t="str">
        <f>IF('Stress Inputs'!U6="","",LET(d,Rulebook!$L6,x,'Stress Inputs'!U6*d,ta,Rulebook!$G6*d,tb,Rulebook!$H6*d,tc,Rulebook!$I6*d,te,Rulebook!$J6*d,tf,Rulebook!$K6*d,IFS(x&lt;=ta,0,x&lt;=tb,25*(x-ta)/(tb-ta),x&lt;=tc,25+25*(x-tb)/(tc-tb),x&lt;=te,50+25*(x-tc)/(te-tc),x&lt;tf,75+25*(x-te)/(tf-te),TRUE,100)))</f>
        <v/>
      </c>
      <c r="V6" s="35" t="str">
        <f>IF('Stress Inputs'!V6="","",LET(d,Rulebook!$L6,x,'Stress Inputs'!V6*d,ta,Rulebook!$G6*d,tb,Rulebook!$H6*d,tc,Rulebook!$I6*d,te,Rulebook!$J6*d,tf,Rulebook!$K6*d,IFS(x&lt;=ta,0,x&lt;=tb,25*(x-ta)/(tb-ta),x&lt;=tc,25+25*(x-tb)/(tc-tb),x&lt;=te,50+25*(x-tc)/(te-tc),x&lt;tf,75+25*(x-te)/(tf-te),TRUE,100)))</f>
        <v/>
      </c>
    </row>
    <row r="7">
      <c r="A7" s="26" t="s">
        <v>140</v>
      </c>
      <c r="B7" s="26">
        <v>1.0</v>
      </c>
      <c r="C7" s="26" t="s">
        <v>142</v>
      </c>
      <c r="D7" s="26" t="s">
        <v>37</v>
      </c>
      <c r="E7" s="35">
        <f>IF('Stress Inputs'!E7="","",LET(d,Rulebook!$L7,x,'Stress Inputs'!E7*d,ta,Rulebook!$G7*d,tb,Rulebook!$H7*d,tc,Rulebook!$I7*d,te,Rulebook!$J7*d,tf,Rulebook!$K7*d,IFS(x&lt;=ta,0,x&lt;=tb,25*(x-ta)/(tb-ta),x&lt;=tc,25+25*(x-tb)/(tc-tb),x&lt;=te,50+25*(x-tc)/(te-tc),x&lt;tf,75+25*(x-te)/(tf-te),TRUE,100)))</f>
        <v>10.06887755</v>
      </c>
      <c r="F7" s="35">
        <f>IF('Stress Inputs'!F7="","",LET(d,Rulebook!$L7,x,'Stress Inputs'!F7*d,ta,Rulebook!$G7*d,tb,Rulebook!$H7*d,tc,Rulebook!$I7*d,te,Rulebook!$J7*d,tf,Rulebook!$K7*d,IFS(x&lt;=ta,0,x&lt;=tb,25*(x-ta)/(tb-ta),x&lt;=tc,25+25*(x-tb)/(tc-tb),x&lt;=te,50+25*(x-tc)/(te-tc),x&lt;tf,75+25*(x-te)/(tf-te),TRUE,100)))</f>
        <v>57.0255102</v>
      </c>
      <c r="G7" s="35">
        <f>IF('Stress Inputs'!G7="","",LET(d,Rulebook!$L7,x,'Stress Inputs'!G7*d,ta,Rulebook!$G7*d,tb,Rulebook!$H7*d,tc,Rulebook!$I7*d,te,Rulebook!$J7*d,tf,Rulebook!$K7*d,IFS(x&lt;=ta,0,x&lt;=tb,25*(x-ta)/(tb-ta),x&lt;=tc,25+25*(x-tb)/(tc-tb),x&lt;=te,50+25*(x-tc)/(te-tc),x&lt;tf,75+25*(x-te)/(tf-te),TRUE,100)))</f>
        <v>100</v>
      </c>
      <c r="H7" s="35">
        <f>IF('Stress Inputs'!H7="","",LET(d,Rulebook!$L7,x,'Stress Inputs'!H7*d,ta,Rulebook!$G7*d,tb,Rulebook!$H7*d,tc,Rulebook!$I7*d,te,Rulebook!$J7*d,tf,Rulebook!$K7*d,IFS(x&lt;=ta,0,x&lt;=tb,25*(x-ta)/(tb-ta),x&lt;=tc,25+25*(x-tb)/(tc-tb),x&lt;=te,50+25*(x-tc)/(te-tc),x&lt;tf,75+25*(x-te)/(tf-te),TRUE,100)))</f>
        <v>64.54489796</v>
      </c>
      <c r="I7" s="35">
        <f>IF('Stress Inputs'!I7="","",LET(d,Rulebook!$L7,x,'Stress Inputs'!I7*d,ta,Rulebook!$G7*d,tb,Rulebook!$H7*d,tc,Rulebook!$I7*d,te,Rulebook!$J7*d,tf,Rulebook!$K7*d,IFS(x&lt;=ta,0,x&lt;=tb,25*(x-ta)/(tb-ta),x&lt;=tc,25+25*(x-tb)/(tc-tb),x&lt;=te,50+25*(x-tc)/(te-tc),x&lt;tf,75+25*(x-te)/(tf-te),TRUE,100)))</f>
        <v>100</v>
      </c>
      <c r="J7" s="35">
        <f>IF('Stress Inputs'!J7="","",LET(d,Rulebook!$L7,x,'Stress Inputs'!J7*d,ta,Rulebook!$G7*d,tb,Rulebook!$H7*d,tc,Rulebook!$I7*d,te,Rulebook!$J7*d,tf,Rulebook!$K7*d,IFS(x&lt;=ta,0,x&lt;=tb,25*(x-ta)/(tb-ta),x&lt;=tc,25+25*(x-tb)/(tc-tb),x&lt;=te,50+25*(x-tc)/(te-tc),x&lt;tf,75+25*(x-te)/(tf-te),TRUE,100)))</f>
        <v>100</v>
      </c>
      <c r="K7" s="35">
        <f>IF('Stress Inputs'!K7="","",LET(d,Rulebook!$L7,x,'Stress Inputs'!K7*d,ta,Rulebook!$G7*d,tb,Rulebook!$H7*d,tc,Rulebook!$I7*d,te,Rulebook!$J7*d,tf,Rulebook!$K7*d,IFS(x&lt;=ta,0,x&lt;=tb,25*(x-ta)/(tb-ta),x&lt;=tc,25+25*(x-tb)/(tc-tb),x&lt;=te,50+25*(x-tc)/(te-tc),x&lt;tf,75+25*(x-te)/(tf-te),TRUE,100)))</f>
        <v>31.92482993</v>
      </c>
      <c r="L7" s="35">
        <f>IF('Stress Inputs'!L7="","",LET(d,Rulebook!$L7,x,'Stress Inputs'!L7*d,ta,Rulebook!$G7*d,tb,Rulebook!$H7*d,tc,Rulebook!$I7*d,te,Rulebook!$J7*d,tf,Rulebook!$K7*d,IFS(x&lt;=ta,0,x&lt;=tb,25*(x-ta)/(tb-ta),x&lt;=tc,25+25*(x-tb)/(tc-tb),x&lt;=te,50+25*(x-tc)/(te-tc),x&lt;tf,75+25*(x-te)/(tf-te),TRUE,100)))</f>
        <v>82.53985969</v>
      </c>
      <c r="M7" s="35">
        <f>IF('Stress Inputs'!M7="","",LET(d,Rulebook!$L7,x,'Stress Inputs'!M7*d,ta,Rulebook!$G7*d,tb,Rulebook!$H7*d,tc,Rulebook!$I7*d,te,Rulebook!$J7*d,tf,Rulebook!$K7*d,IFS(x&lt;=ta,0,x&lt;=tb,25*(x-ta)/(tb-ta),x&lt;=tc,25+25*(x-tb)/(tc-tb),x&lt;=te,50+25*(x-tc)/(te-tc),x&lt;tf,75+25*(x-te)/(tf-te),TRUE,100)))</f>
        <v>72.82142857</v>
      </c>
      <c r="N7" s="35">
        <f>IF('Stress Inputs'!N7="","",LET(d,Rulebook!$L7,x,'Stress Inputs'!N7*d,ta,Rulebook!$G7*d,tb,Rulebook!$H7*d,tc,Rulebook!$I7*d,te,Rulebook!$J7*d,tf,Rulebook!$K7*d,IFS(x&lt;=ta,0,x&lt;=tb,25*(x-ta)/(tb-ta),x&lt;=tc,25+25*(x-tb)/(tc-tb),x&lt;=te,50+25*(x-tc)/(te-tc),x&lt;tf,75+25*(x-te)/(tf-te),TRUE,100)))</f>
        <v>58.14795918</v>
      </c>
      <c r="O7" s="35">
        <f>IF('Stress Inputs'!O7="","",LET(d,Rulebook!$L7,x,'Stress Inputs'!O7*d,ta,Rulebook!$G7*d,tb,Rulebook!$H7*d,tc,Rulebook!$I7*d,te,Rulebook!$J7*d,tf,Rulebook!$K7*d,IFS(x&lt;=ta,0,x&lt;=tb,25*(x-ta)/(tb-ta),x&lt;=tc,25+25*(x-tb)/(tc-tb),x&lt;=te,50+25*(x-tc)/(te-tc),x&lt;tf,75+25*(x-te)/(tf-te),TRUE,100)))</f>
        <v>100</v>
      </c>
      <c r="P7" s="35">
        <f>IF('Stress Inputs'!P7="","",LET(d,Rulebook!$L7,x,'Stress Inputs'!P7*d,ta,Rulebook!$G7*d,tb,Rulebook!$H7*d,tc,Rulebook!$I7*d,te,Rulebook!$J7*d,tf,Rulebook!$K7*d,IFS(x&lt;=ta,0,x&lt;=tb,25*(x-ta)/(tb-ta),x&lt;=tc,25+25*(x-tb)/(tc-tb),x&lt;=te,50+25*(x-tc)/(te-tc),x&lt;tf,75+25*(x-te)/(tf-te),TRUE,100)))</f>
        <v>72.09821429</v>
      </c>
      <c r="Q7" s="35">
        <f>IF('Stress Inputs'!Q7="","",LET(d,Rulebook!$L7,x,'Stress Inputs'!Q7*d,ta,Rulebook!$G7*d,tb,Rulebook!$H7*d,tc,Rulebook!$I7*d,te,Rulebook!$J7*d,tf,Rulebook!$K7*d,IFS(x&lt;=ta,0,x&lt;=tb,25*(x-ta)/(tb-ta),x&lt;=tc,25+25*(x-tb)/(tc-tb),x&lt;=te,50+25*(x-tc)/(te-tc),x&lt;tf,75+25*(x-te)/(tf-te),TRUE,100)))</f>
        <v>56.95535714</v>
      </c>
      <c r="R7" s="35">
        <f>IF('Stress Inputs'!R7="","",LET(d,Rulebook!$L7,x,'Stress Inputs'!R7*d,ta,Rulebook!$G7*d,tb,Rulebook!$H7*d,tc,Rulebook!$I7*d,te,Rulebook!$J7*d,tf,Rulebook!$K7*d,IFS(x&lt;=ta,0,x&lt;=tb,25*(x-ta)/(tb-ta),x&lt;=tc,25+25*(x-tb)/(tc-tb),x&lt;=te,50+25*(x-tc)/(te-tc),x&lt;tf,75+25*(x-te)/(tf-te),TRUE,100)))</f>
        <v>100</v>
      </c>
      <c r="S7" s="35">
        <f>IF('Stress Inputs'!S7="","",LET(d,Rulebook!$L7,x,'Stress Inputs'!S7*d,ta,Rulebook!$G7*d,tb,Rulebook!$H7*d,tc,Rulebook!$I7*d,te,Rulebook!$J7*d,tf,Rulebook!$K7*d,IFS(x&lt;=ta,0,x&lt;=tb,25*(x-ta)/(tb-ta),x&lt;=tc,25+25*(x-tb)/(tc-tb),x&lt;=te,50+25*(x-tc)/(te-tc),x&lt;tf,75+25*(x-te)/(tf-te),TRUE,100)))</f>
        <v>47.39455782</v>
      </c>
      <c r="T7" s="35">
        <f>IF('Stress Inputs'!T7="","",LET(d,Rulebook!$L7,x,'Stress Inputs'!T7*d,ta,Rulebook!$G7*d,tb,Rulebook!$H7*d,tc,Rulebook!$I7*d,te,Rulebook!$J7*d,tf,Rulebook!$K7*d,IFS(x&lt;=ta,0,x&lt;=tb,25*(x-ta)/(tb-ta),x&lt;=tc,25+25*(x-tb)/(tc-tb),x&lt;=te,50+25*(x-tc)/(te-tc),x&lt;tf,75+25*(x-te)/(tf-te),TRUE,100)))</f>
        <v>100</v>
      </c>
      <c r="U7" s="35">
        <f>IF('Stress Inputs'!U7="","",LET(d,Rulebook!$L7,x,'Stress Inputs'!U7*d,ta,Rulebook!$G7*d,tb,Rulebook!$H7*d,tc,Rulebook!$I7*d,te,Rulebook!$J7*d,tf,Rulebook!$K7*d,IFS(x&lt;=ta,0,x&lt;=tb,25*(x-ta)/(tb-ta),x&lt;=tc,25+25*(x-tb)/(tc-tb),x&lt;=te,50+25*(x-tc)/(te-tc),x&lt;tf,75+25*(x-te)/(tf-te),TRUE,100)))</f>
        <v>100</v>
      </c>
      <c r="V7" s="35">
        <f>IF('Stress Inputs'!V7="","",LET(d,Rulebook!$L7,x,'Stress Inputs'!V7*d,ta,Rulebook!$G7*d,tb,Rulebook!$H7*d,tc,Rulebook!$I7*d,te,Rulebook!$J7*d,tf,Rulebook!$K7*d,IFS(x&lt;=ta,0,x&lt;=tb,25*(x-ta)/(tb-ta),x&lt;=tc,25+25*(x-tb)/(tc-tb),x&lt;=te,50+25*(x-tc)/(te-tc),x&lt;tf,75+25*(x-te)/(tf-te),TRUE,100)))</f>
        <v>82.89285714</v>
      </c>
    </row>
    <row r="8">
      <c r="A8" s="26" t="s">
        <v>149</v>
      </c>
      <c r="B8" s="26">
        <v>1.0</v>
      </c>
      <c r="C8" s="26" t="s">
        <v>151</v>
      </c>
      <c r="D8" s="26" t="s">
        <v>37</v>
      </c>
      <c r="E8" s="35">
        <f>IF('Stress Inputs'!E8="","",LET(d,Rulebook!$L8,x,'Stress Inputs'!E8*d,ta,Rulebook!$G8*d,tb,Rulebook!$H8*d,tc,Rulebook!$I8*d,te,Rulebook!$J8*d,tf,Rulebook!$K8*d,IFS(x&lt;=ta,0,x&lt;=tb,25*(x-ta)/(tb-ta),x&lt;=tc,25+25*(x-tb)/(tc-tb),x&lt;=te,50+25*(x-tc)/(te-tc),x&lt;tf,75+25*(x-te)/(tf-te),TRUE,100)))</f>
        <v>8.825</v>
      </c>
      <c r="F8" s="35">
        <f>IF('Stress Inputs'!F8="","",LET(d,Rulebook!$L8,x,'Stress Inputs'!F8*d,ta,Rulebook!$G8*d,tb,Rulebook!$H8*d,tc,Rulebook!$I8*d,te,Rulebook!$J8*d,tf,Rulebook!$K8*d,IFS(x&lt;=ta,0,x&lt;=tb,25*(x-ta)/(tb-ta),x&lt;=tc,25+25*(x-tb)/(tc-tb),x&lt;=te,50+25*(x-tc)/(te-tc),x&lt;tf,75+25*(x-te)/(tf-te),TRUE,100)))</f>
        <v>29.5</v>
      </c>
      <c r="G8" s="35">
        <f>IF('Stress Inputs'!G8="","",LET(d,Rulebook!$L8,x,'Stress Inputs'!G8*d,ta,Rulebook!$G8*d,tb,Rulebook!$H8*d,tc,Rulebook!$I8*d,te,Rulebook!$J8*d,tf,Rulebook!$K8*d,IFS(x&lt;=ta,0,x&lt;=tb,25*(x-ta)/(tb-ta),x&lt;=tc,25+25*(x-tb)/(tc-tb),x&lt;=te,50+25*(x-tc)/(te-tc),x&lt;tf,75+25*(x-te)/(tf-te),TRUE,100)))</f>
        <v>70.61</v>
      </c>
      <c r="H8" s="35">
        <f>IF('Stress Inputs'!H8="","",LET(d,Rulebook!$L8,x,'Stress Inputs'!H8*d,ta,Rulebook!$G8*d,tb,Rulebook!$H8*d,tc,Rulebook!$I8*d,te,Rulebook!$J8*d,tf,Rulebook!$K8*d,IFS(x&lt;=ta,0,x&lt;=tb,25*(x-ta)/(tb-ta),x&lt;=tc,25+25*(x-tb)/(tc-tb),x&lt;=te,50+25*(x-tc)/(te-tc),x&lt;tf,75+25*(x-te)/(tf-te),TRUE,100)))</f>
        <v>39.73</v>
      </c>
      <c r="I8" s="35">
        <f>IF('Stress Inputs'!I8="","",LET(d,Rulebook!$L8,x,'Stress Inputs'!I8*d,ta,Rulebook!$G8*d,tb,Rulebook!$H8*d,tc,Rulebook!$I8*d,te,Rulebook!$J8*d,tf,Rulebook!$K8*d,IFS(x&lt;=ta,0,x&lt;=tb,25*(x-ta)/(tb-ta),x&lt;=tc,25+25*(x-tb)/(tc-tb),x&lt;=te,50+25*(x-tc)/(te-tc),x&lt;tf,75+25*(x-te)/(tf-te),TRUE,100)))</f>
        <v>0</v>
      </c>
      <c r="J8" s="35">
        <f>IF('Stress Inputs'!J8="","",LET(d,Rulebook!$L8,x,'Stress Inputs'!J8*d,ta,Rulebook!$G8*d,tb,Rulebook!$H8*d,tc,Rulebook!$I8*d,te,Rulebook!$J8*d,tf,Rulebook!$K8*d,IFS(x&lt;=ta,0,x&lt;=tb,25*(x-ta)/(tb-ta),x&lt;=tc,25+25*(x-tb)/(tc-tb),x&lt;=te,50+25*(x-tc)/(te-tc),x&lt;tf,75+25*(x-te)/(tf-te),TRUE,100)))</f>
        <v>100</v>
      </c>
      <c r="K8" s="35">
        <f>IF('Stress Inputs'!K8="","",LET(d,Rulebook!$L8,x,'Stress Inputs'!K8*d,ta,Rulebook!$G8*d,tb,Rulebook!$H8*d,tc,Rulebook!$I8*d,te,Rulebook!$J8*d,tf,Rulebook!$K8*d,IFS(x&lt;=ta,0,x&lt;=tb,25*(x-ta)/(tb-ta),x&lt;=tc,25+25*(x-tb)/(tc-tb),x&lt;=te,50+25*(x-tc)/(te-tc),x&lt;tf,75+25*(x-te)/(tf-te),TRUE,100)))</f>
        <v>4.1825</v>
      </c>
      <c r="L8" s="35">
        <f>IF('Stress Inputs'!L8="","",LET(d,Rulebook!$L8,x,'Stress Inputs'!L8*d,ta,Rulebook!$G8*d,tb,Rulebook!$H8*d,tc,Rulebook!$I8*d,te,Rulebook!$J8*d,tf,Rulebook!$K8*d,IFS(x&lt;=ta,0,x&lt;=tb,25*(x-ta)/(tb-ta),x&lt;=tc,25+25*(x-tb)/(tc-tb),x&lt;=te,50+25*(x-tc)/(te-tc),x&lt;tf,75+25*(x-te)/(tf-te),TRUE,100)))</f>
        <v>50.0775</v>
      </c>
      <c r="M8" s="35">
        <f>IF('Stress Inputs'!M8="","",LET(d,Rulebook!$L8,x,'Stress Inputs'!M8*d,ta,Rulebook!$G8*d,tb,Rulebook!$H8*d,tc,Rulebook!$I8*d,te,Rulebook!$J8*d,tf,Rulebook!$K8*d,IFS(x&lt;=ta,0,x&lt;=tb,25*(x-ta)/(tb-ta),x&lt;=tc,25+25*(x-tb)/(tc-tb),x&lt;=te,50+25*(x-tc)/(te-tc),x&lt;tf,75+25*(x-te)/(tf-te),TRUE,100)))</f>
        <v>89.8</v>
      </c>
      <c r="N8" s="35">
        <f>IF('Stress Inputs'!N8="","",LET(d,Rulebook!$L8,x,'Stress Inputs'!N8*d,ta,Rulebook!$G8*d,tb,Rulebook!$H8*d,tc,Rulebook!$I8*d,te,Rulebook!$J8*d,tf,Rulebook!$K8*d,IFS(x&lt;=ta,0,x&lt;=tb,25*(x-ta)/(tb-ta),x&lt;=tc,25+25*(x-tb)/(tc-tb),x&lt;=te,50+25*(x-tc)/(te-tc),x&lt;tf,75+25*(x-te)/(tf-te),TRUE,100)))</f>
        <v>14.615</v>
      </c>
      <c r="O8" s="35">
        <f>IF('Stress Inputs'!O8="","",LET(d,Rulebook!$L8,x,'Stress Inputs'!O8*d,ta,Rulebook!$G8*d,tb,Rulebook!$H8*d,tc,Rulebook!$I8*d,te,Rulebook!$J8*d,tf,Rulebook!$K8*d,IFS(x&lt;=ta,0,x&lt;=tb,25*(x-ta)/(tb-ta),x&lt;=tc,25+25*(x-tb)/(tc-tb),x&lt;=te,50+25*(x-tc)/(te-tc),x&lt;tf,75+25*(x-te)/(tf-te),TRUE,100)))</f>
        <v>80.425</v>
      </c>
      <c r="P8" s="35">
        <f>IF('Stress Inputs'!P8="","",LET(d,Rulebook!$L8,x,'Stress Inputs'!P8*d,ta,Rulebook!$G8*d,tb,Rulebook!$H8*d,tc,Rulebook!$I8*d,te,Rulebook!$J8*d,tf,Rulebook!$K8*d,IFS(x&lt;=ta,0,x&lt;=tb,25*(x-ta)/(tb-ta),x&lt;=tc,25+25*(x-tb)/(tc-tb),x&lt;=te,50+25*(x-tc)/(te-tc),x&lt;tf,75+25*(x-te)/(tf-te),TRUE,100)))</f>
        <v>39.7325</v>
      </c>
      <c r="Q8" s="35">
        <f>IF('Stress Inputs'!Q8="","",LET(d,Rulebook!$L8,x,'Stress Inputs'!Q8*d,ta,Rulebook!$G8*d,tb,Rulebook!$H8*d,tc,Rulebook!$I8*d,te,Rulebook!$J8*d,tf,Rulebook!$K8*d,IFS(x&lt;=ta,0,x&lt;=tb,25*(x-ta)/(tb-ta),x&lt;=tc,25+25*(x-tb)/(tc-tb),x&lt;=te,50+25*(x-tc)/(te-tc),x&lt;tf,75+25*(x-te)/(tf-te),TRUE,100)))</f>
        <v>24.4875</v>
      </c>
      <c r="R8" s="35">
        <f>IF('Stress Inputs'!R8="","",LET(d,Rulebook!$L8,x,'Stress Inputs'!R8*d,ta,Rulebook!$G8*d,tb,Rulebook!$H8*d,tc,Rulebook!$I8*d,te,Rulebook!$J8*d,tf,Rulebook!$K8*d,IFS(x&lt;=ta,0,x&lt;=tb,25*(x-ta)/(tb-ta),x&lt;=tc,25+25*(x-tb)/(tc-tb),x&lt;=te,50+25*(x-tc)/(te-tc),x&lt;tf,75+25*(x-te)/(tf-te),TRUE,100)))</f>
        <v>100</v>
      </c>
      <c r="S8" s="35">
        <f>IF('Stress Inputs'!S8="","",LET(d,Rulebook!$L8,x,'Stress Inputs'!S8*d,ta,Rulebook!$G8*d,tb,Rulebook!$H8*d,tc,Rulebook!$I8*d,te,Rulebook!$J8*d,tf,Rulebook!$K8*d,IFS(x&lt;=ta,0,x&lt;=tb,25*(x-ta)/(tb-ta),x&lt;=tc,25+25*(x-tb)/(tc-tb),x&lt;=te,50+25*(x-tc)/(te-tc),x&lt;tf,75+25*(x-te)/(tf-te),TRUE,100)))</f>
        <v>29.3</v>
      </c>
      <c r="T8" s="35">
        <f>IF('Stress Inputs'!T8="","",LET(d,Rulebook!$L8,x,'Stress Inputs'!T8*d,ta,Rulebook!$G8*d,tb,Rulebook!$H8*d,tc,Rulebook!$I8*d,te,Rulebook!$J8*d,tf,Rulebook!$K8*d,IFS(x&lt;=ta,0,x&lt;=tb,25*(x-ta)/(tb-ta),x&lt;=tc,25+25*(x-tb)/(tc-tb),x&lt;=te,50+25*(x-tc)/(te-tc),x&lt;tf,75+25*(x-te)/(tf-te),TRUE,100)))</f>
        <v>71</v>
      </c>
      <c r="U8" s="35">
        <f>IF('Stress Inputs'!U8="","",LET(d,Rulebook!$L8,x,'Stress Inputs'!U8*d,ta,Rulebook!$G8*d,tb,Rulebook!$H8*d,tc,Rulebook!$I8*d,te,Rulebook!$J8*d,tf,Rulebook!$K8*d,IFS(x&lt;=ta,0,x&lt;=tb,25*(x-ta)/(tb-ta),x&lt;=tc,25+25*(x-tb)/(tc-tb),x&lt;=te,50+25*(x-tc)/(te-tc),x&lt;tf,75+25*(x-te)/(tf-te),TRUE,100)))</f>
        <v>30.625</v>
      </c>
      <c r="V8" s="35">
        <f>IF('Stress Inputs'!V8="","",LET(d,Rulebook!$L8,x,'Stress Inputs'!V8*d,ta,Rulebook!$G8*d,tb,Rulebook!$H8*d,tc,Rulebook!$I8*d,te,Rulebook!$J8*d,tf,Rulebook!$K8*d,IFS(x&lt;=ta,0,x&lt;=tb,25*(x-ta)/(tb-ta),x&lt;=tc,25+25*(x-tb)/(tc-tb),x&lt;=te,50+25*(x-tc)/(te-tc),x&lt;tf,75+25*(x-te)/(tf-te),TRUE,100)))</f>
        <v>19.875</v>
      </c>
    </row>
    <row r="9">
      <c r="A9" s="26" t="s">
        <v>176</v>
      </c>
      <c r="B9" s="26">
        <v>1.0</v>
      </c>
      <c r="C9" s="26" t="s">
        <v>179</v>
      </c>
      <c r="D9" s="26" t="s">
        <v>182</v>
      </c>
      <c r="E9" s="35" t="str">
        <f>IF('Stress Inputs'!E9="","",LET(d,Rulebook!$L9,x,'Stress Inputs'!E9*d,ta,Rulebook!$G9*d,tb,Rulebook!$H9*d,tc,Rulebook!$I9*d,te,Rulebook!$J9*d,tf,Rulebook!$K9*d,IFS(x&lt;=ta,0,x&lt;=tb,25*(x-ta)/(tb-ta),x&lt;=tc,25+25*(x-tb)/(tc-tb),x&lt;=te,50+25*(x-tc)/(te-tc),x&lt;tf,75+25*(x-te)/(tf-te),TRUE,100)))</f>
        <v/>
      </c>
      <c r="F9" s="35" t="str">
        <f>IF('Stress Inputs'!F9="","",LET(d,Rulebook!$L9,x,'Stress Inputs'!F9*d,ta,Rulebook!$G9*d,tb,Rulebook!$H9*d,tc,Rulebook!$I9*d,te,Rulebook!$J9*d,tf,Rulebook!$K9*d,IFS(x&lt;=ta,0,x&lt;=tb,25*(x-ta)/(tb-ta),x&lt;=tc,25+25*(x-tb)/(tc-tb),x&lt;=te,50+25*(x-tc)/(te-tc),x&lt;tf,75+25*(x-te)/(tf-te),TRUE,100)))</f>
        <v/>
      </c>
      <c r="G9" s="35" t="str">
        <f>IF('Stress Inputs'!G9="","",LET(d,Rulebook!$L9,x,'Stress Inputs'!G9*d,ta,Rulebook!$G9*d,tb,Rulebook!$H9*d,tc,Rulebook!$I9*d,te,Rulebook!$J9*d,tf,Rulebook!$K9*d,IFS(x&lt;=ta,0,x&lt;=tb,25*(x-ta)/(tb-ta),x&lt;=tc,25+25*(x-tb)/(tc-tb),x&lt;=te,50+25*(x-tc)/(te-tc),x&lt;tf,75+25*(x-te)/(tf-te),TRUE,100)))</f>
        <v/>
      </c>
      <c r="H9" s="35" t="str">
        <f>IF('Stress Inputs'!H9="","",LET(d,Rulebook!$L9,x,'Stress Inputs'!H9*d,ta,Rulebook!$G9*d,tb,Rulebook!$H9*d,tc,Rulebook!$I9*d,te,Rulebook!$J9*d,tf,Rulebook!$K9*d,IFS(x&lt;=ta,0,x&lt;=tb,25*(x-ta)/(tb-ta),x&lt;=tc,25+25*(x-tb)/(tc-tb),x&lt;=te,50+25*(x-tc)/(te-tc),x&lt;tf,75+25*(x-te)/(tf-te),TRUE,100)))</f>
        <v/>
      </c>
      <c r="I9" s="35" t="str">
        <f>IF('Stress Inputs'!I9="","",LET(d,Rulebook!$L9,x,'Stress Inputs'!I9*d,ta,Rulebook!$G9*d,tb,Rulebook!$H9*d,tc,Rulebook!$I9*d,te,Rulebook!$J9*d,tf,Rulebook!$K9*d,IFS(x&lt;=ta,0,x&lt;=tb,25*(x-ta)/(tb-ta),x&lt;=tc,25+25*(x-tb)/(tc-tb),x&lt;=te,50+25*(x-tc)/(te-tc),x&lt;tf,75+25*(x-te)/(tf-te),TRUE,100)))</f>
        <v/>
      </c>
      <c r="J9" s="35" t="str">
        <f>IF('Stress Inputs'!J9="","",LET(d,Rulebook!$L9,x,'Stress Inputs'!J9*d,ta,Rulebook!$G9*d,tb,Rulebook!$H9*d,tc,Rulebook!$I9*d,te,Rulebook!$J9*d,tf,Rulebook!$K9*d,IFS(x&lt;=ta,0,x&lt;=tb,25*(x-ta)/(tb-ta),x&lt;=tc,25+25*(x-tb)/(tc-tb),x&lt;=te,50+25*(x-tc)/(te-tc),x&lt;tf,75+25*(x-te)/(tf-te),TRUE,100)))</f>
        <v/>
      </c>
      <c r="K9" s="35" t="str">
        <f>IF('Stress Inputs'!K9="","",LET(d,Rulebook!$L9,x,'Stress Inputs'!K9*d,ta,Rulebook!$G9*d,tb,Rulebook!$H9*d,tc,Rulebook!$I9*d,te,Rulebook!$J9*d,tf,Rulebook!$K9*d,IFS(x&lt;=ta,0,x&lt;=tb,25*(x-ta)/(tb-ta),x&lt;=tc,25+25*(x-tb)/(tc-tb),x&lt;=te,50+25*(x-tc)/(te-tc),x&lt;tf,75+25*(x-te)/(tf-te),TRUE,100)))</f>
        <v/>
      </c>
      <c r="L9" s="35" t="str">
        <f>IF('Stress Inputs'!L9="","",LET(d,Rulebook!$L9,x,'Stress Inputs'!L9*d,ta,Rulebook!$G9*d,tb,Rulebook!$H9*d,tc,Rulebook!$I9*d,te,Rulebook!$J9*d,tf,Rulebook!$K9*d,IFS(x&lt;=ta,0,x&lt;=tb,25*(x-ta)/(tb-ta),x&lt;=tc,25+25*(x-tb)/(tc-tb),x&lt;=te,50+25*(x-tc)/(te-tc),x&lt;tf,75+25*(x-te)/(tf-te),TRUE,100)))</f>
        <v/>
      </c>
      <c r="M9" s="35" t="str">
        <f>IF('Stress Inputs'!M9="","",LET(d,Rulebook!$L9,x,'Stress Inputs'!M9*d,ta,Rulebook!$G9*d,tb,Rulebook!$H9*d,tc,Rulebook!$I9*d,te,Rulebook!$J9*d,tf,Rulebook!$K9*d,IFS(x&lt;=ta,0,x&lt;=tb,25*(x-ta)/(tb-ta),x&lt;=tc,25+25*(x-tb)/(tc-tb),x&lt;=te,50+25*(x-tc)/(te-tc),x&lt;tf,75+25*(x-te)/(tf-te),TRUE,100)))</f>
        <v/>
      </c>
      <c r="N9" s="35" t="str">
        <f>IF('Stress Inputs'!N9="","",LET(d,Rulebook!$L9,x,'Stress Inputs'!N9*d,ta,Rulebook!$G9*d,tb,Rulebook!$H9*d,tc,Rulebook!$I9*d,te,Rulebook!$J9*d,tf,Rulebook!$K9*d,IFS(x&lt;=ta,0,x&lt;=tb,25*(x-ta)/(tb-ta),x&lt;=tc,25+25*(x-tb)/(tc-tb),x&lt;=te,50+25*(x-tc)/(te-tc),x&lt;tf,75+25*(x-te)/(tf-te),TRUE,100)))</f>
        <v/>
      </c>
      <c r="O9" s="35" t="str">
        <f>IF('Stress Inputs'!O9="","",LET(d,Rulebook!$L9,x,'Stress Inputs'!O9*d,ta,Rulebook!$G9*d,tb,Rulebook!$H9*d,tc,Rulebook!$I9*d,te,Rulebook!$J9*d,tf,Rulebook!$K9*d,IFS(x&lt;=ta,0,x&lt;=tb,25*(x-ta)/(tb-ta),x&lt;=tc,25+25*(x-tb)/(tc-tb),x&lt;=te,50+25*(x-tc)/(te-tc),x&lt;tf,75+25*(x-te)/(tf-te),TRUE,100)))</f>
        <v/>
      </c>
      <c r="P9" s="35" t="str">
        <f>IF('Stress Inputs'!P9="","",LET(d,Rulebook!$L9,x,'Stress Inputs'!P9*d,ta,Rulebook!$G9*d,tb,Rulebook!$H9*d,tc,Rulebook!$I9*d,te,Rulebook!$J9*d,tf,Rulebook!$K9*d,IFS(x&lt;=ta,0,x&lt;=tb,25*(x-ta)/(tb-ta),x&lt;=tc,25+25*(x-tb)/(tc-tb),x&lt;=te,50+25*(x-tc)/(te-tc),x&lt;tf,75+25*(x-te)/(tf-te),TRUE,100)))</f>
        <v/>
      </c>
      <c r="Q9" s="35" t="str">
        <f>IF('Stress Inputs'!Q9="","",LET(d,Rulebook!$L9,x,'Stress Inputs'!Q9*d,ta,Rulebook!$G9*d,tb,Rulebook!$H9*d,tc,Rulebook!$I9*d,te,Rulebook!$J9*d,tf,Rulebook!$K9*d,IFS(x&lt;=ta,0,x&lt;=tb,25*(x-ta)/(tb-ta),x&lt;=tc,25+25*(x-tb)/(tc-tb),x&lt;=te,50+25*(x-tc)/(te-tc),x&lt;tf,75+25*(x-te)/(tf-te),TRUE,100)))</f>
        <v/>
      </c>
      <c r="R9" s="35" t="str">
        <f>IF('Stress Inputs'!R9="","",LET(d,Rulebook!$L9,x,'Stress Inputs'!R9*d,ta,Rulebook!$G9*d,tb,Rulebook!$H9*d,tc,Rulebook!$I9*d,te,Rulebook!$J9*d,tf,Rulebook!$K9*d,IFS(x&lt;=ta,0,x&lt;=tb,25*(x-ta)/(tb-ta),x&lt;=tc,25+25*(x-tb)/(tc-tb),x&lt;=te,50+25*(x-tc)/(te-tc),x&lt;tf,75+25*(x-te)/(tf-te),TRUE,100)))</f>
        <v/>
      </c>
      <c r="S9" s="35" t="str">
        <f>IF('Stress Inputs'!S9="","",LET(d,Rulebook!$L9,x,'Stress Inputs'!S9*d,ta,Rulebook!$G9*d,tb,Rulebook!$H9*d,tc,Rulebook!$I9*d,te,Rulebook!$J9*d,tf,Rulebook!$K9*d,IFS(x&lt;=ta,0,x&lt;=tb,25*(x-ta)/(tb-ta),x&lt;=tc,25+25*(x-tb)/(tc-tb),x&lt;=te,50+25*(x-tc)/(te-tc),x&lt;tf,75+25*(x-te)/(tf-te),TRUE,100)))</f>
        <v/>
      </c>
      <c r="T9" s="35" t="str">
        <f>IF('Stress Inputs'!T9="","",LET(d,Rulebook!$L9,x,'Stress Inputs'!T9*d,ta,Rulebook!$G9*d,tb,Rulebook!$H9*d,tc,Rulebook!$I9*d,te,Rulebook!$J9*d,tf,Rulebook!$K9*d,IFS(x&lt;=ta,0,x&lt;=tb,25*(x-ta)/(tb-ta),x&lt;=tc,25+25*(x-tb)/(tc-tb),x&lt;=te,50+25*(x-tc)/(te-tc),x&lt;tf,75+25*(x-te)/(tf-te),TRUE,100)))</f>
        <v/>
      </c>
      <c r="U9" s="35" t="str">
        <f>IF('Stress Inputs'!U9="","",LET(d,Rulebook!$L9,x,'Stress Inputs'!U9*d,ta,Rulebook!$G9*d,tb,Rulebook!$H9*d,tc,Rulebook!$I9*d,te,Rulebook!$J9*d,tf,Rulebook!$K9*d,IFS(x&lt;=ta,0,x&lt;=tb,25*(x-ta)/(tb-ta),x&lt;=tc,25+25*(x-tb)/(tc-tb),x&lt;=te,50+25*(x-tc)/(te-tc),x&lt;tf,75+25*(x-te)/(tf-te),TRUE,100)))</f>
        <v/>
      </c>
      <c r="V9" s="35" t="str">
        <f>IF('Stress Inputs'!V9="","",LET(d,Rulebook!$L9,x,'Stress Inputs'!V9*d,ta,Rulebook!$G9*d,tb,Rulebook!$H9*d,tc,Rulebook!$I9*d,te,Rulebook!$J9*d,tf,Rulebook!$K9*d,IFS(x&lt;=ta,0,x&lt;=tb,25*(x-ta)/(tb-ta),x&lt;=tc,25+25*(x-tb)/(tc-tb),x&lt;=te,50+25*(x-tc)/(te-tc),x&lt;tf,75+25*(x-te)/(tf-te),TRUE,100)))</f>
        <v/>
      </c>
    </row>
    <row r="10">
      <c r="A10" s="26" t="s">
        <v>202</v>
      </c>
      <c r="B10" s="26">
        <v>1.0</v>
      </c>
      <c r="C10" s="26" t="s">
        <v>205</v>
      </c>
      <c r="D10" s="26" t="s">
        <v>125</v>
      </c>
      <c r="E10" s="35">
        <f>IF('Stress Inputs'!E10="","",LET(d,Rulebook!$L10,x,'Stress Inputs'!E10*d,ta,Rulebook!$G10*d,tb,Rulebook!$H10*d,tc,Rulebook!$I10*d,te,Rulebook!$J10*d,tf,Rulebook!$K10*d,IFS(x&lt;=ta,0,x&lt;=tb,25*(x-ta)/(tb-ta),x&lt;=tc,25+25*(x-tb)/(tc-tb),x&lt;=te,50+25*(x-tc)/(te-tc),x&lt;tf,75+25*(x-te)/(tf-te),TRUE,100)))</f>
        <v>23.125</v>
      </c>
      <c r="F10" s="35">
        <f>IF('Stress Inputs'!F10="","",LET(d,Rulebook!$L10,x,'Stress Inputs'!F10*d,ta,Rulebook!$G10*d,tb,Rulebook!$H10*d,tc,Rulebook!$I10*d,te,Rulebook!$J10*d,tf,Rulebook!$K10*d,IFS(x&lt;=ta,0,x&lt;=tb,25*(x-ta)/(tb-ta),x&lt;=tc,25+25*(x-tb)/(tc-tb),x&lt;=te,50+25*(x-tc)/(te-tc),x&lt;tf,75+25*(x-te)/(tf-te),TRUE,100)))</f>
        <v>68.33333333</v>
      </c>
      <c r="G10" s="35">
        <f>IF('Stress Inputs'!G10="","",LET(d,Rulebook!$L10,x,'Stress Inputs'!G10*d,ta,Rulebook!$G10*d,tb,Rulebook!$H10*d,tc,Rulebook!$I10*d,te,Rulebook!$J10*d,tf,Rulebook!$K10*d,IFS(x&lt;=ta,0,x&lt;=tb,25*(x-ta)/(tb-ta),x&lt;=tc,25+25*(x-tb)/(tc-tb),x&lt;=te,50+25*(x-tc)/(te-tc),x&lt;tf,75+25*(x-te)/(tf-te),TRUE,100)))</f>
        <v>100</v>
      </c>
      <c r="H10" s="35">
        <f>IF('Stress Inputs'!H10="","",LET(d,Rulebook!$L10,x,'Stress Inputs'!H10*d,ta,Rulebook!$G10*d,tb,Rulebook!$H10*d,tc,Rulebook!$I10*d,te,Rulebook!$J10*d,tf,Rulebook!$K10*d,IFS(x&lt;=ta,0,x&lt;=tb,25*(x-ta)/(tb-ta),x&lt;=tc,25+25*(x-tb)/(tc-tb),x&lt;=te,50+25*(x-tc)/(te-tc),x&lt;tf,75+25*(x-te)/(tf-te),TRUE,100)))</f>
        <v>63.83333333</v>
      </c>
      <c r="I10" s="35">
        <f>IF('Stress Inputs'!I10="","",LET(d,Rulebook!$L10,x,'Stress Inputs'!I10*d,ta,Rulebook!$G10*d,tb,Rulebook!$H10*d,tc,Rulebook!$I10*d,te,Rulebook!$J10*d,tf,Rulebook!$K10*d,IFS(x&lt;=ta,0,x&lt;=tb,25*(x-ta)/(tb-ta),x&lt;=tc,25+25*(x-tb)/(tc-tb),x&lt;=te,50+25*(x-tc)/(te-tc),x&lt;tf,75+25*(x-te)/(tf-te),TRUE,100)))</f>
        <v>66.25</v>
      </c>
      <c r="J10" s="35">
        <f>IF('Stress Inputs'!J10="","",LET(d,Rulebook!$L10,x,'Stress Inputs'!J10*d,ta,Rulebook!$G10*d,tb,Rulebook!$H10*d,tc,Rulebook!$I10*d,te,Rulebook!$J10*d,tf,Rulebook!$K10*d,IFS(x&lt;=ta,0,x&lt;=tb,25*(x-ta)/(tb-ta),x&lt;=tc,25+25*(x-tb)/(tc-tb),x&lt;=te,50+25*(x-tc)/(te-tc),x&lt;tf,75+25*(x-te)/(tf-te),TRUE,100)))</f>
        <v>100</v>
      </c>
      <c r="K10" s="35">
        <f>IF('Stress Inputs'!K10="","",LET(d,Rulebook!$L10,x,'Stress Inputs'!K10*d,ta,Rulebook!$G10*d,tb,Rulebook!$H10*d,tc,Rulebook!$I10*d,te,Rulebook!$J10*d,tf,Rulebook!$K10*d,IFS(x&lt;=ta,0,x&lt;=tb,25*(x-ta)/(tb-ta),x&lt;=tc,25+25*(x-tb)/(tc-tb),x&lt;=te,50+25*(x-tc)/(te-tc),x&lt;tf,75+25*(x-te)/(tf-te),TRUE,100)))</f>
        <v>54.70833333</v>
      </c>
      <c r="L10" s="35">
        <f>IF('Stress Inputs'!L10="","",LET(d,Rulebook!$L10,x,'Stress Inputs'!L10*d,ta,Rulebook!$G10*d,tb,Rulebook!$H10*d,tc,Rulebook!$I10*d,te,Rulebook!$J10*d,tf,Rulebook!$K10*d,IFS(x&lt;=ta,0,x&lt;=tb,25*(x-ta)/(tb-ta),x&lt;=tc,25+25*(x-tb)/(tc-tb),x&lt;=te,50+25*(x-tc)/(te-tc),x&lt;tf,75+25*(x-te)/(tf-te),TRUE,100)))</f>
        <v>86.29166667</v>
      </c>
      <c r="M10" s="35">
        <f>IF('Stress Inputs'!M10="","",LET(d,Rulebook!$L10,x,'Stress Inputs'!M10*d,ta,Rulebook!$G10*d,tb,Rulebook!$H10*d,tc,Rulebook!$I10*d,te,Rulebook!$J10*d,tf,Rulebook!$K10*d,IFS(x&lt;=ta,0,x&lt;=tb,25*(x-ta)/(tb-ta),x&lt;=tc,25+25*(x-tb)/(tc-tb),x&lt;=te,50+25*(x-tc)/(te-tc),x&lt;tf,75+25*(x-te)/(tf-te),TRUE,100)))</f>
        <v>35</v>
      </c>
      <c r="N10" s="35">
        <f>IF('Stress Inputs'!N10="","",LET(d,Rulebook!$L10,x,'Stress Inputs'!N10*d,ta,Rulebook!$G10*d,tb,Rulebook!$H10*d,tc,Rulebook!$I10*d,te,Rulebook!$J10*d,tf,Rulebook!$K10*d,IFS(x&lt;=ta,0,x&lt;=tb,25*(x-ta)/(tb-ta),x&lt;=tc,25+25*(x-tb)/(tc-tb),x&lt;=te,50+25*(x-tc)/(te-tc),x&lt;tf,75+25*(x-te)/(tf-te),TRUE,100)))</f>
        <v>42.875</v>
      </c>
      <c r="O10" s="35">
        <f>IF('Stress Inputs'!O10="","",LET(d,Rulebook!$L10,x,'Stress Inputs'!O10*d,ta,Rulebook!$G10*d,tb,Rulebook!$H10*d,tc,Rulebook!$I10*d,te,Rulebook!$J10*d,tf,Rulebook!$K10*d,IFS(x&lt;=ta,0,x&lt;=tb,25*(x-ta)/(tb-ta),x&lt;=tc,25+25*(x-tb)/(tc-tb),x&lt;=te,50+25*(x-tc)/(te-tc),x&lt;tf,75+25*(x-te)/(tf-te),TRUE,100)))</f>
        <v>92.08333333</v>
      </c>
      <c r="P10" s="35">
        <f>IF('Stress Inputs'!P10="","",LET(d,Rulebook!$L10,x,'Stress Inputs'!P10*d,ta,Rulebook!$G10*d,tb,Rulebook!$H10*d,tc,Rulebook!$I10*d,te,Rulebook!$J10*d,tf,Rulebook!$K10*d,IFS(x&lt;=ta,0,x&lt;=tb,25*(x-ta)/(tb-ta),x&lt;=tc,25+25*(x-tb)/(tc-tb),x&lt;=te,50+25*(x-tc)/(te-tc),x&lt;tf,75+25*(x-te)/(tf-te),TRUE,100)))</f>
        <v>33.3125</v>
      </c>
      <c r="Q10" s="35">
        <f>IF('Stress Inputs'!Q10="","",LET(d,Rulebook!$L10,x,'Stress Inputs'!Q10*d,ta,Rulebook!$G10*d,tb,Rulebook!$H10*d,tc,Rulebook!$I10*d,te,Rulebook!$J10*d,tf,Rulebook!$K10*d,IFS(x&lt;=ta,0,x&lt;=tb,25*(x-ta)/(tb-ta),x&lt;=tc,25+25*(x-tb)/(tc-tb),x&lt;=te,50+25*(x-tc)/(te-tc),x&lt;tf,75+25*(x-te)/(tf-te),TRUE,100)))</f>
        <v>93.125</v>
      </c>
      <c r="R10" s="35">
        <f>IF('Stress Inputs'!R10="","",LET(d,Rulebook!$L10,x,'Stress Inputs'!R10*d,ta,Rulebook!$G10*d,tb,Rulebook!$H10*d,tc,Rulebook!$I10*d,te,Rulebook!$J10*d,tf,Rulebook!$K10*d,IFS(x&lt;=ta,0,x&lt;=tb,25*(x-ta)/(tb-ta),x&lt;=tc,25+25*(x-tb)/(tc-tb),x&lt;=te,50+25*(x-tc)/(te-tc),x&lt;tf,75+25*(x-te)/(tf-te),TRUE,100)))</f>
        <v>100</v>
      </c>
      <c r="S10" s="35">
        <f>IF('Stress Inputs'!S10="","",LET(d,Rulebook!$L10,x,'Stress Inputs'!S10*d,ta,Rulebook!$G10*d,tb,Rulebook!$H10*d,tc,Rulebook!$I10*d,te,Rulebook!$J10*d,tf,Rulebook!$K10*d,IFS(x&lt;=ta,0,x&lt;=tb,25*(x-ta)/(tb-ta),x&lt;=tc,25+25*(x-tb)/(tc-tb),x&lt;=te,50+25*(x-tc)/(te-tc),x&lt;tf,75+25*(x-te)/(tf-te),TRUE,100)))</f>
        <v>81.66666667</v>
      </c>
      <c r="T10" s="35">
        <f>IF('Stress Inputs'!T10="","",LET(d,Rulebook!$L10,x,'Stress Inputs'!T10*d,ta,Rulebook!$G10*d,tb,Rulebook!$H10*d,tc,Rulebook!$I10*d,te,Rulebook!$J10*d,tf,Rulebook!$K10*d,IFS(x&lt;=ta,0,x&lt;=tb,25*(x-ta)/(tb-ta),x&lt;=tc,25+25*(x-tb)/(tc-tb),x&lt;=te,50+25*(x-tc)/(te-tc),x&lt;tf,75+25*(x-te)/(tf-te),TRUE,100)))</f>
        <v>100</v>
      </c>
      <c r="U10" s="35">
        <f>IF('Stress Inputs'!U10="","",LET(d,Rulebook!$L10,x,'Stress Inputs'!U10*d,ta,Rulebook!$G10*d,tb,Rulebook!$H10*d,tc,Rulebook!$I10*d,te,Rulebook!$J10*d,tf,Rulebook!$K10*d,IFS(x&lt;=ta,0,x&lt;=tb,25*(x-ta)/(tb-ta),x&lt;=tc,25+25*(x-tb)/(tc-tb),x&lt;=te,50+25*(x-tc)/(te-tc),x&lt;tf,75+25*(x-te)/(tf-te),TRUE,100)))</f>
        <v>62.08333333</v>
      </c>
      <c r="V10" s="35">
        <f>IF('Stress Inputs'!V10="","",LET(d,Rulebook!$L10,x,'Stress Inputs'!V10*d,ta,Rulebook!$G10*d,tb,Rulebook!$H10*d,tc,Rulebook!$I10*d,te,Rulebook!$J10*d,tf,Rulebook!$K10*d,IFS(x&lt;=ta,0,x&lt;=tb,25*(x-ta)/(tb-ta),x&lt;=tc,25+25*(x-tb)/(tc-tb),x&lt;=te,50+25*(x-tc)/(te-tc),x&lt;tf,75+25*(x-te)/(tf-te),TRUE,100)))</f>
        <v>74.58333333</v>
      </c>
    </row>
    <row r="11">
      <c r="A11" s="26" t="s">
        <v>220</v>
      </c>
      <c r="B11" s="26">
        <v>1.0</v>
      </c>
      <c r="C11" s="26" t="s">
        <v>221</v>
      </c>
      <c r="D11" s="26" t="s">
        <v>125</v>
      </c>
      <c r="E11" s="35">
        <f>IF('Stress Inputs'!E11="","",LET(d,Rulebook!$L11,x,'Stress Inputs'!E11*d,ta,Rulebook!$G11*d,tb,Rulebook!$H11*d,tc,Rulebook!$I11*d,te,Rulebook!$J11*d,tf,Rulebook!$K11*d,IFS(x&lt;=ta,0,x&lt;=tb,25*(x-ta)/(tb-ta),x&lt;=tc,25+25*(x-tb)/(tc-tb),x&lt;=te,50+25*(x-tc)/(te-tc),x&lt;tf,75+25*(x-te)/(tf-te),TRUE,100)))</f>
        <v>10.20663265</v>
      </c>
      <c r="F11" s="35">
        <f>IF('Stress Inputs'!F11="","",LET(d,Rulebook!$L11,x,'Stress Inputs'!F11*d,ta,Rulebook!$G11*d,tb,Rulebook!$H11*d,tc,Rulebook!$I11*d,te,Rulebook!$J11*d,tf,Rulebook!$K11*d,IFS(x&lt;=ta,0,x&lt;=tb,25*(x-ta)/(tb-ta),x&lt;=tc,25+25*(x-tb)/(tc-tb),x&lt;=te,50+25*(x-tc)/(te-tc),x&lt;tf,75+25*(x-te)/(tf-te),TRUE,100)))</f>
        <v>63.10204082</v>
      </c>
      <c r="G11" s="35">
        <f>IF('Stress Inputs'!G11="","",LET(d,Rulebook!$L11,x,'Stress Inputs'!G11*d,ta,Rulebook!$G11*d,tb,Rulebook!$H11*d,tc,Rulebook!$I11*d,te,Rulebook!$J11*d,tf,Rulebook!$K11*d,IFS(x&lt;=ta,0,x&lt;=tb,25*(x-ta)/(tb-ta),x&lt;=tc,25+25*(x-tb)/(tc-tb),x&lt;=te,50+25*(x-tc)/(te-tc),x&lt;tf,75+25*(x-te)/(tf-te),TRUE,100)))</f>
        <v>100</v>
      </c>
      <c r="H11" s="35">
        <f>IF('Stress Inputs'!H11="","",LET(d,Rulebook!$L11,x,'Stress Inputs'!H11*d,ta,Rulebook!$G11*d,tb,Rulebook!$H11*d,tc,Rulebook!$I11*d,te,Rulebook!$J11*d,tf,Rulebook!$K11*d,IFS(x&lt;=ta,0,x&lt;=tb,25*(x-ta)/(tb-ta),x&lt;=tc,25+25*(x-tb)/(tc-tb),x&lt;=te,50+25*(x-tc)/(te-tc),x&lt;tf,75+25*(x-te)/(tf-te),TRUE,100)))</f>
        <v>44.67959184</v>
      </c>
      <c r="I11" s="35">
        <f>IF('Stress Inputs'!I11="","",LET(d,Rulebook!$L11,x,'Stress Inputs'!I11*d,ta,Rulebook!$G11*d,tb,Rulebook!$H11*d,tc,Rulebook!$I11*d,te,Rulebook!$J11*d,tf,Rulebook!$K11*d,IFS(x&lt;=ta,0,x&lt;=tb,25*(x-ta)/(tb-ta),x&lt;=tc,25+25*(x-tb)/(tc-tb),x&lt;=te,50+25*(x-tc)/(te-tc),x&lt;tf,75+25*(x-te)/(tf-te),TRUE,100)))</f>
        <v>100</v>
      </c>
      <c r="J11" s="35">
        <f>IF('Stress Inputs'!J11="","",LET(d,Rulebook!$L11,x,'Stress Inputs'!J11*d,ta,Rulebook!$G11*d,tb,Rulebook!$H11*d,tc,Rulebook!$I11*d,te,Rulebook!$J11*d,tf,Rulebook!$K11*d,IFS(x&lt;=ta,0,x&lt;=tb,25*(x-ta)/(tb-ta),x&lt;=tc,25+25*(x-tb)/(tc-tb),x&lt;=te,50+25*(x-tc)/(te-tc),x&lt;tf,75+25*(x-te)/(tf-te),TRUE,100)))</f>
        <v>0</v>
      </c>
      <c r="K11" s="35">
        <f>IF('Stress Inputs'!K11="","",LET(d,Rulebook!$L11,x,'Stress Inputs'!K11*d,ta,Rulebook!$G11*d,tb,Rulebook!$H11*d,tc,Rulebook!$I11*d,te,Rulebook!$J11*d,tf,Rulebook!$K11*d,IFS(x&lt;=ta,0,x&lt;=tb,25*(x-ta)/(tb-ta),x&lt;=tc,25+25*(x-tb)/(tc-tb),x&lt;=te,50+25*(x-tc)/(te-tc),x&lt;tf,75+25*(x-te)/(tf-te),TRUE,100)))</f>
        <v>41.2744898</v>
      </c>
      <c r="L11" s="35">
        <f>IF('Stress Inputs'!L11="","",LET(d,Rulebook!$L11,x,'Stress Inputs'!L11*d,ta,Rulebook!$G11*d,tb,Rulebook!$H11*d,tc,Rulebook!$I11*d,te,Rulebook!$J11*d,tf,Rulebook!$K11*d,IFS(x&lt;=ta,0,x&lt;=tb,25*(x-ta)/(tb-ta),x&lt;=tc,25+25*(x-tb)/(tc-tb),x&lt;=te,50+25*(x-tc)/(te-tc),x&lt;tf,75+25*(x-te)/(tf-te),TRUE,100)))</f>
        <v>3.159438776</v>
      </c>
      <c r="M11" s="35">
        <f>IF('Stress Inputs'!M11="","",LET(d,Rulebook!$L11,x,'Stress Inputs'!M11*d,ta,Rulebook!$G11*d,tb,Rulebook!$H11*d,tc,Rulebook!$I11*d,te,Rulebook!$J11*d,tf,Rulebook!$K11*d,IFS(x&lt;=ta,0,x&lt;=tb,25*(x-ta)/(tb-ta),x&lt;=tc,25+25*(x-tb)/(tc-tb),x&lt;=te,50+25*(x-tc)/(te-tc),x&lt;tf,75+25*(x-te)/(tf-te),TRUE,100)))</f>
        <v>31.28571429</v>
      </c>
      <c r="N11" s="35">
        <f>IF('Stress Inputs'!N11="","",LET(d,Rulebook!$L11,x,'Stress Inputs'!N11*d,ta,Rulebook!$G11*d,tb,Rulebook!$H11*d,tc,Rulebook!$I11*d,te,Rulebook!$J11*d,tf,Rulebook!$K11*d,IFS(x&lt;=ta,0,x&lt;=tb,25*(x-ta)/(tb-ta),x&lt;=tc,25+25*(x-tb)/(tc-tb),x&lt;=te,50+25*(x-tc)/(te-tc),x&lt;tf,75+25*(x-te)/(tf-te),TRUE,100)))</f>
        <v>0</v>
      </c>
      <c r="O11" s="35">
        <f>IF('Stress Inputs'!O11="","",LET(d,Rulebook!$L11,x,'Stress Inputs'!O11*d,ta,Rulebook!$G11*d,tb,Rulebook!$H11*d,tc,Rulebook!$I11*d,te,Rulebook!$J11*d,tf,Rulebook!$K11*d,IFS(x&lt;=ta,0,x&lt;=tb,25*(x-ta)/(tb-ta),x&lt;=tc,25+25*(x-tb)/(tc-tb),x&lt;=te,50+25*(x-tc)/(te-tc),x&lt;tf,75+25*(x-te)/(tf-te),TRUE,100)))</f>
        <v>46.85714286</v>
      </c>
      <c r="P11" s="35">
        <f>IF('Stress Inputs'!P11="","",LET(d,Rulebook!$L11,x,'Stress Inputs'!P11*d,ta,Rulebook!$G11*d,tb,Rulebook!$H11*d,tc,Rulebook!$I11*d,te,Rulebook!$J11*d,tf,Rulebook!$K11*d,IFS(x&lt;=ta,0,x&lt;=tb,25*(x-ta)/(tb-ta),x&lt;=tc,25+25*(x-tb)/(tc-tb),x&lt;=te,50+25*(x-tc)/(te-tc),x&lt;tf,75+25*(x-te)/(tf-te),TRUE,100)))</f>
        <v>0</v>
      </c>
      <c r="Q11" s="35">
        <f>IF('Stress Inputs'!Q11="","",LET(d,Rulebook!$L11,x,'Stress Inputs'!Q11*d,ta,Rulebook!$G11*d,tb,Rulebook!$H11*d,tc,Rulebook!$I11*d,te,Rulebook!$J11*d,tf,Rulebook!$K11*d,IFS(x&lt;=ta,0,x&lt;=tb,25*(x-ta)/(tb-ta),x&lt;=tc,25+25*(x-tb)/(tc-tb),x&lt;=te,50+25*(x-tc)/(te-tc),x&lt;tf,75+25*(x-te)/(tf-te),TRUE,100)))</f>
        <v>26.32142857</v>
      </c>
      <c r="R11" s="35">
        <f>IF('Stress Inputs'!R11="","",LET(d,Rulebook!$L11,x,'Stress Inputs'!R11*d,ta,Rulebook!$G11*d,tb,Rulebook!$H11*d,tc,Rulebook!$I11*d,te,Rulebook!$J11*d,tf,Rulebook!$K11*d,IFS(x&lt;=ta,0,x&lt;=tb,25*(x-ta)/(tb-ta),x&lt;=tc,25+25*(x-tb)/(tc-tb),x&lt;=te,50+25*(x-tc)/(te-tc),x&lt;tf,75+25*(x-te)/(tf-te),TRUE,100)))</f>
        <v>100</v>
      </c>
      <c r="S11" s="35">
        <f>IF('Stress Inputs'!S11="","",LET(d,Rulebook!$L11,x,'Stress Inputs'!S11*d,ta,Rulebook!$G11*d,tb,Rulebook!$H11*d,tc,Rulebook!$I11*d,te,Rulebook!$J11*d,tf,Rulebook!$K11*d,IFS(x&lt;=ta,0,x&lt;=tb,25*(x-ta)/(tb-ta),x&lt;=tc,25+25*(x-tb)/(tc-tb),x&lt;=te,50+25*(x-tc)/(te-tc),x&lt;tf,75+25*(x-te)/(tf-te),TRUE,100)))</f>
        <v>100</v>
      </c>
      <c r="T11" s="35">
        <f>IF('Stress Inputs'!T11="","",LET(d,Rulebook!$L11,x,'Stress Inputs'!T11*d,ta,Rulebook!$G11*d,tb,Rulebook!$H11*d,tc,Rulebook!$I11*d,te,Rulebook!$J11*d,tf,Rulebook!$K11*d,IFS(x&lt;=ta,0,x&lt;=tb,25*(x-ta)/(tb-ta),x&lt;=tc,25+25*(x-tb)/(tc-tb),x&lt;=te,50+25*(x-tc)/(te-tc),x&lt;tf,75+25*(x-te)/(tf-te),TRUE,100)))</f>
        <v>100</v>
      </c>
      <c r="U11" s="35">
        <f>IF('Stress Inputs'!U11="","",LET(d,Rulebook!$L11,x,'Stress Inputs'!U11*d,ta,Rulebook!$G11*d,tb,Rulebook!$H11*d,tc,Rulebook!$I11*d,te,Rulebook!$J11*d,tf,Rulebook!$K11*d,IFS(x&lt;=ta,0,x&lt;=tb,25*(x-ta)/(tb-ta),x&lt;=tc,25+25*(x-tb)/(tc-tb),x&lt;=te,50+25*(x-tc)/(te-tc),x&lt;tf,75+25*(x-te)/(tf-te),TRUE,100)))</f>
        <v>3</v>
      </c>
      <c r="V11" s="35">
        <f>IF('Stress Inputs'!V11="","",LET(d,Rulebook!$L11,x,'Stress Inputs'!V11*d,ta,Rulebook!$G11*d,tb,Rulebook!$H11*d,tc,Rulebook!$I11*d,te,Rulebook!$J11*d,tf,Rulebook!$K11*d,IFS(x&lt;=ta,0,x&lt;=tb,25*(x-ta)/(tb-ta),x&lt;=tc,25+25*(x-tb)/(tc-tb),x&lt;=te,50+25*(x-tc)/(te-tc),x&lt;tf,75+25*(x-te)/(tf-te),TRUE,100)))</f>
        <v>0</v>
      </c>
    </row>
    <row r="12">
      <c r="A12" s="26" t="s">
        <v>232</v>
      </c>
      <c r="B12" s="26">
        <v>1.0</v>
      </c>
      <c r="C12" s="26" t="s">
        <v>233</v>
      </c>
      <c r="D12" s="26" t="s">
        <v>235</v>
      </c>
      <c r="E12" s="35" t="str">
        <f>IF('Stress Inputs'!E12="","",LET(d,Rulebook!$L12,x,'Stress Inputs'!E12*d,ta,Rulebook!$G12*d,tb,Rulebook!$H12*d,tc,Rulebook!$I12*d,te,Rulebook!$J12*d,tf,Rulebook!$K12*d,IFS(x&lt;=ta,0,x&lt;=tb,25*(x-ta)/(tb-ta),x&lt;=tc,25+25*(x-tb)/(tc-tb),x&lt;=te,50+25*(x-tc)/(te-tc),x&lt;tf,75+25*(x-te)/(tf-te),TRUE,100)))</f>
        <v/>
      </c>
      <c r="F12" s="35" t="str">
        <f>IF('Stress Inputs'!F12="","",LET(d,Rulebook!$L12,x,'Stress Inputs'!F12*d,ta,Rulebook!$G12*d,tb,Rulebook!$H12*d,tc,Rulebook!$I12*d,te,Rulebook!$J12*d,tf,Rulebook!$K12*d,IFS(x&lt;=ta,0,x&lt;=tb,25*(x-ta)/(tb-ta),x&lt;=tc,25+25*(x-tb)/(tc-tb),x&lt;=te,50+25*(x-tc)/(te-tc),x&lt;tf,75+25*(x-te)/(tf-te),TRUE,100)))</f>
        <v/>
      </c>
      <c r="G12" s="35" t="str">
        <f>IF('Stress Inputs'!G12="","",LET(d,Rulebook!$L12,x,'Stress Inputs'!G12*d,ta,Rulebook!$G12*d,tb,Rulebook!$H12*d,tc,Rulebook!$I12*d,te,Rulebook!$J12*d,tf,Rulebook!$K12*d,IFS(x&lt;=ta,0,x&lt;=tb,25*(x-ta)/(tb-ta),x&lt;=tc,25+25*(x-tb)/(tc-tb),x&lt;=te,50+25*(x-tc)/(te-tc),x&lt;tf,75+25*(x-te)/(tf-te),TRUE,100)))</f>
        <v/>
      </c>
      <c r="H12" s="35" t="str">
        <f>IF('Stress Inputs'!H12="","",LET(d,Rulebook!$L12,x,'Stress Inputs'!H12*d,ta,Rulebook!$G12*d,tb,Rulebook!$H12*d,tc,Rulebook!$I12*d,te,Rulebook!$J12*d,tf,Rulebook!$K12*d,IFS(x&lt;=ta,0,x&lt;=tb,25*(x-ta)/(tb-ta),x&lt;=tc,25+25*(x-tb)/(tc-tb),x&lt;=te,50+25*(x-tc)/(te-tc),x&lt;tf,75+25*(x-te)/(tf-te),TRUE,100)))</f>
        <v/>
      </c>
      <c r="I12" s="35" t="str">
        <f>IF('Stress Inputs'!I12="","",LET(d,Rulebook!$L12,x,'Stress Inputs'!I12*d,ta,Rulebook!$G12*d,tb,Rulebook!$H12*d,tc,Rulebook!$I12*d,te,Rulebook!$J12*d,tf,Rulebook!$K12*d,IFS(x&lt;=ta,0,x&lt;=tb,25*(x-ta)/(tb-ta),x&lt;=tc,25+25*(x-tb)/(tc-tb),x&lt;=te,50+25*(x-tc)/(te-tc),x&lt;tf,75+25*(x-te)/(tf-te),TRUE,100)))</f>
        <v/>
      </c>
      <c r="J12" s="35" t="str">
        <f>IF('Stress Inputs'!J12="","",LET(d,Rulebook!$L12,x,'Stress Inputs'!J12*d,ta,Rulebook!$G12*d,tb,Rulebook!$H12*d,tc,Rulebook!$I12*d,te,Rulebook!$J12*d,tf,Rulebook!$K12*d,IFS(x&lt;=ta,0,x&lt;=tb,25*(x-ta)/(tb-ta),x&lt;=tc,25+25*(x-tb)/(tc-tb),x&lt;=te,50+25*(x-tc)/(te-tc),x&lt;tf,75+25*(x-te)/(tf-te),TRUE,100)))</f>
        <v/>
      </c>
      <c r="K12" s="35" t="str">
        <f>IF('Stress Inputs'!K12="","",LET(d,Rulebook!$L12,x,'Stress Inputs'!K12*d,ta,Rulebook!$G12*d,tb,Rulebook!$H12*d,tc,Rulebook!$I12*d,te,Rulebook!$J12*d,tf,Rulebook!$K12*d,IFS(x&lt;=ta,0,x&lt;=tb,25*(x-ta)/(tb-ta),x&lt;=tc,25+25*(x-tb)/(tc-tb),x&lt;=te,50+25*(x-tc)/(te-tc),x&lt;tf,75+25*(x-te)/(tf-te),TRUE,100)))</f>
        <v/>
      </c>
      <c r="L12" s="35" t="str">
        <f>IF('Stress Inputs'!L12="","",LET(d,Rulebook!$L12,x,'Stress Inputs'!L12*d,ta,Rulebook!$G12*d,tb,Rulebook!$H12*d,tc,Rulebook!$I12*d,te,Rulebook!$J12*d,tf,Rulebook!$K12*d,IFS(x&lt;=ta,0,x&lt;=tb,25*(x-ta)/(tb-ta),x&lt;=tc,25+25*(x-tb)/(tc-tb),x&lt;=te,50+25*(x-tc)/(te-tc),x&lt;tf,75+25*(x-te)/(tf-te),TRUE,100)))</f>
        <v/>
      </c>
      <c r="M12" s="35" t="str">
        <f>IF('Stress Inputs'!M12="","",LET(d,Rulebook!$L12,x,'Stress Inputs'!M12*d,ta,Rulebook!$G12*d,tb,Rulebook!$H12*d,tc,Rulebook!$I12*d,te,Rulebook!$J12*d,tf,Rulebook!$K12*d,IFS(x&lt;=ta,0,x&lt;=tb,25*(x-ta)/(tb-ta),x&lt;=tc,25+25*(x-tb)/(tc-tb),x&lt;=te,50+25*(x-tc)/(te-tc),x&lt;tf,75+25*(x-te)/(tf-te),TRUE,100)))</f>
        <v/>
      </c>
      <c r="N12" s="35" t="str">
        <f>IF('Stress Inputs'!N12="","",LET(d,Rulebook!$L12,x,'Stress Inputs'!N12*d,ta,Rulebook!$G12*d,tb,Rulebook!$H12*d,tc,Rulebook!$I12*d,te,Rulebook!$J12*d,tf,Rulebook!$K12*d,IFS(x&lt;=ta,0,x&lt;=tb,25*(x-ta)/(tb-ta),x&lt;=tc,25+25*(x-tb)/(tc-tb),x&lt;=te,50+25*(x-tc)/(te-tc),x&lt;tf,75+25*(x-te)/(tf-te),TRUE,100)))</f>
        <v/>
      </c>
      <c r="O12" s="35" t="str">
        <f>IF('Stress Inputs'!O12="","",LET(d,Rulebook!$L12,x,'Stress Inputs'!O12*d,ta,Rulebook!$G12*d,tb,Rulebook!$H12*d,tc,Rulebook!$I12*d,te,Rulebook!$J12*d,tf,Rulebook!$K12*d,IFS(x&lt;=ta,0,x&lt;=tb,25*(x-ta)/(tb-ta),x&lt;=tc,25+25*(x-tb)/(tc-tb),x&lt;=te,50+25*(x-tc)/(te-tc),x&lt;tf,75+25*(x-te)/(tf-te),TRUE,100)))</f>
        <v/>
      </c>
      <c r="P12" s="35" t="str">
        <f>IF('Stress Inputs'!P12="","",LET(d,Rulebook!$L12,x,'Stress Inputs'!P12*d,ta,Rulebook!$G12*d,tb,Rulebook!$H12*d,tc,Rulebook!$I12*d,te,Rulebook!$J12*d,tf,Rulebook!$K12*d,IFS(x&lt;=ta,0,x&lt;=tb,25*(x-ta)/(tb-ta),x&lt;=tc,25+25*(x-tb)/(tc-tb),x&lt;=te,50+25*(x-tc)/(te-tc),x&lt;tf,75+25*(x-te)/(tf-te),TRUE,100)))</f>
        <v/>
      </c>
      <c r="Q12" s="35" t="str">
        <f>IF('Stress Inputs'!Q12="","",LET(d,Rulebook!$L12,x,'Stress Inputs'!Q12*d,ta,Rulebook!$G12*d,tb,Rulebook!$H12*d,tc,Rulebook!$I12*d,te,Rulebook!$J12*d,tf,Rulebook!$K12*d,IFS(x&lt;=ta,0,x&lt;=tb,25*(x-ta)/(tb-ta),x&lt;=tc,25+25*(x-tb)/(tc-tb),x&lt;=te,50+25*(x-tc)/(te-tc),x&lt;tf,75+25*(x-te)/(tf-te),TRUE,100)))</f>
        <v/>
      </c>
      <c r="R12" s="35" t="str">
        <f>IF('Stress Inputs'!R12="","",LET(d,Rulebook!$L12,x,'Stress Inputs'!R12*d,ta,Rulebook!$G12*d,tb,Rulebook!$H12*d,tc,Rulebook!$I12*d,te,Rulebook!$J12*d,tf,Rulebook!$K12*d,IFS(x&lt;=ta,0,x&lt;=tb,25*(x-ta)/(tb-ta),x&lt;=tc,25+25*(x-tb)/(tc-tb),x&lt;=te,50+25*(x-tc)/(te-tc),x&lt;tf,75+25*(x-te)/(tf-te),TRUE,100)))</f>
        <v/>
      </c>
      <c r="S12" s="35" t="str">
        <f>IF('Stress Inputs'!S12="","",LET(d,Rulebook!$L12,x,'Stress Inputs'!S12*d,ta,Rulebook!$G12*d,tb,Rulebook!$H12*d,tc,Rulebook!$I12*d,te,Rulebook!$J12*d,tf,Rulebook!$K12*d,IFS(x&lt;=ta,0,x&lt;=tb,25*(x-ta)/(tb-ta),x&lt;=tc,25+25*(x-tb)/(tc-tb),x&lt;=te,50+25*(x-tc)/(te-tc),x&lt;tf,75+25*(x-te)/(tf-te),TRUE,100)))</f>
        <v/>
      </c>
      <c r="T12" s="35" t="str">
        <f>IF('Stress Inputs'!T12="","",LET(d,Rulebook!$L12,x,'Stress Inputs'!T12*d,ta,Rulebook!$G12*d,tb,Rulebook!$H12*d,tc,Rulebook!$I12*d,te,Rulebook!$J12*d,tf,Rulebook!$K12*d,IFS(x&lt;=ta,0,x&lt;=tb,25*(x-ta)/(tb-ta),x&lt;=tc,25+25*(x-tb)/(tc-tb),x&lt;=te,50+25*(x-tc)/(te-tc),x&lt;tf,75+25*(x-te)/(tf-te),TRUE,100)))</f>
        <v/>
      </c>
      <c r="U12" s="35" t="str">
        <f>IF('Stress Inputs'!U12="","",LET(d,Rulebook!$L12,x,'Stress Inputs'!U12*d,ta,Rulebook!$G12*d,tb,Rulebook!$H12*d,tc,Rulebook!$I12*d,te,Rulebook!$J12*d,tf,Rulebook!$K12*d,IFS(x&lt;=ta,0,x&lt;=tb,25*(x-ta)/(tb-ta),x&lt;=tc,25+25*(x-tb)/(tc-tb),x&lt;=te,50+25*(x-tc)/(te-tc),x&lt;tf,75+25*(x-te)/(tf-te),TRUE,100)))</f>
        <v/>
      </c>
      <c r="V12" s="35" t="str">
        <f>IF('Stress Inputs'!V12="","",LET(d,Rulebook!$L12,x,'Stress Inputs'!V12*d,ta,Rulebook!$G12*d,tb,Rulebook!$H12*d,tc,Rulebook!$I12*d,te,Rulebook!$J12*d,tf,Rulebook!$K12*d,IFS(x&lt;=ta,0,x&lt;=tb,25*(x-ta)/(tb-ta),x&lt;=tc,25+25*(x-tb)/(tc-tb),x&lt;=te,50+25*(x-tc)/(te-tc),x&lt;tf,75+25*(x-te)/(tf-te),TRUE,100)))</f>
        <v/>
      </c>
    </row>
    <row r="13">
      <c r="A13" s="26" t="s">
        <v>250</v>
      </c>
      <c r="B13" s="26">
        <v>1.0</v>
      </c>
      <c r="C13" s="26" t="s">
        <v>253</v>
      </c>
      <c r="D13" s="26" t="s">
        <v>254</v>
      </c>
      <c r="E13" s="35" t="str">
        <f>IF('Stress Inputs'!E13="","",LET(d,Rulebook!$L13,x,'Stress Inputs'!E13*d,ta,Rulebook!$G13*d,tb,Rulebook!$H13*d,tc,Rulebook!$I13*d,te,Rulebook!$J13*d,tf,Rulebook!$K13*d,IFS(x&lt;=ta,0,x&lt;=tb,25*(x-ta)/(tb-ta),x&lt;=tc,25+25*(x-tb)/(tc-tb),x&lt;=te,50+25*(x-tc)/(te-tc),x&lt;tf,75+25*(x-te)/(tf-te),TRUE,100)))</f>
        <v/>
      </c>
      <c r="F13" s="35" t="str">
        <f>IF('Stress Inputs'!F13="","",LET(d,Rulebook!$L13,x,'Stress Inputs'!F13*d,ta,Rulebook!$G13*d,tb,Rulebook!$H13*d,tc,Rulebook!$I13*d,te,Rulebook!$J13*d,tf,Rulebook!$K13*d,IFS(x&lt;=ta,0,x&lt;=tb,25*(x-ta)/(tb-ta),x&lt;=tc,25+25*(x-tb)/(tc-tb),x&lt;=te,50+25*(x-tc)/(te-tc),x&lt;tf,75+25*(x-te)/(tf-te),TRUE,100)))</f>
        <v/>
      </c>
      <c r="G13" s="35" t="str">
        <f>IF('Stress Inputs'!G13="","",LET(d,Rulebook!$L13,x,'Stress Inputs'!G13*d,ta,Rulebook!$G13*d,tb,Rulebook!$H13*d,tc,Rulebook!$I13*d,te,Rulebook!$J13*d,tf,Rulebook!$K13*d,IFS(x&lt;=ta,0,x&lt;=tb,25*(x-ta)/(tb-ta),x&lt;=tc,25+25*(x-tb)/(tc-tb),x&lt;=te,50+25*(x-tc)/(te-tc),x&lt;tf,75+25*(x-te)/(tf-te),TRUE,100)))</f>
        <v/>
      </c>
      <c r="H13" s="35" t="str">
        <f>IF('Stress Inputs'!H13="","",LET(d,Rulebook!$L13,x,'Stress Inputs'!H13*d,ta,Rulebook!$G13*d,tb,Rulebook!$H13*d,tc,Rulebook!$I13*d,te,Rulebook!$J13*d,tf,Rulebook!$K13*d,IFS(x&lt;=ta,0,x&lt;=tb,25*(x-ta)/(tb-ta),x&lt;=tc,25+25*(x-tb)/(tc-tb),x&lt;=te,50+25*(x-tc)/(te-tc),x&lt;tf,75+25*(x-te)/(tf-te),TRUE,100)))</f>
        <v/>
      </c>
      <c r="I13" s="35" t="str">
        <f>IF('Stress Inputs'!I13="","",LET(d,Rulebook!$L13,x,'Stress Inputs'!I13*d,ta,Rulebook!$G13*d,tb,Rulebook!$H13*d,tc,Rulebook!$I13*d,te,Rulebook!$J13*d,tf,Rulebook!$K13*d,IFS(x&lt;=ta,0,x&lt;=tb,25*(x-ta)/(tb-ta),x&lt;=tc,25+25*(x-tb)/(tc-tb),x&lt;=te,50+25*(x-tc)/(te-tc),x&lt;tf,75+25*(x-te)/(tf-te),TRUE,100)))</f>
        <v/>
      </c>
      <c r="J13" s="35" t="str">
        <f>IF('Stress Inputs'!J13="","",LET(d,Rulebook!$L13,x,'Stress Inputs'!J13*d,ta,Rulebook!$G13*d,tb,Rulebook!$H13*d,tc,Rulebook!$I13*d,te,Rulebook!$J13*d,tf,Rulebook!$K13*d,IFS(x&lt;=ta,0,x&lt;=tb,25*(x-ta)/(tb-ta),x&lt;=tc,25+25*(x-tb)/(tc-tb),x&lt;=te,50+25*(x-tc)/(te-tc),x&lt;tf,75+25*(x-te)/(tf-te),TRUE,100)))</f>
        <v/>
      </c>
      <c r="K13" s="35" t="str">
        <f>IF('Stress Inputs'!K13="","",LET(d,Rulebook!$L13,x,'Stress Inputs'!K13*d,ta,Rulebook!$G13*d,tb,Rulebook!$H13*d,tc,Rulebook!$I13*d,te,Rulebook!$J13*d,tf,Rulebook!$K13*d,IFS(x&lt;=ta,0,x&lt;=tb,25*(x-ta)/(tb-ta),x&lt;=tc,25+25*(x-tb)/(tc-tb),x&lt;=te,50+25*(x-tc)/(te-tc),x&lt;tf,75+25*(x-te)/(tf-te),TRUE,100)))</f>
        <v/>
      </c>
      <c r="L13" s="35" t="str">
        <f>IF('Stress Inputs'!L13="","",LET(d,Rulebook!$L13,x,'Stress Inputs'!L13*d,ta,Rulebook!$G13*d,tb,Rulebook!$H13*d,tc,Rulebook!$I13*d,te,Rulebook!$J13*d,tf,Rulebook!$K13*d,IFS(x&lt;=ta,0,x&lt;=tb,25*(x-ta)/(tb-ta),x&lt;=tc,25+25*(x-tb)/(tc-tb),x&lt;=te,50+25*(x-tc)/(te-tc),x&lt;tf,75+25*(x-te)/(tf-te),TRUE,100)))</f>
        <v/>
      </c>
      <c r="M13" s="35" t="str">
        <f>IF('Stress Inputs'!M13="","",LET(d,Rulebook!$L13,x,'Stress Inputs'!M13*d,ta,Rulebook!$G13*d,tb,Rulebook!$H13*d,tc,Rulebook!$I13*d,te,Rulebook!$J13*d,tf,Rulebook!$K13*d,IFS(x&lt;=ta,0,x&lt;=tb,25*(x-ta)/(tb-ta),x&lt;=tc,25+25*(x-tb)/(tc-tb),x&lt;=te,50+25*(x-tc)/(te-tc),x&lt;tf,75+25*(x-te)/(tf-te),TRUE,100)))</f>
        <v/>
      </c>
      <c r="N13" s="35" t="str">
        <f>IF('Stress Inputs'!N13="","",LET(d,Rulebook!$L13,x,'Stress Inputs'!N13*d,ta,Rulebook!$G13*d,tb,Rulebook!$H13*d,tc,Rulebook!$I13*d,te,Rulebook!$J13*d,tf,Rulebook!$K13*d,IFS(x&lt;=ta,0,x&lt;=tb,25*(x-ta)/(tb-ta),x&lt;=tc,25+25*(x-tb)/(tc-tb),x&lt;=te,50+25*(x-tc)/(te-tc),x&lt;tf,75+25*(x-te)/(tf-te),TRUE,100)))</f>
        <v/>
      </c>
      <c r="O13" s="35" t="str">
        <f>IF('Stress Inputs'!O13="","",LET(d,Rulebook!$L13,x,'Stress Inputs'!O13*d,ta,Rulebook!$G13*d,tb,Rulebook!$H13*d,tc,Rulebook!$I13*d,te,Rulebook!$J13*d,tf,Rulebook!$K13*d,IFS(x&lt;=ta,0,x&lt;=tb,25*(x-ta)/(tb-ta),x&lt;=tc,25+25*(x-tb)/(tc-tb),x&lt;=te,50+25*(x-tc)/(te-tc),x&lt;tf,75+25*(x-te)/(tf-te),TRUE,100)))</f>
        <v/>
      </c>
      <c r="P13" s="35" t="str">
        <f>IF('Stress Inputs'!P13="","",LET(d,Rulebook!$L13,x,'Stress Inputs'!P13*d,ta,Rulebook!$G13*d,tb,Rulebook!$H13*d,tc,Rulebook!$I13*d,te,Rulebook!$J13*d,tf,Rulebook!$K13*d,IFS(x&lt;=ta,0,x&lt;=tb,25*(x-ta)/(tb-ta),x&lt;=tc,25+25*(x-tb)/(tc-tb),x&lt;=te,50+25*(x-tc)/(te-tc),x&lt;tf,75+25*(x-te)/(tf-te),TRUE,100)))</f>
        <v/>
      </c>
      <c r="Q13" s="35" t="str">
        <f>IF('Stress Inputs'!Q13="","",LET(d,Rulebook!$L13,x,'Stress Inputs'!Q13*d,ta,Rulebook!$G13*d,tb,Rulebook!$H13*d,tc,Rulebook!$I13*d,te,Rulebook!$J13*d,tf,Rulebook!$K13*d,IFS(x&lt;=ta,0,x&lt;=tb,25*(x-ta)/(tb-ta),x&lt;=tc,25+25*(x-tb)/(tc-tb),x&lt;=te,50+25*(x-tc)/(te-tc),x&lt;tf,75+25*(x-te)/(tf-te),TRUE,100)))</f>
        <v/>
      </c>
      <c r="R13" s="35" t="str">
        <f>IF('Stress Inputs'!R13="","",LET(d,Rulebook!$L13,x,'Stress Inputs'!R13*d,ta,Rulebook!$G13*d,tb,Rulebook!$H13*d,tc,Rulebook!$I13*d,te,Rulebook!$J13*d,tf,Rulebook!$K13*d,IFS(x&lt;=ta,0,x&lt;=tb,25*(x-ta)/(tb-ta),x&lt;=tc,25+25*(x-tb)/(tc-tb),x&lt;=te,50+25*(x-tc)/(te-tc),x&lt;tf,75+25*(x-te)/(tf-te),TRUE,100)))</f>
        <v/>
      </c>
      <c r="S13" s="35" t="str">
        <f>IF('Stress Inputs'!S13="","",LET(d,Rulebook!$L13,x,'Stress Inputs'!S13*d,ta,Rulebook!$G13*d,tb,Rulebook!$H13*d,tc,Rulebook!$I13*d,te,Rulebook!$J13*d,tf,Rulebook!$K13*d,IFS(x&lt;=ta,0,x&lt;=tb,25*(x-ta)/(tb-ta),x&lt;=tc,25+25*(x-tb)/(tc-tb),x&lt;=te,50+25*(x-tc)/(te-tc),x&lt;tf,75+25*(x-te)/(tf-te),TRUE,100)))</f>
        <v/>
      </c>
      <c r="T13" s="35" t="str">
        <f>IF('Stress Inputs'!T13="","",LET(d,Rulebook!$L13,x,'Stress Inputs'!T13*d,ta,Rulebook!$G13*d,tb,Rulebook!$H13*d,tc,Rulebook!$I13*d,te,Rulebook!$J13*d,tf,Rulebook!$K13*d,IFS(x&lt;=ta,0,x&lt;=tb,25*(x-ta)/(tb-ta),x&lt;=tc,25+25*(x-tb)/(tc-tb),x&lt;=te,50+25*(x-tc)/(te-tc),x&lt;tf,75+25*(x-te)/(tf-te),TRUE,100)))</f>
        <v/>
      </c>
      <c r="U13" s="35" t="str">
        <f>IF('Stress Inputs'!U13="","",LET(d,Rulebook!$L13,x,'Stress Inputs'!U13*d,ta,Rulebook!$G13*d,tb,Rulebook!$H13*d,tc,Rulebook!$I13*d,te,Rulebook!$J13*d,tf,Rulebook!$K13*d,IFS(x&lt;=ta,0,x&lt;=tb,25*(x-ta)/(tb-ta),x&lt;=tc,25+25*(x-tb)/(tc-tb),x&lt;=te,50+25*(x-tc)/(te-tc),x&lt;tf,75+25*(x-te)/(tf-te),TRUE,100)))</f>
        <v/>
      </c>
      <c r="V13" s="35" t="str">
        <f>IF('Stress Inputs'!V13="","",LET(d,Rulebook!$L13,x,'Stress Inputs'!V13*d,ta,Rulebook!$G13*d,tb,Rulebook!$H13*d,tc,Rulebook!$I13*d,te,Rulebook!$J13*d,tf,Rulebook!$K13*d,IFS(x&lt;=ta,0,x&lt;=tb,25*(x-ta)/(tb-ta),x&lt;=tc,25+25*(x-tb)/(tc-tb),x&lt;=te,50+25*(x-tc)/(te-tc),x&lt;tf,75+25*(x-te)/(tf-te),TRUE,100)))</f>
        <v/>
      </c>
    </row>
    <row r="14">
      <c r="A14" s="26" t="s">
        <v>271</v>
      </c>
      <c r="B14" s="26">
        <v>2.0</v>
      </c>
      <c r="C14" s="26" t="s">
        <v>273</v>
      </c>
      <c r="D14" s="26" t="s">
        <v>277</v>
      </c>
      <c r="E14" s="35">
        <f>IF('Stress Inputs'!E14="","",LET(d,Rulebook!$L14,x,'Stress Inputs'!E14*d,ta,Rulebook!$G14*d,tb,Rulebook!$H14*d,tc,Rulebook!$I14*d,te,Rulebook!$J14*d,tf,Rulebook!$K14*d,IFS(x&lt;=ta,0,x&lt;=tb,25*(x-ta)/(tb-ta),x&lt;=tc,25+25*(x-tb)/(tc-tb),x&lt;=te,50+25*(x-tc)/(te-tc),x&lt;tf,75+25*(x-te)/(tf-te),TRUE,100)))</f>
        <v>75</v>
      </c>
      <c r="F14" s="35">
        <f>IF('Stress Inputs'!F14="","",LET(d,Rulebook!$L14,x,'Stress Inputs'!F14*d,ta,Rulebook!$G14*d,tb,Rulebook!$H14*d,tc,Rulebook!$I14*d,te,Rulebook!$J14*d,tf,Rulebook!$K14*d,IFS(x&lt;=ta,0,x&lt;=tb,25*(x-ta)/(tb-ta),x&lt;=tc,25+25*(x-tb)/(tc-tb),x&lt;=te,50+25*(x-tc)/(te-tc),x&lt;tf,75+25*(x-te)/(tf-te),TRUE,100)))</f>
        <v>0</v>
      </c>
      <c r="G14" s="35">
        <f>IF('Stress Inputs'!G14="","",LET(d,Rulebook!$L14,x,'Stress Inputs'!G14*d,ta,Rulebook!$G14*d,tb,Rulebook!$H14*d,tc,Rulebook!$I14*d,te,Rulebook!$J14*d,tf,Rulebook!$K14*d,IFS(x&lt;=ta,0,x&lt;=tb,25*(x-ta)/(tb-ta),x&lt;=tc,25+25*(x-tb)/(tc-tb),x&lt;=te,50+25*(x-tc)/(te-tc),x&lt;tf,75+25*(x-te)/(tf-te),TRUE,100)))</f>
        <v>30</v>
      </c>
      <c r="H14" s="35">
        <f>IF('Stress Inputs'!H14="","",LET(d,Rulebook!$L14,x,'Stress Inputs'!H14*d,ta,Rulebook!$G14*d,tb,Rulebook!$H14*d,tc,Rulebook!$I14*d,te,Rulebook!$J14*d,tf,Rulebook!$K14*d,IFS(x&lt;=ta,0,x&lt;=tb,25*(x-ta)/(tb-ta),x&lt;=tc,25+25*(x-tb)/(tc-tb),x&lt;=te,50+25*(x-tc)/(te-tc),x&lt;tf,75+25*(x-te)/(tf-te),TRUE,100)))</f>
        <v>40</v>
      </c>
      <c r="I14" s="35">
        <f>IF('Stress Inputs'!I14="","",LET(d,Rulebook!$L14,x,'Stress Inputs'!I14*d,ta,Rulebook!$G14*d,tb,Rulebook!$H14*d,tc,Rulebook!$I14*d,te,Rulebook!$J14*d,tf,Rulebook!$K14*d,IFS(x&lt;=ta,0,x&lt;=tb,25*(x-ta)/(tb-ta),x&lt;=tc,25+25*(x-tb)/(tc-tb),x&lt;=te,50+25*(x-tc)/(te-tc),x&lt;tf,75+25*(x-te)/(tf-te),TRUE,100)))</f>
        <v>0</v>
      </c>
      <c r="J14" s="35">
        <f>IF('Stress Inputs'!J14="","",LET(d,Rulebook!$L14,x,'Stress Inputs'!J14*d,ta,Rulebook!$G14*d,tb,Rulebook!$H14*d,tc,Rulebook!$I14*d,te,Rulebook!$J14*d,tf,Rulebook!$K14*d,IFS(x&lt;=ta,0,x&lt;=tb,25*(x-ta)/(tb-ta),x&lt;=tc,25+25*(x-tb)/(tc-tb),x&lt;=te,50+25*(x-tc)/(te-tc),x&lt;tf,75+25*(x-te)/(tf-te),TRUE,100)))</f>
        <v>0</v>
      </c>
      <c r="K14" s="35">
        <f>IF('Stress Inputs'!K14="","",LET(d,Rulebook!$L14,x,'Stress Inputs'!K14*d,ta,Rulebook!$G14*d,tb,Rulebook!$H14*d,tc,Rulebook!$I14*d,te,Rulebook!$J14*d,tf,Rulebook!$K14*d,IFS(x&lt;=ta,0,x&lt;=tb,25*(x-ta)/(tb-ta),x&lt;=tc,25+25*(x-tb)/(tc-tb),x&lt;=te,50+25*(x-tc)/(te-tc),x&lt;tf,75+25*(x-te)/(tf-te),TRUE,100)))</f>
        <v>50</v>
      </c>
      <c r="L14" s="35">
        <f>IF('Stress Inputs'!L14="","",LET(d,Rulebook!$L14,x,'Stress Inputs'!L14*d,ta,Rulebook!$G14*d,tb,Rulebook!$H14*d,tc,Rulebook!$I14*d,te,Rulebook!$J14*d,tf,Rulebook!$K14*d,IFS(x&lt;=ta,0,x&lt;=tb,25*(x-ta)/(tb-ta),x&lt;=tc,25+25*(x-tb)/(tc-tb),x&lt;=te,50+25*(x-tc)/(te-tc),x&lt;tf,75+25*(x-te)/(tf-te),TRUE,100)))</f>
        <v>0</v>
      </c>
      <c r="M14" s="35">
        <f>IF('Stress Inputs'!M14="","",LET(d,Rulebook!$L14,x,'Stress Inputs'!M14*d,ta,Rulebook!$G14*d,tb,Rulebook!$H14*d,tc,Rulebook!$I14*d,te,Rulebook!$J14*d,tf,Rulebook!$K14*d,IFS(x&lt;=ta,0,x&lt;=tb,25*(x-ta)/(tb-ta),x&lt;=tc,25+25*(x-tb)/(tc-tb),x&lt;=te,50+25*(x-tc)/(te-tc),x&lt;tf,75+25*(x-te)/(tf-te),TRUE,100)))</f>
        <v>100</v>
      </c>
      <c r="N14" s="35">
        <f>IF('Stress Inputs'!N14="","",LET(d,Rulebook!$L14,x,'Stress Inputs'!N14*d,ta,Rulebook!$G14*d,tb,Rulebook!$H14*d,tc,Rulebook!$I14*d,te,Rulebook!$J14*d,tf,Rulebook!$K14*d,IFS(x&lt;=ta,0,x&lt;=tb,25*(x-ta)/(tb-ta),x&lt;=tc,25+25*(x-tb)/(tc-tb),x&lt;=te,50+25*(x-tc)/(te-tc),x&lt;tf,75+25*(x-te)/(tf-te),TRUE,100)))</f>
        <v>100</v>
      </c>
      <c r="O14" s="35">
        <f>IF('Stress Inputs'!O14="","",LET(d,Rulebook!$L14,x,'Stress Inputs'!O14*d,ta,Rulebook!$G14*d,tb,Rulebook!$H14*d,tc,Rulebook!$I14*d,te,Rulebook!$J14*d,tf,Rulebook!$K14*d,IFS(x&lt;=ta,0,x&lt;=tb,25*(x-ta)/(tb-ta),x&lt;=tc,25+25*(x-tb)/(tc-tb),x&lt;=te,50+25*(x-tc)/(te-tc),x&lt;tf,75+25*(x-te)/(tf-te),TRUE,100)))</f>
        <v>10</v>
      </c>
      <c r="P14" s="35">
        <f>IF('Stress Inputs'!P14="","",LET(d,Rulebook!$L14,x,'Stress Inputs'!P14*d,ta,Rulebook!$G14*d,tb,Rulebook!$H14*d,tc,Rulebook!$I14*d,te,Rulebook!$J14*d,tf,Rulebook!$K14*d,IFS(x&lt;=ta,0,x&lt;=tb,25*(x-ta)/(tb-ta),x&lt;=tc,25+25*(x-tb)/(tc-tb),x&lt;=te,50+25*(x-tc)/(te-tc),x&lt;tf,75+25*(x-te)/(tf-te),TRUE,100)))</f>
        <v>100</v>
      </c>
      <c r="Q14" s="35">
        <f>IF('Stress Inputs'!Q14="","",LET(d,Rulebook!$L14,x,'Stress Inputs'!Q14*d,ta,Rulebook!$G14*d,tb,Rulebook!$H14*d,tc,Rulebook!$I14*d,te,Rulebook!$J14*d,tf,Rulebook!$K14*d,IFS(x&lt;=ta,0,x&lt;=tb,25*(x-ta)/(tb-ta),x&lt;=tc,25+25*(x-tb)/(tc-tb),x&lt;=te,50+25*(x-tc)/(te-tc),x&lt;tf,75+25*(x-te)/(tf-te),TRUE,100)))</f>
        <v>30</v>
      </c>
      <c r="R14" s="35">
        <f>IF('Stress Inputs'!R14="","",LET(d,Rulebook!$L14,x,'Stress Inputs'!R14*d,ta,Rulebook!$G14*d,tb,Rulebook!$H14*d,tc,Rulebook!$I14*d,te,Rulebook!$J14*d,tf,Rulebook!$K14*d,IFS(x&lt;=ta,0,x&lt;=tb,25*(x-ta)/(tb-ta),x&lt;=tc,25+25*(x-tb)/(tc-tb),x&lt;=te,50+25*(x-tc)/(te-tc),x&lt;tf,75+25*(x-te)/(tf-te),TRUE,100)))</f>
        <v>100</v>
      </c>
      <c r="S14" s="35">
        <f>IF('Stress Inputs'!S14="","",LET(d,Rulebook!$L14,x,'Stress Inputs'!S14*d,ta,Rulebook!$G14*d,tb,Rulebook!$H14*d,tc,Rulebook!$I14*d,te,Rulebook!$J14*d,tf,Rulebook!$K14*d,IFS(x&lt;=ta,0,x&lt;=tb,25*(x-ta)/(tb-ta),x&lt;=tc,25+25*(x-tb)/(tc-tb),x&lt;=te,50+25*(x-tc)/(te-tc),x&lt;tf,75+25*(x-te)/(tf-te),TRUE,100)))</f>
        <v>60</v>
      </c>
      <c r="T14" s="35">
        <f>IF('Stress Inputs'!T14="","",LET(d,Rulebook!$L14,x,'Stress Inputs'!T14*d,ta,Rulebook!$G14*d,tb,Rulebook!$H14*d,tc,Rulebook!$I14*d,te,Rulebook!$J14*d,tf,Rulebook!$K14*d,IFS(x&lt;=ta,0,x&lt;=tb,25*(x-ta)/(tb-ta),x&lt;=tc,25+25*(x-tb)/(tc-tb),x&lt;=te,50+25*(x-tc)/(te-tc),x&lt;tf,75+25*(x-te)/(tf-te),TRUE,100)))</f>
        <v>99.375</v>
      </c>
      <c r="U14" s="35">
        <f>IF('Stress Inputs'!U14="","",LET(d,Rulebook!$L14,x,'Stress Inputs'!U14*d,ta,Rulebook!$G14*d,tb,Rulebook!$H14*d,tc,Rulebook!$I14*d,te,Rulebook!$J14*d,tf,Rulebook!$K14*d,IFS(x&lt;=ta,0,x&lt;=tb,25*(x-ta)/(tb-ta),x&lt;=tc,25+25*(x-tb)/(tc-tb),x&lt;=te,50+25*(x-tc)/(te-tc),x&lt;tf,75+25*(x-te)/(tf-te),TRUE,100)))</f>
        <v>80</v>
      </c>
      <c r="V14" s="35">
        <f>IF('Stress Inputs'!V14="","",LET(d,Rulebook!$L14,x,'Stress Inputs'!V14*d,ta,Rulebook!$G14*d,tb,Rulebook!$H14*d,tc,Rulebook!$I14*d,te,Rulebook!$J14*d,tf,Rulebook!$K14*d,IFS(x&lt;=ta,0,x&lt;=tb,25*(x-ta)/(tb-ta),x&lt;=tc,25+25*(x-tb)/(tc-tb),x&lt;=te,50+25*(x-tc)/(te-tc),x&lt;tf,75+25*(x-te)/(tf-te),TRUE,100)))</f>
        <v>100</v>
      </c>
    </row>
    <row r="15">
      <c r="A15" s="26" t="s">
        <v>301</v>
      </c>
      <c r="B15" s="26">
        <v>2.0</v>
      </c>
      <c r="C15" s="26" t="s">
        <v>305</v>
      </c>
      <c r="D15" s="26" t="s">
        <v>307</v>
      </c>
      <c r="E15" s="35" t="str">
        <f>IF('Stress Inputs'!E15="","",LET(d,Rulebook!$L15,x,'Stress Inputs'!E15*d,ta,Rulebook!$G15*d,tb,Rulebook!$H15*d,tc,Rulebook!$I15*d,te,Rulebook!$J15*d,tf,Rulebook!$K15*d,IFS(x&lt;=ta,0,x&lt;=tb,25*(x-ta)/(tb-ta),x&lt;=tc,25+25*(x-tb)/(tc-tb),x&lt;=te,50+25*(x-tc)/(te-tc),x&lt;tf,75+25*(x-te)/(tf-te),TRUE,100)))</f>
        <v/>
      </c>
      <c r="F15" s="35" t="str">
        <f>IF('Stress Inputs'!F15="","",LET(d,Rulebook!$L15,x,'Stress Inputs'!F15*d,ta,Rulebook!$G15*d,tb,Rulebook!$H15*d,tc,Rulebook!$I15*d,te,Rulebook!$J15*d,tf,Rulebook!$K15*d,IFS(x&lt;=ta,0,x&lt;=tb,25*(x-ta)/(tb-ta),x&lt;=tc,25+25*(x-tb)/(tc-tb),x&lt;=te,50+25*(x-tc)/(te-tc),x&lt;tf,75+25*(x-te)/(tf-te),TRUE,100)))</f>
        <v/>
      </c>
      <c r="G15" s="35" t="str">
        <f>IF('Stress Inputs'!G15="","",LET(d,Rulebook!$L15,x,'Stress Inputs'!G15*d,ta,Rulebook!$G15*d,tb,Rulebook!$H15*d,tc,Rulebook!$I15*d,te,Rulebook!$J15*d,tf,Rulebook!$K15*d,IFS(x&lt;=ta,0,x&lt;=tb,25*(x-ta)/(tb-ta),x&lt;=tc,25+25*(x-tb)/(tc-tb),x&lt;=te,50+25*(x-tc)/(te-tc),x&lt;tf,75+25*(x-te)/(tf-te),TRUE,100)))</f>
        <v/>
      </c>
      <c r="H15" s="35" t="str">
        <f>IF('Stress Inputs'!H15="","",LET(d,Rulebook!$L15,x,'Stress Inputs'!H15*d,ta,Rulebook!$G15*d,tb,Rulebook!$H15*d,tc,Rulebook!$I15*d,te,Rulebook!$J15*d,tf,Rulebook!$K15*d,IFS(x&lt;=ta,0,x&lt;=tb,25*(x-ta)/(tb-ta),x&lt;=tc,25+25*(x-tb)/(tc-tb),x&lt;=te,50+25*(x-tc)/(te-tc),x&lt;tf,75+25*(x-te)/(tf-te),TRUE,100)))</f>
        <v/>
      </c>
      <c r="I15" s="35" t="str">
        <f>IF('Stress Inputs'!I15="","",LET(d,Rulebook!$L15,x,'Stress Inputs'!I15*d,ta,Rulebook!$G15*d,tb,Rulebook!$H15*d,tc,Rulebook!$I15*d,te,Rulebook!$J15*d,tf,Rulebook!$K15*d,IFS(x&lt;=ta,0,x&lt;=tb,25*(x-ta)/(tb-ta),x&lt;=tc,25+25*(x-tb)/(tc-tb),x&lt;=te,50+25*(x-tc)/(te-tc),x&lt;tf,75+25*(x-te)/(tf-te),TRUE,100)))</f>
        <v/>
      </c>
      <c r="J15" s="35" t="str">
        <f>IF('Stress Inputs'!J15="","",LET(d,Rulebook!$L15,x,'Stress Inputs'!J15*d,ta,Rulebook!$G15*d,tb,Rulebook!$H15*d,tc,Rulebook!$I15*d,te,Rulebook!$J15*d,tf,Rulebook!$K15*d,IFS(x&lt;=ta,0,x&lt;=tb,25*(x-ta)/(tb-ta),x&lt;=tc,25+25*(x-tb)/(tc-tb),x&lt;=te,50+25*(x-tc)/(te-tc),x&lt;tf,75+25*(x-te)/(tf-te),TRUE,100)))</f>
        <v/>
      </c>
      <c r="K15" s="35" t="str">
        <f>IF('Stress Inputs'!K15="","",LET(d,Rulebook!$L15,x,'Stress Inputs'!K15*d,ta,Rulebook!$G15*d,tb,Rulebook!$H15*d,tc,Rulebook!$I15*d,te,Rulebook!$J15*d,tf,Rulebook!$K15*d,IFS(x&lt;=ta,0,x&lt;=tb,25*(x-ta)/(tb-ta),x&lt;=tc,25+25*(x-tb)/(tc-tb),x&lt;=te,50+25*(x-tc)/(te-tc),x&lt;tf,75+25*(x-te)/(tf-te),TRUE,100)))</f>
        <v/>
      </c>
      <c r="L15" s="35" t="str">
        <f>IF('Stress Inputs'!L15="","",LET(d,Rulebook!$L15,x,'Stress Inputs'!L15*d,ta,Rulebook!$G15*d,tb,Rulebook!$H15*d,tc,Rulebook!$I15*d,te,Rulebook!$J15*d,tf,Rulebook!$K15*d,IFS(x&lt;=ta,0,x&lt;=tb,25*(x-ta)/(tb-ta),x&lt;=tc,25+25*(x-tb)/(tc-tb),x&lt;=te,50+25*(x-tc)/(te-tc),x&lt;tf,75+25*(x-te)/(tf-te),TRUE,100)))</f>
        <v/>
      </c>
      <c r="M15" s="35" t="str">
        <f>IF('Stress Inputs'!M15="","",LET(d,Rulebook!$L15,x,'Stress Inputs'!M15*d,ta,Rulebook!$G15*d,tb,Rulebook!$H15*d,tc,Rulebook!$I15*d,te,Rulebook!$J15*d,tf,Rulebook!$K15*d,IFS(x&lt;=ta,0,x&lt;=tb,25*(x-ta)/(tb-ta),x&lt;=tc,25+25*(x-tb)/(tc-tb),x&lt;=te,50+25*(x-tc)/(te-tc),x&lt;tf,75+25*(x-te)/(tf-te),TRUE,100)))</f>
        <v/>
      </c>
      <c r="N15" s="35" t="str">
        <f>IF('Stress Inputs'!N15="","",LET(d,Rulebook!$L15,x,'Stress Inputs'!N15*d,ta,Rulebook!$G15*d,tb,Rulebook!$H15*d,tc,Rulebook!$I15*d,te,Rulebook!$J15*d,tf,Rulebook!$K15*d,IFS(x&lt;=ta,0,x&lt;=tb,25*(x-ta)/(tb-ta),x&lt;=tc,25+25*(x-tb)/(tc-tb),x&lt;=te,50+25*(x-tc)/(te-tc),x&lt;tf,75+25*(x-te)/(tf-te),TRUE,100)))</f>
        <v/>
      </c>
      <c r="O15" s="35" t="str">
        <f>IF('Stress Inputs'!O15="","",LET(d,Rulebook!$L15,x,'Stress Inputs'!O15*d,ta,Rulebook!$G15*d,tb,Rulebook!$H15*d,tc,Rulebook!$I15*d,te,Rulebook!$J15*d,tf,Rulebook!$K15*d,IFS(x&lt;=ta,0,x&lt;=tb,25*(x-ta)/(tb-ta),x&lt;=tc,25+25*(x-tb)/(tc-tb),x&lt;=te,50+25*(x-tc)/(te-tc),x&lt;tf,75+25*(x-te)/(tf-te),TRUE,100)))</f>
        <v/>
      </c>
      <c r="P15" s="35" t="str">
        <f>IF('Stress Inputs'!P15="","",LET(d,Rulebook!$L15,x,'Stress Inputs'!P15*d,ta,Rulebook!$G15*d,tb,Rulebook!$H15*d,tc,Rulebook!$I15*d,te,Rulebook!$J15*d,tf,Rulebook!$K15*d,IFS(x&lt;=ta,0,x&lt;=tb,25*(x-ta)/(tb-ta),x&lt;=tc,25+25*(x-tb)/(tc-tb),x&lt;=te,50+25*(x-tc)/(te-tc),x&lt;tf,75+25*(x-te)/(tf-te),TRUE,100)))</f>
        <v/>
      </c>
      <c r="Q15" s="35" t="str">
        <f>IF('Stress Inputs'!Q15="","",LET(d,Rulebook!$L15,x,'Stress Inputs'!Q15*d,ta,Rulebook!$G15*d,tb,Rulebook!$H15*d,tc,Rulebook!$I15*d,te,Rulebook!$J15*d,tf,Rulebook!$K15*d,IFS(x&lt;=ta,0,x&lt;=tb,25*(x-ta)/(tb-ta),x&lt;=tc,25+25*(x-tb)/(tc-tb),x&lt;=te,50+25*(x-tc)/(te-tc),x&lt;tf,75+25*(x-te)/(tf-te),TRUE,100)))</f>
        <v/>
      </c>
      <c r="R15" s="35" t="str">
        <f>IF('Stress Inputs'!R15="","",LET(d,Rulebook!$L15,x,'Stress Inputs'!R15*d,ta,Rulebook!$G15*d,tb,Rulebook!$H15*d,tc,Rulebook!$I15*d,te,Rulebook!$J15*d,tf,Rulebook!$K15*d,IFS(x&lt;=ta,0,x&lt;=tb,25*(x-ta)/(tb-ta),x&lt;=tc,25+25*(x-tb)/(tc-tb),x&lt;=te,50+25*(x-tc)/(te-tc),x&lt;tf,75+25*(x-te)/(tf-te),TRUE,100)))</f>
        <v/>
      </c>
      <c r="S15" s="35" t="str">
        <f>IF('Stress Inputs'!S15="","",LET(d,Rulebook!$L15,x,'Stress Inputs'!S15*d,ta,Rulebook!$G15*d,tb,Rulebook!$H15*d,tc,Rulebook!$I15*d,te,Rulebook!$J15*d,tf,Rulebook!$K15*d,IFS(x&lt;=ta,0,x&lt;=tb,25*(x-ta)/(tb-ta),x&lt;=tc,25+25*(x-tb)/(tc-tb),x&lt;=te,50+25*(x-tc)/(te-tc),x&lt;tf,75+25*(x-te)/(tf-te),TRUE,100)))</f>
        <v/>
      </c>
      <c r="T15" s="35" t="str">
        <f>IF('Stress Inputs'!T15="","",LET(d,Rulebook!$L15,x,'Stress Inputs'!T15*d,ta,Rulebook!$G15*d,tb,Rulebook!$H15*d,tc,Rulebook!$I15*d,te,Rulebook!$J15*d,tf,Rulebook!$K15*d,IFS(x&lt;=ta,0,x&lt;=tb,25*(x-ta)/(tb-ta),x&lt;=tc,25+25*(x-tb)/(tc-tb),x&lt;=te,50+25*(x-tc)/(te-tc),x&lt;tf,75+25*(x-te)/(tf-te),TRUE,100)))</f>
        <v/>
      </c>
      <c r="U15" s="35" t="str">
        <f>IF('Stress Inputs'!U15="","",LET(d,Rulebook!$L15,x,'Stress Inputs'!U15*d,ta,Rulebook!$G15*d,tb,Rulebook!$H15*d,tc,Rulebook!$I15*d,te,Rulebook!$J15*d,tf,Rulebook!$K15*d,IFS(x&lt;=ta,0,x&lt;=tb,25*(x-ta)/(tb-ta),x&lt;=tc,25+25*(x-tb)/(tc-tb),x&lt;=te,50+25*(x-tc)/(te-tc),x&lt;tf,75+25*(x-te)/(tf-te),TRUE,100)))</f>
        <v/>
      </c>
      <c r="V15" s="35" t="str">
        <f>IF('Stress Inputs'!V15="","",LET(d,Rulebook!$L15,x,'Stress Inputs'!V15*d,ta,Rulebook!$G15*d,tb,Rulebook!$H15*d,tc,Rulebook!$I15*d,te,Rulebook!$J15*d,tf,Rulebook!$K15*d,IFS(x&lt;=ta,0,x&lt;=tb,25*(x-ta)/(tb-ta),x&lt;=tc,25+25*(x-tb)/(tc-tb),x&lt;=te,50+25*(x-tc)/(te-tc),x&lt;tf,75+25*(x-te)/(tf-te),TRUE,100)))</f>
        <v/>
      </c>
    </row>
    <row r="16">
      <c r="A16" s="26" t="s">
        <v>322</v>
      </c>
      <c r="B16" s="26">
        <v>2.0</v>
      </c>
      <c r="C16" s="26" t="s">
        <v>324</v>
      </c>
      <c r="D16" s="26" t="s">
        <v>307</v>
      </c>
      <c r="E16" s="35" t="str">
        <f>IF('Stress Inputs'!E16="","",LET(d,Rulebook!$L16,x,'Stress Inputs'!E16*d,ta,Rulebook!$G16*d,tb,Rulebook!$H16*d,tc,Rulebook!$I16*d,te,Rulebook!$J16*d,tf,Rulebook!$K16*d,IFS(x&lt;=ta,0,x&lt;=tb,25*(x-ta)/(tb-ta),x&lt;=tc,25+25*(x-tb)/(tc-tb),x&lt;=te,50+25*(x-tc)/(te-tc),x&lt;tf,75+25*(x-te)/(tf-te),TRUE,100)))</f>
        <v/>
      </c>
      <c r="F16" s="35" t="str">
        <f>IF('Stress Inputs'!F16="","",LET(d,Rulebook!$L16,x,'Stress Inputs'!F16*d,ta,Rulebook!$G16*d,tb,Rulebook!$H16*d,tc,Rulebook!$I16*d,te,Rulebook!$J16*d,tf,Rulebook!$K16*d,IFS(x&lt;=ta,0,x&lt;=tb,25*(x-ta)/(tb-ta),x&lt;=tc,25+25*(x-tb)/(tc-tb),x&lt;=te,50+25*(x-tc)/(te-tc),x&lt;tf,75+25*(x-te)/(tf-te),TRUE,100)))</f>
        <v/>
      </c>
      <c r="G16" s="35" t="str">
        <f>IF('Stress Inputs'!G16="","",LET(d,Rulebook!$L16,x,'Stress Inputs'!G16*d,ta,Rulebook!$G16*d,tb,Rulebook!$H16*d,tc,Rulebook!$I16*d,te,Rulebook!$J16*d,tf,Rulebook!$K16*d,IFS(x&lt;=ta,0,x&lt;=tb,25*(x-ta)/(tb-ta),x&lt;=tc,25+25*(x-tb)/(tc-tb),x&lt;=te,50+25*(x-tc)/(te-tc),x&lt;tf,75+25*(x-te)/(tf-te),TRUE,100)))</f>
        <v/>
      </c>
      <c r="H16" s="35" t="str">
        <f>IF('Stress Inputs'!H16="","",LET(d,Rulebook!$L16,x,'Stress Inputs'!H16*d,ta,Rulebook!$G16*d,tb,Rulebook!$H16*d,tc,Rulebook!$I16*d,te,Rulebook!$J16*d,tf,Rulebook!$K16*d,IFS(x&lt;=ta,0,x&lt;=tb,25*(x-ta)/(tb-ta),x&lt;=tc,25+25*(x-tb)/(tc-tb),x&lt;=te,50+25*(x-tc)/(te-tc),x&lt;tf,75+25*(x-te)/(tf-te),TRUE,100)))</f>
        <v/>
      </c>
      <c r="I16" s="35" t="str">
        <f>IF('Stress Inputs'!I16="","",LET(d,Rulebook!$L16,x,'Stress Inputs'!I16*d,ta,Rulebook!$G16*d,tb,Rulebook!$H16*d,tc,Rulebook!$I16*d,te,Rulebook!$J16*d,tf,Rulebook!$K16*d,IFS(x&lt;=ta,0,x&lt;=tb,25*(x-ta)/(tb-ta),x&lt;=tc,25+25*(x-tb)/(tc-tb),x&lt;=te,50+25*(x-tc)/(te-tc),x&lt;tf,75+25*(x-te)/(tf-te),TRUE,100)))</f>
        <v/>
      </c>
      <c r="J16" s="35" t="str">
        <f>IF('Stress Inputs'!J16="","",LET(d,Rulebook!$L16,x,'Stress Inputs'!J16*d,ta,Rulebook!$G16*d,tb,Rulebook!$H16*d,tc,Rulebook!$I16*d,te,Rulebook!$J16*d,tf,Rulebook!$K16*d,IFS(x&lt;=ta,0,x&lt;=tb,25*(x-ta)/(tb-ta),x&lt;=tc,25+25*(x-tb)/(tc-tb),x&lt;=te,50+25*(x-tc)/(te-tc),x&lt;tf,75+25*(x-te)/(tf-te),TRUE,100)))</f>
        <v/>
      </c>
      <c r="K16" s="35" t="str">
        <f>IF('Stress Inputs'!K16="","",LET(d,Rulebook!$L16,x,'Stress Inputs'!K16*d,ta,Rulebook!$G16*d,tb,Rulebook!$H16*d,tc,Rulebook!$I16*d,te,Rulebook!$J16*d,tf,Rulebook!$K16*d,IFS(x&lt;=ta,0,x&lt;=tb,25*(x-ta)/(tb-ta),x&lt;=tc,25+25*(x-tb)/(tc-tb),x&lt;=te,50+25*(x-tc)/(te-tc),x&lt;tf,75+25*(x-te)/(tf-te),TRUE,100)))</f>
        <v/>
      </c>
      <c r="L16" s="35" t="str">
        <f>IF('Stress Inputs'!L16="","",LET(d,Rulebook!$L16,x,'Stress Inputs'!L16*d,ta,Rulebook!$G16*d,tb,Rulebook!$H16*d,tc,Rulebook!$I16*d,te,Rulebook!$J16*d,tf,Rulebook!$K16*d,IFS(x&lt;=ta,0,x&lt;=tb,25*(x-ta)/(tb-ta),x&lt;=tc,25+25*(x-tb)/(tc-tb),x&lt;=te,50+25*(x-tc)/(te-tc),x&lt;tf,75+25*(x-te)/(tf-te),TRUE,100)))</f>
        <v/>
      </c>
      <c r="M16" s="35" t="str">
        <f>IF('Stress Inputs'!M16="","",LET(d,Rulebook!$L16,x,'Stress Inputs'!M16*d,ta,Rulebook!$G16*d,tb,Rulebook!$H16*d,tc,Rulebook!$I16*d,te,Rulebook!$J16*d,tf,Rulebook!$K16*d,IFS(x&lt;=ta,0,x&lt;=tb,25*(x-ta)/(tb-ta),x&lt;=tc,25+25*(x-tb)/(tc-tb),x&lt;=te,50+25*(x-tc)/(te-tc),x&lt;tf,75+25*(x-te)/(tf-te),TRUE,100)))</f>
        <v/>
      </c>
      <c r="N16" s="35" t="str">
        <f>IF('Stress Inputs'!N16="","",LET(d,Rulebook!$L16,x,'Stress Inputs'!N16*d,ta,Rulebook!$G16*d,tb,Rulebook!$H16*d,tc,Rulebook!$I16*d,te,Rulebook!$J16*d,tf,Rulebook!$K16*d,IFS(x&lt;=ta,0,x&lt;=tb,25*(x-ta)/(tb-ta),x&lt;=tc,25+25*(x-tb)/(tc-tb),x&lt;=te,50+25*(x-tc)/(te-tc),x&lt;tf,75+25*(x-te)/(tf-te),TRUE,100)))</f>
        <v/>
      </c>
      <c r="O16" s="35" t="str">
        <f>IF('Stress Inputs'!O16="","",LET(d,Rulebook!$L16,x,'Stress Inputs'!O16*d,ta,Rulebook!$G16*d,tb,Rulebook!$H16*d,tc,Rulebook!$I16*d,te,Rulebook!$J16*d,tf,Rulebook!$K16*d,IFS(x&lt;=ta,0,x&lt;=tb,25*(x-ta)/(tb-ta),x&lt;=tc,25+25*(x-tb)/(tc-tb),x&lt;=te,50+25*(x-tc)/(te-tc),x&lt;tf,75+25*(x-te)/(tf-te),TRUE,100)))</f>
        <v/>
      </c>
      <c r="P16" s="35" t="str">
        <f>IF('Stress Inputs'!P16="","",LET(d,Rulebook!$L16,x,'Stress Inputs'!P16*d,ta,Rulebook!$G16*d,tb,Rulebook!$H16*d,tc,Rulebook!$I16*d,te,Rulebook!$J16*d,tf,Rulebook!$K16*d,IFS(x&lt;=ta,0,x&lt;=tb,25*(x-ta)/(tb-ta),x&lt;=tc,25+25*(x-tb)/(tc-tb),x&lt;=te,50+25*(x-tc)/(te-tc),x&lt;tf,75+25*(x-te)/(tf-te),TRUE,100)))</f>
        <v/>
      </c>
      <c r="Q16" s="35" t="str">
        <f>IF('Stress Inputs'!Q16="","",LET(d,Rulebook!$L16,x,'Stress Inputs'!Q16*d,ta,Rulebook!$G16*d,tb,Rulebook!$H16*d,tc,Rulebook!$I16*d,te,Rulebook!$J16*d,tf,Rulebook!$K16*d,IFS(x&lt;=ta,0,x&lt;=tb,25*(x-ta)/(tb-ta),x&lt;=tc,25+25*(x-tb)/(tc-tb),x&lt;=te,50+25*(x-tc)/(te-tc),x&lt;tf,75+25*(x-te)/(tf-te),TRUE,100)))</f>
        <v/>
      </c>
      <c r="R16" s="35" t="str">
        <f>IF('Stress Inputs'!R16="","",LET(d,Rulebook!$L16,x,'Stress Inputs'!R16*d,ta,Rulebook!$G16*d,tb,Rulebook!$H16*d,tc,Rulebook!$I16*d,te,Rulebook!$J16*d,tf,Rulebook!$K16*d,IFS(x&lt;=ta,0,x&lt;=tb,25*(x-ta)/(tb-ta),x&lt;=tc,25+25*(x-tb)/(tc-tb),x&lt;=te,50+25*(x-tc)/(te-tc),x&lt;tf,75+25*(x-te)/(tf-te),TRUE,100)))</f>
        <v/>
      </c>
      <c r="S16" s="35" t="str">
        <f>IF('Stress Inputs'!S16="","",LET(d,Rulebook!$L16,x,'Stress Inputs'!S16*d,ta,Rulebook!$G16*d,tb,Rulebook!$H16*d,tc,Rulebook!$I16*d,te,Rulebook!$J16*d,tf,Rulebook!$K16*d,IFS(x&lt;=ta,0,x&lt;=tb,25*(x-ta)/(tb-ta),x&lt;=tc,25+25*(x-tb)/(tc-tb),x&lt;=te,50+25*(x-tc)/(te-tc),x&lt;tf,75+25*(x-te)/(tf-te),TRUE,100)))</f>
        <v/>
      </c>
      <c r="T16" s="35" t="str">
        <f>IF('Stress Inputs'!T16="","",LET(d,Rulebook!$L16,x,'Stress Inputs'!T16*d,ta,Rulebook!$G16*d,tb,Rulebook!$H16*d,tc,Rulebook!$I16*d,te,Rulebook!$J16*d,tf,Rulebook!$K16*d,IFS(x&lt;=ta,0,x&lt;=tb,25*(x-ta)/(tb-ta),x&lt;=tc,25+25*(x-tb)/(tc-tb),x&lt;=te,50+25*(x-tc)/(te-tc),x&lt;tf,75+25*(x-te)/(tf-te),TRUE,100)))</f>
        <v/>
      </c>
      <c r="U16" s="35" t="str">
        <f>IF('Stress Inputs'!U16="","",LET(d,Rulebook!$L16,x,'Stress Inputs'!U16*d,ta,Rulebook!$G16*d,tb,Rulebook!$H16*d,tc,Rulebook!$I16*d,te,Rulebook!$J16*d,tf,Rulebook!$K16*d,IFS(x&lt;=ta,0,x&lt;=tb,25*(x-ta)/(tb-ta),x&lt;=tc,25+25*(x-tb)/(tc-tb),x&lt;=te,50+25*(x-tc)/(te-tc),x&lt;tf,75+25*(x-te)/(tf-te),TRUE,100)))</f>
        <v/>
      </c>
      <c r="V16" s="35" t="str">
        <f>IF('Stress Inputs'!V16="","",LET(d,Rulebook!$L16,x,'Stress Inputs'!V16*d,ta,Rulebook!$G16*d,tb,Rulebook!$H16*d,tc,Rulebook!$I16*d,te,Rulebook!$J16*d,tf,Rulebook!$K16*d,IFS(x&lt;=ta,0,x&lt;=tb,25*(x-ta)/(tb-ta),x&lt;=tc,25+25*(x-tb)/(tc-tb),x&lt;=te,50+25*(x-tc)/(te-tc),x&lt;tf,75+25*(x-te)/(tf-te),TRUE,100)))</f>
        <v/>
      </c>
    </row>
    <row r="17">
      <c r="A17" s="26" t="s">
        <v>340</v>
      </c>
      <c r="B17" s="26">
        <v>2.0</v>
      </c>
      <c r="C17" s="26" t="s">
        <v>342</v>
      </c>
      <c r="D17" s="26" t="s">
        <v>344</v>
      </c>
      <c r="E17" s="35" t="str">
        <f>IF('Stress Inputs'!E17="","",LET(d,Rulebook!$L17,x,'Stress Inputs'!E17*d,ta,Rulebook!$G17*d,tb,Rulebook!$H17*d,tc,Rulebook!$I17*d,te,Rulebook!$J17*d,tf,Rulebook!$K17*d,IFS(x&lt;=ta,0,x&lt;=tb,25*(x-ta)/(tb-ta),x&lt;=tc,25+25*(x-tb)/(tc-tb),x&lt;=te,50+25*(x-tc)/(te-tc),x&lt;tf,75+25*(x-te)/(tf-te),TRUE,100)))</f>
        <v/>
      </c>
      <c r="F17" s="35" t="str">
        <f>IF('Stress Inputs'!F17="","",LET(d,Rulebook!$L17,x,'Stress Inputs'!F17*d,ta,Rulebook!$G17*d,tb,Rulebook!$H17*d,tc,Rulebook!$I17*d,te,Rulebook!$J17*d,tf,Rulebook!$K17*d,IFS(x&lt;=ta,0,x&lt;=tb,25*(x-ta)/(tb-ta),x&lt;=tc,25+25*(x-tb)/(tc-tb),x&lt;=te,50+25*(x-tc)/(te-tc),x&lt;tf,75+25*(x-te)/(tf-te),TRUE,100)))</f>
        <v/>
      </c>
      <c r="G17" s="35" t="str">
        <f>IF('Stress Inputs'!G17="","",LET(d,Rulebook!$L17,x,'Stress Inputs'!G17*d,ta,Rulebook!$G17*d,tb,Rulebook!$H17*d,tc,Rulebook!$I17*d,te,Rulebook!$J17*d,tf,Rulebook!$K17*d,IFS(x&lt;=ta,0,x&lt;=tb,25*(x-ta)/(tb-ta),x&lt;=tc,25+25*(x-tb)/(tc-tb),x&lt;=te,50+25*(x-tc)/(te-tc),x&lt;tf,75+25*(x-te)/(tf-te),TRUE,100)))</f>
        <v/>
      </c>
      <c r="H17" s="35" t="str">
        <f>IF('Stress Inputs'!H17="","",LET(d,Rulebook!$L17,x,'Stress Inputs'!H17*d,ta,Rulebook!$G17*d,tb,Rulebook!$H17*d,tc,Rulebook!$I17*d,te,Rulebook!$J17*d,tf,Rulebook!$K17*d,IFS(x&lt;=ta,0,x&lt;=tb,25*(x-ta)/(tb-ta),x&lt;=tc,25+25*(x-tb)/(tc-tb),x&lt;=te,50+25*(x-tc)/(te-tc),x&lt;tf,75+25*(x-te)/(tf-te),TRUE,100)))</f>
        <v/>
      </c>
      <c r="I17" s="35" t="str">
        <f>IF('Stress Inputs'!I17="","",LET(d,Rulebook!$L17,x,'Stress Inputs'!I17*d,ta,Rulebook!$G17*d,tb,Rulebook!$H17*d,tc,Rulebook!$I17*d,te,Rulebook!$J17*d,tf,Rulebook!$K17*d,IFS(x&lt;=ta,0,x&lt;=tb,25*(x-ta)/(tb-ta),x&lt;=tc,25+25*(x-tb)/(tc-tb),x&lt;=te,50+25*(x-tc)/(te-tc),x&lt;tf,75+25*(x-te)/(tf-te),TRUE,100)))</f>
        <v/>
      </c>
      <c r="J17" s="35" t="str">
        <f>IF('Stress Inputs'!J17="","",LET(d,Rulebook!$L17,x,'Stress Inputs'!J17*d,ta,Rulebook!$G17*d,tb,Rulebook!$H17*d,tc,Rulebook!$I17*d,te,Rulebook!$J17*d,tf,Rulebook!$K17*d,IFS(x&lt;=ta,0,x&lt;=tb,25*(x-ta)/(tb-ta),x&lt;=tc,25+25*(x-tb)/(tc-tb),x&lt;=te,50+25*(x-tc)/(te-tc),x&lt;tf,75+25*(x-te)/(tf-te),TRUE,100)))</f>
        <v/>
      </c>
      <c r="K17" s="35" t="str">
        <f>IF('Stress Inputs'!K17="","",LET(d,Rulebook!$L17,x,'Stress Inputs'!K17*d,ta,Rulebook!$G17*d,tb,Rulebook!$H17*d,tc,Rulebook!$I17*d,te,Rulebook!$J17*d,tf,Rulebook!$K17*d,IFS(x&lt;=ta,0,x&lt;=tb,25*(x-ta)/(tb-ta),x&lt;=tc,25+25*(x-tb)/(tc-tb),x&lt;=te,50+25*(x-tc)/(te-tc),x&lt;tf,75+25*(x-te)/(tf-te),TRUE,100)))</f>
        <v/>
      </c>
      <c r="L17" s="35" t="str">
        <f>IF('Stress Inputs'!L17="","",LET(d,Rulebook!$L17,x,'Stress Inputs'!L17*d,ta,Rulebook!$G17*d,tb,Rulebook!$H17*d,tc,Rulebook!$I17*d,te,Rulebook!$J17*d,tf,Rulebook!$K17*d,IFS(x&lt;=ta,0,x&lt;=tb,25*(x-ta)/(tb-ta),x&lt;=tc,25+25*(x-tb)/(tc-tb),x&lt;=te,50+25*(x-tc)/(te-tc),x&lt;tf,75+25*(x-te)/(tf-te),TRUE,100)))</f>
        <v/>
      </c>
      <c r="M17" s="35" t="str">
        <f>IF('Stress Inputs'!M17="","",LET(d,Rulebook!$L17,x,'Stress Inputs'!M17*d,ta,Rulebook!$G17*d,tb,Rulebook!$H17*d,tc,Rulebook!$I17*d,te,Rulebook!$J17*d,tf,Rulebook!$K17*d,IFS(x&lt;=ta,0,x&lt;=tb,25*(x-ta)/(tb-ta),x&lt;=tc,25+25*(x-tb)/(tc-tb),x&lt;=te,50+25*(x-tc)/(te-tc),x&lt;tf,75+25*(x-te)/(tf-te),TRUE,100)))</f>
        <v/>
      </c>
      <c r="N17" s="35" t="str">
        <f>IF('Stress Inputs'!N17="","",LET(d,Rulebook!$L17,x,'Stress Inputs'!N17*d,ta,Rulebook!$G17*d,tb,Rulebook!$H17*d,tc,Rulebook!$I17*d,te,Rulebook!$J17*d,tf,Rulebook!$K17*d,IFS(x&lt;=ta,0,x&lt;=tb,25*(x-ta)/(tb-ta),x&lt;=tc,25+25*(x-tb)/(tc-tb),x&lt;=te,50+25*(x-tc)/(te-tc),x&lt;tf,75+25*(x-te)/(tf-te),TRUE,100)))</f>
        <v/>
      </c>
      <c r="O17" s="35" t="str">
        <f>IF('Stress Inputs'!O17="","",LET(d,Rulebook!$L17,x,'Stress Inputs'!O17*d,ta,Rulebook!$G17*d,tb,Rulebook!$H17*d,tc,Rulebook!$I17*d,te,Rulebook!$J17*d,tf,Rulebook!$K17*d,IFS(x&lt;=ta,0,x&lt;=tb,25*(x-ta)/(tb-ta),x&lt;=tc,25+25*(x-tb)/(tc-tb),x&lt;=te,50+25*(x-tc)/(te-tc),x&lt;tf,75+25*(x-te)/(tf-te),TRUE,100)))</f>
        <v/>
      </c>
      <c r="P17" s="35" t="str">
        <f>IF('Stress Inputs'!P17="","",LET(d,Rulebook!$L17,x,'Stress Inputs'!P17*d,ta,Rulebook!$G17*d,tb,Rulebook!$H17*d,tc,Rulebook!$I17*d,te,Rulebook!$J17*d,tf,Rulebook!$K17*d,IFS(x&lt;=ta,0,x&lt;=tb,25*(x-ta)/(tb-ta),x&lt;=tc,25+25*(x-tb)/(tc-tb),x&lt;=te,50+25*(x-tc)/(te-tc),x&lt;tf,75+25*(x-te)/(tf-te),TRUE,100)))</f>
        <v/>
      </c>
      <c r="Q17" s="35" t="str">
        <f>IF('Stress Inputs'!Q17="","",LET(d,Rulebook!$L17,x,'Stress Inputs'!Q17*d,ta,Rulebook!$G17*d,tb,Rulebook!$H17*d,tc,Rulebook!$I17*d,te,Rulebook!$J17*d,tf,Rulebook!$K17*d,IFS(x&lt;=ta,0,x&lt;=tb,25*(x-ta)/(tb-ta),x&lt;=tc,25+25*(x-tb)/(tc-tb),x&lt;=te,50+25*(x-tc)/(te-tc),x&lt;tf,75+25*(x-te)/(tf-te),TRUE,100)))</f>
        <v/>
      </c>
      <c r="R17" s="35" t="str">
        <f>IF('Stress Inputs'!R17="","",LET(d,Rulebook!$L17,x,'Stress Inputs'!R17*d,ta,Rulebook!$G17*d,tb,Rulebook!$H17*d,tc,Rulebook!$I17*d,te,Rulebook!$J17*d,tf,Rulebook!$K17*d,IFS(x&lt;=ta,0,x&lt;=tb,25*(x-ta)/(tb-ta),x&lt;=tc,25+25*(x-tb)/(tc-tb),x&lt;=te,50+25*(x-tc)/(te-tc),x&lt;tf,75+25*(x-te)/(tf-te),TRUE,100)))</f>
        <v/>
      </c>
      <c r="S17" s="35" t="str">
        <f>IF('Stress Inputs'!S17="","",LET(d,Rulebook!$L17,x,'Stress Inputs'!S17*d,ta,Rulebook!$G17*d,tb,Rulebook!$H17*d,tc,Rulebook!$I17*d,te,Rulebook!$J17*d,tf,Rulebook!$K17*d,IFS(x&lt;=ta,0,x&lt;=tb,25*(x-ta)/(tb-ta),x&lt;=tc,25+25*(x-tb)/(tc-tb),x&lt;=te,50+25*(x-tc)/(te-tc),x&lt;tf,75+25*(x-te)/(tf-te),TRUE,100)))</f>
        <v/>
      </c>
      <c r="T17" s="35" t="str">
        <f>IF('Stress Inputs'!T17="","",LET(d,Rulebook!$L17,x,'Stress Inputs'!T17*d,ta,Rulebook!$G17*d,tb,Rulebook!$H17*d,tc,Rulebook!$I17*d,te,Rulebook!$J17*d,tf,Rulebook!$K17*d,IFS(x&lt;=ta,0,x&lt;=tb,25*(x-ta)/(tb-ta),x&lt;=tc,25+25*(x-tb)/(tc-tb),x&lt;=te,50+25*(x-tc)/(te-tc),x&lt;tf,75+25*(x-te)/(tf-te),TRUE,100)))</f>
        <v/>
      </c>
      <c r="U17" s="35" t="str">
        <f>IF('Stress Inputs'!U17="","",LET(d,Rulebook!$L17,x,'Stress Inputs'!U17*d,ta,Rulebook!$G17*d,tb,Rulebook!$H17*d,tc,Rulebook!$I17*d,te,Rulebook!$J17*d,tf,Rulebook!$K17*d,IFS(x&lt;=ta,0,x&lt;=tb,25*(x-ta)/(tb-ta),x&lt;=tc,25+25*(x-tb)/(tc-tb),x&lt;=te,50+25*(x-tc)/(te-tc),x&lt;tf,75+25*(x-te)/(tf-te),TRUE,100)))</f>
        <v/>
      </c>
      <c r="V17" s="35" t="str">
        <f>IF('Stress Inputs'!V17="","",LET(d,Rulebook!$L17,x,'Stress Inputs'!V17*d,ta,Rulebook!$G17*d,tb,Rulebook!$H17*d,tc,Rulebook!$I17*d,te,Rulebook!$J17*d,tf,Rulebook!$K17*d,IFS(x&lt;=ta,0,x&lt;=tb,25*(x-ta)/(tb-ta),x&lt;=tc,25+25*(x-tb)/(tc-tb),x&lt;=te,50+25*(x-tc)/(te-tc),x&lt;tf,75+25*(x-te)/(tf-te),TRUE,100)))</f>
        <v/>
      </c>
    </row>
    <row r="18">
      <c r="A18" s="26" t="s">
        <v>358</v>
      </c>
      <c r="B18" s="26">
        <v>2.0</v>
      </c>
      <c r="C18" s="26" t="s">
        <v>361</v>
      </c>
      <c r="D18" s="26" t="s">
        <v>254</v>
      </c>
      <c r="E18" s="35" t="str">
        <f>IF('Stress Inputs'!E18="","",LET(d,Rulebook!$L18,x,'Stress Inputs'!E18*d,ta,Rulebook!$G18*d,tb,Rulebook!$H18*d,tc,Rulebook!$I18*d,te,Rulebook!$J18*d,tf,Rulebook!$K18*d,IFS(x&lt;=ta,0,x&lt;=tb,25*(x-ta)/(tb-ta),x&lt;=tc,25+25*(x-tb)/(tc-tb),x&lt;=te,50+25*(x-tc)/(te-tc),x&lt;tf,75+25*(x-te)/(tf-te),TRUE,100)))</f>
        <v/>
      </c>
      <c r="F18" s="35" t="str">
        <f>IF('Stress Inputs'!F18="","",LET(d,Rulebook!$L18,x,'Stress Inputs'!F18*d,ta,Rulebook!$G18*d,tb,Rulebook!$H18*d,tc,Rulebook!$I18*d,te,Rulebook!$J18*d,tf,Rulebook!$K18*d,IFS(x&lt;=ta,0,x&lt;=tb,25*(x-ta)/(tb-ta),x&lt;=tc,25+25*(x-tb)/(tc-tb),x&lt;=te,50+25*(x-tc)/(te-tc),x&lt;tf,75+25*(x-te)/(tf-te),TRUE,100)))</f>
        <v/>
      </c>
      <c r="G18" s="35" t="str">
        <f>IF('Stress Inputs'!G18="","",LET(d,Rulebook!$L18,x,'Stress Inputs'!G18*d,ta,Rulebook!$G18*d,tb,Rulebook!$H18*d,tc,Rulebook!$I18*d,te,Rulebook!$J18*d,tf,Rulebook!$K18*d,IFS(x&lt;=ta,0,x&lt;=tb,25*(x-ta)/(tb-ta),x&lt;=tc,25+25*(x-tb)/(tc-tb),x&lt;=te,50+25*(x-tc)/(te-tc),x&lt;tf,75+25*(x-te)/(tf-te),TRUE,100)))</f>
        <v/>
      </c>
      <c r="H18" s="35" t="str">
        <f>IF('Stress Inputs'!H18="","",LET(d,Rulebook!$L18,x,'Stress Inputs'!H18*d,ta,Rulebook!$G18*d,tb,Rulebook!$H18*d,tc,Rulebook!$I18*d,te,Rulebook!$J18*d,tf,Rulebook!$K18*d,IFS(x&lt;=ta,0,x&lt;=tb,25*(x-ta)/(tb-ta),x&lt;=tc,25+25*(x-tb)/(tc-tb),x&lt;=te,50+25*(x-tc)/(te-tc),x&lt;tf,75+25*(x-te)/(tf-te),TRUE,100)))</f>
        <v/>
      </c>
      <c r="I18" s="35" t="str">
        <f>IF('Stress Inputs'!I18="","",LET(d,Rulebook!$L18,x,'Stress Inputs'!I18*d,ta,Rulebook!$G18*d,tb,Rulebook!$H18*d,tc,Rulebook!$I18*d,te,Rulebook!$J18*d,tf,Rulebook!$K18*d,IFS(x&lt;=ta,0,x&lt;=tb,25*(x-ta)/(tb-ta),x&lt;=tc,25+25*(x-tb)/(tc-tb),x&lt;=te,50+25*(x-tc)/(te-tc),x&lt;tf,75+25*(x-te)/(tf-te),TRUE,100)))</f>
        <v/>
      </c>
      <c r="J18" s="35" t="str">
        <f>IF('Stress Inputs'!J18="","",LET(d,Rulebook!$L18,x,'Stress Inputs'!J18*d,ta,Rulebook!$G18*d,tb,Rulebook!$H18*d,tc,Rulebook!$I18*d,te,Rulebook!$J18*d,tf,Rulebook!$K18*d,IFS(x&lt;=ta,0,x&lt;=tb,25*(x-ta)/(tb-ta),x&lt;=tc,25+25*(x-tb)/(tc-tb),x&lt;=te,50+25*(x-tc)/(te-tc),x&lt;tf,75+25*(x-te)/(tf-te),TRUE,100)))</f>
        <v/>
      </c>
      <c r="K18" s="35" t="str">
        <f>IF('Stress Inputs'!K18="","",LET(d,Rulebook!$L18,x,'Stress Inputs'!K18*d,ta,Rulebook!$G18*d,tb,Rulebook!$H18*d,tc,Rulebook!$I18*d,te,Rulebook!$J18*d,tf,Rulebook!$K18*d,IFS(x&lt;=ta,0,x&lt;=tb,25*(x-ta)/(tb-ta),x&lt;=tc,25+25*(x-tb)/(tc-tb),x&lt;=te,50+25*(x-tc)/(te-tc),x&lt;tf,75+25*(x-te)/(tf-te),TRUE,100)))</f>
        <v/>
      </c>
      <c r="L18" s="35" t="str">
        <f>IF('Stress Inputs'!L18="","",LET(d,Rulebook!$L18,x,'Stress Inputs'!L18*d,ta,Rulebook!$G18*d,tb,Rulebook!$H18*d,tc,Rulebook!$I18*d,te,Rulebook!$J18*d,tf,Rulebook!$K18*d,IFS(x&lt;=ta,0,x&lt;=tb,25*(x-ta)/(tb-ta),x&lt;=tc,25+25*(x-tb)/(tc-tb),x&lt;=te,50+25*(x-tc)/(te-tc),x&lt;tf,75+25*(x-te)/(tf-te),TRUE,100)))</f>
        <v/>
      </c>
      <c r="M18" s="35" t="str">
        <f>IF('Stress Inputs'!M18="","",LET(d,Rulebook!$L18,x,'Stress Inputs'!M18*d,ta,Rulebook!$G18*d,tb,Rulebook!$H18*d,tc,Rulebook!$I18*d,te,Rulebook!$J18*d,tf,Rulebook!$K18*d,IFS(x&lt;=ta,0,x&lt;=tb,25*(x-ta)/(tb-ta),x&lt;=tc,25+25*(x-tb)/(tc-tb),x&lt;=te,50+25*(x-tc)/(te-tc),x&lt;tf,75+25*(x-te)/(tf-te),TRUE,100)))</f>
        <v/>
      </c>
      <c r="N18" s="35" t="str">
        <f>IF('Stress Inputs'!N18="","",LET(d,Rulebook!$L18,x,'Stress Inputs'!N18*d,ta,Rulebook!$G18*d,tb,Rulebook!$H18*d,tc,Rulebook!$I18*d,te,Rulebook!$J18*d,tf,Rulebook!$K18*d,IFS(x&lt;=ta,0,x&lt;=tb,25*(x-ta)/(tb-ta),x&lt;=tc,25+25*(x-tb)/(tc-tb),x&lt;=te,50+25*(x-tc)/(te-tc),x&lt;tf,75+25*(x-te)/(tf-te),TRUE,100)))</f>
        <v/>
      </c>
      <c r="O18" s="35" t="str">
        <f>IF('Stress Inputs'!O18="","",LET(d,Rulebook!$L18,x,'Stress Inputs'!O18*d,ta,Rulebook!$G18*d,tb,Rulebook!$H18*d,tc,Rulebook!$I18*d,te,Rulebook!$J18*d,tf,Rulebook!$K18*d,IFS(x&lt;=ta,0,x&lt;=tb,25*(x-ta)/(tb-ta),x&lt;=tc,25+25*(x-tb)/(tc-tb),x&lt;=te,50+25*(x-tc)/(te-tc),x&lt;tf,75+25*(x-te)/(tf-te),TRUE,100)))</f>
        <v/>
      </c>
      <c r="P18" s="35" t="str">
        <f>IF('Stress Inputs'!P18="","",LET(d,Rulebook!$L18,x,'Stress Inputs'!P18*d,ta,Rulebook!$G18*d,tb,Rulebook!$H18*d,tc,Rulebook!$I18*d,te,Rulebook!$J18*d,tf,Rulebook!$K18*d,IFS(x&lt;=ta,0,x&lt;=tb,25*(x-ta)/(tb-ta),x&lt;=tc,25+25*(x-tb)/(tc-tb),x&lt;=te,50+25*(x-tc)/(te-tc),x&lt;tf,75+25*(x-te)/(tf-te),TRUE,100)))</f>
        <v/>
      </c>
      <c r="Q18" s="35" t="str">
        <f>IF('Stress Inputs'!Q18="","",LET(d,Rulebook!$L18,x,'Stress Inputs'!Q18*d,ta,Rulebook!$G18*d,tb,Rulebook!$H18*d,tc,Rulebook!$I18*d,te,Rulebook!$J18*d,tf,Rulebook!$K18*d,IFS(x&lt;=ta,0,x&lt;=tb,25*(x-ta)/(tb-ta),x&lt;=tc,25+25*(x-tb)/(tc-tb),x&lt;=te,50+25*(x-tc)/(te-tc),x&lt;tf,75+25*(x-te)/(tf-te),TRUE,100)))</f>
        <v/>
      </c>
      <c r="R18" s="35" t="str">
        <f>IF('Stress Inputs'!R18="","",LET(d,Rulebook!$L18,x,'Stress Inputs'!R18*d,ta,Rulebook!$G18*d,tb,Rulebook!$H18*d,tc,Rulebook!$I18*d,te,Rulebook!$J18*d,tf,Rulebook!$K18*d,IFS(x&lt;=ta,0,x&lt;=tb,25*(x-ta)/(tb-ta),x&lt;=tc,25+25*(x-tb)/(tc-tb),x&lt;=te,50+25*(x-tc)/(te-tc),x&lt;tf,75+25*(x-te)/(tf-te),TRUE,100)))</f>
        <v/>
      </c>
      <c r="S18" s="35" t="str">
        <f>IF('Stress Inputs'!S18="","",LET(d,Rulebook!$L18,x,'Stress Inputs'!S18*d,ta,Rulebook!$G18*d,tb,Rulebook!$H18*d,tc,Rulebook!$I18*d,te,Rulebook!$J18*d,tf,Rulebook!$K18*d,IFS(x&lt;=ta,0,x&lt;=tb,25*(x-ta)/(tb-ta),x&lt;=tc,25+25*(x-tb)/(tc-tb),x&lt;=te,50+25*(x-tc)/(te-tc),x&lt;tf,75+25*(x-te)/(tf-te),TRUE,100)))</f>
        <v/>
      </c>
      <c r="T18" s="35" t="str">
        <f>IF('Stress Inputs'!T18="","",LET(d,Rulebook!$L18,x,'Stress Inputs'!T18*d,ta,Rulebook!$G18*d,tb,Rulebook!$H18*d,tc,Rulebook!$I18*d,te,Rulebook!$J18*d,tf,Rulebook!$K18*d,IFS(x&lt;=ta,0,x&lt;=tb,25*(x-ta)/(tb-ta),x&lt;=tc,25+25*(x-tb)/(tc-tb),x&lt;=te,50+25*(x-tc)/(te-tc),x&lt;tf,75+25*(x-te)/(tf-te),TRUE,100)))</f>
        <v/>
      </c>
      <c r="U18" s="35" t="str">
        <f>IF('Stress Inputs'!U18="","",LET(d,Rulebook!$L18,x,'Stress Inputs'!U18*d,ta,Rulebook!$G18*d,tb,Rulebook!$H18*d,tc,Rulebook!$I18*d,te,Rulebook!$J18*d,tf,Rulebook!$K18*d,IFS(x&lt;=ta,0,x&lt;=tb,25*(x-ta)/(tb-ta),x&lt;=tc,25+25*(x-tb)/(tc-tb),x&lt;=te,50+25*(x-tc)/(te-tc),x&lt;tf,75+25*(x-te)/(tf-te),TRUE,100)))</f>
        <v/>
      </c>
      <c r="V18" s="35" t="str">
        <f>IF('Stress Inputs'!V18="","",LET(d,Rulebook!$L18,x,'Stress Inputs'!V18*d,ta,Rulebook!$G18*d,tb,Rulebook!$H18*d,tc,Rulebook!$I18*d,te,Rulebook!$J18*d,tf,Rulebook!$K18*d,IFS(x&lt;=ta,0,x&lt;=tb,25*(x-ta)/(tb-ta),x&lt;=tc,25+25*(x-tb)/(tc-tb),x&lt;=te,50+25*(x-tc)/(te-tc),x&lt;tf,75+25*(x-te)/(tf-te),TRUE,100)))</f>
        <v/>
      </c>
    </row>
    <row r="19">
      <c r="A19" s="26" t="s">
        <v>377</v>
      </c>
      <c r="B19" s="26">
        <v>2.0</v>
      </c>
      <c r="C19" s="26" t="s">
        <v>380</v>
      </c>
      <c r="D19" s="26" t="s">
        <v>254</v>
      </c>
      <c r="E19" s="35" t="str">
        <f>IF('Stress Inputs'!E19="","",LET(d,Rulebook!$L19,x,'Stress Inputs'!E19*d,ta,Rulebook!$G19*d,tb,Rulebook!$H19*d,tc,Rulebook!$I19*d,te,Rulebook!$J19*d,tf,Rulebook!$K19*d,IFS(x&lt;=ta,0,x&lt;=tb,25*(x-ta)/(tb-ta),x&lt;=tc,25+25*(x-tb)/(tc-tb),x&lt;=te,50+25*(x-tc)/(te-tc),x&lt;tf,75+25*(x-te)/(tf-te),TRUE,100)))</f>
        <v/>
      </c>
      <c r="F19" s="35" t="str">
        <f>IF('Stress Inputs'!F19="","",LET(d,Rulebook!$L19,x,'Stress Inputs'!F19*d,ta,Rulebook!$G19*d,tb,Rulebook!$H19*d,tc,Rulebook!$I19*d,te,Rulebook!$J19*d,tf,Rulebook!$K19*d,IFS(x&lt;=ta,0,x&lt;=tb,25*(x-ta)/(tb-ta),x&lt;=tc,25+25*(x-tb)/(tc-tb),x&lt;=te,50+25*(x-tc)/(te-tc),x&lt;tf,75+25*(x-te)/(tf-te),TRUE,100)))</f>
        <v/>
      </c>
      <c r="G19" s="35" t="str">
        <f>IF('Stress Inputs'!G19="","",LET(d,Rulebook!$L19,x,'Stress Inputs'!G19*d,ta,Rulebook!$G19*d,tb,Rulebook!$H19*d,tc,Rulebook!$I19*d,te,Rulebook!$J19*d,tf,Rulebook!$K19*d,IFS(x&lt;=ta,0,x&lt;=tb,25*(x-ta)/(tb-ta),x&lt;=tc,25+25*(x-tb)/(tc-tb),x&lt;=te,50+25*(x-tc)/(te-tc),x&lt;tf,75+25*(x-te)/(tf-te),TRUE,100)))</f>
        <v/>
      </c>
      <c r="H19" s="35" t="str">
        <f>IF('Stress Inputs'!H19="","",LET(d,Rulebook!$L19,x,'Stress Inputs'!H19*d,ta,Rulebook!$G19*d,tb,Rulebook!$H19*d,tc,Rulebook!$I19*d,te,Rulebook!$J19*d,tf,Rulebook!$K19*d,IFS(x&lt;=ta,0,x&lt;=tb,25*(x-ta)/(tb-ta),x&lt;=tc,25+25*(x-tb)/(tc-tb),x&lt;=te,50+25*(x-tc)/(te-tc),x&lt;tf,75+25*(x-te)/(tf-te),TRUE,100)))</f>
        <v/>
      </c>
      <c r="I19" s="35" t="str">
        <f>IF('Stress Inputs'!I19="","",LET(d,Rulebook!$L19,x,'Stress Inputs'!I19*d,ta,Rulebook!$G19*d,tb,Rulebook!$H19*d,tc,Rulebook!$I19*d,te,Rulebook!$J19*d,tf,Rulebook!$K19*d,IFS(x&lt;=ta,0,x&lt;=tb,25*(x-ta)/(tb-ta),x&lt;=tc,25+25*(x-tb)/(tc-tb),x&lt;=te,50+25*(x-tc)/(te-tc),x&lt;tf,75+25*(x-te)/(tf-te),TRUE,100)))</f>
        <v/>
      </c>
      <c r="J19" s="35" t="str">
        <f>IF('Stress Inputs'!J19="","",LET(d,Rulebook!$L19,x,'Stress Inputs'!J19*d,ta,Rulebook!$G19*d,tb,Rulebook!$H19*d,tc,Rulebook!$I19*d,te,Rulebook!$J19*d,tf,Rulebook!$K19*d,IFS(x&lt;=ta,0,x&lt;=tb,25*(x-ta)/(tb-ta),x&lt;=tc,25+25*(x-tb)/(tc-tb),x&lt;=te,50+25*(x-tc)/(te-tc),x&lt;tf,75+25*(x-te)/(tf-te),TRUE,100)))</f>
        <v/>
      </c>
      <c r="K19" s="35" t="str">
        <f>IF('Stress Inputs'!K19="","",LET(d,Rulebook!$L19,x,'Stress Inputs'!K19*d,ta,Rulebook!$G19*d,tb,Rulebook!$H19*d,tc,Rulebook!$I19*d,te,Rulebook!$J19*d,tf,Rulebook!$K19*d,IFS(x&lt;=ta,0,x&lt;=tb,25*(x-ta)/(tb-ta),x&lt;=tc,25+25*(x-tb)/(tc-tb),x&lt;=te,50+25*(x-tc)/(te-tc),x&lt;tf,75+25*(x-te)/(tf-te),TRUE,100)))</f>
        <v/>
      </c>
      <c r="L19" s="35" t="str">
        <f>IF('Stress Inputs'!L19="","",LET(d,Rulebook!$L19,x,'Stress Inputs'!L19*d,ta,Rulebook!$G19*d,tb,Rulebook!$H19*d,tc,Rulebook!$I19*d,te,Rulebook!$J19*d,tf,Rulebook!$K19*d,IFS(x&lt;=ta,0,x&lt;=tb,25*(x-ta)/(tb-ta),x&lt;=tc,25+25*(x-tb)/(tc-tb),x&lt;=te,50+25*(x-tc)/(te-tc),x&lt;tf,75+25*(x-te)/(tf-te),TRUE,100)))</f>
        <v/>
      </c>
      <c r="M19" s="35" t="str">
        <f>IF('Stress Inputs'!M19="","",LET(d,Rulebook!$L19,x,'Stress Inputs'!M19*d,ta,Rulebook!$G19*d,tb,Rulebook!$H19*d,tc,Rulebook!$I19*d,te,Rulebook!$J19*d,tf,Rulebook!$K19*d,IFS(x&lt;=ta,0,x&lt;=tb,25*(x-ta)/(tb-ta),x&lt;=tc,25+25*(x-tb)/(tc-tb),x&lt;=te,50+25*(x-tc)/(te-tc),x&lt;tf,75+25*(x-te)/(tf-te),TRUE,100)))</f>
        <v/>
      </c>
      <c r="N19" s="35" t="str">
        <f>IF('Stress Inputs'!N19="","",LET(d,Rulebook!$L19,x,'Stress Inputs'!N19*d,ta,Rulebook!$G19*d,tb,Rulebook!$H19*d,tc,Rulebook!$I19*d,te,Rulebook!$J19*d,tf,Rulebook!$K19*d,IFS(x&lt;=ta,0,x&lt;=tb,25*(x-ta)/(tb-ta),x&lt;=tc,25+25*(x-tb)/(tc-tb),x&lt;=te,50+25*(x-tc)/(te-tc),x&lt;tf,75+25*(x-te)/(tf-te),TRUE,100)))</f>
        <v/>
      </c>
      <c r="O19" s="35" t="str">
        <f>IF('Stress Inputs'!O19="","",LET(d,Rulebook!$L19,x,'Stress Inputs'!O19*d,ta,Rulebook!$G19*d,tb,Rulebook!$H19*d,tc,Rulebook!$I19*d,te,Rulebook!$J19*d,tf,Rulebook!$K19*d,IFS(x&lt;=ta,0,x&lt;=tb,25*(x-ta)/(tb-ta),x&lt;=tc,25+25*(x-tb)/(tc-tb),x&lt;=te,50+25*(x-tc)/(te-tc),x&lt;tf,75+25*(x-te)/(tf-te),TRUE,100)))</f>
        <v/>
      </c>
      <c r="P19" s="35" t="str">
        <f>IF('Stress Inputs'!P19="","",LET(d,Rulebook!$L19,x,'Stress Inputs'!P19*d,ta,Rulebook!$G19*d,tb,Rulebook!$H19*d,tc,Rulebook!$I19*d,te,Rulebook!$J19*d,tf,Rulebook!$K19*d,IFS(x&lt;=ta,0,x&lt;=tb,25*(x-ta)/(tb-ta),x&lt;=tc,25+25*(x-tb)/(tc-tb),x&lt;=te,50+25*(x-tc)/(te-tc),x&lt;tf,75+25*(x-te)/(tf-te),TRUE,100)))</f>
        <v/>
      </c>
      <c r="Q19" s="35" t="str">
        <f>IF('Stress Inputs'!Q19="","",LET(d,Rulebook!$L19,x,'Stress Inputs'!Q19*d,ta,Rulebook!$G19*d,tb,Rulebook!$H19*d,tc,Rulebook!$I19*d,te,Rulebook!$J19*d,tf,Rulebook!$K19*d,IFS(x&lt;=ta,0,x&lt;=tb,25*(x-ta)/(tb-ta),x&lt;=tc,25+25*(x-tb)/(tc-tb),x&lt;=te,50+25*(x-tc)/(te-tc),x&lt;tf,75+25*(x-te)/(tf-te),TRUE,100)))</f>
        <v/>
      </c>
      <c r="R19" s="35" t="str">
        <f>IF('Stress Inputs'!R19="","",LET(d,Rulebook!$L19,x,'Stress Inputs'!R19*d,ta,Rulebook!$G19*d,tb,Rulebook!$H19*d,tc,Rulebook!$I19*d,te,Rulebook!$J19*d,tf,Rulebook!$K19*d,IFS(x&lt;=ta,0,x&lt;=tb,25*(x-ta)/(tb-ta),x&lt;=tc,25+25*(x-tb)/(tc-tb),x&lt;=te,50+25*(x-tc)/(te-tc),x&lt;tf,75+25*(x-te)/(tf-te),TRUE,100)))</f>
        <v/>
      </c>
      <c r="S19" s="35" t="str">
        <f>IF('Stress Inputs'!S19="","",LET(d,Rulebook!$L19,x,'Stress Inputs'!S19*d,ta,Rulebook!$G19*d,tb,Rulebook!$H19*d,tc,Rulebook!$I19*d,te,Rulebook!$J19*d,tf,Rulebook!$K19*d,IFS(x&lt;=ta,0,x&lt;=tb,25*(x-ta)/(tb-ta),x&lt;=tc,25+25*(x-tb)/(tc-tb),x&lt;=te,50+25*(x-tc)/(te-tc),x&lt;tf,75+25*(x-te)/(tf-te),TRUE,100)))</f>
        <v/>
      </c>
      <c r="T19" s="35" t="str">
        <f>IF('Stress Inputs'!T19="","",LET(d,Rulebook!$L19,x,'Stress Inputs'!T19*d,ta,Rulebook!$G19*d,tb,Rulebook!$H19*d,tc,Rulebook!$I19*d,te,Rulebook!$J19*d,tf,Rulebook!$K19*d,IFS(x&lt;=ta,0,x&lt;=tb,25*(x-ta)/(tb-ta),x&lt;=tc,25+25*(x-tb)/(tc-tb),x&lt;=te,50+25*(x-tc)/(te-tc),x&lt;tf,75+25*(x-te)/(tf-te),TRUE,100)))</f>
        <v/>
      </c>
      <c r="U19" s="35" t="str">
        <f>IF('Stress Inputs'!U19="","",LET(d,Rulebook!$L19,x,'Stress Inputs'!U19*d,ta,Rulebook!$G19*d,tb,Rulebook!$H19*d,tc,Rulebook!$I19*d,te,Rulebook!$J19*d,tf,Rulebook!$K19*d,IFS(x&lt;=ta,0,x&lt;=tb,25*(x-ta)/(tb-ta),x&lt;=tc,25+25*(x-tb)/(tc-tb),x&lt;=te,50+25*(x-tc)/(te-tc),x&lt;tf,75+25*(x-te)/(tf-te),TRUE,100)))</f>
        <v/>
      </c>
      <c r="V19" s="35" t="str">
        <f>IF('Stress Inputs'!V19="","",LET(d,Rulebook!$L19,x,'Stress Inputs'!V19*d,ta,Rulebook!$G19*d,tb,Rulebook!$H19*d,tc,Rulebook!$I19*d,te,Rulebook!$J19*d,tf,Rulebook!$K19*d,IFS(x&lt;=ta,0,x&lt;=tb,25*(x-ta)/(tb-ta),x&lt;=tc,25+25*(x-tb)/(tc-tb),x&lt;=te,50+25*(x-tc)/(te-tc),x&lt;tf,75+25*(x-te)/(tf-te),TRUE,100)))</f>
        <v/>
      </c>
    </row>
    <row r="20">
      <c r="A20" s="26" t="s">
        <v>396</v>
      </c>
      <c r="B20" s="26">
        <v>2.0</v>
      </c>
      <c r="C20" s="26" t="s">
        <v>398</v>
      </c>
      <c r="D20" s="26" t="s">
        <v>254</v>
      </c>
      <c r="E20" s="35" t="str">
        <f>IF('Stress Inputs'!E20="","",LET(d,Rulebook!$L20,x,'Stress Inputs'!E20*d,ta,Rulebook!$G20*d,tb,Rulebook!$H20*d,tc,Rulebook!$I20*d,te,Rulebook!$J20*d,tf,Rulebook!$K20*d,IFS(x&lt;=ta,0,x&lt;=tb,25*(x-ta)/(tb-ta),x&lt;=tc,25+25*(x-tb)/(tc-tb),x&lt;=te,50+25*(x-tc)/(te-tc),x&lt;tf,75+25*(x-te)/(tf-te),TRUE,100)))</f>
        <v/>
      </c>
      <c r="F20" s="35" t="str">
        <f>IF('Stress Inputs'!F20="","",LET(d,Rulebook!$L20,x,'Stress Inputs'!F20*d,ta,Rulebook!$G20*d,tb,Rulebook!$H20*d,tc,Rulebook!$I20*d,te,Rulebook!$J20*d,tf,Rulebook!$K20*d,IFS(x&lt;=ta,0,x&lt;=tb,25*(x-ta)/(tb-ta),x&lt;=tc,25+25*(x-tb)/(tc-tb),x&lt;=te,50+25*(x-tc)/(te-tc),x&lt;tf,75+25*(x-te)/(tf-te),TRUE,100)))</f>
        <v/>
      </c>
      <c r="G20" s="35" t="str">
        <f>IF('Stress Inputs'!G20="","",LET(d,Rulebook!$L20,x,'Stress Inputs'!G20*d,ta,Rulebook!$G20*d,tb,Rulebook!$H20*d,tc,Rulebook!$I20*d,te,Rulebook!$J20*d,tf,Rulebook!$K20*d,IFS(x&lt;=ta,0,x&lt;=tb,25*(x-ta)/(tb-ta),x&lt;=tc,25+25*(x-tb)/(tc-tb),x&lt;=te,50+25*(x-tc)/(te-tc),x&lt;tf,75+25*(x-te)/(tf-te),TRUE,100)))</f>
        <v/>
      </c>
      <c r="H20" s="35" t="str">
        <f>IF('Stress Inputs'!H20="","",LET(d,Rulebook!$L20,x,'Stress Inputs'!H20*d,ta,Rulebook!$G20*d,tb,Rulebook!$H20*d,tc,Rulebook!$I20*d,te,Rulebook!$J20*d,tf,Rulebook!$K20*d,IFS(x&lt;=ta,0,x&lt;=tb,25*(x-ta)/(tb-ta),x&lt;=tc,25+25*(x-tb)/(tc-tb),x&lt;=te,50+25*(x-tc)/(te-tc),x&lt;tf,75+25*(x-te)/(tf-te),TRUE,100)))</f>
        <v/>
      </c>
      <c r="I20" s="35" t="str">
        <f>IF('Stress Inputs'!I20="","",LET(d,Rulebook!$L20,x,'Stress Inputs'!I20*d,ta,Rulebook!$G20*d,tb,Rulebook!$H20*d,tc,Rulebook!$I20*d,te,Rulebook!$J20*d,tf,Rulebook!$K20*d,IFS(x&lt;=ta,0,x&lt;=tb,25*(x-ta)/(tb-ta),x&lt;=tc,25+25*(x-tb)/(tc-tb),x&lt;=te,50+25*(x-tc)/(te-tc),x&lt;tf,75+25*(x-te)/(tf-te),TRUE,100)))</f>
        <v/>
      </c>
      <c r="J20" s="35" t="str">
        <f>IF('Stress Inputs'!J20="","",LET(d,Rulebook!$L20,x,'Stress Inputs'!J20*d,ta,Rulebook!$G20*d,tb,Rulebook!$H20*d,tc,Rulebook!$I20*d,te,Rulebook!$J20*d,tf,Rulebook!$K20*d,IFS(x&lt;=ta,0,x&lt;=tb,25*(x-ta)/(tb-ta),x&lt;=tc,25+25*(x-tb)/(tc-tb),x&lt;=te,50+25*(x-tc)/(te-tc),x&lt;tf,75+25*(x-te)/(tf-te),TRUE,100)))</f>
        <v/>
      </c>
      <c r="K20" s="35" t="str">
        <f>IF('Stress Inputs'!K20="","",LET(d,Rulebook!$L20,x,'Stress Inputs'!K20*d,ta,Rulebook!$G20*d,tb,Rulebook!$H20*d,tc,Rulebook!$I20*d,te,Rulebook!$J20*d,tf,Rulebook!$K20*d,IFS(x&lt;=ta,0,x&lt;=tb,25*(x-ta)/(tb-ta),x&lt;=tc,25+25*(x-tb)/(tc-tb),x&lt;=te,50+25*(x-tc)/(te-tc),x&lt;tf,75+25*(x-te)/(tf-te),TRUE,100)))</f>
        <v/>
      </c>
      <c r="L20" s="35" t="str">
        <f>IF('Stress Inputs'!L20="","",LET(d,Rulebook!$L20,x,'Stress Inputs'!L20*d,ta,Rulebook!$G20*d,tb,Rulebook!$H20*d,tc,Rulebook!$I20*d,te,Rulebook!$J20*d,tf,Rulebook!$K20*d,IFS(x&lt;=ta,0,x&lt;=tb,25*(x-ta)/(tb-ta),x&lt;=tc,25+25*(x-tb)/(tc-tb),x&lt;=te,50+25*(x-tc)/(te-tc),x&lt;tf,75+25*(x-te)/(tf-te),TRUE,100)))</f>
        <v/>
      </c>
      <c r="M20" s="35" t="str">
        <f>IF('Stress Inputs'!M20="","",LET(d,Rulebook!$L20,x,'Stress Inputs'!M20*d,ta,Rulebook!$G20*d,tb,Rulebook!$H20*d,tc,Rulebook!$I20*d,te,Rulebook!$J20*d,tf,Rulebook!$K20*d,IFS(x&lt;=ta,0,x&lt;=tb,25*(x-ta)/(tb-ta),x&lt;=tc,25+25*(x-tb)/(tc-tb),x&lt;=te,50+25*(x-tc)/(te-tc),x&lt;tf,75+25*(x-te)/(tf-te),TRUE,100)))</f>
        <v/>
      </c>
      <c r="N20" s="35" t="str">
        <f>IF('Stress Inputs'!N20="","",LET(d,Rulebook!$L20,x,'Stress Inputs'!N20*d,ta,Rulebook!$G20*d,tb,Rulebook!$H20*d,tc,Rulebook!$I20*d,te,Rulebook!$J20*d,tf,Rulebook!$K20*d,IFS(x&lt;=ta,0,x&lt;=tb,25*(x-ta)/(tb-ta),x&lt;=tc,25+25*(x-tb)/(tc-tb),x&lt;=te,50+25*(x-tc)/(te-tc),x&lt;tf,75+25*(x-te)/(tf-te),TRUE,100)))</f>
        <v/>
      </c>
      <c r="O20" s="35" t="str">
        <f>IF('Stress Inputs'!O20="","",LET(d,Rulebook!$L20,x,'Stress Inputs'!O20*d,ta,Rulebook!$G20*d,tb,Rulebook!$H20*d,tc,Rulebook!$I20*d,te,Rulebook!$J20*d,tf,Rulebook!$K20*d,IFS(x&lt;=ta,0,x&lt;=tb,25*(x-ta)/(tb-ta),x&lt;=tc,25+25*(x-tb)/(tc-tb),x&lt;=te,50+25*(x-tc)/(te-tc),x&lt;tf,75+25*(x-te)/(tf-te),TRUE,100)))</f>
        <v/>
      </c>
      <c r="P20" s="35" t="str">
        <f>IF('Stress Inputs'!P20="","",LET(d,Rulebook!$L20,x,'Stress Inputs'!P20*d,ta,Rulebook!$G20*d,tb,Rulebook!$H20*d,tc,Rulebook!$I20*d,te,Rulebook!$J20*d,tf,Rulebook!$K20*d,IFS(x&lt;=ta,0,x&lt;=tb,25*(x-ta)/(tb-ta),x&lt;=tc,25+25*(x-tb)/(tc-tb),x&lt;=te,50+25*(x-tc)/(te-tc),x&lt;tf,75+25*(x-te)/(tf-te),TRUE,100)))</f>
        <v/>
      </c>
      <c r="Q20" s="35" t="str">
        <f>IF('Stress Inputs'!Q20="","",LET(d,Rulebook!$L20,x,'Stress Inputs'!Q20*d,ta,Rulebook!$G20*d,tb,Rulebook!$H20*d,tc,Rulebook!$I20*d,te,Rulebook!$J20*d,tf,Rulebook!$K20*d,IFS(x&lt;=ta,0,x&lt;=tb,25*(x-ta)/(tb-ta),x&lt;=tc,25+25*(x-tb)/(tc-tb),x&lt;=te,50+25*(x-tc)/(te-tc),x&lt;tf,75+25*(x-te)/(tf-te),TRUE,100)))</f>
        <v/>
      </c>
      <c r="R20" s="35" t="str">
        <f>IF('Stress Inputs'!R20="","",LET(d,Rulebook!$L20,x,'Stress Inputs'!R20*d,ta,Rulebook!$G20*d,tb,Rulebook!$H20*d,tc,Rulebook!$I20*d,te,Rulebook!$J20*d,tf,Rulebook!$K20*d,IFS(x&lt;=ta,0,x&lt;=tb,25*(x-ta)/(tb-ta),x&lt;=tc,25+25*(x-tb)/(tc-tb),x&lt;=te,50+25*(x-tc)/(te-tc),x&lt;tf,75+25*(x-te)/(tf-te),TRUE,100)))</f>
        <v/>
      </c>
      <c r="S20" s="35" t="str">
        <f>IF('Stress Inputs'!S20="","",LET(d,Rulebook!$L20,x,'Stress Inputs'!S20*d,ta,Rulebook!$G20*d,tb,Rulebook!$H20*d,tc,Rulebook!$I20*d,te,Rulebook!$J20*d,tf,Rulebook!$K20*d,IFS(x&lt;=ta,0,x&lt;=tb,25*(x-ta)/(tb-ta),x&lt;=tc,25+25*(x-tb)/(tc-tb),x&lt;=te,50+25*(x-tc)/(te-tc),x&lt;tf,75+25*(x-te)/(tf-te),TRUE,100)))</f>
        <v/>
      </c>
      <c r="T20" s="35" t="str">
        <f>IF('Stress Inputs'!T20="","",LET(d,Rulebook!$L20,x,'Stress Inputs'!T20*d,ta,Rulebook!$G20*d,tb,Rulebook!$H20*d,tc,Rulebook!$I20*d,te,Rulebook!$J20*d,tf,Rulebook!$K20*d,IFS(x&lt;=ta,0,x&lt;=tb,25*(x-ta)/(tb-ta),x&lt;=tc,25+25*(x-tb)/(tc-tb),x&lt;=te,50+25*(x-tc)/(te-tc),x&lt;tf,75+25*(x-te)/(tf-te),TRUE,100)))</f>
        <v/>
      </c>
      <c r="U20" s="35" t="str">
        <f>IF('Stress Inputs'!U20="","",LET(d,Rulebook!$L20,x,'Stress Inputs'!U20*d,ta,Rulebook!$G20*d,tb,Rulebook!$H20*d,tc,Rulebook!$I20*d,te,Rulebook!$J20*d,tf,Rulebook!$K20*d,IFS(x&lt;=ta,0,x&lt;=tb,25*(x-ta)/(tb-ta),x&lt;=tc,25+25*(x-tb)/(tc-tb),x&lt;=te,50+25*(x-tc)/(te-tc),x&lt;tf,75+25*(x-te)/(tf-te),TRUE,100)))</f>
        <v/>
      </c>
      <c r="V20" s="35" t="str">
        <f>IF('Stress Inputs'!V20="","",LET(d,Rulebook!$L20,x,'Stress Inputs'!V20*d,ta,Rulebook!$G20*d,tb,Rulebook!$H20*d,tc,Rulebook!$I20*d,te,Rulebook!$J20*d,tf,Rulebook!$K20*d,IFS(x&lt;=ta,0,x&lt;=tb,25*(x-ta)/(tb-ta),x&lt;=tc,25+25*(x-tb)/(tc-tb),x&lt;=te,50+25*(x-tc)/(te-tc),x&lt;tf,75+25*(x-te)/(tf-te),TRUE,100)))</f>
        <v/>
      </c>
    </row>
    <row r="21">
      <c r="A21" s="26" t="s">
        <v>407</v>
      </c>
      <c r="B21" s="26">
        <v>2.0</v>
      </c>
      <c r="C21" s="26" t="s">
        <v>409</v>
      </c>
      <c r="D21" s="26" t="s">
        <v>37</v>
      </c>
      <c r="E21" s="35">
        <f>IF('Stress Inputs'!E21="","",LET(d,Rulebook!$L21,x,'Stress Inputs'!E21*d,ta,Rulebook!$G21*d,tb,Rulebook!$H21*d,tc,Rulebook!$I21*d,te,Rulebook!$J21*d,tf,Rulebook!$K21*d,IFS(x&lt;=ta,0,x&lt;=tb,25*(x-ta)/(tb-ta),x&lt;=tc,25+25*(x-tb)/(tc-tb),x&lt;=te,50+25*(x-tc)/(te-tc),x&lt;tf,75+25*(x-te)/(tf-te),TRUE,100)))</f>
        <v>0</v>
      </c>
      <c r="F21" s="35">
        <f>IF('Stress Inputs'!F21="","",LET(d,Rulebook!$L21,x,'Stress Inputs'!F21*d,ta,Rulebook!$G21*d,tb,Rulebook!$H21*d,tc,Rulebook!$I21*d,te,Rulebook!$J21*d,tf,Rulebook!$K21*d,IFS(x&lt;=ta,0,x&lt;=tb,25*(x-ta)/(tb-ta),x&lt;=tc,25+25*(x-tb)/(tc-tb),x&lt;=te,50+25*(x-tc)/(te-tc),x&lt;tf,75+25*(x-te)/(tf-te),TRUE,100)))</f>
        <v>62.3125</v>
      </c>
      <c r="G21" s="35">
        <f>IF('Stress Inputs'!G21="","",LET(d,Rulebook!$L21,x,'Stress Inputs'!G21*d,ta,Rulebook!$G21*d,tb,Rulebook!$H21*d,tc,Rulebook!$I21*d,te,Rulebook!$J21*d,tf,Rulebook!$K21*d,IFS(x&lt;=ta,0,x&lt;=tb,25*(x-ta)/(tb-ta),x&lt;=tc,25+25*(x-tb)/(tc-tb),x&lt;=te,50+25*(x-tc)/(te-tc),x&lt;tf,75+25*(x-te)/(tf-te),TRUE,100)))</f>
        <v>0</v>
      </c>
      <c r="H21" s="35">
        <f>IF('Stress Inputs'!H21="","",LET(d,Rulebook!$L21,x,'Stress Inputs'!H21*d,ta,Rulebook!$G21*d,tb,Rulebook!$H21*d,tc,Rulebook!$I21*d,te,Rulebook!$J21*d,tf,Rulebook!$K21*d,IFS(x&lt;=ta,0,x&lt;=tb,25*(x-ta)/(tb-ta),x&lt;=tc,25+25*(x-tb)/(tc-tb),x&lt;=te,50+25*(x-tc)/(te-tc),x&lt;tf,75+25*(x-te)/(tf-te),TRUE,100)))</f>
        <v>15.25</v>
      </c>
      <c r="I21" s="35">
        <f>IF('Stress Inputs'!I21="","",LET(d,Rulebook!$L21,x,'Stress Inputs'!I21*d,ta,Rulebook!$G21*d,tb,Rulebook!$H21*d,tc,Rulebook!$I21*d,te,Rulebook!$J21*d,tf,Rulebook!$K21*d,IFS(x&lt;=ta,0,x&lt;=tb,25*(x-ta)/(tb-ta),x&lt;=tc,25+25*(x-tb)/(tc-tb),x&lt;=te,50+25*(x-tc)/(te-tc),x&lt;tf,75+25*(x-te)/(tf-te),TRUE,100)))</f>
        <v>0</v>
      </c>
      <c r="J21" s="35">
        <f>IF('Stress Inputs'!J21="","",LET(d,Rulebook!$L21,x,'Stress Inputs'!J21*d,ta,Rulebook!$G21*d,tb,Rulebook!$H21*d,tc,Rulebook!$I21*d,te,Rulebook!$J21*d,tf,Rulebook!$K21*d,IFS(x&lt;=ta,0,x&lt;=tb,25*(x-ta)/(tb-ta),x&lt;=tc,25+25*(x-tb)/(tc-tb),x&lt;=te,50+25*(x-tc)/(te-tc),x&lt;tf,75+25*(x-te)/(tf-te),TRUE,100)))</f>
        <v>0</v>
      </c>
      <c r="K21" s="35">
        <f>IF('Stress Inputs'!K21="","",LET(d,Rulebook!$L21,x,'Stress Inputs'!K21*d,ta,Rulebook!$G21*d,tb,Rulebook!$H21*d,tc,Rulebook!$I21*d,te,Rulebook!$J21*d,tf,Rulebook!$K21*d,IFS(x&lt;=ta,0,x&lt;=tb,25*(x-ta)/(tb-ta),x&lt;=tc,25+25*(x-tb)/(tc-tb),x&lt;=te,50+25*(x-tc)/(te-tc),x&lt;tf,75+25*(x-te)/(tf-te),TRUE,100)))</f>
        <v>0</v>
      </c>
      <c r="L21" s="35">
        <f>IF('Stress Inputs'!L21="","",LET(d,Rulebook!$L21,x,'Stress Inputs'!L21*d,ta,Rulebook!$G21*d,tb,Rulebook!$H21*d,tc,Rulebook!$I21*d,te,Rulebook!$J21*d,tf,Rulebook!$K21*d,IFS(x&lt;=ta,0,x&lt;=tb,25*(x-ta)/(tb-ta),x&lt;=tc,25+25*(x-tb)/(tc-tb),x&lt;=te,50+25*(x-tc)/(te-tc),x&lt;tf,75+25*(x-te)/(tf-te),TRUE,100)))</f>
        <v>17.75</v>
      </c>
      <c r="M21" s="35">
        <f>IF('Stress Inputs'!M21="","",LET(d,Rulebook!$L21,x,'Stress Inputs'!M21*d,ta,Rulebook!$G21*d,tb,Rulebook!$H21*d,tc,Rulebook!$I21*d,te,Rulebook!$J21*d,tf,Rulebook!$K21*d,IFS(x&lt;=ta,0,x&lt;=tb,25*(x-ta)/(tb-ta),x&lt;=tc,25+25*(x-tb)/(tc-tb),x&lt;=te,50+25*(x-tc)/(te-tc),x&lt;tf,75+25*(x-te)/(tf-te),TRUE,100)))</f>
        <v>13.125</v>
      </c>
      <c r="N21" s="35">
        <f>IF('Stress Inputs'!N21="","",LET(d,Rulebook!$L21,x,'Stress Inputs'!N21*d,ta,Rulebook!$G21*d,tb,Rulebook!$H21*d,tc,Rulebook!$I21*d,te,Rulebook!$J21*d,tf,Rulebook!$K21*d,IFS(x&lt;=ta,0,x&lt;=tb,25*(x-ta)/(tb-ta),x&lt;=tc,25+25*(x-tb)/(tc-tb),x&lt;=te,50+25*(x-tc)/(te-tc),x&lt;tf,75+25*(x-te)/(tf-te),TRUE,100)))</f>
        <v>100</v>
      </c>
      <c r="O21" s="35">
        <f>IF('Stress Inputs'!O21="","",LET(d,Rulebook!$L21,x,'Stress Inputs'!O21*d,ta,Rulebook!$G21*d,tb,Rulebook!$H21*d,tc,Rulebook!$I21*d,te,Rulebook!$J21*d,tf,Rulebook!$K21*d,IFS(x&lt;=ta,0,x&lt;=tb,25*(x-ta)/(tb-ta),x&lt;=tc,25+25*(x-tb)/(tc-tb),x&lt;=te,50+25*(x-tc)/(te-tc),x&lt;tf,75+25*(x-te)/(tf-te),TRUE,100)))</f>
        <v>39.5625</v>
      </c>
      <c r="P21" s="35">
        <f>IF('Stress Inputs'!P21="","",LET(d,Rulebook!$L21,x,'Stress Inputs'!P21*d,ta,Rulebook!$G21*d,tb,Rulebook!$H21*d,tc,Rulebook!$I21*d,te,Rulebook!$J21*d,tf,Rulebook!$K21*d,IFS(x&lt;=ta,0,x&lt;=tb,25*(x-ta)/(tb-ta),x&lt;=tc,25+25*(x-tb)/(tc-tb),x&lt;=te,50+25*(x-tc)/(te-tc),x&lt;tf,75+25*(x-te)/(tf-te),TRUE,100)))</f>
        <v>5.625</v>
      </c>
      <c r="Q21" s="35">
        <f>IF('Stress Inputs'!Q21="","",LET(d,Rulebook!$L21,x,'Stress Inputs'!Q21*d,ta,Rulebook!$G21*d,tb,Rulebook!$H21*d,tc,Rulebook!$I21*d,te,Rulebook!$J21*d,tf,Rulebook!$K21*d,IFS(x&lt;=ta,0,x&lt;=tb,25*(x-ta)/(tb-ta),x&lt;=tc,25+25*(x-tb)/(tc-tb),x&lt;=te,50+25*(x-tc)/(te-tc),x&lt;tf,75+25*(x-te)/(tf-te),TRUE,100)))</f>
        <v>55</v>
      </c>
      <c r="R21" s="35">
        <f>IF('Stress Inputs'!R21="","",LET(d,Rulebook!$L21,x,'Stress Inputs'!R21*d,ta,Rulebook!$G21*d,tb,Rulebook!$H21*d,tc,Rulebook!$I21*d,te,Rulebook!$J21*d,tf,Rulebook!$K21*d,IFS(x&lt;=ta,0,x&lt;=tb,25*(x-ta)/(tb-ta),x&lt;=tc,25+25*(x-tb)/(tc-tb),x&lt;=te,50+25*(x-tc)/(te-tc),x&lt;tf,75+25*(x-te)/(tf-te),TRUE,100)))</f>
        <v>54.6875</v>
      </c>
      <c r="S21" s="35">
        <f>IF('Stress Inputs'!S21="","",LET(d,Rulebook!$L21,x,'Stress Inputs'!S21*d,ta,Rulebook!$G21*d,tb,Rulebook!$H21*d,tc,Rulebook!$I21*d,te,Rulebook!$J21*d,tf,Rulebook!$K21*d,IFS(x&lt;=ta,0,x&lt;=tb,25*(x-ta)/(tb-ta),x&lt;=tc,25+25*(x-tb)/(tc-tb),x&lt;=te,50+25*(x-tc)/(te-tc),x&lt;tf,75+25*(x-te)/(tf-te),TRUE,100)))</f>
        <v>10.3125</v>
      </c>
      <c r="T21" s="35">
        <f>IF('Stress Inputs'!T21="","",LET(d,Rulebook!$L21,x,'Stress Inputs'!T21*d,ta,Rulebook!$G21*d,tb,Rulebook!$H21*d,tc,Rulebook!$I21*d,te,Rulebook!$J21*d,tf,Rulebook!$K21*d,IFS(x&lt;=ta,0,x&lt;=tb,25*(x-ta)/(tb-ta),x&lt;=tc,25+25*(x-tb)/(tc-tb),x&lt;=te,50+25*(x-tc)/(te-tc),x&lt;tf,75+25*(x-te)/(tf-te),TRUE,100)))</f>
        <v>100</v>
      </c>
      <c r="U21" s="35">
        <f>IF('Stress Inputs'!U21="","",LET(d,Rulebook!$L21,x,'Stress Inputs'!U21*d,ta,Rulebook!$G21*d,tb,Rulebook!$H21*d,tc,Rulebook!$I21*d,te,Rulebook!$J21*d,tf,Rulebook!$K21*d,IFS(x&lt;=ta,0,x&lt;=tb,25*(x-ta)/(tb-ta),x&lt;=tc,25+25*(x-tb)/(tc-tb),x&lt;=te,50+25*(x-tc)/(te-tc),x&lt;tf,75+25*(x-te)/(tf-te),TRUE,100)))</f>
        <v>100</v>
      </c>
      <c r="V21" s="35">
        <f>IF('Stress Inputs'!V21="","",LET(d,Rulebook!$L21,x,'Stress Inputs'!V21*d,ta,Rulebook!$G21*d,tb,Rulebook!$H21*d,tc,Rulebook!$I21*d,te,Rulebook!$J21*d,tf,Rulebook!$K21*d,IFS(x&lt;=ta,0,x&lt;=tb,25*(x-ta)/(tb-ta),x&lt;=tc,25+25*(x-tb)/(tc-tb),x&lt;=te,50+25*(x-tc)/(te-tc),x&lt;tf,75+25*(x-te)/(tf-te),TRUE,100)))</f>
        <v>40.625</v>
      </c>
    </row>
    <row r="22">
      <c r="A22" s="26" t="s">
        <v>419</v>
      </c>
      <c r="B22" s="26">
        <v>2.0</v>
      </c>
      <c r="C22" s="26" t="s">
        <v>420</v>
      </c>
      <c r="D22" s="26" t="s">
        <v>307</v>
      </c>
      <c r="E22" s="35" t="str">
        <f>IF('Stress Inputs'!E22="","",LET(d,Rulebook!$L22,x,'Stress Inputs'!E22*d,ta,Rulebook!$G22*d,tb,Rulebook!$H22*d,tc,Rulebook!$I22*d,te,Rulebook!$J22*d,tf,Rulebook!$K22*d,IFS(x&lt;=ta,0,x&lt;=tb,25*(x-ta)/(tb-ta),x&lt;=tc,25+25*(x-tb)/(tc-tb),x&lt;=te,50+25*(x-tc)/(te-tc),x&lt;tf,75+25*(x-te)/(tf-te),TRUE,100)))</f>
        <v/>
      </c>
      <c r="F22" s="35" t="str">
        <f>IF('Stress Inputs'!F22="","",LET(d,Rulebook!$L22,x,'Stress Inputs'!F22*d,ta,Rulebook!$G22*d,tb,Rulebook!$H22*d,tc,Rulebook!$I22*d,te,Rulebook!$J22*d,tf,Rulebook!$K22*d,IFS(x&lt;=ta,0,x&lt;=tb,25*(x-ta)/(tb-ta),x&lt;=tc,25+25*(x-tb)/(tc-tb),x&lt;=te,50+25*(x-tc)/(te-tc),x&lt;tf,75+25*(x-te)/(tf-te),TRUE,100)))</f>
        <v/>
      </c>
      <c r="G22" s="35" t="str">
        <f>IF('Stress Inputs'!G22="","",LET(d,Rulebook!$L22,x,'Stress Inputs'!G22*d,ta,Rulebook!$G22*d,tb,Rulebook!$H22*d,tc,Rulebook!$I22*d,te,Rulebook!$J22*d,tf,Rulebook!$K22*d,IFS(x&lt;=ta,0,x&lt;=tb,25*(x-ta)/(tb-ta),x&lt;=tc,25+25*(x-tb)/(tc-tb),x&lt;=te,50+25*(x-tc)/(te-tc),x&lt;tf,75+25*(x-te)/(tf-te),TRUE,100)))</f>
        <v/>
      </c>
      <c r="H22" s="35" t="str">
        <f>IF('Stress Inputs'!H22="","",LET(d,Rulebook!$L22,x,'Stress Inputs'!H22*d,ta,Rulebook!$G22*d,tb,Rulebook!$H22*d,tc,Rulebook!$I22*d,te,Rulebook!$J22*d,tf,Rulebook!$K22*d,IFS(x&lt;=ta,0,x&lt;=tb,25*(x-ta)/(tb-ta),x&lt;=tc,25+25*(x-tb)/(tc-tb),x&lt;=te,50+25*(x-tc)/(te-tc),x&lt;tf,75+25*(x-te)/(tf-te),TRUE,100)))</f>
        <v/>
      </c>
      <c r="I22" s="35" t="str">
        <f>IF('Stress Inputs'!I22="","",LET(d,Rulebook!$L22,x,'Stress Inputs'!I22*d,ta,Rulebook!$G22*d,tb,Rulebook!$H22*d,tc,Rulebook!$I22*d,te,Rulebook!$J22*d,tf,Rulebook!$K22*d,IFS(x&lt;=ta,0,x&lt;=tb,25*(x-ta)/(tb-ta),x&lt;=tc,25+25*(x-tb)/(tc-tb),x&lt;=te,50+25*(x-tc)/(te-tc),x&lt;tf,75+25*(x-te)/(tf-te),TRUE,100)))</f>
        <v/>
      </c>
      <c r="J22" s="35" t="str">
        <f>IF('Stress Inputs'!J22="","",LET(d,Rulebook!$L22,x,'Stress Inputs'!J22*d,ta,Rulebook!$G22*d,tb,Rulebook!$H22*d,tc,Rulebook!$I22*d,te,Rulebook!$J22*d,tf,Rulebook!$K22*d,IFS(x&lt;=ta,0,x&lt;=tb,25*(x-ta)/(tb-ta),x&lt;=tc,25+25*(x-tb)/(tc-tb),x&lt;=te,50+25*(x-tc)/(te-tc),x&lt;tf,75+25*(x-te)/(tf-te),TRUE,100)))</f>
        <v/>
      </c>
      <c r="K22" s="35" t="str">
        <f>IF('Stress Inputs'!K22="","",LET(d,Rulebook!$L22,x,'Stress Inputs'!K22*d,ta,Rulebook!$G22*d,tb,Rulebook!$H22*d,tc,Rulebook!$I22*d,te,Rulebook!$J22*d,tf,Rulebook!$K22*d,IFS(x&lt;=ta,0,x&lt;=tb,25*(x-ta)/(tb-ta),x&lt;=tc,25+25*(x-tb)/(tc-tb),x&lt;=te,50+25*(x-tc)/(te-tc),x&lt;tf,75+25*(x-te)/(tf-te),TRUE,100)))</f>
        <v/>
      </c>
      <c r="L22" s="35" t="str">
        <f>IF('Stress Inputs'!L22="","",LET(d,Rulebook!$L22,x,'Stress Inputs'!L22*d,ta,Rulebook!$G22*d,tb,Rulebook!$H22*d,tc,Rulebook!$I22*d,te,Rulebook!$J22*d,tf,Rulebook!$K22*d,IFS(x&lt;=ta,0,x&lt;=tb,25*(x-ta)/(tb-ta),x&lt;=tc,25+25*(x-tb)/(tc-tb),x&lt;=te,50+25*(x-tc)/(te-tc),x&lt;tf,75+25*(x-te)/(tf-te),TRUE,100)))</f>
        <v/>
      </c>
      <c r="M22" s="35" t="str">
        <f>IF('Stress Inputs'!M22="","",LET(d,Rulebook!$L22,x,'Stress Inputs'!M22*d,ta,Rulebook!$G22*d,tb,Rulebook!$H22*d,tc,Rulebook!$I22*d,te,Rulebook!$J22*d,tf,Rulebook!$K22*d,IFS(x&lt;=ta,0,x&lt;=tb,25*(x-ta)/(tb-ta),x&lt;=tc,25+25*(x-tb)/(tc-tb),x&lt;=te,50+25*(x-tc)/(te-tc),x&lt;tf,75+25*(x-te)/(tf-te),TRUE,100)))</f>
        <v/>
      </c>
      <c r="N22" s="35" t="str">
        <f>IF('Stress Inputs'!N22="","",LET(d,Rulebook!$L22,x,'Stress Inputs'!N22*d,ta,Rulebook!$G22*d,tb,Rulebook!$H22*d,tc,Rulebook!$I22*d,te,Rulebook!$J22*d,tf,Rulebook!$K22*d,IFS(x&lt;=ta,0,x&lt;=tb,25*(x-ta)/(tb-ta),x&lt;=tc,25+25*(x-tb)/(tc-tb),x&lt;=te,50+25*(x-tc)/(te-tc),x&lt;tf,75+25*(x-te)/(tf-te),TRUE,100)))</f>
        <v/>
      </c>
      <c r="O22" s="35" t="str">
        <f>IF('Stress Inputs'!O22="","",LET(d,Rulebook!$L22,x,'Stress Inputs'!O22*d,ta,Rulebook!$G22*d,tb,Rulebook!$H22*d,tc,Rulebook!$I22*d,te,Rulebook!$J22*d,tf,Rulebook!$K22*d,IFS(x&lt;=ta,0,x&lt;=tb,25*(x-ta)/(tb-ta),x&lt;=tc,25+25*(x-tb)/(tc-tb),x&lt;=te,50+25*(x-tc)/(te-tc),x&lt;tf,75+25*(x-te)/(tf-te),TRUE,100)))</f>
        <v/>
      </c>
      <c r="P22" s="35" t="str">
        <f>IF('Stress Inputs'!P22="","",LET(d,Rulebook!$L22,x,'Stress Inputs'!P22*d,ta,Rulebook!$G22*d,tb,Rulebook!$H22*d,tc,Rulebook!$I22*d,te,Rulebook!$J22*d,tf,Rulebook!$K22*d,IFS(x&lt;=ta,0,x&lt;=tb,25*(x-ta)/(tb-ta),x&lt;=tc,25+25*(x-tb)/(tc-tb),x&lt;=te,50+25*(x-tc)/(te-tc),x&lt;tf,75+25*(x-te)/(tf-te),TRUE,100)))</f>
        <v/>
      </c>
      <c r="Q22" s="35" t="str">
        <f>IF('Stress Inputs'!Q22="","",LET(d,Rulebook!$L22,x,'Stress Inputs'!Q22*d,ta,Rulebook!$G22*d,tb,Rulebook!$H22*d,tc,Rulebook!$I22*d,te,Rulebook!$J22*d,tf,Rulebook!$K22*d,IFS(x&lt;=ta,0,x&lt;=tb,25*(x-ta)/(tb-ta),x&lt;=tc,25+25*(x-tb)/(tc-tb),x&lt;=te,50+25*(x-tc)/(te-tc),x&lt;tf,75+25*(x-te)/(tf-te),TRUE,100)))</f>
        <v/>
      </c>
      <c r="R22" s="35" t="str">
        <f>IF('Stress Inputs'!R22="","",LET(d,Rulebook!$L22,x,'Stress Inputs'!R22*d,ta,Rulebook!$G22*d,tb,Rulebook!$H22*d,tc,Rulebook!$I22*d,te,Rulebook!$J22*d,tf,Rulebook!$K22*d,IFS(x&lt;=ta,0,x&lt;=tb,25*(x-ta)/(tb-ta),x&lt;=tc,25+25*(x-tb)/(tc-tb),x&lt;=te,50+25*(x-tc)/(te-tc),x&lt;tf,75+25*(x-te)/(tf-te),TRUE,100)))</f>
        <v/>
      </c>
      <c r="S22" s="35" t="str">
        <f>IF('Stress Inputs'!S22="","",LET(d,Rulebook!$L22,x,'Stress Inputs'!S22*d,ta,Rulebook!$G22*d,tb,Rulebook!$H22*d,tc,Rulebook!$I22*d,te,Rulebook!$J22*d,tf,Rulebook!$K22*d,IFS(x&lt;=ta,0,x&lt;=tb,25*(x-ta)/(tb-ta),x&lt;=tc,25+25*(x-tb)/(tc-tb),x&lt;=te,50+25*(x-tc)/(te-tc),x&lt;tf,75+25*(x-te)/(tf-te),TRUE,100)))</f>
        <v/>
      </c>
      <c r="T22" s="35" t="str">
        <f>IF('Stress Inputs'!T22="","",LET(d,Rulebook!$L22,x,'Stress Inputs'!T22*d,ta,Rulebook!$G22*d,tb,Rulebook!$H22*d,tc,Rulebook!$I22*d,te,Rulebook!$J22*d,tf,Rulebook!$K22*d,IFS(x&lt;=ta,0,x&lt;=tb,25*(x-ta)/(tb-ta),x&lt;=tc,25+25*(x-tb)/(tc-tb),x&lt;=te,50+25*(x-tc)/(te-tc),x&lt;tf,75+25*(x-te)/(tf-te),TRUE,100)))</f>
        <v/>
      </c>
      <c r="U22" s="35" t="str">
        <f>IF('Stress Inputs'!U22="","",LET(d,Rulebook!$L22,x,'Stress Inputs'!U22*d,ta,Rulebook!$G22*d,tb,Rulebook!$H22*d,tc,Rulebook!$I22*d,te,Rulebook!$J22*d,tf,Rulebook!$K22*d,IFS(x&lt;=ta,0,x&lt;=tb,25*(x-ta)/(tb-ta),x&lt;=tc,25+25*(x-tb)/(tc-tb),x&lt;=te,50+25*(x-tc)/(te-tc),x&lt;tf,75+25*(x-te)/(tf-te),TRUE,100)))</f>
        <v/>
      </c>
      <c r="V22" s="35" t="str">
        <f>IF('Stress Inputs'!V22="","",LET(d,Rulebook!$L22,x,'Stress Inputs'!V22*d,ta,Rulebook!$G22*d,tb,Rulebook!$H22*d,tc,Rulebook!$I22*d,te,Rulebook!$J22*d,tf,Rulebook!$K22*d,IFS(x&lt;=ta,0,x&lt;=tb,25*(x-ta)/(tb-ta),x&lt;=tc,25+25*(x-tb)/(tc-tb),x&lt;=te,50+25*(x-tc)/(te-tc),x&lt;tf,75+25*(x-te)/(tf-te),TRUE,100)))</f>
        <v/>
      </c>
    </row>
    <row r="23">
      <c r="A23" s="26" t="s">
        <v>430</v>
      </c>
      <c r="B23" s="26">
        <v>2.0</v>
      </c>
      <c r="C23" s="26" t="s">
        <v>432</v>
      </c>
      <c r="D23" s="26" t="s">
        <v>433</v>
      </c>
      <c r="E23" s="35" t="str">
        <f>IF('Stress Inputs'!E23="","",LET(d,Rulebook!$L23,x,'Stress Inputs'!E23*d,ta,Rulebook!$G23*d,tb,Rulebook!$H23*d,tc,Rulebook!$I23*d,te,Rulebook!$J23*d,tf,Rulebook!$K23*d,IFS(x&lt;=ta,0,x&lt;=tb,25*(x-ta)/(tb-ta),x&lt;=tc,25+25*(x-tb)/(tc-tb),x&lt;=te,50+25*(x-tc)/(te-tc),x&lt;tf,75+25*(x-te)/(tf-te),TRUE,100)))</f>
        <v/>
      </c>
      <c r="F23" s="35" t="str">
        <f>IF('Stress Inputs'!F23="","",LET(d,Rulebook!$L23,x,'Stress Inputs'!F23*d,ta,Rulebook!$G23*d,tb,Rulebook!$H23*d,tc,Rulebook!$I23*d,te,Rulebook!$J23*d,tf,Rulebook!$K23*d,IFS(x&lt;=ta,0,x&lt;=tb,25*(x-ta)/(tb-ta),x&lt;=tc,25+25*(x-tb)/(tc-tb),x&lt;=te,50+25*(x-tc)/(te-tc),x&lt;tf,75+25*(x-te)/(tf-te),TRUE,100)))</f>
        <v/>
      </c>
      <c r="G23" s="35" t="str">
        <f>IF('Stress Inputs'!G23="","",LET(d,Rulebook!$L23,x,'Stress Inputs'!G23*d,ta,Rulebook!$G23*d,tb,Rulebook!$H23*d,tc,Rulebook!$I23*d,te,Rulebook!$J23*d,tf,Rulebook!$K23*d,IFS(x&lt;=ta,0,x&lt;=tb,25*(x-ta)/(tb-ta),x&lt;=tc,25+25*(x-tb)/(tc-tb),x&lt;=te,50+25*(x-tc)/(te-tc),x&lt;tf,75+25*(x-te)/(tf-te),TRUE,100)))</f>
        <v/>
      </c>
      <c r="H23" s="35" t="str">
        <f>IF('Stress Inputs'!H23="","",LET(d,Rulebook!$L23,x,'Stress Inputs'!H23*d,ta,Rulebook!$G23*d,tb,Rulebook!$H23*d,tc,Rulebook!$I23*d,te,Rulebook!$J23*d,tf,Rulebook!$K23*d,IFS(x&lt;=ta,0,x&lt;=tb,25*(x-ta)/(tb-ta),x&lt;=tc,25+25*(x-tb)/(tc-tb),x&lt;=te,50+25*(x-tc)/(te-tc),x&lt;tf,75+25*(x-te)/(tf-te),TRUE,100)))</f>
        <v/>
      </c>
      <c r="I23" s="35" t="str">
        <f>IF('Stress Inputs'!I23="","",LET(d,Rulebook!$L23,x,'Stress Inputs'!I23*d,ta,Rulebook!$G23*d,tb,Rulebook!$H23*d,tc,Rulebook!$I23*d,te,Rulebook!$J23*d,tf,Rulebook!$K23*d,IFS(x&lt;=ta,0,x&lt;=tb,25*(x-ta)/(tb-ta),x&lt;=tc,25+25*(x-tb)/(tc-tb),x&lt;=te,50+25*(x-tc)/(te-tc),x&lt;tf,75+25*(x-te)/(tf-te),TRUE,100)))</f>
        <v/>
      </c>
      <c r="J23" s="35" t="str">
        <f>IF('Stress Inputs'!J23="","",LET(d,Rulebook!$L23,x,'Stress Inputs'!J23*d,ta,Rulebook!$G23*d,tb,Rulebook!$H23*d,tc,Rulebook!$I23*d,te,Rulebook!$J23*d,tf,Rulebook!$K23*d,IFS(x&lt;=ta,0,x&lt;=tb,25*(x-ta)/(tb-ta),x&lt;=tc,25+25*(x-tb)/(tc-tb),x&lt;=te,50+25*(x-tc)/(te-tc),x&lt;tf,75+25*(x-te)/(tf-te),TRUE,100)))</f>
        <v/>
      </c>
      <c r="K23" s="35" t="str">
        <f>IF('Stress Inputs'!K23="","",LET(d,Rulebook!$L23,x,'Stress Inputs'!K23*d,ta,Rulebook!$G23*d,tb,Rulebook!$H23*d,tc,Rulebook!$I23*d,te,Rulebook!$J23*d,tf,Rulebook!$K23*d,IFS(x&lt;=ta,0,x&lt;=tb,25*(x-ta)/(tb-ta),x&lt;=tc,25+25*(x-tb)/(tc-tb),x&lt;=te,50+25*(x-tc)/(te-tc),x&lt;tf,75+25*(x-te)/(tf-te),TRUE,100)))</f>
        <v/>
      </c>
      <c r="L23" s="35" t="str">
        <f>IF('Stress Inputs'!L23="","",LET(d,Rulebook!$L23,x,'Stress Inputs'!L23*d,ta,Rulebook!$G23*d,tb,Rulebook!$H23*d,tc,Rulebook!$I23*d,te,Rulebook!$J23*d,tf,Rulebook!$K23*d,IFS(x&lt;=ta,0,x&lt;=tb,25*(x-ta)/(tb-ta),x&lt;=tc,25+25*(x-tb)/(tc-tb),x&lt;=te,50+25*(x-tc)/(te-tc),x&lt;tf,75+25*(x-te)/(tf-te),TRUE,100)))</f>
        <v/>
      </c>
      <c r="M23" s="35" t="str">
        <f>IF('Stress Inputs'!M23="","",LET(d,Rulebook!$L23,x,'Stress Inputs'!M23*d,ta,Rulebook!$G23*d,tb,Rulebook!$H23*d,tc,Rulebook!$I23*d,te,Rulebook!$J23*d,tf,Rulebook!$K23*d,IFS(x&lt;=ta,0,x&lt;=tb,25*(x-ta)/(tb-ta),x&lt;=tc,25+25*(x-tb)/(tc-tb),x&lt;=te,50+25*(x-tc)/(te-tc),x&lt;tf,75+25*(x-te)/(tf-te),TRUE,100)))</f>
        <v/>
      </c>
      <c r="N23" s="35" t="str">
        <f>IF('Stress Inputs'!N23="","",LET(d,Rulebook!$L23,x,'Stress Inputs'!N23*d,ta,Rulebook!$G23*d,tb,Rulebook!$H23*d,tc,Rulebook!$I23*d,te,Rulebook!$J23*d,tf,Rulebook!$K23*d,IFS(x&lt;=ta,0,x&lt;=tb,25*(x-ta)/(tb-ta),x&lt;=tc,25+25*(x-tb)/(tc-tb),x&lt;=te,50+25*(x-tc)/(te-tc),x&lt;tf,75+25*(x-te)/(tf-te),TRUE,100)))</f>
        <v/>
      </c>
      <c r="O23" s="35" t="str">
        <f>IF('Stress Inputs'!O23="","",LET(d,Rulebook!$L23,x,'Stress Inputs'!O23*d,ta,Rulebook!$G23*d,tb,Rulebook!$H23*d,tc,Rulebook!$I23*d,te,Rulebook!$J23*d,tf,Rulebook!$K23*d,IFS(x&lt;=ta,0,x&lt;=tb,25*(x-ta)/(tb-ta),x&lt;=tc,25+25*(x-tb)/(tc-tb),x&lt;=te,50+25*(x-tc)/(te-tc),x&lt;tf,75+25*(x-te)/(tf-te),TRUE,100)))</f>
        <v/>
      </c>
      <c r="P23" s="35" t="str">
        <f>IF('Stress Inputs'!P23="","",LET(d,Rulebook!$L23,x,'Stress Inputs'!P23*d,ta,Rulebook!$G23*d,tb,Rulebook!$H23*d,tc,Rulebook!$I23*d,te,Rulebook!$J23*d,tf,Rulebook!$K23*d,IFS(x&lt;=ta,0,x&lt;=tb,25*(x-ta)/(tb-ta),x&lt;=tc,25+25*(x-tb)/(tc-tb),x&lt;=te,50+25*(x-tc)/(te-tc),x&lt;tf,75+25*(x-te)/(tf-te),TRUE,100)))</f>
        <v/>
      </c>
      <c r="Q23" s="35" t="str">
        <f>IF('Stress Inputs'!Q23="","",LET(d,Rulebook!$L23,x,'Stress Inputs'!Q23*d,ta,Rulebook!$G23*d,tb,Rulebook!$H23*d,tc,Rulebook!$I23*d,te,Rulebook!$J23*d,tf,Rulebook!$K23*d,IFS(x&lt;=ta,0,x&lt;=tb,25*(x-ta)/(tb-ta),x&lt;=tc,25+25*(x-tb)/(tc-tb),x&lt;=te,50+25*(x-tc)/(te-tc),x&lt;tf,75+25*(x-te)/(tf-te),TRUE,100)))</f>
        <v/>
      </c>
      <c r="R23" s="35" t="str">
        <f>IF('Stress Inputs'!R23="","",LET(d,Rulebook!$L23,x,'Stress Inputs'!R23*d,ta,Rulebook!$G23*d,tb,Rulebook!$H23*d,tc,Rulebook!$I23*d,te,Rulebook!$J23*d,tf,Rulebook!$K23*d,IFS(x&lt;=ta,0,x&lt;=tb,25*(x-ta)/(tb-ta),x&lt;=tc,25+25*(x-tb)/(tc-tb),x&lt;=te,50+25*(x-tc)/(te-tc),x&lt;tf,75+25*(x-te)/(tf-te),TRUE,100)))</f>
        <v/>
      </c>
      <c r="S23" s="35" t="str">
        <f>IF('Stress Inputs'!S23="","",LET(d,Rulebook!$L23,x,'Stress Inputs'!S23*d,ta,Rulebook!$G23*d,tb,Rulebook!$H23*d,tc,Rulebook!$I23*d,te,Rulebook!$J23*d,tf,Rulebook!$K23*d,IFS(x&lt;=ta,0,x&lt;=tb,25*(x-ta)/(tb-ta),x&lt;=tc,25+25*(x-tb)/(tc-tb),x&lt;=te,50+25*(x-tc)/(te-tc),x&lt;tf,75+25*(x-te)/(tf-te),TRUE,100)))</f>
        <v/>
      </c>
      <c r="T23" s="35" t="str">
        <f>IF('Stress Inputs'!T23="","",LET(d,Rulebook!$L23,x,'Stress Inputs'!T23*d,ta,Rulebook!$G23*d,tb,Rulebook!$H23*d,tc,Rulebook!$I23*d,te,Rulebook!$J23*d,tf,Rulebook!$K23*d,IFS(x&lt;=ta,0,x&lt;=tb,25*(x-ta)/(tb-ta),x&lt;=tc,25+25*(x-tb)/(tc-tb),x&lt;=te,50+25*(x-tc)/(te-tc),x&lt;tf,75+25*(x-te)/(tf-te),TRUE,100)))</f>
        <v/>
      </c>
      <c r="U23" s="35" t="str">
        <f>IF('Stress Inputs'!U23="","",LET(d,Rulebook!$L23,x,'Stress Inputs'!U23*d,ta,Rulebook!$G23*d,tb,Rulebook!$H23*d,tc,Rulebook!$I23*d,te,Rulebook!$J23*d,tf,Rulebook!$K23*d,IFS(x&lt;=ta,0,x&lt;=tb,25*(x-ta)/(tb-ta),x&lt;=tc,25+25*(x-tb)/(tc-tb),x&lt;=te,50+25*(x-tc)/(te-tc),x&lt;tf,75+25*(x-te)/(tf-te),TRUE,100)))</f>
        <v/>
      </c>
      <c r="V23" s="35" t="str">
        <f>IF('Stress Inputs'!V23="","",LET(d,Rulebook!$L23,x,'Stress Inputs'!V23*d,ta,Rulebook!$G23*d,tb,Rulebook!$H23*d,tc,Rulebook!$I23*d,te,Rulebook!$J23*d,tf,Rulebook!$K23*d,IFS(x&lt;=ta,0,x&lt;=tb,25*(x-ta)/(tb-ta),x&lt;=tc,25+25*(x-tb)/(tc-tb),x&lt;=te,50+25*(x-tc)/(te-tc),x&lt;tf,75+25*(x-te)/(tf-te),TRUE,100)))</f>
        <v/>
      </c>
    </row>
    <row r="24">
      <c r="A24" s="26" t="s">
        <v>441</v>
      </c>
      <c r="B24" s="26">
        <v>2.0</v>
      </c>
      <c r="C24" s="26" t="s">
        <v>445</v>
      </c>
      <c r="D24" s="26" t="s">
        <v>447</v>
      </c>
      <c r="E24" s="35" t="str">
        <f>IF('Stress Inputs'!E24="","",LET(d,Rulebook!$L24,x,'Stress Inputs'!E24*d,ta,Rulebook!$G24*d,tb,Rulebook!$H24*d,tc,Rulebook!$I24*d,te,Rulebook!$J24*d,tf,Rulebook!$K24*d,IFS(x&lt;=ta,0,x&lt;=tb,25*(x-ta)/(tb-ta),x&lt;=tc,25+25*(x-tb)/(tc-tb),x&lt;=te,50+25*(x-tc)/(te-tc),x&lt;tf,75+25*(x-te)/(tf-te),TRUE,100)))</f>
        <v/>
      </c>
      <c r="F24" s="35" t="str">
        <f>IF('Stress Inputs'!F24="","",LET(d,Rulebook!$L24,x,'Stress Inputs'!F24*d,ta,Rulebook!$G24*d,tb,Rulebook!$H24*d,tc,Rulebook!$I24*d,te,Rulebook!$J24*d,tf,Rulebook!$K24*d,IFS(x&lt;=ta,0,x&lt;=tb,25*(x-ta)/(tb-ta),x&lt;=tc,25+25*(x-tb)/(tc-tb),x&lt;=te,50+25*(x-tc)/(te-tc),x&lt;tf,75+25*(x-te)/(tf-te),TRUE,100)))</f>
        <v/>
      </c>
      <c r="G24" s="35" t="str">
        <f>IF('Stress Inputs'!G24="","",LET(d,Rulebook!$L24,x,'Stress Inputs'!G24*d,ta,Rulebook!$G24*d,tb,Rulebook!$H24*d,tc,Rulebook!$I24*d,te,Rulebook!$J24*d,tf,Rulebook!$K24*d,IFS(x&lt;=ta,0,x&lt;=tb,25*(x-ta)/(tb-ta),x&lt;=tc,25+25*(x-tb)/(tc-tb),x&lt;=te,50+25*(x-tc)/(te-tc),x&lt;tf,75+25*(x-te)/(tf-te),TRUE,100)))</f>
        <v/>
      </c>
      <c r="H24" s="35" t="str">
        <f>IF('Stress Inputs'!H24="","",LET(d,Rulebook!$L24,x,'Stress Inputs'!H24*d,ta,Rulebook!$G24*d,tb,Rulebook!$H24*d,tc,Rulebook!$I24*d,te,Rulebook!$J24*d,tf,Rulebook!$K24*d,IFS(x&lt;=ta,0,x&lt;=tb,25*(x-ta)/(tb-ta),x&lt;=tc,25+25*(x-tb)/(tc-tb),x&lt;=te,50+25*(x-tc)/(te-tc),x&lt;tf,75+25*(x-te)/(tf-te),TRUE,100)))</f>
        <v/>
      </c>
      <c r="I24" s="35" t="str">
        <f>IF('Stress Inputs'!I24="","",LET(d,Rulebook!$L24,x,'Stress Inputs'!I24*d,ta,Rulebook!$G24*d,tb,Rulebook!$H24*d,tc,Rulebook!$I24*d,te,Rulebook!$J24*d,tf,Rulebook!$K24*d,IFS(x&lt;=ta,0,x&lt;=tb,25*(x-ta)/(tb-ta),x&lt;=tc,25+25*(x-tb)/(tc-tb),x&lt;=te,50+25*(x-tc)/(te-tc),x&lt;tf,75+25*(x-te)/(tf-te),TRUE,100)))</f>
        <v/>
      </c>
      <c r="J24" s="35" t="str">
        <f>IF('Stress Inputs'!J24="","",LET(d,Rulebook!$L24,x,'Stress Inputs'!J24*d,ta,Rulebook!$G24*d,tb,Rulebook!$H24*d,tc,Rulebook!$I24*d,te,Rulebook!$J24*d,tf,Rulebook!$K24*d,IFS(x&lt;=ta,0,x&lt;=tb,25*(x-ta)/(tb-ta),x&lt;=tc,25+25*(x-tb)/(tc-tb),x&lt;=te,50+25*(x-tc)/(te-tc),x&lt;tf,75+25*(x-te)/(tf-te),TRUE,100)))</f>
        <v/>
      </c>
      <c r="K24" s="35" t="str">
        <f>IF('Stress Inputs'!K24="","",LET(d,Rulebook!$L24,x,'Stress Inputs'!K24*d,ta,Rulebook!$G24*d,tb,Rulebook!$H24*d,tc,Rulebook!$I24*d,te,Rulebook!$J24*d,tf,Rulebook!$K24*d,IFS(x&lt;=ta,0,x&lt;=tb,25*(x-ta)/(tb-ta),x&lt;=tc,25+25*(x-tb)/(tc-tb),x&lt;=te,50+25*(x-tc)/(te-tc),x&lt;tf,75+25*(x-te)/(tf-te),TRUE,100)))</f>
        <v/>
      </c>
      <c r="L24" s="35" t="str">
        <f>IF('Stress Inputs'!L24="","",LET(d,Rulebook!$L24,x,'Stress Inputs'!L24*d,ta,Rulebook!$G24*d,tb,Rulebook!$H24*d,tc,Rulebook!$I24*d,te,Rulebook!$J24*d,tf,Rulebook!$K24*d,IFS(x&lt;=ta,0,x&lt;=tb,25*(x-ta)/(tb-ta),x&lt;=tc,25+25*(x-tb)/(tc-tb),x&lt;=te,50+25*(x-tc)/(te-tc),x&lt;tf,75+25*(x-te)/(tf-te),TRUE,100)))</f>
        <v/>
      </c>
      <c r="M24" s="35" t="str">
        <f>IF('Stress Inputs'!M24="","",LET(d,Rulebook!$L24,x,'Stress Inputs'!M24*d,ta,Rulebook!$G24*d,tb,Rulebook!$H24*d,tc,Rulebook!$I24*d,te,Rulebook!$J24*d,tf,Rulebook!$K24*d,IFS(x&lt;=ta,0,x&lt;=tb,25*(x-ta)/(tb-ta),x&lt;=tc,25+25*(x-tb)/(tc-tb),x&lt;=te,50+25*(x-tc)/(te-tc),x&lt;tf,75+25*(x-te)/(tf-te),TRUE,100)))</f>
        <v/>
      </c>
      <c r="N24" s="35" t="str">
        <f>IF('Stress Inputs'!N24="","",LET(d,Rulebook!$L24,x,'Stress Inputs'!N24*d,ta,Rulebook!$G24*d,tb,Rulebook!$H24*d,tc,Rulebook!$I24*d,te,Rulebook!$J24*d,tf,Rulebook!$K24*d,IFS(x&lt;=ta,0,x&lt;=tb,25*(x-ta)/(tb-ta),x&lt;=tc,25+25*(x-tb)/(tc-tb),x&lt;=te,50+25*(x-tc)/(te-tc),x&lt;tf,75+25*(x-te)/(tf-te),TRUE,100)))</f>
        <v/>
      </c>
      <c r="O24" s="35" t="str">
        <f>IF('Stress Inputs'!O24="","",LET(d,Rulebook!$L24,x,'Stress Inputs'!O24*d,ta,Rulebook!$G24*d,tb,Rulebook!$H24*d,tc,Rulebook!$I24*d,te,Rulebook!$J24*d,tf,Rulebook!$K24*d,IFS(x&lt;=ta,0,x&lt;=tb,25*(x-ta)/(tb-ta),x&lt;=tc,25+25*(x-tb)/(tc-tb),x&lt;=te,50+25*(x-tc)/(te-tc),x&lt;tf,75+25*(x-te)/(tf-te),TRUE,100)))</f>
        <v/>
      </c>
      <c r="P24" s="35" t="str">
        <f>IF('Stress Inputs'!P24="","",LET(d,Rulebook!$L24,x,'Stress Inputs'!P24*d,ta,Rulebook!$G24*d,tb,Rulebook!$H24*d,tc,Rulebook!$I24*d,te,Rulebook!$J24*d,tf,Rulebook!$K24*d,IFS(x&lt;=ta,0,x&lt;=tb,25*(x-ta)/(tb-ta),x&lt;=tc,25+25*(x-tb)/(tc-tb),x&lt;=te,50+25*(x-tc)/(te-tc),x&lt;tf,75+25*(x-te)/(tf-te),TRUE,100)))</f>
        <v/>
      </c>
      <c r="Q24" s="35" t="str">
        <f>IF('Stress Inputs'!Q24="","",LET(d,Rulebook!$L24,x,'Stress Inputs'!Q24*d,ta,Rulebook!$G24*d,tb,Rulebook!$H24*d,tc,Rulebook!$I24*d,te,Rulebook!$J24*d,tf,Rulebook!$K24*d,IFS(x&lt;=ta,0,x&lt;=tb,25*(x-ta)/(tb-ta),x&lt;=tc,25+25*(x-tb)/(tc-tb),x&lt;=te,50+25*(x-tc)/(te-tc),x&lt;tf,75+25*(x-te)/(tf-te),TRUE,100)))</f>
        <v/>
      </c>
      <c r="R24" s="35" t="str">
        <f>IF('Stress Inputs'!R24="","",LET(d,Rulebook!$L24,x,'Stress Inputs'!R24*d,ta,Rulebook!$G24*d,tb,Rulebook!$H24*d,tc,Rulebook!$I24*d,te,Rulebook!$J24*d,tf,Rulebook!$K24*d,IFS(x&lt;=ta,0,x&lt;=tb,25*(x-ta)/(tb-ta),x&lt;=tc,25+25*(x-tb)/(tc-tb),x&lt;=te,50+25*(x-tc)/(te-tc),x&lt;tf,75+25*(x-te)/(tf-te),TRUE,100)))</f>
        <v/>
      </c>
      <c r="S24" s="35" t="str">
        <f>IF('Stress Inputs'!S24="","",LET(d,Rulebook!$L24,x,'Stress Inputs'!S24*d,ta,Rulebook!$G24*d,tb,Rulebook!$H24*d,tc,Rulebook!$I24*d,te,Rulebook!$J24*d,tf,Rulebook!$K24*d,IFS(x&lt;=ta,0,x&lt;=tb,25*(x-ta)/(tb-ta),x&lt;=tc,25+25*(x-tb)/(tc-tb),x&lt;=te,50+25*(x-tc)/(te-tc),x&lt;tf,75+25*(x-te)/(tf-te),TRUE,100)))</f>
        <v/>
      </c>
      <c r="T24" s="35" t="str">
        <f>IF('Stress Inputs'!T24="","",LET(d,Rulebook!$L24,x,'Stress Inputs'!T24*d,ta,Rulebook!$G24*d,tb,Rulebook!$H24*d,tc,Rulebook!$I24*d,te,Rulebook!$J24*d,tf,Rulebook!$K24*d,IFS(x&lt;=ta,0,x&lt;=tb,25*(x-ta)/(tb-ta),x&lt;=tc,25+25*(x-tb)/(tc-tb),x&lt;=te,50+25*(x-tc)/(te-tc),x&lt;tf,75+25*(x-te)/(tf-te),TRUE,100)))</f>
        <v/>
      </c>
      <c r="U24" s="35" t="str">
        <f>IF('Stress Inputs'!U24="","",LET(d,Rulebook!$L24,x,'Stress Inputs'!U24*d,ta,Rulebook!$G24*d,tb,Rulebook!$H24*d,tc,Rulebook!$I24*d,te,Rulebook!$J24*d,tf,Rulebook!$K24*d,IFS(x&lt;=ta,0,x&lt;=tb,25*(x-ta)/(tb-ta),x&lt;=tc,25+25*(x-tb)/(tc-tb),x&lt;=te,50+25*(x-tc)/(te-tc),x&lt;tf,75+25*(x-te)/(tf-te),TRUE,100)))</f>
        <v/>
      </c>
      <c r="V24" s="35" t="str">
        <f>IF('Stress Inputs'!V24="","",LET(d,Rulebook!$L24,x,'Stress Inputs'!V24*d,ta,Rulebook!$G24*d,tb,Rulebook!$H24*d,tc,Rulebook!$I24*d,te,Rulebook!$J24*d,tf,Rulebook!$K24*d,IFS(x&lt;=ta,0,x&lt;=tb,25*(x-ta)/(tb-ta),x&lt;=tc,25+25*(x-tb)/(tc-tb),x&lt;=te,50+25*(x-tc)/(te-tc),x&lt;tf,75+25*(x-te)/(tf-te),TRUE,100)))</f>
        <v/>
      </c>
    </row>
    <row r="25">
      <c r="A25" s="26" t="s">
        <v>463</v>
      </c>
      <c r="B25" s="26">
        <v>2.0</v>
      </c>
      <c r="C25" s="26" t="s">
        <v>468</v>
      </c>
      <c r="D25" s="26" t="s">
        <v>470</v>
      </c>
      <c r="E25" s="35" t="str">
        <f>IF('Stress Inputs'!E25="","",LET(d,Rulebook!$L25,x,'Stress Inputs'!E25*d,ta,Rulebook!$G25*d,tb,Rulebook!$H25*d,tc,Rulebook!$I25*d,te,Rulebook!$J25*d,tf,Rulebook!$K25*d,IFS(x&lt;=ta,0,x&lt;=tb,25*(x-ta)/(tb-ta),x&lt;=tc,25+25*(x-tb)/(tc-tb),x&lt;=te,50+25*(x-tc)/(te-tc),x&lt;tf,75+25*(x-te)/(tf-te),TRUE,100)))</f>
        <v/>
      </c>
      <c r="F25" s="35" t="str">
        <f>IF('Stress Inputs'!F25="","",LET(d,Rulebook!$L25,x,'Stress Inputs'!F25*d,ta,Rulebook!$G25*d,tb,Rulebook!$H25*d,tc,Rulebook!$I25*d,te,Rulebook!$J25*d,tf,Rulebook!$K25*d,IFS(x&lt;=ta,0,x&lt;=tb,25*(x-ta)/(tb-ta),x&lt;=tc,25+25*(x-tb)/(tc-tb),x&lt;=te,50+25*(x-tc)/(te-tc),x&lt;tf,75+25*(x-te)/(tf-te),TRUE,100)))</f>
        <v/>
      </c>
      <c r="G25" s="35" t="str">
        <f>IF('Stress Inputs'!G25="","",LET(d,Rulebook!$L25,x,'Stress Inputs'!G25*d,ta,Rulebook!$G25*d,tb,Rulebook!$H25*d,tc,Rulebook!$I25*d,te,Rulebook!$J25*d,tf,Rulebook!$K25*d,IFS(x&lt;=ta,0,x&lt;=tb,25*(x-ta)/(tb-ta),x&lt;=tc,25+25*(x-tb)/(tc-tb),x&lt;=te,50+25*(x-tc)/(te-tc),x&lt;tf,75+25*(x-te)/(tf-te),TRUE,100)))</f>
        <v/>
      </c>
      <c r="H25" s="35" t="str">
        <f>IF('Stress Inputs'!H25="","",LET(d,Rulebook!$L25,x,'Stress Inputs'!H25*d,ta,Rulebook!$G25*d,tb,Rulebook!$H25*d,tc,Rulebook!$I25*d,te,Rulebook!$J25*d,tf,Rulebook!$K25*d,IFS(x&lt;=ta,0,x&lt;=tb,25*(x-ta)/(tb-ta),x&lt;=tc,25+25*(x-tb)/(tc-tb),x&lt;=te,50+25*(x-tc)/(te-tc),x&lt;tf,75+25*(x-te)/(tf-te),TRUE,100)))</f>
        <v/>
      </c>
      <c r="I25" s="35" t="str">
        <f>IF('Stress Inputs'!I25="","",LET(d,Rulebook!$L25,x,'Stress Inputs'!I25*d,ta,Rulebook!$G25*d,tb,Rulebook!$H25*d,tc,Rulebook!$I25*d,te,Rulebook!$J25*d,tf,Rulebook!$K25*d,IFS(x&lt;=ta,0,x&lt;=tb,25*(x-ta)/(tb-ta),x&lt;=tc,25+25*(x-tb)/(tc-tb),x&lt;=te,50+25*(x-tc)/(te-tc),x&lt;tf,75+25*(x-te)/(tf-te),TRUE,100)))</f>
        <v/>
      </c>
      <c r="J25" s="35" t="str">
        <f>IF('Stress Inputs'!J25="","",LET(d,Rulebook!$L25,x,'Stress Inputs'!J25*d,ta,Rulebook!$G25*d,tb,Rulebook!$H25*d,tc,Rulebook!$I25*d,te,Rulebook!$J25*d,tf,Rulebook!$K25*d,IFS(x&lt;=ta,0,x&lt;=tb,25*(x-ta)/(tb-ta),x&lt;=tc,25+25*(x-tb)/(tc-tb),x&lt;=te,50+25*(x-tc)/(te-tc),x&lt;tf,75+25*(x-te)/(tf-te),TRUE,100)))</f>
        <v/>
      </c>
      <c r="K25" s="35" t="str">
        <f>IF('Stress Inputs'!K25="","",LET(d,Rulebook!$L25,x,'Stress Inputs'!K25*d,ta,Rulebook!$G25*d,tb,Rulebook!$H25*d,tc,Rulebook!$I25*d,te,Rulebook!$J25*d,tf,Rulebook!$K25*d,IFS(x&lt;=ta,0,x&lt;=tb,25*(x-ta)/(tb-ta),x&lt;=tc,25+25*(x-tb)/(tc-tb),x&lt;=te,50+25*(x-tc)/(te-tc),x&lt;tf,75+25*(x-te)/(tf-te),TRUE,100)))</f>
        <v/>
      </c>
      <c r="L25" s="35" t="str">
        <f>IF('Stress Inputs'!L25="","",LET(d,Rulebook!$L25,x,'Stress Inputs'!L25*d,ta,Rulebook!$G25*d,tb,Rulebook!$H25*d,tc,Rulebook!$I25*d,te,Rulebook!$J25*d,tf,Rulebook!$K25*d,IFS(x&lt;=ta,0,x&lt;=tb,25*(x-ta)/(tb-ta),x&lt;=tc,25+25*(x-tb)/(tc-tb),x&lt;=te,50+25*(x-tc)/(te-tc),x&lt;tf,75+25*(x-te)/(tf-te),TRUE,100)))</f>
        <v/>
      </c>
      <c r="M25" s="35" t="str">
        <f>IF('Stress Inputs'!M25="","",LET(d,Rulebook!$L25,x,'Stress Inputs'!M25*d,ta,Rulebook!$G25*d,tb,Rulebook!$H25*d,tc,Rulebook!$I25*d,te,Rulebook!$J25*d,tf,Rulebook!$K25*d,IFS(x&lt;=ta,0,x&lt;=tb,25*(x-ta)/(tb-ta),x&lt;=tc,25+25*(x-tb)/(tc-tb),x&lt;=te,50+25*(x-tc)/(te-tc),x&lt;tf,75+25*(x-te)/(tf-te),TRUE,100)))</f>
        <v/>
      </c>
      <c r="N25" s="35" t="str">
        <f>IF('Stress Inputs'!N25="","",LET(d,Rulebook!$L25,x,'Stress Inputs'!N25*d,ta,Rulebook!$G25*d,tb,Rulebook!$H25*d,tc,Rulebook!$I25*d,te,Rulebook!$J25*d,tf,Rulebook!$K25*d,IFS(x&lt;=ta,0,x&lt;=tb,25*(x-ta)/(tb-ta),x&lt;=tc,25+25*(x-tb)/(tc-tb),x&lt;=te,50+25*(x-tc)/(te-tc),x&lt;tf,75+25*(x-te)/(tf-te),TRUE,100)))</f>
        <v/>
      </c>
      <c r="O25" s="35" t="str">
        <f>IF('Stress Inputs'!O25="","",LET(d,Rulebook!$L25,x,'Stress Inputs'!O25*d,ta,Rulebook!$G25*d,tb,Rulebook!$H25*d,tc,Rulebook!$I25*d,te,Rulebook!$J25*d,tf,Rulebook!$K25*d,IFS(x&lt;=ta,0,x&lt;=tb,25*(x-ta)/(tb-ta),x&lt;=tc,25+25*(x-tb)/(tc-tb),x&lt;=te,50+25*(x-tc)/(te-tc),x&lt;tf,75+25*(x-te)/(tf-te),TRUE,100)))</f>
        <v/>
      </c>
      <c r="P25" s="35" t="str">
        <f>IF('Stress Inputs'!P25="","",LET(d,Rulebook!$L25,x,'Stress Inputs'!P25*d,ta,Rulebook!$G25*d,tb,Rulebook!$H25*d,tc,Rulebook!$I25*d,te,Rulebook!$J25*d,tf,Rulebook!$K25*d,IFS(x&lt;=ta,0,x&lt;=tb,25*(x-ta)/(tb-ta),x&lt;=tc,25+25*(x-tb)/(tc-tb),x&lt;=te,50+25*(x-tc)/(te-tc),x&lt;tf,75+25*(x-te)/(tf-te),TRUE,100)))</f>
        <v/>
      </c>
      <c r="Q25" s="35" t="str">
        <f>IF('Stress Inputs'!Q25="","",LET(d,Rulebook!$L25,x,'Stress Inputs'!Q25*d,ta,Rulebook!$G25*d,tb,Rulebook!$H25*d,tc,Rulebook!$I25*d,te,Rulebook!$J25*d,tf,Rulebook!$K25*d,IFS(x&lt;=ta,0,x&lt;=tb,25*(x-ta)/(tb-ta),x&lt;=tc,25+25*(x-tb)/(tc-tb),x&lt;=te,50+25*(x-tc)/(te-tc),x&lt;tf,75+25*(x-te)/(tf-te),TRUE,100)))</f>
        <v/>
      </c>
      <c r="R25" s="35" t="str">
        <f>IF('Stress Inputs'!R25="","",LET(d,Rulebook!$L25,x,'Stress Inputs'!R25*d,ta,Rulebook!$G25*d,tb,Rulebook!$H25*d,tc,Rulebook!$I25*d,te,Rulebook!$J25*d,tf,Rulebook!$K25*d,IFS(x&lt;=ta,0,x&lt;=tb,25*(x-ta)/(tb-ta),x&lt;=tc,25+25*(x-tb)/(tc-tb),x&lt;=te,50+25*(x-tc)/(te-tc),x&lt;tf,75+25*(x-te)/(tf-te),TRUE,100)))</f>
        <v/>
      </c>
      <c r="S25" s="35" t="str">
        <f>IF('Stress Inputs'!S25="","",LET(d,Rulebook!$L25,x,'Stress Inputs'!S25*d,ta,Rulebook!$G25*d,tb,Rulebook!$H25*d,tc,Rulebook!$I25*d,te,Rulebook!$J25*d,tf,Rulebook!$K25*d,IFS(x&lt;=ta,0,x&lt;=tb,25*(x-ta)/(tb-ta),x&lt;=tc,25+25*(x-tb)/(tc-tb),x&lt;=te,50+25*(x-tc)/(te-tc),x&lt;tf,75+25*(x-te)/(tf-te),TRUE,100)))</f>
        <v/>
      </c>
      <c r="T25" s="35" t="str">
        <f>IF('Stress Inputs'!T25="","",LET(d,Rulebook!$L25,x,'Stress Inputs'!T25*d,ta,Rulebook!$G25*d,tb,Rulebook!$H25*d,tc,Rulebook!$I25*d,te,Rulebook!$J25*d,tf,Rulebook!$K25*d,IFS(x&lt;=ta,0,x&lt;=tb,25*(x-ta)/(tb-ta),x&lt;=tc,25+25*(x-tb)/(tc-tb),x&lt;=te,50+25*(x-tc)/(te-tc),x&lt;tf,75+25*(x-te)/(tf-te),TRUE,100)))</f>
        <v/>
      </c>
      <c r="U25" s="35" t="str">
        <f>IF('Stress Inputs'!U25="","",LET(d,Rulebook!$L25,x,'Stress Inputs'!U25*d,ta,Rulebook!$G25*d,tb,Rulebook!$H25*d,tc,Rulebook!$I25*d,te,Rulebook!$J25*d,tf,Rulebook!$K25*d,IFS(x&lt;=ta,0,x&lt;=tb,25*(x-ta)/(tb-ta),x&lt;=tc,25+25*(x-tb)/(tc-tb),x&lt;=te,50+25*(x-tc)/(te-tc),x&lt;tf,75+25*(x-te)/(tf-te),TRUE,100)))</f>
        <v/>
      </c>
      <c r="V25" s="35" t="str">
        <f>IF('Stress Inputs'!V25="","",LET(d,Rulebook!$L25,x,'Stress Inputs'!V25*d,ta,Rulebook!$G25*d,tb,Rulebook!$H25*d,tc,Rulebook!$I25*d,te,Rulebook!$J25*d,tf,Rulebook!$K25*d,IFS(x&lt;=ta,0,x&lt;=tb,25*(x-ta)/(tb-ta),x&lt;=tc,25+25*(x-tb)/(tc-tb),x&lt;=te,50+25*(x-tc)/(te-tc),x&lt;tf,75+25*(x-te)/(tf-te),TRUE,100)))</f>
        <v/>
      </c>
    </row>
    <row r="26">
      <c r="A26" s="26" t="s">
        <v>481</v>
      </c>
      <c r="B26" s="26">
        <v>3.0</v>
      </c>
      <c r="C26" s="26" t="s">
        <v>483</v>
      </c>
      <c r="D26" s="26" t="s">
        <v>254</v>
      </c>
      <c r="E26" s="35" t="str">
        <f>IF('Stress Inputs'!E26="","",LET(d,Rulebook!$L26,x,'Stress Inputs'!E26*d,ta,Rulebook!$G26*d,tb,Rulebook!$H26*d,tc,Rulebook!$I26*d,te,Rulebook!$J26*d,tf,Rulebook!$K26*d,IFS(x&lt;=ta,0,x&lt;=tb,25*(x-ta)/(tb-ta),x&lt;=tc,25+25*(x-tb)/(tc-tb),x&lt;=te,50+25*(x-tc)/(te-tc),x&lt;tf,75+25*(x-te)/(tf-te),TRUE,100)))</f>
        <v/>
      </c>
      <c r="F26" s="35" t="str">
        <f>IF('Stress Inputs'!F26="","",LET(d,Rulebook!$L26,x,'Stress Inputs'!F26*d,ta,Rulebook!$G26*d,tb,Rulebook!$H26*d,tc,Rulebook!$I26*d,te,Rulebook!$J26*d,tf,Rulebook!$K26*d,IFS(x&lt;=ta,0,x&lt;=tb,25*(x-ta)/(tb-ta),x&lt;=tc,25+25*(x-tb)/(tc-tb),x&lt;=te,50+25*(x-tc)/(te-tc),x&lt;tf,75+25*(x-te)/(tf-te),TRUE,100)))</f>
        <v/>
      </c>
      <c r="G26" s="35" t="str">
        <f>IF('Stress Inputs'!G26="","",LET(d,Rulebook!$L26,x,'Stress Inputs'!G26*d,ta,Rulebook!$G26*d,tb,Rulebook!$H26*d,tc,Rulebook!$I26*d,te,Rulebook!$J26*d,tf,Rulebook!$K26*d,IFS(x&lt;=ta,0,x&lt;=tb,25*(x-ta)/(tb-ta),x&lt;=tc,25+25*(x-tb)/(tc-tb),x&lt;=te,50+25*(x-tc)/(te-tc),x&lt;tf,75+25*(x-te)/(tf-te),TRUE,100)))</f>
        <v/>
      </c>
      <c r="H26" s="35" t="str">
        <f>IF('Stress Inputs'!H26="","",LET(d,Rulebook!$L26,x,'Stress Inputs'!H26*d,ta,Rulebook!$G26*d,tb,Rulebook!$H26*d,tc,Rulebook!$I26*d,te,Rulebook!$J26*d,tf,Rulebook!$K26*d,IFS(x&lt;=ta,0,x&lt;=tb,25*(x-ta)/(tb-ta),x&lt;=tc,25+25*(x-tb)/(tc-tb),x&lt;=te,50+25*(x-tc)/(te-tc),x&lt;tf,75+25*(x-te)/(tf-te),TRUE,100)))</f>
        <v/>
      </c>
      <c r="I26" s="35" t="str">
        <f>IF('Stress Inputs'!I26="","",LET(d,Rulebook!$L26,x,'Stress Inputs'!I26*d,ta,Rulebook!$G26*d,tb,Rulebook!$H26*d,tc,Rulebook!$I26*d,te,Rulebook!$J26*d,tf,Rulebook!$K26*d,IFS(x&lt;=ta,0,x&lt;=tb,25*(x-ta)/(tb-ta),x&lt;=tc,25+25*(x-tb)/(tc-tb),x&lt;=te,50+25*(x-tc)/(te-tc),x&lt;tf,75+25*(x-te)/(tf-te),TRUE,100)))</f>
        <v/>
      </c>
      <c r="J26" s="35" t="str">
        <f>IF('Stress Inputs'!J26="","",LET(d,Rulebook!$L26,x,'Stress Inputs'!J26*d,ta,Rulebook!$G26*d,tb,Rulebook!$H26*d,tc,Rulebook!$I26*d,te,Rulebook!$J26*d,tf,Rulebook!$K26*d,IFS(x&lt;=ta,0,x&lt;=tb,25*(x-ta)/(tb-ta),x&lt;=tc,25+25*(x-tb)/(tc-tb),x&lt;=te,50+25*(x-tc)/(te-tc),x&lt;tf,75+25*(x-te)/(tf-te),TRUE,100)))</f>
        <v/>
      </c>
      <c r="K26" s="35" t="str">
        <f>IF('Stress Inputs'!K26="","",LET(d,Rulebook!$L26,x,'Stress Inputs'!K26*d,ta,Rulebook!$G26*d,tb,Rulebook!$H26*d,tc,Rulebook!$I26*d,te,Rulebook!$J26*d,tf,Rulebook!$K26*d,IFS(x&lt;=ta,0,x&lt;=tb,25*(x-ta)/(tb-ta),x&lt;=tc,25+25*(x-tb)/(tc-tb),x&lt;=te,50+25*(x-tc)/(te-tc),x&lt;tf,75+25*(x-te)/(tf-te),TRUE,100)))</f>
        <v/>
      </c>
      <c r="L26" s="35" t="str">
        <f>IF('Stress Inputs'!L26="","",LET(d,Rulebook!$L26,x,'Stress Inputs'!L26*d,ta,Rulebook!$G26*d,tb,Rulebook!$H26*d,tc,Rulebook!$I26*d,te,Rulebook!$J26*d,tf,Rulebook!$K26*d,IFS(x&lt;=ta,0,x&lt;=tb,25*(x-ta)/(tb-ta),x&lt;=tc,25+25*(x-tb)/(tc-tb),x&lt;=te,50+25*(x-tc)/(te-tc),x&lt;tf,75+25*(x-te)/(tf-te),TRUE,100)))</f>
        <v/>
      </c>
      <c r="M26" s="35" t="str">
        <f>IF('Stress Inputs'!M26="","",LET(d,Rulebook!$L26,x,'Stress Inputs'!M26*d,ta,Rulebook!$G26*d,tb,Rulebook!$H26*d,tc,Rulebook!$I26*d,te,Rulebook!$J26*d,tf,Rulebook!$K26*d,IFS(x&lt;=ta,0,x&lt;=tb,25*(x-ta)/(tb-ta),x&lt;=tc,25+25*(x-tb)/(tc-tb),x&lt;=te,50+25*(x-tc)/(te-tc),x&lt;tf,75+25*(x-te)/(tf-te),TRUE,100)))</f>
        <v/>
      </c>
      <c r="N26" s="35" t="str">
        <f>IF('Stress Inputs'!N26="","",LET(d,Rulebook!$L26,x,'Stress Inputs'!N26*d,ta,Rulebook!$G26*d,tb,Rulebook!$H26*d,tc,Rulebook!$I26*d,te,Rulebook!$J26*d,tf,Rulebook!$K26*d,IFS(x&lt;=ta,0,x&lt;=tb,25*(x-ta)/(tb-ta),x&lt;=tc,25+25*(x-tb)/(tc-tb),x&lt;=te,50+25*(x-tc)/(te-tc),x&lt;tf,75+25*(x-te)/(tf-te),TRUE,100)))</f>
        <v/>
      </c>
      <c r="O26" s="35" t="str">
        <f>IF('Stress Inputs'!O26="","",LET(d,Rulebook!$L26,x,'Stress Inputs'!O26*d,ta,Rulebook!$G26*d,tb,Rulebook!$H26*d,tc,Rulebook!$I26*d,te,Rulebook!$J26*d,tf,Rulebook!$K26*d,IFS(x&lt;=ta,0,x&lt;=tb,25*(x-ta)/(tb-ta),x&lt;=tc,25+25*(x-tb)/(tc-tb),x&lt;=te,50+25*(x-tc)/(te-tc),x&lt;tf,75+25*(x-te)/(tf-te),TRUE,100)))</f>
        <v/>
      </c>
      <c r="P26" s="35" t="str">
        <f>IF('Stress Inputs'!P26="","",LET(d,Rulebook!$L26,x,'Stress Inputs'!P26*d,ta,Rulebook!$G26*d,tb,Rulebook!$H26*d,tc,Rulebook!$I26*d,te,Rulebook!$J26*d,tf,Rulebook!$K26*d,IFS(x&lt;=ta,0,x&lt;=tb,25*(x-ta)/(tb-ta),x&lt;=tc,25+25*(x-tb)/(tc-tb),x&lt;=te,50+25*(x-tc)/(te-tc),x&lt;tf,75+25*(x-te)/(tf-te),TRUE,100)))</f>
        <v/>
      </c>
      <c r="Q26" s="35" t="str">
        <f>IF('Stress Inputs'!Q26="","",LET(d,Rulebook!$L26,x,'Stress Inputs'!Q26*d,ta,Rulebook!$G26*d,tb,Rulebook!$H26*d,tc,Rulebook!$I26*d,te,Rulebook!$J26*d,tf,Rulebook!$K26*d,IFS(x&lt;=ta,0,x&lt;=tb,25*(x-ta)/(tb-ta),x&lt;=tc,25+25*(x-tb)/(tc-tb),x&lt;=te,50+25*(x-tc)/(te-tc),x&lt;tf,75+25*(x-te)/(tf-te),TRUE,100)))</f>
        <v/>
      </c>
      <c r="R26" s="35" t="str">
        <f>IF('Stress Inputs'!R26="","",LET(d,Rulebook!$L26,x,'Stress Inputs'!R26*d,ta,Rulebook!$G26*d,tb,Rulebook!$H26*d,tc,Rulebook!$I26*d,te,Rulebook!$J26*d,tf,Rulebook!$K26*d,IFS(x&lt;=ta,0,x&lt;=tb,25*(x-ta)/(tb-ta),x&lt;=tc,25+25*(x-tb)/(tc-tb),x&lt;=te,50+25*(x-tc)/(te-tc),x&lt;tf,75+25*(x-te)/(tf-te),TRUE,100)))</f>
        <v/>
      </c>
      <c r="S26" s="35" t="str">
        <f>IF('Stress Inputs'!S26="","",LET(d,Rulebook!$L26,x,'Stress Inputs'!S26*d,ta,Rulebook!$G26*d,tb,Rulebook!$H26*d,tc,Rulebook!$I26*d,te,Rulebook!$J26*d,tf,Rulebook!$K26*d,IFS(x&lt;=ta,0,x&lt;=tb,25*(x-ta)/(tb-ta),x&lt;=tc,25+25*(x-tb)/(tc-tb),x&lt;=te,50+25*(x-tc)/(te-tc),x&lt;tf,75+25*(x-te)/(tf-te),TRUE,100)))</f>
        <v/>
      </c>
      <c r="T26" s="35" t="str">
        <f>IF('Stress Inputs'!T26="","",LET(d,Rulebook!$L26,x,'Stress Inputs'!T26*d,ta,Rulebook!$G26*d,tb,Rulebook!$H26*d,tc,Rulebook!$I26*d,te,Rulebook!$J26*d,tf,Rulebook!$K26*d,IFS(x&lt;=ta,0,x&lt;=tb,25*(x-ta)/(tb-ta),x&lt;=tc,25+25*(x-tb)/(tc-tb),x&lt;=te,50+25*(x-tc)/(te-tc),x&lt;tf,75+25*(x-te)/(tf-te),TRUE,100)))</f>
        <v/>
      </c>
      <c r="U26" s="35" t="str">
        <f>IF('Stress Inputs'!U26="","",LET(d,Rulebook!$L26,x,'Stress Inputs'!U26*d,ta,Rulebook!$G26*d,tb,Rulebook!$H26*d,tc,Rulebook!$I26*d,te,Rulebook!$J26*d,tf,Rulebook!$K26*d,IFS(x&lt;=ta,0,x&lt;=tb,25*(x-ta)/(tb-ta),x&lt;=tc,25+25*(x-tb)/(tc-tb),x&lt;=te,50+25*(x-tc)/(te-tc),x&lt;tf,75+25*(x-te)/(tf-te),TRUE,100)))</f>
        <v/>
      </c>
      <c r="V26" s="35" t="str">
        <f>IF('Stress Inputs'!V26="","",LET(d,Rulebook!$L26,x,'Stress Inputs'!V26*d,ta,Rulebook!$G26*d,tb,Rulebook!$H26*d,tc,Rulebook!$I26*d,te,Rulebook!$J26*d,tf,Rulebook!$K26*d,IFS(x&lt;=ta,0,x&lt;=tb,25*(x-ta)/(tb-ta),x&lt;=tc,25+25*(x-tb)/(tc-tb),x&lt;=te,50+25*(x-tc)/(te-tc),x&lt;tf,75+25*(x-te)/(tf-te),TRUE,100)))</f>
        <v/>
      </c>
    </row>
    <row r="27">
      <c r="A27" s="26" t="s">
        <v>493</v>
      </c>
      <c r="B27" s="26">
        <v>3.0</v>
      </c>
      <c r="C27" s="26" t="s">
        <v>494</v>
      </c>
      <c r="D27" s="26" t="s">
        <v>254</v>
      </c>
      <c r="E27" s="35" t="str">
        <f>IF('Stress Inputs'!E27="","",LET(d,Rulebook!$L27,x,'Stress Inputs'!E27*d,ta,Rulebook!$G27*d,tb,Rulebook!$H27*d,tc,Rulebook!$I27*d,te,Rulebook!$J27*d,tf,Rulebook!$K27*d,IFS(x&lt;=ta,0,x&lt;=tb,25*(x-ta)/(tb-ta),x&lt;=tc,25+25*(x-tb)/(tc-tb),x&lt;=te,50+25*(x-tc)/(te-tc),x&lt;tf,75+25*(x-te)/(tf-te),TRUE,100)))</f>
        <v/>
      </c>
      <c r="F27" s="35" t="str">
        <f>IF('Stress Inputs'!F27="","",LET(d,Rulebook!$L27,x,'Stress Inputs'!F27*d,ta,Rulebook!$G27*d,tb,Rulebook!$H27*d,tc,Rulebook!$I27*d,te,Rulebook!$J27*d,tf,Rulebook!$K27*d,IFS(x&lt;=ta,0,x&lt;=tb,25*(x-ta)/(tb-ta),x&lt;=tc,25+25*(x-tb)/(tc-tb),x&lt;=te,50+25*(x-tc)/(te-tc),x&lt;tf,75+25*(x-te)/(tf-te),TRUE,100)))</f>
        <v/>
      </c>
      <c r="G27" s="35" t="str">
        <f>IF('Stress Inputs'!G27="","",LET(d,Rulebook!$L27,x,'Stress Inputs'!G27*d,ta,Rulebook!$G27*d,tb,Rulebook!$H27*d,tc,Rulebook!$I27*d,te,Rulebook!$J27*d,tf,Rulebook!$K27*d,IFS(x&lt;=ta,0,x&lt;=tb,25*(x-ta)/(tb-ta),x&lt;=tc,25+25*(x-tb)/(tc-tb),x&lt;=te,50+25*(x-tc)/(te-tc),x&lt;tf,75+25*(x-te)/(tf-te),TRUE,100)))</f>
        <v/>
      </c>
      <c r="H27" s="35" t="str">
        <f>IF('Stress Inputs'!H27="","",LET(d,Rulebook!$L27,x,'Stress Inputs'!H27*d,ta,Rulebook!$G27*d,tb,Rulebook!$H27*d,tc,Rulebook!$I27*d,te,Rulebook!$J27*d,tf,Rulebook!$K27*d,IFS(x&lt;=ta,0,x&lt;=tb,25*(x-ta)/(tb-ta),x&lt;=tc,25+25*(x-tb)/(tc-tb),x&lt;=te,50+25*(x-tc)/(te-tc),x&lt;tf,75+25*(x-te)/(tf-te),TRUE,100)))</f>
        <v/>
      </c>
      <c r="I27" s="35" t="str">
        <f>IF('Stress Inputs'!I27="","",LET(d,Rulebook!$L27,x,'Stress Inputs'!I27*d,ta,Rulebook!$G27*d,tb,Rulebook!$H27*d,tc,Rulebook!$I27*d,te,Rulebook!$J27*d,tf,Rulebook!$K27*d,IFS(x&lt;=ta,0,x&lt;=tb,25*(x-ta)/(tb-ta),x&lt;=tc,25+25*(x-tb)/(tc-tb),x&lt;=te,50+25*(x-tc)/(te-tc),x&lt;tf,75+25*(x-te)/(tf-te),TRUE,100)))</f>
        <v/>
      </c>
      <c r="J27" s="35" t="str">
        <f>IF('Stress Inputs'!J27="","",LET(d,Rulebook!$L27,x,'Stress Inputs'!J27*d,ta,Rulebook!$G27*d,tb,Rulebook!$H27*d,tc,Rulebook!$I27*d,te,Rulebook!$J27*d,tf,Rulebook!$K27*d,IFS(x&lt;=ta,0,x&lt;=tb,25*(x-ta)/(tb-ta),x&lt;=tc,25+25*(x-tb)/(tc-tb),x&lt;=te,50+25*(x-tc)/(te-tc),x&lt;tf,75+25*(x-te)/(tf-te),TRUE,100)))</f>
        <v/>
      </c>
      <c r="K27" s="35" t="str">
        <f>IF('Stress Inputs'!K27="","",LET(d,Rulebook!$L27,x,'Stress Inputs'!K27*d,ta,Rulebook!$G27*d,tb,Rulebook!$H27*d,tc,Rulebook!$I27*d,te,Rulebook!$J27*d,tf,Rulebook!$K27*d,IFS(x&lt;=ta,0,x&lt;=tb,25*(x-ta)/(tb-ta),x&lt;=tc,25+25*(x-tb)/(tc-tb),x&lt;=te,50+25*(x-tc)/(te-tc),x&lt;tf,75+25*(x-te)/(tf-te),TRUE,100)))</f>
        <v/>
      </c>
      <c r="L27" s="35" t="str">
        <f>IF('Stress Inputs'!L27="","",LET(d,Rulebook!$L27,x,'Stress Inputs'!L27*d,ta,Rulebook!$G27*d,tb,Rulebook!$H27*d,tc,Rulebook!$I27*d,te,Rulebook!$J27*d,tf,Rulebook!$K27*d,IFS(x&lt;=ta,0,x&lt;=tb,25*(x-ta)/(tb-ta),x&lt;=tc,25+25*(x-tb)/(tc-tb),x&lt;=te,50+25*(x-tc)/(te-tc),x&lt;tf,75+25*(x-te)/(tf-te),TRUE,100)))</f>
        <v/>
      </c>
      <c r="M27" s="35" t="str">
        <f>IF('Stress Inputs'!M27="","",LET(d,Rulebook!$L27,x,'Stress Inputs'!M27*d,ta,Rulebook!$G27*d,tb,Rulebook!$H27*d,tc,Rulebook!$I27*d,te,Rulebook!$J27*d,tf,Rulebook!$K27*d,IFS(x&lt;=ta,0,x&lt;=tb,25*(x-ta)/(tb-ta),x&lt;=tc,25+25*(x-tb)/(tc-tb),x&lt;=te,50+25*(x-tc)/(te-tc),x&lt;tf,75+25*(x-te)/(tf-te),TRUE,100)))</f>
        <v/>
      </c>
      <c r="N27" s="35" t="str">
        <f>IF('Stress Inputs'!N27="","",LET(d,Rulebook!$L27,x,'Stress Inputs'!N27*d,ta,Rulebook!$G27*d,tb,Rulebook!$H27*d,tc,Rulebook!$I27*d,te,Rulebook!$J27*d,tf,Rulebook!$K27*d,IFS(x&lt;=ta,0,x&lt;=tb,25*(x-ta)/(tb-ta),x&lt;=tc,25+25*(x-tb)/(tc-tb),x&lt;=te,50+25*(x-tc)/(te-tc),x&lt;tf,75+25*(x-te)/(tf-te),TRUE,100)))</f>
        <v/>
      </c>
      <c r="O27" s="35" t="str">
        <f>IF('Stress Inputs'!O27="","",LET(d,Rulebook!$L27,x,'Stress Inputs'!O27*d,ta,Rulebook!$G27*d,tb,Rulebook!$H27*d,tc,Rulebook!$I27*d,te,Rulebook!$J27*d,tf,Rulebook!$K27*d,IFS(x&lt;=ta,0,x&lt;=tb,25*(x-ta)/(tb-ta),x&lt;=tc,25+25*(x-tb)/(tc-tb),x&lt;=te,50+25*(x-tc)/(te-tc),x&lt;tf,75+25*(x-te)/(tf-te),TRUE,100)))</f>
        <v/>
      </c>
      <c r="P27" s="35" t="str">
        <f>IF('Stress Inputs'!P27="","",LET(d,Rulebook!$L27,x,'Stress Inputs'!P27*d,ta,Rulebook!$G27*d,tb,Rulebook!$H27*d,tc,Rulebook!$I27*d,te,Rulebook!$J27*d,tf,Rulebook!$K27*d,IFS(x&lt;=ta,0,x&lt;=tb,25*(x-ta)/(tb-ta),x&lt;=tc,25+25*(x-tb)/(tc-tb),x&lt;=te,50+25*(x-tc)/(te-tc),x&lt;tf,75+25*(x-te)/(tf-te),TRUE,100)))</f>
        <v/>
      </c>
      <c r="Q27" s="35" t="str">
        <f>IF('Stress Inputs'!Q27="","",LET(d,Rulebook!$L27,x,'Stress Inputs'!Q27*d,ta,Rulebook!$G27*d,tb,Rulebook!$H27*d,tc,Rulebook!$I27*d,te,Rulebook!$J27*d,tf,Rulebook!$K27*d,IFS(x&lt;=ta,0,x&lt;=tb,25*(x-ta)/(tb-ta),x&lt;=tc,25+25*(x-tb)/(tc-tb),x&lt;=te,50+25*(x-tc)/(te-tc),x&lt;tf,75+25*(x-te)/(tf-te),TRUE,100)))</f>
        <v/>
      </c>
      <c r="R27" s="35" t="str">
        <f>IF('Stress Inputs'!R27="","",LET(d,Rulebook!$L27,x,'Stress Inputs'!R27*d,ta,Rulebook!$G27*d,tb,Rulebook!$H27*d,tc,Rulebook!$I27*d,te,Rulebook!$J27*d,tf,Rulebook!$K27*d,IFS(x&lt;=ta,0,x&lt;=tb,25*(x-ta)/(tb-ta),x&lt;=tc,25+25*(x-tb)/(tc-tb),x&lt;=te,50+25*(x-tc)/(te-tc),x&lt;tf,75+25*(x-te)/(tf-te),TRUE,100)))</f>
        <v/>
      </c>
      <c r="S27" s="35" t="str">
        <f>IF('Stress Inputs'!S27="","",LET(d,Rulebook!$L27,x,'Stress Inputs'!S27*d,ta,Rulebook!$G27*d,tb,Rulebook!$H27*d,tc,Rulebook!$I27*d,te,Rulebook!$J27*d,tf,Rulebook!$K27*d,IFS(x&lt;=ta,0,x&lt;=tb,25*(x-ta)/(tb-ta),x&lt;=tc,25+25*(x-tb)/(tc-tb),x&lt;=te,50+25*(x-tc)/(te-tc),x&lt;tf,75+25*(x-te)/(tf-te),TRUE,100)))</f>
        <v/>
      </c>
      <c r="T27" s="35" t="str">
        <f>IF('Stress Inputs'!T27="","",LET(d,Rulebook!$L27,x,'Stress Inputs'!T27*d,ta,Rulebook!$G27*d,tb,Rulebook!$H27*d,tc,Rulebook!$I27*d,te,Rulebook!$J27*d,tf,Rulebook!$K27*d,IFS(x&lt;=ta,0,x&lt;=tb,25*(x-ta)/(tb-ta),x&lt;=tc,25+25*(x-tb)/(tc-tb),x&lt;=te,50+25*(x-tc)/(te-tc),x&lt;tf,75+25*(x-te)/(tf-te),TRUE,100)))</f>
        <v/>
      </c>
      <c r="U27" s="35" t="str">
        <f>IF('Stress Inputs'!U27="","",LET(d,Rulebook!$L27,x,'Stress Inputs'!U27*d,ta,Rulebook!$G27*d,tb,Rulebook!$H27*d,tc,Rulebook!$I27*d,te,Rulebook!$J27*d,tf,Rulebook!$K27*d,IFS(x&lt;=ta,0,x&lt;=tb,25*(x-ta)/(tb-ta),x&lt;=tc,25+25*(x-tb)/(tc-tb),x&lt;=te,50+25*(x-tc)/(te-tc),x&lt;tf,75+25*(x-te)/(tf-te),TRUE,100)))</f>
        <v/>
      </c>
      <c r="V27" s="35" t="str">
        <f>IF('Stress Inputs'!V27="","",LET(d,Rulebook!$L27,x,'Stress Inputs'!V27*d,ta,Rulebook!$G27*d,tb,Rulebook!$H27*d,tc,Rulebook!$I27*d,te,Rulebook!$J27*d,tf,Rulebook!$K27*d,IFS(x&lt;=ta,0,x&lt;=tb,25*(x-ta)/(tb-ta),x&lt;=tc,25+25*(x-tb)/(tc-tb),x&lt;=te,50+25*(x-tc)/(te-tc),x&lt;tf,75+25*(x-te)/(tf-te),TRUE,100)))</f>
        <v/>
      </c>
    </row>
    <row r="28">
      <c r="A28" s="26" t="s">
        <v>499</v>
      </c>
      <c r="B28" s="26">
        <v>3.0</v>
      </c>
      <c r="C28" s="26" t="s">
        <v>500</v>
      </c>
      <c r="D28" s="26" t="s">
        <v>254</v>
      </c>
      <c r="E28" s="35" t="str">
        <f>IF('Stress Inputs'!E28="","",LET(d,Rulebook!$L28,x,'Stress Inputs'!E28*d,ta,Rulebook!$G28*d,tb,Rulebook!$H28*d,tc,Rulebook!$I28*d,te,Rulebook!$J28*d,tf,Rulebook!$K28*d,IFS(x&lt;=ta,0,x&lt;=tb,25*(x-ta)/(tb-ta),x&lt;=tc,25+25*(x-tb)/(tc-tb),x&lt;=te,50+25*(x-tc)/(te-tc),x&lt;tf,75+25*(x-te)/(tf-te),TRUE,100)))</f>
        <v/>
      </c>
      <c r="F28" s="35" t="str">
        <f>IF('Stress Inputs'!F28="","",LET(d,Rulebook!$L28,x,'Stress Inputs'!F28*d,ta,Rulebook!$G28*d,tb,Rulebook!$H28*d,tc,Rulebook!$I28*d,te,Rulebook!$J28*d,tf,Rulebook!$K28*d,IFS(x&lt;=ta,0,x&lt;=tb,25*(x-ta)/(tb-ta),x&lt;=tc,25+25*(x-tb)/(tc-tb),x&lt;=te,50+25*(x-tc)/(te-tc),x&lt;tf,75+25*(x-te)/(tf-te),TRUE,100)))</f>
        <v/>
      </c>
      <c r="G28" s="35" t="str">
        <f>IF('Stress Inputs'!G28="","",LET(d,Rulebook!$L28,x,'Stress Inputs'!G28*d,ta,Rulebook!$G28*d,tb,Rulebook!$H28*d,tc,Rulebook!$I28*d,te,Rulebook!$J28*d,tf,Rulebook!$K28*d,IFS(x&lt;=ta,0,x&lt;=tb,25*(x-ta)/(tb-ta),x&lt;=tc,25+25*(x-tb)/(tc-tb),x&lt;=te,50+25*(x-tc)/(te-tc),x&lt;tf,75+25*(x-te)/(tf-te),TRUE,100)))</f>
        <v/>
      </c>
      <c r="H28" s="35" t="str">
        <f>IF('Stress Inputs'!H28="","",LET(d,Rulebook!$L28,x,'Stress Inputs'!H28*d,ta,Rulebook!$G28*d,tb,Rulebook!$H28*d,tc,Rulebook!$I28*d,te,Rulebook!$J28*d,tf,Rulebook!$K28*d,IFS(x&lt;=ta,0,x&lt;=tb,25*(x-ta)/(tb-ta),x&lt;=tc,25+25*(x-tb)/(tc-tb),x&lt;=te,50+25*(x-tc)/(te-tc),x&lt;tf,75+25*(x-te)/(tf-te),TRUE,100)))</f>
        <v/>
      </c>
      <c r="I28" s="35" t="str">
        <f>IF('Stress Inputs'!I28="","",LET(d,Rulebook!$L28,x,'Stress Inputs'!I28*d,ta,Rulebook!$G28*d,tb,Rulebook!$H28*d,tc,Rulebook!$I28*d,te,Rulebook!$J28*d,tf,Rulebook!$K28*d,IFS(x&lt;=ta,0,x&lt;=tb,25*(x-ta)/(tb-ta),x&lt;=tc,25+25*(x-tb)/(tc-tb),x&lt;=te,50+25*(x-tc)/(te-tc),x&lt;tf,75+25*(x-te)/(tf-te),TRUE,100)))</f>
        <v/>
      </c>
      <c r="J28" s="35" t="str">
        <f>IF('Stress Inputs'!J28="","",LET(d,Rulebook!$L28,x,'Stress Inputs'!J28*d,ta,Rulebook!$G28*d,tb,Rulebook!$H28*d,tc,Rulebook!$I28*d,te,Rulebook!$J28*d,tf,Rulebook!$K28*d,IFS(x&lt;=ta,0,x&lt;=tb,25*(x-ta)/(tb-ta),x&lt;=tc,25+25*(x-tb)/(tc-tb),x&lt;=te,50+25*(x-tc)/(te-tc),x&lt;tf,75+25*(x-te)/(tf-te),TRUE,100)))</f>
        <v/>
      </c>
      <c r="K28" s="35" t="str">
        <f>IF('Stress Inputs'!K28="","",LET(d,Rulebook!$L28,x,'Stress Inputs'!K28*d,ta,Rulebook!$G28*d,tb,Rulebook!$H28*d,tc,Rulebook!$I28*d,te,Rulebook!$J28*d,tf,Rulebook!$K28*d,IFS(x&lt;=ta,0,x&lt;=tb,25*(x-ta)/(tb-ta),x&lt;=tc,25+25*(x-tb)/(tc-tb),x&lt;=te,50+25*(x-tc)/(te-tc),x&lt;tf,75+25*(x-te)/(tf-te),TRUE,100)))</f>
        <v/>
      </c>
      <c r="L28" s="35" t="str">
        <f>IF('Stress Inputs'!L28="","",LET(d,Rulebook!$L28,x,'Stress Inputs'!L28*d,ta,Rulebook!$G28*d,tb,Rulebook!$H28*d,tc,Rulebook!$I28*d,te,Rulebook!$J28*d,tf,Rulebook!$K28*d,IFS(x&lt;=ta,0,x&lt;=tb,25*(x-ta)/(tb-ta),x&lt;=tc,25+25*(x-tb)/(tc-tb),x&lt;=te,50+25*(x-tc)/(te-tc),x&lt;tf,75+25*(x-te)/(tf-te),TRUE,100)))</f>
        <v/>
      </c>
      <c r="M28" s="35" t="str">
        <f>IF('Stress Inputs'!M28="","",LET(d,Rulebook!$L28,x,'Stress Inputs'!M28*d,ta,Rulebook!$G28*d,tb,Rulebook!$H28*d,tc,Rulebook!$I28*d,te,Rulebook!$J28*d,tf,Rulebook!$K28*d,IFS(x&lt;=ta,0,x&lt;=tb,25*(x-ta)/(tb-ta),x&lt;=tc,25+25*(x-tb)/(tc-tb),x&lt;=te,50+25*(x-tc)/(te-tc),x&lt;tf,75+25*(x-te)/(tf-te),TRUE,100)))</f>
        <v/>
      </c>
      <c r="N28" s="35" t="str">
        <f>IF('Stress Inputs'!N28="","",LET(d,Rulebook!$L28,x,'Stress Inputs'!N28*d,ta,Rulebook!$G28*d,tb,Rulebook!$H28*d,tc,Rulebook!$I28*d,te,Rulebook!$J28*d,tf,Rulebook!$K28*d,IFS(x&lt;=ta,0,x&lt;=tb,25*(x-ta)/(tb-ta),x&lt;=tc,25+25*(x-tb)/(tc-tb),x&lt;=te,50+25*(x-tc)/(te-tc),x&lt;tf,75+25*(x-te)/(tf-te),TRUE,100)))</f>
        <v/>
      </c>
      <c r="O28" s="35" t="str">
        <f>IF('Stress Inputs'!O28="","",LET(d,Rulebook!$L28,x,'Stress Inputs'!O28*d,ta,Rulebook!$G28*d,tb,Rulebook!$H28*d,tc,Rulebook!$I28*d,te,Rulebook!$J28*d,tf,Rulebook!$K28*d,IFS(x&lt;=ta,0,x&lt;=tb,25*(x-ta)/(tb-ta),x&lt;=tc,25+25*(x-tb)/(tc-tb),x&lt;=te,50+25*(x-tc)/(te-tc),x&lt;tf,75+25*(x-te)/(tf-te),TRUE,100)))</f>
        <v/>
      </c>
      <c r="P28" s="35" t="str">
        <f>IF('Stress Inputs'!P28="","",LET(d,Rulebook!$L28,x,'Stress Inputs'!P28*d,ta,Rulebook!$G28*d,tb,Rulebook!$H28*d,tc,Rulebook!$I28*d,te,Rulebook!$J28*d,tf,Rulebook!$K28*d,IFS(x&lt;=ta,0,x&lt;=tb,25*(x-ta)/(tb-ta),x&lt;=tc,25+25*(x-tb)/(tc-tb),x&lt;=te,50+25*(x-tc)/(te-tc),x&lt;tf,75+25*(x-te)/(tf-te),TRUE,100)))</f>
        <v/>
      </c>
      <c r="Q28" s="35" t="str">
        <f>IF('Stress Inputs'!Q28="","",LET(d,Rulebook!$L28,x,'Stress Inputs'!Q28*d,ta,Rulebook!$G28*d,tb,Rulebook!$H28*d,tc,Rulebook!$I28*d,te,Rulebook!$J28*d,tf,Rulebook!$K28*d,IFS(x&lt;=ta,0,x&lt;=tb,25*(x-ta)/(tb-ta),x&lt;=tc,25+25*(x-tb)/(tc-tb),x&lt;=te,50+25*(x-tc)/(te-tc),x&lt;tf,75+25*(x-te)/(tf-te),TRUE,100)))</f>
        <v/>
      </c>
      <c r="R28" s="35" t="str">
        <f>IF('Stress Inputs'!R28="","",LET(d,Rulebook!$L28,x,'Stress Inputs'!R28*d,ta,Rulebook!$G28*d,tb,Rulebook!$H28*d,tc,Rulebook!$I28*d,te,Rulebook!$J28*d,tf,Rulebook!$K28*d,IFS(x&lt;=ta,0,x&lt;=tb,25*(x-ta)/(tb-ta),x&lt;=tc,25+25*(x-tb)/(tc-tb),x&lt;=te,50+25*(x-tc)/(te-tc),x&lt;tf,75+25*(x-te)/(tf-te),TRUE,100)))</f>
        <v/>
      </c>
      <c r="S28" s="35" t="str">
        <f>IF('Stress Inputs'!S28="","",LET(d,Rulebook!$L28,x,'Stress Inputs'!S28*d,ta,Rulebook!$G28*d,tb,Rulebook!$H28*d,tc,Rulebook!$I28*d,te,Rulebook!$J28*d,tf,Rulebook!$K28*d,IFS(x&lt;=ta,0,x&lt;=tb,25*(x-ta)/(tb-ta),x&lt;=tc,25+25*(x-tb)/(tc-tb),x&lt;=te,50+25*(x-tc)/(te-tc),x&lt;tf,75+25*(x-te)/(tf-te),TRUE,100)))</f>
        <v/>
      </c>
      <c r="T28" s="35" t="str">
        <f>IF('Stress Inputs'!T28="","",LET(d,Rulebook!$L28,x,'Stress Inputs'!T28*d,ta,Rulebook!$G28*d,tb,Rulebook!$H28*d,tc,Rulebook!$I28*d,te,Rulebook!$J28*d,tf,Rulebook!$K28*d,IFS(x&lt;=ta,0,x&lt;=tb,25*(x-ta)/(tb-ta),x&lt;=tc,25+25*(x-tb)/(tc-tb),x&lt;=te,50+25*(x-tc)/(te-tc),x&lt;tf,75+25*(x-te)/(tf-te),TRUE,100)))</f>
        <v/>
      </c>
      <c r="U28" s="35" t="str">
        <f>IF('Stress Inputs'!U28="","",LET(d,Rulebook!$L28,x,'Stress Inputs'!U28*d,ta,Rulebook!$G28*d,tb,Rulebook!$H28*d,tc,Rulebook!$I28*d,te,Rulebook!$J28*d,tf,Rulebook!$K28*d,IFS(x&lt;=ta,0,x&lt;=tb,25*(x-ta)/(tb-ta),x&lt;=tc,25+25*(x-tb)/(tc-tb),x&lt;=te,50+25*(x-tc)/(te-tc),x&lt;tf,75+25*(x-te)/(tf-te),TRUE,100)))</f>
        <v/>
      </c>
      <c r="V28" s="35" t="str">
        <f>IF('Stress Inputs'!V28="","",LET(d,Rulebook!$L28,x,'Stress Inputs'!V28*d,ta,Rulebook!$G28*d,tb,Rulebook!$H28*d,tc,Rulebook!$I28*d,te,Rulebook!$J28*d,tf,Rulebook!$K28*d,IFS(x&lt;=ta,0,x&lt;=tb,25*(x-ta)/(tb-ta),x&lt;=tc,25+25*(x-tb)/(tc-tb),x&lt;=te,50+25*(x-tc)/(te-tc),x&lt;tf,75+25*(x-te)/(tf-te),TRUE,100)))</f>
        <v/>
      </c>
    </row>
    <row r="29">
      <c r="A29" s="26" t="s">
        <v>508</v>
      </c>
      <c r="B29" s="26">
        <v>3.0</v>
      </c>
      <c r="C29" s="26" t="s">
        <v>509</v>
      </c>
      <c r="D29" s="26" t="s">
        <v>510</v>
      </c>
      <c r="E29" s="35" t="str">
        <f>IF('Stress Inputs'!E29="","",LET(d,Rulebook!$L29,x,'Stress Inputs'!E29*d,ta,Rulebook!$G29*d,tb,Rulebook!$H29*d,tc,Rulebook!$I29*d,te,Rulebook!$J29*d,tf,Rulebook!$K29*d,IFS(x&lt;=ta,0,x&lt;=tb,25*(x-ta)/(tb-ta),x&lt;=tc,25+25*(x-tb)/(tc-tb),x&lt;=te,50+25*(x-tc)/(te-tc),x&lt;tf,75+25*(x-te)/(tf-te),TRUE,100)))</f>
        <v/>
      </c>
      <c r="F29" s="35" t="str">
        <f>IF('Stress Inputs'!F29="","",LET(d,Rulebook!$L29,x,'Stress Inputs'!F29*d,ta,Rulebook!$G29*d,tb,Rulebook!$H29*d,tc,Rulebook!$I29*d,te,Rulebook!$J29*d,tf,Rulebook!$K29*d,IFS(x&lt;=ta,0,x&lt;=tb,25*(x-ta)/(tb-ta),x&lt;=tc,25+25*(x-tb)/(tc-tb),x&lt;=te,50+25*(x-tc)/(te-tc),x&lt;tf,75+25*(x-te)/(tf-te),TRUE,100)))</f>
        <v/>
      </c>
      <c r="G29" s="35" t="str">
        <f>IF('Stress Inputs'!G29="","",LET(d,Rulebook!$L29,x,'Stress Inputs'!G29*d,ta,Rulebook!$G29*d,tb,Rulebook!$H29*d,tc,Rulebook!$I29*d,te,Rulebook!$J29*d,tf,Rulebook!$K29*d,IFS(x&lt;=ta,0,x&lt;=tb,25*(x-ta)/(tb-ta),x&lt;=tc,25+25*(x-tb)/(tc-tb),x&lt;=te,50+25*(x-tc)/(te-tc),x&lt;tf,75+25*(x-te)/(tf-te),TRUE,100)))</f>
        <v/>
      </c>
      <c r="H29" s="35" t="str">
        <f>IF('Stress Inputs'!H29="","",LET(d,Rulebook!$L29,x,'Stress Inputs'!H29*d,ta,Rulebook!$G29*d,tb,Rulebook!$H29*d,tc,Rulebook!$I29*d,te,Rulebook!$J29*d,tf,Rulebook!$K29*d,IFS(x&lt;=ta,0,x&lt;=tb,25*(x-ta)/(tb-ta),x&lt;=tc,25+25*(x-tb)/(tc-tb),x&lt;=te,50+25*(x-tc)/(te-tc),x&lt;tf,75+25*(x-te)/(tf-te),TRUE,100)))</f>
        <v/>
      </c>
      <c r="I29" s="35" t="str">
        <f>IF('Stress Inputs'!I29="","",LET(d,Rulebook!$L29,x,'Stress Inputs'!I29*d,ta,Rulebook!$G29*d,tb,Rulebook!$H29*d,tc,Rulebook!$I29*d,te,Rulebook!$J29*d,tf,Rulebook!$K29*d,IFS(x&lt;=ta,0,x&lt;=tb,25*(x-ta)/(tb-ta),x&lt;=tc,25+25*(x-tb)/(tc-tb),x&lt;=te,50+25*(x-tc)/(te-tc),x&lt;tf,75+25*(x-te)/(tf-te),TRUE,100)))</f>
        <v/>
      </c>
      <c r="J29" s="35" t="str">
        <f>IF('Stress Inputs'!J29="","",LET(d,Rulebook!$L29,x,'Stress Inputs'!J29*d,ta,Rulebook!$G29*d,tb,Rulebook!$H29*d,tc,Rulebook!$I29*d,te,Rulebook!$J29*d,tf,Rulebook!$K29*d,IFS(x&lt;=ta,0,x&lt;=tb,25*(x-ta)/(tb-ta),x&lt;=tc,25+25*(x-tb)/(tc-tb),x&lt;=te,50+25*(x-tc)/(te-tc),x&lt;tf,75+25*(x-te)/(tf-te),TRUE,100)))</f>
        <v/>
      </c>
      <c r="K29" s="35" t="str">
        <f>IF('Stress Inputs'!K29="","",LET(d,Rulebook!$L29,x,'Stress Inputs'!K29*d,ta,Rulebook!$G29*d,tb,Rulebook!$H29*d,tc,Rulebook!$I29*d,te,Rulebook!$J29*d,tf,Rulebook!$K29*d,IFS(x&lt;=ta,0,x&lt;=tb,25*(x-ta)/(tb-ta),x&lt;=tc,25+25*(x-tb)/(tc-tb),x&lt;=te,50+25*(x-tc)/(te-tc),x&lt;tf,75+25*(x-te)/(tf-te),TRUE,100)))</f>
        <v/>
      </c>
      <c r="L29" s="35" t="str">
        <f>IF('Stress Inputs'!L29="","",LET(d,Rulebook!$L29,x,'Stress Inputs'!L29*d,ta,Rulebook!$G29*d,tb,Rulebook!$H29*d,tc,Rulebook!$I29*d,te,Rulebook!$J29*d,tf,Rulebook!$K29*d,IFS(x&lt;=ta,0,x&lt;=tb,25*(x-ta)/(tb-ta),x&lt;=tc,25+25*(x-tb)/(tc-tb),x&lt;=te,50+25*(x-tc)/(te-tc),x&lt;tf,75+25*(x-te)/(tf-te),TRUE,100)))</f>
        <v/>
      </c>
      <c r="M29" s="35" t="str">
        <f>IF('Stress Inputs'!M29="","",LET(d,Rulebook!$L29,x,'Stress Inputs'!M29*d,ta,Rulebook!$G29*d,tb,Rulebook!$H29*d,tc,Rulebook!$I29*d,te,Rulebook!$J29*d,tf,Rulebook!$K29*d,IFS(x&lt;=ta,0,x&lt;=tb,25*(x-ta)/(tb-ta),x&lt;=tc,25+25*(x-tb)/(tc-tb),x&lt;=te,50+25*(x-tc)/(te-tc),x&lt;tf,75+25*(x-te)/(tf-te),TRUE,100)))</f>
        <v/>
      </c>
      <c r="N29" s="35" t="str">
        <f>IF('Stress Inputs'!N29="","",LET(d,Rulebook!$L29,x,'Stress Inputs'!N29*d,ta,Rulebook!$G29*d,tb,Rulebook!$H29*d,tc,Rulebook!$I29*d,te,Rulebook!$J29*d,tf,Rulebook!$K29*d,IFS(x&lt;=ta,0,x&lt;=tb,25*(x-ta)/(tb-ta),x&lt;=tc,25+25*(x-tb)/(tc-tb),x&lt;=te,50+25*(x-tc)/(te-tc),x&lt;tf,75+25*(x-te)/(tf-te),TRUE,100)))</f>
        <v/>
      </c>
      <c r="O29" s="35" t="str">
        <f>IF('Stress Inputs'!O29="","",LET(d,Rulebook!$L29,x,'Stress Inputs'!O29*d,ta,Rulebook!$G29*d,tb,Rulebook!$H29*d,tc,Rulebook!$I29*d,te,Rulebook!$J29*d,tf,Rulebook!$K29*d,IFS(x&lt;=ta,0,x&lt;=tb,25*(x-ta)/(tb-ta),x&lt;=tc,25+25*(x-tb)/(tc-tb),x&lt;=te,50+25*(x-tc)/(te-tc),x&lt;tf,75+25*(x-te)/(tf-te),TRUE,100)))</f>
        <v/>
      </c>
      <c r="P29" s="35" t="str">
        <f>IF('Stress Inputs'!P29="","",LET(d,Rulebook!$L29,x,'Stress Inputs'!P29*d,ta,Rulebook!$G29*d,tb,Rulebook!$H29*d,tc,Rulebook!$I29*d,te,Rulebook!$J29*d,tf,Rulebook!$K29*d,IFS(x&lt;=ta,0,x&lt;=tb,25*(x-ta)/(tb-ta),x&lt;=tc,25+25*(x-tb)/(tc-tb),x&lt;=te,50+25*(x-tc)/(te-tc),x&lt;tf,75+25*(x-te)/(tf-te),TRUE,100)))</f>
        <v/>
      </c>
      <c r="Q29" s="35" t="str">
        <f>IF('Stress Inputs'!Q29="","",LET(d,Rulebook!$L29,x,'Stress Inputs'!Q29*d,ta,Rulebook!$G29*d,tb,Rulebook!$H29*d,tc,Rulebook!$I29*d,te,Rulebook!$J29*d,tf,Rulebook!$K29*d,IFS(x&lt;=ta,0,x&lt;=tb,25*(x-ta)/(tb-ta),x&lt;=tc,25+25*(x-tb)/(tc-tb),x&lt;=te,50+25*(x-tc)/(te-tc),x&lt;tf,75+25*(x-te)/(tf-te),TRUE,100)))</f>
        <v/>
      </c>
      <c r="R29" s="35" t="str">
        <f>IF('Stress Inputs'!R29="","",LET(d,Rulebook!$L29,x,'Stress Inputs'!R29*d,ta,Rulebook!$G29*d,tb,Rulebook!$H29*d,tc,Rulebook!$I29*d,te,Rulebook!$J29*d,tf,Rulebook!$K29*d,IFS(x&lt;=ta,0,x&lt;=tb,25*(x-ta)/(tb-ta),x&lt;=tc,25+25*(x-tb)/(tc-tb),x&lt;=te,50+25*(x-tc)/(te-tc),x&lt;tf,75+25*(x-te)/(tf-te),TRUE,100)))</f>
        <v/>
      </c>
      <c r="S29" s="35" t="str">
        <f>IF('Stress Inputs'!S29="","",LET(d,Rulebook!$L29,x,'Stress Inputs'!S29*d,ta,Rulebook!$G29*d,tb,Rulebook!$H29*d,tc,Rulebook!$I29*d,te,Rulebook!$J29*d,tf,Rulebook!$K29*d,IFS(x&lt;=ta,0,x&lt;=tb,25*(x-ta)/(tb-ta),x&lt;=tc,25+25*(x-tb)/(tc-tb),x&lt;=te,50+25*(x-tc)/(te-tc),x&lt;tf,75+25*(x-te)/(tf-te),TRUE,100)))</f>
        <v/>
      </c>
      <c r="T29" s="35" t="str">
        <f>IF('Stress Inputs'!T29="","",LET(d,Rulebook!$L29,x,'Stress Inputs'!T29*d,ta,Rulebook!$G29*d,tb,Rulebook!$H29*d,tc,Rulebook!$I29*d,te,Rulebook!$J29*d,tf,Rulebook!$K29*d,IFS(x&lt;=ta,0,x&lt;=tb,25*(x-ta)/(tb-ta),x&lt;=tc,25+25*(x-tb)/(tc-tb),x&lt;=te,50+25*(x-tc)/(te-tc),x&lt;tf,75+25*(x-te)/(tf-te),TRUE,100)))</f>
        <v/>
      </c>
      <c r="U29" s="35" t="str">
        <f>IF('Stress Inputs'!U29="","",LET(d,Rulebook!$L29,x,'Stress Inputs'!U29*d,ta,Rulebook!$G29*d,tb,Rulebook!$H29*d,tc,Rulebook!$I29*d,te,Rulebook!$J29*d,tf,Rulebook!$K29*d,IFS(x&lt;=ta,0,x&lt;=tb,25*(x-ta)/(tb-ta),x&lt;=tc,25+25*(x-tb)/(tc-tb),x&lt;=te,50+25*(x-tc)/(te-tc),x&lt;tf,75+25*(x-te)/(tf-te),TRUE,100)))</f>
        <v/>
      </c>
      <c r="V29" s="35" t="str">
        <f>IF('Stress Inputs'!V29="","",LET(d,Rulebook!$L29,x,'Stress Inputs'!V29*d,ta,Rulebook!$G29*d,tb,Rulebook!$H29*d,tc,Rulebook!$I29*d,te,Rulebook!$J29*d,tf,Rulebook!$K29*d,IFS(x&lt;=ta,0,x&lt;=tb,25*(x-ta)/(tb-ta),x&lt;=tc,25+25*(x-tb)/(tc-tb),x&lt;=te,50+25*(x-tc)/(te-tc),x&lt;tf,75+25*(x-te)/(tf-te),TRUE,100)))</f>
        <v/>
      </c>
    </row>
    <row r="30">
      <c r="A30" s="26" t="s">
        <v>517</v>
      </c>
      <c r="B30" s="26">
        <v>3.0</v>
      </c>
      <c r="C30" s="26" t="s">
        <v>518</v>
      </c>
      <c r="D30" s="26" t="s">
        <v>520</v>
      </c>
      <c r="E30" s="35" t="str">
        <f>IF('Stress Inputs'!E30="","",LET(d,Rulebook!$L30,x,'Stress Inputs'!E30*d,ta,Rulebook!$G30*d,tb,Rulebook!$H30*d,tc,Rulebook!$I30*d,te,Rulebook!$J30*d,tf,Rulebook!$K30*d,IFS(x&lt;=ta,0,x&lt;=tb,25*(x-ta)/(tb-ta),x&lt;=tc,25+25*(x-tb)/(tc-tb),x&lt;=te,50+25*(x-tc)/(te-tc),x&lt;tf,75+25*(x-te)/(tf-te),TRUE,100)))</f>
        <v/>
      </c>
      <c r="F30" s="35" t="str">
        <f>IF('Stress Inputs'!F30="","",LET(d,Rulebook!$L30,x,'Stress Inputs'!F30*d,ta,Rulebook!$G30*d,tb,Rulebook!$H30*d,tc,Rulebook!$I30*d,te,Rulebook!$J30*d,tf,Rulebook!$K30*d,IFS(x&lt;=ta,0,x&lt;=tb,25*(x-ta)/(tb-ta),x&lt;=tc,25+25*(x-tb)/(tc-tb),x&lt;=te,50+25*(x-tc)/(te-tc),x&lt;tf,75+25*(x-te)/(tf-te),TRUE,100)))</f>
        <v/>
      </c>
      <c r="G30" s="35" t="str">
        <f>IF('Stress Inputs'!G30="","",LET(d,Rulebook!$L30,x,'Stress Inputs'!G30*d,ta,Rulebook!$G30*d,tb,Rulebook!$H30*d,tc,Rulebook!$I30*d,te,Rulebook!$J30*d,tf,Rulebook!$K30*d,IFS(x&lt;=ta,0,x&lt;=tb,25*(x-ta)/(tb-ta),x&lt;=tc,25+25*(x-tb)/(tc-tb),x&lt;=te,50+25*(x-tc)/(te-tc),x&lt;tf,75+25*(x-te)/(tf-te),TRUE,100)))</f>
        <v/>
      </c>
      <c r="H30" s="35" t="str">
        <f>IF('Stress Inputs'!H30="","",LET(d,Rulebook!$L30,x,'Stress Inputs'!H30*d,ta,Rulebook!$G30*d,tb,Rulebook!$H30*d,tc,Rulebook!$I30*d,te,Rulebook!$J30*d,tf,Rulebook!$K30*d,IFS(x&lt;=ta,0,x&lt;=tb,25*(x-ta)/(tb-ta),x&lt;=tc,25+25*(x-tb)/(tc-tb),x&lt;=te,50+25*(x-tc)/(te-tc),x&lt;tf,75+25*(x-te)/(tf-te),TRUE,100)))</f>
        <v/>
      </c>
      <c r="I30" s="35" t="str">
        <f>IF('Stress Inputs'!I30="","",LET(d,Rulebook!$L30,x,'Stress Inputs'!I30*d,ta,Rulebook!$G30*d,tb,Rulebook!$H30*d,tc,Rulebook!$I30*d,te,Rulebook!$J30*d,tf,Rulebook!$K30*d,IFS(x&lt;=ta,0,x&lt;=tb,25*(x-ta)/(tb-ta),x&lt;=tc,25+25*(x-tb)/(tc-tb),x&lt;=te,50+25*(x-tc)/(te-tc),x&lt;tf,75+25*(x-te)/(tf-te),TRUE,100)))</f>
        <v/>
      </c>
      <c r="J30" s="35" t="str">
        <f>IF('Stress Inputs'!J30="","",LET(d,Rulebook!$L30,x,'Stress Inputs'!J30*d,ta,Rulebook!$G30*d,tb,Rulebook!$H30*d,tc,Rulebook!$I30*d,te,Rulebook!$J30*d,tf,Rulebook!$K30*d,IFS(x&lt;=ta,0,x&lt;=tb,25*(x-ta)/(tb-ta),x&lt;=tc,25+25*(x-tb)/(tc-tb),x&lt;=te,50+25*(x-tc)/(te-tc),x&lt;tf,75+25*(x-te)/(tf-te),TRUE,100)))</f>
        <v/>
      </c>
      <c r="K30" s="35" t="str">
        <f>IF('Stress Inputs'!K30="","",LET(d,Rulebook!$L30,x,'Stress Inputs'!K30*d,ta,Rulebook!$G30*d,tb,Rulebook!$H30*d,tc,Rulebook!$I30*d,te,Rulebook!$J30*d,tf,Rulebook!$K30*d,IFS(x&lt;=ta,0,x&lt;=tb,25*(x-ta)/(tb-ta),x&lt;=tc,25+25*(x-tb)/(tc-tb),x&lt;=te,50+25*(x-tc)/(te-tc),x&lt;tf,75+25*(x-te)/(tf-te),TRUE,100)))</f>
        <v/>
      </c>
      <c r="L30" s="35" t="str">
        <f>IF('Stress Inputs'!L30="","",LET(d,Rulebook!$L30,x,'Stress Inputs'!L30*d,ta,Rulebook!$G30*d,tb,Rulebook!$H30*d,tc,Rulebook!$I30*d,te,Rulebook!$J30*d,tf,Rulebook!$K30*d,IFS(x&lt;=ta,0,x&lt;=tb,25*(x-ta)/(tb-ta),x&lt;=tc,25+25*(x-tb)/(tc-tb),x&lt;=te,50+25*(x-tc)/(te-tc),x&lt;tf,75+25*(x-te)/(tf-te),TRUE,100)))</f>
        <v/>
      </c>
      <c r="M30" s="35" t="str">
        <f>IF('Stress Inputs'!M30="","",LET(d,Rulebook!$L30,x,'Stress Inputs'!M30*d,ta,Rulebook!$G30*d,tb,Rulebook!$H30*d,tc,Rulebook!$I30*d,te,Rulebook!$J30*d,tf,Rulebook!$K30*d,IFS(x&lt;=ta,0,x&lt;=tb,25*(x-ta)/(tb-ta),x&lt;=tc,25+25*(x-tb)/(tc-tb),x&lt;=te,50+25*(x-tc)/(te-tc),x&lt;tf,75+25*(x-te)/(tf-te),TRUE,100)))</f>
        <v/>
      </c>
      <c r="N30" s="35" t="str">
        <f>IF('Stress Inputs'!N30="","",LET(d,Rulebook!$L30,x,'Stress Inputs'!N30*d,ta,Rulebook!$G30*d,tb,Rulebook!$H30*d,tc,Rulebook!$I30*d,te,Rulebook!$J30*d,tf,Rulebook!$K30*d,IFS(x&lt;=ta,0,x&lt;=tb,25*(x-ta)/(tb-ta),x&lt;=tc,25+25*(x-tb)/(tc-tb),x&lt;=te,50+25*(x-tc)/(te-tc),x&lt;tf,75+25*(x-te)/(tf-te),TRUE,100)))</f>
        <v/>
      </c>
      <c r="O30" s="35" t="str">
        <f>IF('Stress Inputs'!O30="","",LET(d,Rulebook!$L30,x,'Stress Inputs'!O30*d,ta,Rulebook!$G30*d,tb,Rulebook!$H30*d,tc,Rulebook!$I30*d,te,Rulebook!$J30*d,tf,Rulebook!$K30*d,IFS(x&lt;=ta,0,x&lt;=tb,25*(x-ta)/(tb-ta),x&lt;=tc,25+25*(x-tb)/(tc-tb),x&lt;=te,50+25*(x-tc)/(te-tc),x&lt;tf,75+25*(x-te)/(tf-te),TRUE,100)))</f>
        <v/>
      </c>
      <c r="P30" s="35" t="str">
        <f>IF('Stress Inputs'!P30="","",LET(d,Rulebook!$L30,x,'Stress Inputs'!P30*d,ta,Rulebook!$G30*d,tb,Rulebook!$H30*d,tc,Rulebook!$I30*d,te,Rulebook!$J30*d,tf,Rulebook!$K30*d,IFS(x&lt;=ta,0,x&lt;=tb,25*(x-ta)/(tb-ta),x&lt;=tc,25+25*(x-tb)/(tc-tb),x&lt;=te,50+25*(x-tc)/(te-tc),x&lt;tf,75+25*(x-te)/(tf-te),TRUE,100)))</f>
        <v/>
      </c>
      <c r="Q30" s="35" t="str">
        <f>IF('Stress Inputs'!Q30="","",LET(d,Rulebook!$L30,x,'Stress Inputs'!Q30*d,ta,Rulebook!$G30*d,tb,Rulebook!$H30*d,tc,Rulebook!$I30*d,te,Rulebook!$J30*d,tf,Rulebook!$K30*d,IFS(x&lt;=ta,0,x&lt;=tb,25*(x-ta)/(tb-ta),x&lt;=tc,25+25*(x-tb)/(tc-tb),x&lt;=te,50+25*(x-tc)/(te-tc),x&lt;tf,75+25*(x-te)/(tf-te),TRUE,100)))</f>
        <v/>
      </c>
      <c r="R30" s="35" t="str">
        <f>IF('Stress Inputs'!R30="","",LET(d,Rulebook!$L30,x,'Stress Inputs'!R30*d,ta,Rulebook!$G30*d,tb,Rulebook!$H30*d,tc,Rulebook!$I30*d,te,Rulebook!$J30*d,tf,Rulebook!$K30*d,IFS(x&lt;=ta,0,x&lt;=tb,25*(x-ta)/(tb-ta),x&lt;=tc,25+25*(x-tb)/(tc-tb),x&lt;=te,50+25*(x-tc)/(te-tc),x&lt;tf,75+25*(x-te)/(tf-te),TRUE,100)))</f>
        <v/>
      </c>
      <c r="S30" s="35" t="str">
        <f>IF('Stress Inputs'!S30="","",LET(d,Rulebook!$L30,x,'Stress Inputs'!S30*d,ta,Rulebook!$G30*d,tb,Rulebook!$H30*d,tc,Rulebook!$I30*d,te,Rulebook!$J30*d,tf,Rulebook!$K30*d,IFS(x&lt;=ta,0,x&lt;=tb,25*(x-ta)/(tb-ta),x&lt;=tc,25+25*(x-tb)/(tc-tb),x&lt;=te,50+25*(x-tc)/(te-tc),x&lt;tf,75+25*(x-te)/(tf-te),TRUE,100)))</f>
        <v/>
      </c>
      <c r="T30" s="35" t="str">
        <f>IF('Stress Inputs'!T30="","",LET(d,Rulebook!$L30,x,'Stress Inputs'!T30*d,ta,Rulebook!$G30*d,tb,Rulebook!$H30*d,tc,Rulebook!$I30*d,te,Rulebook!$J30*d,tf,Rulebook!$K30*d,IFS(x&lt;=ta,0,x&lt;=tb,25*(x-ta)/(tb-ta),x&lt;=tc,25+25*(x-tb)/(tc-tb),x&lt;=te,50+25*(x-tc)/(te-tc),x&lt;tf,75+25*(x-te)/(tf-te),TRUE,100)))</f>
        <v/>
      </c>
      <c r="U30" s="35" t="str">
        <f>IF('Stress Inputs'!U30="","",LET(d,Rulebook!$L30,x,'Stress Inputs'!U30*d,ta,Rulebook!$G30*d,tb,Rulebook!$H30*d,tc,Rulebook!$I30*d,te,Rulebook!$J30*d,tf,Rulebook!$K30*d,IFS(x&lt;=ta,0,x&lt;=tb,25*(x-ta)/(tb-ta),x&lt;=tc,25+25*(x-tb)/(tc-tb),x&lt;=te,50+25*(x-tc)/(te-tc),x&lt;tf,75+25*(x-te)/(tf-te),TRUE,100)))</f>
        <v/>
      </c>
      <c r="V30" s="35" t="str">
        <f>IF('Stress Inputs'!V30="","",LET(d,Rulebook!$L30,x,'Stress Inputs'!V30*d,ta,Rulebook!$G30*d,tb,Rulebook!$H30*d,tc,Rulebook!$I30*d,te,Rulebook!$J30*d,tf,Rulebook!$K30*d,IFS(x&lt;=ta,0,x&lt;=tb,25*(x-ta)/(tb-ta),x&lt;=tc,25+25*(x-tb)/(tc-tb),x&lt;=te,50+25*(x-tc)/(te-tc),x&lt;tf,75+25*(x-te)/(tf-te),TRUE,100)))</f>
        <v/>
      </c>
    </row>
    <row r="31">
      <c r="A31" s="26" t="s">
        <v>524</v>
      </c>
      <c r="B31" s="26">
        <v>3.0</v>
      </c>
      <c r="C31" s="26" t="s">
        <v>525</v>
      </c>
      <c r="D31" s="26" t="s">
        <v>526</v>
      </c>
      <c r="E31" s="35" t="str">
        <f>IF('Stress Inputs'!E31="","",LET(d,Rulebook!$L31,x,'Stress Inputs'!E31*d,ta,Rulebook!$G31*d,tb,Rulebook!$H31*d,tc,Rulebook!$I31*d,te,Rulebook!$J31*d,tf,Rulebook!$K31*d,IFS(x&lt;=ta,0,x&lt;=tb,25*(x-ta)/(tb-ta),x&lt;=tc,25+25*(x-tb)/(tc-tb),x&lt;=te,50+25*(x-tc)/(te-tc),x&lt;tf,75+25*(x-te)/(tf-te),TRUE,100)))</f>
        <v/>
      </c>
      <c r="F31" s="35" t="str">
        <f>IF('Stress Inputs'!F31="","",LET(d,Rulebook!$L31,x,'Stress Inputs'!F31*d,ta,Rulebook!$G31*d,tb,Rulebook!$H31*d,tc,Rulebook!$I31*d,te,Rulebook!$J31*d,tf,Rulebook!$K31*d,IFS(x&lt;=ta,0,x&lt;=tb,25*(x-ta)/(tb-ta),x&lt;=tc,25+25*(x-tb)/(tc-tb),x&lt;=te,50+25*(x-tc)/(te-tc),x&lt;tf,75+25*(x-te)/(tf-te),TRUE,100)))</f>
        <v/>
      </c>
      <c r="G31" s="35" t="str">
        <f>IF('Stress Inputs'!G31="","",LET(d,Rulebook!$L31,x,'Stress Inputs'!G31*d,ta,Rulebook!$G31*d,tb,Rulebook!$H31*d,tc,Rulebook!$I31*d,te,Rulebook!$J31*d,tf,Rulebook!$K31*d,IFS(x&lt;=ta,0,x&lt;=tb,25*(x-ta)/(tb-ta),x&lt;=tc,25+25*(x-tb)/(tc-tb),x&lt;=te,50+25*(x-tc)/(te-tc),x&lt;tf,75+25*(x-te)/(tf-te),TRUE,100)))</f>
        <v/>
      </c>
      <c r="H31" s="35" t="str">
        <f>IF('Stress Inputs'!H31="","",LET(d,Rulebook!$L31,x,'Stress Inputs'!H31*d,ta,Rulebook!$G31*d,tb,Rulebook!$H31*d,tc,Rulebook!$I31*d,te,Rulebook!$J31*d,tf,Rulebook!$K31*d,IFS(x&lt;=ta,0,x&lt;=tb,25*(x-ta)/(tb-ta),x&lt;=tc,25+25*(x-tb)/(tc-tb),x&lt;=te,50+25*(x-tc)/(te-tc),x&lt;tf,75+25*(x-te)/(tf-te),TRUE,100)))</f>
        <v/>
      </c>
      <c r="I31" s="35" t="str">
        <f>IF('Stress Inputs'!I31="","",LET(d,Rulebook!$L31,x,'Stress Inputs'!I31*d,ta,Rulebook!$G31*d,tb,Rulebook!$H31*d,tc,Rulebook!$I31*d,te,Rulebook!$J31*d,tf,Rulebook!$K31*d,IFS(x&lt;=ta,0,x&lt;=tb,25*(x-ta)/(tb-ta),x&lt;=tc,25+25*(x-tb)/(tc-tb),x&lt;=te,50+25*(x-tc)/(te-tc),x&lt;tf,75+25*(x-te)/(tf-te),TRUE,100)))</f>
        <v/>
      </c>
      <c r="J31" s="35" t="str">
        <f>IF('Stress Inputs'!J31="","",LET(d,Rulebook!$L31,x,'Stress Inputs'!J31*d,ta,Rulebook!$G31*d,tb,Rulebook!$H31*d,tc,Rulebook!$I31*d,te,Rulebook!$J31*d,tf,Rulebook!$K31*d,IFS(x&lt;=ta,0,x&lt;=tb,25*(x-ta)/(tb-ta),x&lt;=tc,25+25*(x-tb)/(tc-tb),x&lt;=te,50+25*(x-tc)/(te-tc),x&lt;tf,75+25*(x-te)/(tf-te),TRUE,100)))</f>
        <v/>
      </c>
      <c r="K31" s="35" t="str">
        <f>IF('Stress Inputs'!K31="","",LET(d,Rulebook!$L31,x,'Stress Inputs'!K31*d,ta,Rulebook!$G31*d,tb,Rulebook!$H31*d,tc,Rulebook!$I31*d,te,Rulebook!$J31*d,tf,Rulebook!$K31*d,IFS(x&lt;=ta,0,x&lt;=tb,25*(x-ta)/(tb-ta),x&lt;=tc,25+25*(x-tb)/(tc-tb),x&lt;=te,50+25*(x-tc)/(te-tc),x&lt;tf,75+25*(x-te)/(tf-te),TRUE,100)))</f>
        <v/>
      </c>
      <c r="L31" s="35" t="str">
        <f>IF('Stress Inputs'!L31="","",LET(d,Rulebook!$L31,x,'Stress Inputs'!L31*d,ta,Rulebook!$G31*d,tb,Rulebook!$H31*d,tc,Rulebook!$I31*d,te,Rulebook!$J31*d,tf,Rulebook!$K31*d,IFS(x&lt;=ta,0,x&lt;=tb,25*(x-ta)/(tb-ta),x&lt;=tc,25+25*(x-tb)/(tc-tb),x&lt;=te,50+25*(x-tc)/(te-tc),x&lt;tf,75+25*(x-te)/(tf-te),TRUE,100)))</f>
        <v/>
      </c>
      <c r="M31" s="35" t="str">
        <f>IF('Stress Inputs'!M31="","",LET(d,Rulebook!$L31,x,'Stress Inputs'!M31*d,ta,Rulebook!$G31*d,tb,Rulebook!$H31*d,tc,Rulebook!$I31*d,te,Rulebook!$J31*d,tf,Rulebook!$K31*d,IFS(x&lt;=ta,0,x&lt;=tb,25*(x-ta)/(tb-ta),x&lt;=tc,25+25*(x-tb)/(tc-tb),x&lt;=te,50+25*(x-tc)/(te-tc),x&lt;tf,75+25*(x-te)/(tf-te),TRUE,100)))</f>
        <v/>
      </c>
      <c r="N31" s="35" t="str">
        <f>IF('Stress Inputs'!N31="","",LET(d,Rulebook!$L31,x,'Stress Inputs'!N31*d,ta,Rulebook!$G31*d,tb,Rulebook!$H31*d,tc,Rulebook!$I31*d,te,Rulebook!$J31*d,tf,Rulebook!$K31*d,IFS(x&lt;=ta,0,x&lt;=tb,25*(x-ta)/(tb-ta),x&lt;=tc,25+25*(x-tb)/(tc-tb),x&lt;=te,50+25*(x-tc)/(te-tc),x&lt;tf,75+25*(x-te)/(tf-te),TRUE,100)))</f>
        <v/>
      </c>
      <c r="O31" s="35" t="str">
        <f>IF('Stress Inputs'!O31="","",LET(d,Rulebook!$L31,x,'Stress Inputs'!O31*d,ta,Rulebook!$G31*d,tb,Rulebook!$H31*d,tc,Rulebook!$I31*d,te,Rulebook!$J31*d,tf,Rulebook!$K31*d,IFS(x&lt;=ta,0,x&lt;=tb,25*(x-ta)/(tb-ta),x&lt;=tc,25+25*(x-tb)/(tc-tb),x&lt;=te,50+25*(x-tc)/(te-tc),x&lt;tf,75+25*(x-te)/(tf-te),TRUE,100)))</f>
        <v/>
      </c>
      <c r="P31" s="35" t="str">
        <f>IF('Stress Inputs'!P31="","",LET(d,Rulebook!$L31,x,'Stress Inputs'!P31*d,ta,Rulebook!$G31*d,tb,Rulebook!$H31*d,tc,Rulebook!$I31*d,te,Rulebook!$J31*d,tf,Rulebook!$K31*d,IFS(x&lt;=ta,0,x&lt;=tb,25*(x-ta)/(tb-ta),x&lt;=tc,25+25*(x-tb)/(tc-tb),x&lt;=te,50+25*(x-tc)/(te-tc),x&lt;tf,75+25*(x-te)/(tf-te),TRUE,100)))</f>
        <v/>
      </c>
      <c r="Q31" s="35" t="str">
        <f>IF('Stress Inputs'!Q31="","",LET(d,Rulebook!$L31,x,'Stress Inputs'!Q31*d,ta,Rulebook!$G31*d,tb,Rulebook!$H31*d,tc,Rulebook!$I31*d,te,Rulebook!$J31*d,tf,Rulebook!$K31*d,IFS(x&lt;=ta,0,x&lt;=tb,25*(x-ta)/(tb-ta),x&lt;=tc,25+25*(x-tb)/(tc-tb),x&lt;=te,50+25*(x-tc)/(te-tc),x&lt;tf,75+25*(x-te)/(tf-te),TRUE,100)))</f>
        <v/>
      </c>
      <c r="R31" s="35" t="str">
        <f>IF('Stress Inputs'!R31="","",LET(d,Rulebook!$L31,x,'Stress Inputs'!R31*d,ta,Rulebook!$G31*d,tb,Rulebook!$H31*d,tc,Rulebook!$I31*d,te,Rulebook!$J31*d,tf,Rulebook!$K31*d,IFS(x&lt;=ta,0,x&lt;=tb,25*(x-ta)/(tb-ta),x&lt;=tc,25+25*(x-tb)/(tc-tb),x&lt;=te,50+25*(x-tc)/(te-tc),x&lt;tf,75+25*(x-te)/(tf-te),TRUE,100)))</f>
        <v/>
      </c>
      <c r="S31" s="35" t="str">
        <f>IF('Stress Inputs'!S31="","",LET(d,Rulebook!$L31,x,'Stress Inputs'!S31*d,ta,Rulebook!$G31*d,tb,Rulebook!$H31*d,tc,Rulebook!$I31*d,te,Rulebook!$J31*d,tf,Rulebook!$K31*d,IFS(x&lt;=ta,0,x&lt;=tb,25*(x-ta)/(tb-ta),x&lt;=tc,25+25*(x-tb)/(tc-tb),x&lt;=te,50+25*(x-tc)/(te-tc),x&lt;tf,75+25*(x-te)/(tf-te),TRUE,100)))</f>
        <v/>
      </c>
      <c r="T31" s="35" t="str">
        <f>IF('Stress Inputs'!T31="","",LET(d,Rulebook!$L31,x,'Stress Inputs'!T31*d,ta,Rulebook!$G31*d,tb,Rulebook!$H31*d,tc,Rulebook!$I31*d,te,Rulebook!$J31*d,tf,Rulebook!$K31*d,IFS(x&lt;=ta,0,x&lt;=tb,25*(x-ta)/(tb-ta),x&lt;=tc,25+25*(x-tb)/(tc-tb),x&lt;=te,50+25*(x-tc)/(te-tc),x&lt;tf,75+25*(x-te)/(tf-te),TRUE,100)))</f>
        <v/>
      </c>
      <c r="U31" s="35" t="str">
        <f>IF('Stress Inputs'!U31="","",LET(d,Rulebook!$L31,x,'Stress Inputs'!U31*d,ta,Rulebook!$G31*d,tb,Rulebook!$H31*d,tc,Rulebook!$I31*d,te,Rulebook!$J31*d,tf,Rulebook!$K31*d,IFS(x&lt;=ta,0,x&lt;=tb,25*(x-ta)/(tb-ta),x&lt;=tc,25+25*(x-tb)/(tc-tb),x&lt;=te,50+25*(x-tc)/(te-tc),x&lt;tf,75+25*(x-te)/(tf-te),TRUE,100)))</f>
        <v/>
      </c>
      <c r="V31" s="35" t="str">
        <f>IF('Stress Inputs'!V31="","",LET(d,Rulebook!$L31,x,'Stress Inputs'!V31*d,ta,Rulebook!$G31*d,tb,Rulebook!$H31*d,tc,Rulebook!$I31*d,te,Rulebook!$J31*d,tf,Rulebook!$K31*d,IFS(x&lt;=ta,0,x&lt;=tb,25*(x-ta)/(tb-ta),x&lt;=tc,25+25*(x-tb)/(tc-tb),x&lt;=te,50+25*(x-tc)/(te-tc),x&lt;tf,75+25*(x-te)/(tf-te),TRUE,100)))</f>
        <v/>
      </c>
    </row>
    <row r="32">
      <c r="A32" s="26" t="s">
        <v>529</v>
      </c>
      <c r="B32" s="26">
        <v>3.0</v>
      </c>
      <c r="C32" s="26" t="s">
        <v>530</v>
      </c>
      <c r="D32" s="26" t="s">
        <v>526</v>
      </c>
      <c r="E32" s="35" t="str">
        <f>IF('Stress Inputs'!E32="","",LET(d,Rulebook!$L32,x,'Stress Inputs'!E32*d,ta,Rulebook!$G32*d,tb,Rulebook!$H32*d,tc,Rulebook!$I32*d,te,Rulebook!$J32*d,tf,Rulebook!$K32*d,IFS(x&lt;=ta,0,x&lt;=tb,25*(x-ta)/(tb-ta),x&lt;=tc,25+25*(x-tb)/(tc-tb),x&lt;=te,50+25*(x-tc)/(te-tc),x&lt;tf,75+25*(x-te)/(tf-te),TRUE,100)))</f>
        <v/>
      </c>
      <c r="F32" s="35" t="str">
        <f>IF('Stress Inputs'!F32="","",LET(d,Rulebook!$L32,x,'Stress Inputs'!F32*d,ta,Rulebook!$G32*d,tb,Rulebook!$H32*d,tc,Rulebook!$I32*d,te,Rulebook!$J32*d,tf,Rulebook!$K32*d,IFS(x&lt;=ta,0,x&lt;=tb,25*(x-ta)/(tb-ta),x&lt;=tc,25+25*(x-tb)/(tc-tb),x&lt;=te,50+25*(x-tc)/(te-tc),x&lt;tf,75+25*(x-te)/(tf-te),TRUE,100)))</f>
        <v/>
      </c>
      <c r="G32" s="35" t="str">
        <f>IF('Stress Inputs'!G32="","",LET(d,Rulebook!$L32,x,'Stress Inputs'!G32*d,ta,Rulebook!$G32*d,tb,Rulebook!$H32*d,tc,Rulebook!$I32*d,te,Rulebook!$J32*d,tf,Rulebook!$K32*d,IFS(x&lt;=ta,0,x&lt;=tb,25*(x-ta)/(tb-ta),x&lt;=tc,25+25*(x-tb)/(tc-tb),x&lt;=te,50+25*(x-tc)/(te-tc),x&lt;tf,75+25*(x-te)/(tf-te),TRUE,100)))</f>
        <v/>
      </c>
      <c r="H32" s="35" t="str">
        <f>IF('Stress Inputs'!H32="","",LET(d,Rulebook!$L32,x,'Stress Inputs'!H32*d,ta,Rulebook!$G32*d,tb,Rulebook!$H32*d,tc,Rulebook!$I32*d,te,Rulebook!$J32*d,tf,Rulebook!$K32*d,IFS(x&lt;=ta,0,x&lt;=tb,25*(x-ta)/(tb-ta),x&lt;=tc,25+25*(x-tb)/(tc-tb),x&lt;=te,50+25*(x-tc)/(te-tc),x&lt;tf,75+25*(x-te)/(tf-te),TRUE,100)))</f>
        <v/>
      </c>
      <c r="I32" s="35" t="str">
        <f>IF('Stress Inputs'!I32="","",LET(d,Rulebook!$L32,x,'Stress Inputs'!I32*d,ta,Rulebook!$G32*d,tb,Rulebook!$H32*d,tc,Rulebook!$I32*d,te,Rulebook!$J32*d,tf,Rulebook!$K32*d,IFS(x&lt;=ta,0,x&lt;=tb,25*(x-ta)/(tb-ta),x&lt;=tc,25+25*(x-tb)/(tc-tb),x&lt;=te,50+25*(x-tc)/(te-tc),x&lt;tf,75+25*(x-te)/(tf-te),TRUE,100)))</f>
        <v/>
      </c>
      <c r="J32" s="35" t="str">
        <f>IF('Stress Inputs'!J32="","",LET(d,Rulebook!$L32,x,'Stress Inputs'!J32*d,ta,Rulebook!$G32*d,tb,Rulebook!$H32*d,tc,Rulebook!$I32*d,te,Rulebook!$J32*d,tf,Rulebook!$K32*d,IFS(x&lt;=ta,0,x&lt;=tb,25*(x-ta)/(tb-ta),x&lt;=tc,25+25*(x-tb)/(tc-tb),x&lt;=te,50+25*(x-tc)/(te-tc),x&lt;tf,75+25*(x-te)/(tf-te),TRUE,100)))</f>
        <v/>
      </c>
      <c r="K32" s="35" t="str">
        <f>IF('Stress Inputs'!K32="","",LET(d,Rulebook!$L32,x,'Stress Inputs'!K32*d,ta,Rulebook!$G32*d,tb,Rulebook!$H32*d,tc,Rulebook!$I32*d,te,Rulebook!$J32*d,tf,Rulebook!$K32*d,IFS(x&lt;=ta,0,x&lt;=tb,25*(x-ta)/(tb-ta),x&lt;=tc,25+25*(x-tb)/(tc-tb),x&lt;=te,50+25*(x-tc)/(te-tc),x&lt;tf,75+25*(x-te)/(tf-te),TRUE,100)))</f>
        <v/>
      </c>
      <c r="L32" s="35" t="str">
        <f>IF('Stress Inputs'!L32="","",LET(d,Rulebook!$L32,x,'Stress Inputs'!L32*d,ta,Rulebook!$G32*d,tb,Rulebook!$H32*d,tc,Rulebook!$I32*d,te,Rulebook!$J32*d,tf,Rulebook!$K32*d,IFS(x&lt;=ta,0,x&lt;=tb,25*(x-ta)/(tb-ta),x&lt;=tc,25+25*(x-tb)/(tc-tb),x&lt;=te,50+25*(x-tc)/(te-tc),x&lt;tf,75+25*(x-te)/(tf-te),TRUE,100)))</f>
        <v/>
      </c>
      <c r="M32" s="35" t="str">
        <f>IF('Stress Inputs'!M32="","",LET(d,Rulebook!$L32,x,'Stress Inputs'!M32*d,ta,Rulebook!$G32*d,tb,Rulebook!$H32*d,tc,Rulebook!$I32*d,te,Rulebook!$J32*d,tf,Rulebook!$K32*d,IFS(x&lt;=ta,0,x&lt;=tb,25*(x-ta)/(tb-ta),x&lt;=tc,25+25*(x-tb)/(tc-tb),x&lt;=te,50+25*(x-tc)/(te-tc),x&lt;tf,75+25*(x-te)/(tf-te),TRUE,100)))</f>
        <v/>
      </c>
      <c r="N32" s="35" t="str">
        <f>IF('Stress Inputs'!N32="","",LET(d,Rulebook!$L32,x,'Stress Inputs'!N32*d,ta,Rulebook!$G32*d,tb,Rulebook!$H32*d,tc,Rulebook!$I32*d,te,Rulebook!$J32*d,tf,Rulebook!$K32*d,IFS(x&lt;=ta,0,x&lt;=tb,25*(x-ta)/(tb-ta),x&lt;=tc,25+25*(x-tb)/(tc-tb),x&lt;=te,50+25*(x-tc)/(te-tc),x&lt;tf,75+25*(x-te)/(tf-te),TRUE,100)))</f>
        <v/>
      </c>
      <c r="O32" s="35" t="str">
        <f>IF('Stress Inputs'!O32="","",LET(d,Rulebook!$L32,x,'Stress Inputs'!O32*d,ta,Rulebook!$G32*d,tb,Rulebook!$H32*d,tc,Rulebook!$I32*d,te,Rulebook!$J32*d,tf,Rulebook!$K32*d,IFS(x&lt;=ta,0,x&lt;=tb,25*(x-ta)/(tb-ta),x&lt;=tc,25+25*(x-tb)/(tc-tb),x&lt;=te,50+25*(x-tc)/(te-tc),x&lt;tf,75+25*(x-te)/(tf-te),TRUE,100)))</f>
        <v/>
      </c>
      <c r="P32" s="35" t="str">
        <f>IF('Stress Inputs'!P32="","",LET(d,Rulebook!$L32,x,'Stress Inputs'!P32*d,ta,Rulebook!$G32*d,tb,Rulebook!$H32*d,tc,Rulebook!$I32*d,te,Rulebook!$J32*d,tf,Rulebook!$K32*d,IFS(x&lt;=ta,0,x&lt;=tb,25*(x-ta)/(tb-ta),x&lt;=tc,25+25*(x-tb)/(tc-tb),x&lt;=te,50+25*(x-tc)/(te-tc),x&lt;tf,75+25*(x-te)/(tf-te),TRUE,100)))</f>
        <v/>
      </c>
      <c r="Q32" s="35" t="str">
        <f>IF('Stress Inputs'!Q32="","",LET(d,Rulebook!$L32,x,'Stress Inputs'!Q32*d,ta,Rulebook!$G32*d,tb,Rulebook!$H32*d,tc,Rulebook!$I32*d,te,Rulebook!$J32*d,tf,Rulebook!$K32*d,IFS(x&lt;=ta,0,x&lt;=tb,25*(x-ta)/(tb-ta),x&lt;=tc,25+25*(x-tb)/(tc-tb),x&lt;=te,50+25*(x-tc)/(te-tc),x&lt;tf,75+25*(x-te)/(tf-te),TRUE,100)))</f>
        <v/>
      </c>
      <c r="R32" s="35" t="str">
        <f>IF('Stress Inputs'!R32="","",LET(d,Rulebook!$L32,x,'Stress Inputs'!R32*d,ta,Rulebook!$G32*d,tb,Rulebook!$H32*d,tc,Rulebook!$I32*d,te,Rulebook!$J32*d,tf,Rulebook!$K32*d,IFS(x&lt;=ta,0,x&lt;=tb,25*(x-ta)/(tb-ta),x&lt;=tc,25+25*(x-tb)/(tc-tb),x&lt;=te,50+25*(x-tc)/(te-tc),x&lt;tf,75+25*(x-te)/(tf-te),TRUE,100)))</f>
        <v/>
      </c>
      <c r="S32" s="35" t="str">
        <f>IF('Stress Inputs'!S32="","",LET(d,Rulebook!$L32,x,'Stress Inputs'!S32*d,ta,Rulebook!$G32*d,tb,Rulebook!$H32*d,tc,Rulebook!$I32*d,te,Rulebook!$J32*d,tf,Rulebook!$K32*d,IFS(x&lt;=ta,0,x&lt;=tb,25*(x-ta)/(tb-ta),x&lt;=tc,25+25*(x-tb)/(tc-tb),x&lt;=te,50+25*(x-tc)/(te-tc),x&lt;tf,75+25*(x-te)/(tf-te),TRUE,100)))</f>
        <v/>
      </c>
      <c r="T32" s="35" t="str">
        <f>IF('Stress Inputs'!T32="","",LET(d,Rulebook!$L32,x,'Stress Inputs'!T32*d,ta,Rulebook!$G32*d,tb,Rulebook!$H32*d,tc,Rulebook!$I32*d,te,Rulebook!$J32*d,tf,Rulebook!$K32*d,IFS(x&lt;=ta,0,x&lt;=tb,25*(x-ta)/(tb-ta),x&lt;=tc,25+25*(x-tb)/(tc-tb),x&lt;=te,50+25*(x-tc)/(te-tc),x&lt;tf,75+25*(x-te)/(tf-te),TRUE,100)))</f>
        <v/>
      </c>
      <c r="U32" s="35" t="str">
        <f>IF('Stress Inputs'!U32="","",LET(d,Rulebook!$L32,x,'Stress Inputs'!U32*d,ta,Rulebook!$G32*d,tb,Rulebook!$H32*d,tc,Rulebook!$I32*d,te,Rulebook!$J32*d,tf,Rulebook!$K32*d,IFS(x&lt;=ta,0,x&lt;=tb,25*(x-ta)/(tb-ta),x&lt;=tc,25+25*(x-tb)/(tc-tb),x&lt;=te,50+25*(x-tc)/(te-tc),x&lt;tf,75+25*(x-te)/(tf-te),TRUE,100)))</f>
        <v/>
      </c>
      <c r="V32" s="35" t="str">
        <f>IF('Stress Inputs'!V32="","",LET(d,Rulebook!$L32,x,'Stress Inputs'!V32*d,ta,Rulebook!$G32*d,tb,Rulebook!$H32*d,tc,Rulebook!$I32*d,te,Rulebook!$J32*d,tf,Rulebook!$K32*d,IFS(x&lt;=ta,0,x&lt;=tb,25*(x-ta)/(tb-ta),x&lt;=tc,25+25*(x-tb)/(tc-tb),x&lt;=te,50+25*(x-tc)/(te-tc),x&lt;tf,75+25*(x-te)/(tf-te),TRUE,100)))</f>
        <v/>
      </c>
    </row>
    <row r="33">
      <c r="A33" s="26" t="s">
        <v>536</v>
      </c>
      <c r="B33" s="26">
        <v>3.0</v>
      </c>
      <c r="C33" s="26" t="s">
        <v>537</v>
      </c>
      <c r="D33" s="26" t="s">
        <v>254</v>
      </c>
      <c r="E33" s="35" t="str">
        <f>IF('Stress Inputs'!E33="","",LET(d,Rulebook!$L33,x,'Stress Inputs'!E33*d,ta,Rulebook!$G33*d,tb,Rulebook!$H33*d,tc,Rulebook!$I33*d,te,Rulebook!$J33*d,tf,Rulebook!$K33*d,IFS(x&lt;=ta,0,x&lt;=tb,25*(x-ta)/(tb-ta),x&lt;=tc,25+25*(x-tb)/(tc-tb),x&lt;=te,50+25*(x-tc)/(te-tc),x&lt;tf,75+25*(x-te)/(tf-te),TRUE,100)))</f>
        <v/>
      </c>
      <c r="F33" s="35" t="str">
        <f>IF('Stress Inputs'!F33="","",LET(d,Rulebook!$L33,x,'Stress Inputs'!F33*d,ta,Rulebook!$G33*d,tb,Rulebook!$H33*d,tc,Rulebook!$I33*d,te,Rulebook!$J33*d,tf,Rulebook!$K33*d,IFS(x&lt;=ta,0,x&lt;=tb,25*(x-ta)/(tb-ta),x&lt;=tc,25+25*(x-tb)/(tc-tb),x&lt;=te,50+25*(x-tc)/(te-tc),x&lt;tf,75+25*(x-te)/(tf-te),TRUE,100)))</f>
        <v/>
      </c>
      <c r="G33" s="35" t="str">
        <f>IF('Stress Inputs'!G33="","",LET(d,Rulebook!$L33,x,'Stress Inputs'!G33*d,ta,Rulebook!$G33*d,tb,Rulebook!$H33*d,tc,Rulebook!$I33*d,te,Rulebook!$J33*d,tf,Rulebook!$K33*d,IFS(x&lt;=ta,0,x&lt;=tb,25*(x-ta)/(tb-ta),x&lt;=tc,25+25*(x-tb)/(tc-tb),x&lt;=te,50+25*(x-tc)/(te-tc),x&lt;tf,75+25*(x-te)/(tf-te),TRUE,100)))</f>
        <v/>
      </c>
      <c r="H33" s="35" t="str">
        <f>IF('Stress Inputs'!H33="","",LET(d,Rulebook!$L33,x,'Stress Inputs'!H33*d,ta,Rulebook!$G33*d,tb,Rulebook!$H33*d,tc,Rulebook!$I33*d,te,Rulebook!$J33*d,tf,Rulebook!$K33*d,IFS(x&lt;=ta,0,x&lt;=tb,25*(x-ta)/(tb-ta),x&lt;=tc,25+25*(x-tb)/(tc-tb),x&lt;=te,50+25*(x-tc)/(te-tc),x&lt;tf,75+25*(x-te)/(tf-te),TRUE,100)))</f>
        <v/>
      </c>
      <c r="I33" s="35" t="str">
        <f>IF('Stress Inputs'!I33="","",LET(d,Rulebook!$L33,x,'Stress Inputs'!I33*d,ta,Rulebook!$G33*d,tb,Rulebook!$H33*d,tc,Rulebook!$I33*d,te,Rulebook!$J33*d,tf,Rulebook!$K33*d,IFS(x&lt;=ta,0,x&lt;=tb,25*(x-ta)/(tb-ta),x&lt;=tc,25+25*(x-tb)/(tc-tb),x&lt;=te,50+25*(x-tc)/(te-tc),x&lt;tf,75+25*(x-te)/(tf-te),TRUE,100)))</f>
        <v/>
      </c>
      <c r="J33" s="35" t="str">
        <f>IF('Stress Inputs'!J33="","",LET(d,Rulebook!$L33,x,'Stress Inputs'!J33*d,ta,Rulebook!$G33*d,tb,Rulebook!$H33*d,tc,Rulebook!$I33*d,te,Rulebook!$J33*d,tf,Rulebook!$K33*d,IFS(x&lt;=ta,0,x&lt;=tb,25*(x-ta)/(tb-ta),x&lt;=tc,25+25*(x-tb)/(tc-tb),x&lt;=te,50+25*(x-tc)/(te-tc),x&lt;tf,75+25*(x-te)/(tf-te),TRUE,100)))</f>
        <v/>
      </c>
      <c r="K33" s="35" t="str">
        <f>IF('Stress Inputs'!K33="","",LET(d,Rulebook!$L33,x,'Stress Inputs'!K33*d,ta,Rulebook!$G33*d,tb,Rulebook!$H33*d,tc,Rulebook!$I33*d,te,Rulebook!$J33*d,tf,Rulebook!$K33*d,IFS(x&lt;=ta,0,x&lt;=tb,25*(x-ta)/(tb-ta),x&lt;=tc,25+25*(x-tb)/(tc-tb),x&lt;=te,50+25*(x-tc)/(te-tc),x&lt;tf,75+25*(x-te)/(tf-te),TRUE,100)))</f>
        <v/>
      </c>
      <c r="L33" s="35" t="str">
        <f>IF('Stress Inputs'!L33="","",LET(d,Rulebook!$L33,x,'Stress Inputs'!L33*d,ta,Rulebook!$G33*d,tb,Rulebook!$H33*d,tc,Rulebook!$I33*d,te,Rulebook!$J33*d,tf,Rulebook!$K33*d,IFS(x&lt;=ta,0,x&lt;=tb,25*(x-ta)/(tb-ta),x&lt;=tc,25+25*(x-tb)/(tc-tb),x&lt;=te,50+25*(x-tc)/(te-tc),x&lt;tf,75+25*(x-te)/(tf-te),TRUE,100)))</f>
        <v/>
      </c>
      <c r="M33" s="35" t="str">
        <f>IF('Stress Inputs'!M33="","",LET(d,Rulebook!$L33,x,'Stress Inputs'!M33*d,ta,Rulebook!$G33*d,tb,Rulebook!$H33*d,tc,Rulebook!$I33*d,te,Rulebook!$J33*d,tf,Rulebook!$K33*d,IFS(x&lt;=ta,0,x&lt;=tb,25*(x-ta)/(tb-ta),x&lt;=tc,25+25*(x-tb)/(tc-tb),x&lt;=te,50+25*(x-tc)/(te-tc),x&lt;tf,75+25*(x-te)/(tf-te),TRUE,100)))</f>
        <v/>
      </c>
      <c r="N33" s="35" t="str">
        <f>IF('Stress Inputs'!N33="","",LET(d,Rulebook!$L33,x,'Stress Inputs'!N33*d,ta,Rulebook!$G33*d,tb,Rulebook!$H33*d,tc,Rulebook!$I33*d,te,Rulebook!$J33*d,tf,Rulebook!$K33*d,IFS(x&lt;=ta,0,x&lt;=tb,25*(x-ta)/(tb-ta),x&lt;=tc,25+25*(x-tb)/(tc-tb),x&lt;=te,50+25*(x-tc)/(te-tc),x&lt;tf,75+25*(x-te)/(tf-te),TRUE,100)))</f>
        <v/>
      </c>
      <c r="O33" s="35" t="str">
        <f>IF('Stress Inputs'!O33="","",LET(d,Rulebook!$L33,x,'Stress Inputs'!O33*d,ta,Rulebook!$G33*d,tb,Rulebook!$H33*d,tc,Rulebook!$I33*d,te,Rulebook!$J33*d,tf,Rulebook!$K33*d,IFS(x&lt;=ta,0,x&lt;=tb,25*(x-ta)/(tb-ta),x&lt;=tc,25+25*(x-tb)/(tc-tb),x&lt;=te,50+25*(x-tc)/(te-tc),x&lt;tf,75+25*(x-te)/(tf-te),TRUE,100)))</f>
        <v/>
      </c>
      <c r="P33" s="35" t="str">
        <f>IF('Stress Inputs'!P33="","",LET(d,Rulebook!$L33,x,'Stress Inputs'!P33*d,ta,Rulebook!$G33*d,tb,Rulebook!$H33*d,tc,Rulebook!$I33*d,te,Rulebook!$J33*d,tf,Rulebook!$K33*d,IFS(x&lt;=ta,0,x&lt;=tb,25*(x-ta)/(tb-ta),x&lt;=tc,25+25*(x-tb)/(tc-tb),x&lt;=te,50+25*(x-tc)/(te-tc),x&lt;tf,75+25*(x-te)/(tf-te),TRUE,100)))</f>
        <v/>
      </c>
      <c r="Q33" s="35" t="str">
        <f>IF('Stress Inputs'!Q33="","",LET(d,Rulebook!$L33,x,'Stress Inputs'!Q33*d,ta,Rulebook!$G33*d,tb,Rulebook!$H33*d,tc,Rulebook!$I33*d,te,Rulebook!$J33*d,tf,Rulebook!$K33*d,IFS(x&lt;=ta,0,x&lt;=tb,25*(x-ta)/(tb-ta),x&lt;=tc,25+25*(x-tb)/(tc-tb),x&lt;=te,50+25*(x-tc)/(te-tc),x&lt;tf,75+25*(x-te)/(tf-te),TRUE,100)))</f>
        <v/>
      </c>
      <c r="R33" s="35" t="str">
        <f>IF('Stress Inputs'!R33="","",LET(d,Rulebook!$L33,x,'Stress Inputs'!R33*d,ta,Rulebook!$G33*d,tb,Rulebook!$H33*d,tc,Rulebook!$I33*d,te,Rulebook!$J33*d,tf,Rulebook!$K33*d,IFS(x&lt;=ta,0,x&lt;=tb,25*(x-ta)/(tb-ta),x&lt;=tc,25+25*(x-tb)/(tc-tb),x&lt;=te,50+25*(x-tc)/(te-tc),x&lt;tf,75+25*(x-te)/(tf-te),TRUE,100)))</f>
        <v/>
      </c>
      <c r="S33" s="35" t="str">
        <f>IF('Stress Inputs'!S33="","",LET(d,Rulebook!$L33,x,'Stress Inputs'!S33*d,ta,Rulebook!$G33*d,tb,Rulebook!$H33*d,tc,Rulebook!$I33*d,te,Rulebook!$J33*d,tf,Rulebook!$K33*d,IFS(x&lt;=ta,0,x&lt;=tb,25*(x-ta)/(tb-ta),x&lt;=tc,25+25*(x-tb)/(tc-tb),x&lt;=te,50+25*(x-tc)/(te-tc),x&lt;tf,75+25*(x-te)/(tf-te),TRUE,100)))</f>
        <v/>
      </c>
      <c r="T33" s="35" t="str">
        <f>IF('Stress Inputs'!T33="","",LET(d,Rulebook!$L33,x,'Stress Inputs'!T33*d,ta,Rulebook!$G33*d,tb,Rulebook!$H33*d,tc,Rulebook!$I33*d,te,Rulebook!$J33*d,tf,Rulebook!$K33*d,IFS(x&lt;=ta,0,x&lt;=tb,25*(x-ta)/(tb-ta),x&lt;=tc,25+25*(x-tb)/(tc-tb),x&lt;=te,50+25*(x-tc)/(te-tc),x&lt;tf,75+25*(x-te)/(tf-te),TRUE,100)))</f>
        <v/>
      </c>
      <c r="U33" s="35" t="str">
        <f>IF('Stress Inputs'!U33="","",LET(d,Rulebook!$L33,x,'Stress Inputs'!U33*d,ta,Rulebook!$G33*d,tb,Rulebook!$H33*d,tc,Rulebook!$I33*d,te,Rulebook!$J33*d,tf,Rulebook!$K33*d,IFS(x&lt;=ta,0,x&lt;=tb,25*(x-ta)/(tb-ta),x&lt;=tc,25+25*(x-tb)/(tc-tb),x&lt;=te,50+25*(x-tc)/(te-tc),x&lt;tf,75+25*(x-te)/(tf-te),TRUE,100)))</f>
        <v/>
      </c>
      <c r="V33" s="35" t="str">
        <f>IF('Stress Inputs'!V33="","",LET(d,Rulebook!$L33,x,'Stress Inputs'!V33*d,ta,Rulebook!$G33*d,tb,Rulebook!$H33*d,tc,Rulebook!$I33*d,te,Rulebook!$J33*d,tf,Rulebook!$K33*d,IFS(x&lt;=ta,0,x&lt;=tb,25*(x-ta)/(tb-ta),x&lt;=tc,25+25*(x-tb)/(tc-tb),x&lt;=te,50+25*(x-tc)/(te-tc),x&lt;tf,75+25*(x-te)/(tf-te),TRUE,100)))</f>
        <v/>
      </c>
    </row>
    <row r="34">
      <c r="A34" s="26" t="s">
        <v>544</v>
      </c>
      <c r="B34" s="26">
        <v>3.0</v>
      </c>
      <c r="C34" s="26" t="s">
        <v>548</v>
      </c>
      <c r="D34" s="26" t="s">
        <v>254</v>
      </c>
      <c r="E34" s="35" t="str">
        <f>IF('Stress Inputs'!E34="","",LET(d,Rulebook!$L34,x,'Stress Inputs'!E34*d,ta,Rulebook!$G34*d,tb,Rulebook!$H34*d,tc,Rulebook!$I34*d,te,Rulebook!$J34*d,tf,Rulebook!$K34*d,IFS(x&lt;=ta,0,x&lt;=tb,25*(x-ta)/(tb-ta),x&lt;=tc,25+25*(x-tb)/(tc-tb),x&lt;=te,50+25*(x-tc)/(te-tc),x&lt;tf,75+25*(x-te)/(tf-te),TRUE,100)))</f>
        <v/>
      </c>
      <c r="F34" s="35" t="str">
        <f>IF('Stress Inputs'!F34="","",LET(d,Rulebook!$L34,x,'Stress Inputs'!F34*d,ta,Rulebook!$G34*d,tb,Rulebook!$H34*d,tc,Rulebook!$I34*d,te,Rulebook!$J34*d,tf,Rulebook!$K34*d,IFS(x&lt;=ta,0,x&lt;=tb,25*(x-ta)/(tb-ta),x&lt;=tc,25+25*(x-tb)/(tc-tb),x&lt;=te,50+25*(x-tc)/(te-tc),x&lt;tf,75+25*(x-te)/(tf-te),TRUE,100)))</f>
        <v/>
      </c>
      <c r="G34" s="35" t="str">
        <f>IF('Stress Inputs'!G34="","",LET(d,Rulebook!$L34,x,'Stress Inputs'!G34*d,ta,Rulebook!$G34*d,tb,Rulebook!$H34*d,tc,Rulebook!$I34*d,te,Rulebook!$J34*d,tf,Rulebook!$K34*d,IFS(x&lt;=ta,0,x&lt;=tb,25*(x-ta)/(tb-ta),x&lt;=tc,25+25*(x-tb)/(tc-tb),x&lt;=te,50+25*(x-tc)/(te-tc),x&lt;tf,75+25*(x-te)/(tf-te),TRUE,100)))</f>
        <v/>
      </c>
      <c r="H34" s="35" t="str">
        <f>IF('Stress Inputs'!H34="","",LET(d,Rulebook!$L34,x,'Stress Inputs'!H34*d,ta,Rulebook!$G34*d,tb,Rulebook!$H34*d,tc,Rulebook!$I34*d,te,Rulebook!$J34*d,tf,Rulebook!$K34*d,IFS(x&lt;=ta,0,x&lt;=tb,25*(x-ta)/(tb-ta),x&lt;=tc,25+25*(x-tb)/(tc-tb),x&lt;=te,50+25*(x-tc)/(te-tc),x&lt;tf,75+25*(x-te)/(tf-te),TRUE,100)))</f>
        <v/>
      </c>
      <c r="I34" s="35" t="str">
        <f>IF('Stress Inputs'!I34="","",LET(d,Rulebook!$L34,x,'Stress Inputs'!I34*d,ta,Rulebook!$G34*d,tb,Rulebook!$H34*d,tc,Rulebook!$I34*d,te,Rulebook!$J34*d,tf,Rulebook!$K34*d,IFS(x&lt;=ta,0,x&lt;=tb,25*(x-ta)/(tb-ta),x&lt;=tc,25+25*(x-tb)/(tc-tb),x&lt;=te,50+25*(x-tc)/(te-tc),x&lt;tf,75+25*(x-te)/(tf-te),TRUE,100)))</f>
        <v/>
      </c>
      <c r="J34" s="35" t="str">
        <f>IF('Stress Inputs'!J34="","",LET(d,Rulebook!$L34,x,'Stress Inputs'!J34*d,ta,Rulebook!$G34*d,tb,Rulebook!$H34*d,tc,Rulebook!$I34*d,te,Rulebook!$J34*d,tf,Rulebook!$K34*d,IFS(x&lt;=ta,0,x&lt;=tb,25*(x-ta)/(tb-ta),x&lt;=tc,25+25*(x-tb)/(tc-tb),x&lt;=te,50+25*(x-tc)/(te-tc),x&lt;tf,75+25*(x-te)/(tf-te),TRUE,100)))</f>
        <v/>
      </c>
      <c r="K34" s="35" t="str">
        <f>IF('Stress Inputs'!K34="","",LET(d,Rulebook!$L34,x,'Stress Inputs'!K34*d,ta,Rulebook!$G34*d,tb,Rulebook!$H34*d,tc,Rulebook!$I34*d,te,Rulebook!$J34*d,tf,Rulebook!$K34*d,IFS(x&lt;=ta,0,x&lt;=tb,25*(x-ta)/(tb-ta),x&lt;=tc,25+25*(x-tb)/(tc-tb),x&lt;=te,50+25*(x-tc)/(te-tc),x&lt;tf,75+25*(x-te)/(tf-te),TRUE,100)))</f>
        <v/>
      </c>
      <c r="L34" s="35" t="str">
        <f>IF('Stress Inputs'!L34="","",LET(d,Rulebook!$L34,x,'Stress Inputs'!L34*d,ta,Rulebook!$G34*d,tb,Rulebook!$H34*d,tc,Rulebook!$I34*d,te,Rulebook!$J34*d,tf,Rulebook!$K34*d,IFS(x&lt;=ta,0,x&lt;=tb,25*(x-ta)/(tb-ta),x&lt;=tc,25+25*(x-tb)/(tc-tb),x&lt;=te,50+25*(x-tc)/(te-tc),x&lt;tf,75+25*(x-te)/(tf-te),TRUE,100)))</f>
        <v/>
      </c>
      <c r="M34" s="35" t="str">
        <f>IF('Stress Inputs'!M34="","",LET(d,Rulebook!$L34,x,'Stress Inputs'!M34*d,ta,Rulebook!$G34*d,tb,Rulebook!$H34*d,tc,Rulebook!$I34*d,te,Rulebook!$J34*d,tf,Rulebook!$K34*d,IFS(x&lt;=ta,0,x&lt;=tb,25*(x-ta)/(tb-ta),x&lt;=tc,25+25*(x-tb)/(tc-tb),x&lt;=te,50+25*(x-tc)/(te-tc),x&lt;tf,75+25*(x-te)/(tf-te),TRUE,100)))</f>
        <v/>
      </c>
      <c r="N34" s="35" t="str">
        <f>IF('Stress Inputs'!N34="","",LET(d,Rulebook!$L34,x,'Stress Inputs'!N34*d,ta,Rulebook!$G34*d,tb,Rulebook!$H34*d,tc,Rulebook!$I34*d,te,Rulebook!$J34*d,tf,Rulebook!$K34*d,IFS(x&lt;=ta,0,x&lt;=tb,25*(x-ta)/(tb-ta),x&lt;=tc,25+25*(x-tb)/(tc-tb),x&lt;=te,50+25*(x-tc)/(te-tc),x&lt;tf,75+25*(x-te)/(tf-te),TRUE,100)))</f>
        <v/>
      </c>
      <c r="O34" s="35" t="str">
        <f>IF('Stress Inputs'!O34="","",LET(d,Rulebook!$L34,x,'Stress Inputs'!O34*d,ta,Rulebook!$G34*d,tb,Rulebook!$H34*d,tc,Rulebook!$I34*d,te,Rulebook!$J34*d,tf,Rulebook!$K34*d,IFS(x&lt;=ta,0,x&lt;=tb,25*(x-ta)/(tb-ta),x&lt;=tc,25+25*(x-tb)/(tc-tb),x&lt;=te,50+25*(x-tc)/(te-tc),x&lt;tf,75+25*(x-te)/(tf-te),TRUE,100)))</f>
        <v/>
      </c>
      <c r="P34" s="35" t="str">
        <f>IF('Stress Inputs'!P34="","",LET(d,Rulebook!$L34,x,'Stress Inputs'!P34*d,ta,Rulebook!$G34*d,tb,Rulebook!$H34*d,tc,Rulebook!$I34*d,te,Rulebook!$J34*d,tf,Rulebook!$K34*d,IFS(x&lt;=ta,0,x&lt;=tb,25*(x-ta)/(tb-ta),x&lt;=tc,25+25*(x-tb)/(tc-tb),x&lt;=te,50+25*(x-tc)/(te-tc),x&lt;tf,75+25*(x-te)/(tf-te),TRUE,100)))</f>
        <v/>
      </c>
      <c r="Q34" s="35" t="str">
        <f>IF('Stress Inputs'!Q34="","",LET(d,Rulebook!$L34,x,'Stress Inputs'!Q34*d,ta,Rulebook!$G34*d,tb,Rulebook!$H34*d,tc,Rulebook!$I34*d,te,Rulebook!$J34*d,tf,Rulebook!$K34*d,IFS(x&lt;=ta,0,x&lt;=tb,25*(x-ta)/(tb-ta),x&lt;=tc,25+25*(x-tb)/(tc-tb),x&lt;=te,50+25*(x-tc)/(te-tc),x&lt;tf,75+25*(x-te)/(tf-te),TRUE,100)))</f>
        <v/>
      </c>
      <c r="R34" s="35" t="str">
        <f>IF('Stress Inputs'!R34="","",LET(d,Rulebook!$L34,x,'Stress Inputs'!R34*d,ta,Rulebook!$G34*d,tb,Rulebook!$H34*d,tc,Rulebook!$I34*d,te,Rulebook!$J34*d,tf,Rulebook!$K34*d,IFS(x&lt;=ta,0,x&lt;=tb,25*(x-ta)/(tb-ta),x&lt;=tc,25+25*(x-tb)/(tc-tb),x&lt;=te,50+25*(x-tc)/(te-tc),x&lt;tf,75+25*(x-te)/(tf-te),TRUE,100)))</f>
        <v/>
      </c>
      <c r="S34" s="35" t="str">
        <f>IF('Stress Inputs'!S34="","",LET(d,Rulebook!$L34,x,'Stress Inputs'!S34*d,ta,Rulebook!$G34*d,tb,Rulebook!$H34*d,tc,Rulebook!$I34*d,te,Rulebook!$J34*d,tf,Rulebook!$K34*d,IFS(x&lt;=ta,0,x&lt;=tb,25*(x-ta)/(tb-ta),x&lt;=tc,25+25*(x-tb)/(tc-tb),x&lt;=te,50+25*(x-tc)/(te-tc),x&lt;tf,75+25*(x-te)/(tf-te),TRUE,100)))</f>
        <v/>
      </c>
      <c r="T34" s="35" t="str">
        <f>IF('Stress Inputs'!T34="","",LET(d,Rulebook!$L34,x,'Stress Inputs'!T34*d,ta,Rulebook!$G34*d,tb,Rulebook!$H34*d,tc,Rulebook!$I34*d,te,Rulebook!$J34*d,tf,Rulebook!$K34*d,IFS(x&lt;=ta,0,x&lt;=tb,25*(x-ta)/(tb-ta),x&lt;=tc,25+25*(x-tb)/(tc-tb),x&lt;=te,50+25*(x-tc)/(te-tc),x&lt;tf,75+25*(x-te)/(tf-te),TRUE,100)))</f>
        <v/>
      </c>
      <c r="U34" s="35" t="str">
        <f>IF('Stress Inputs'!U34="","",LET(d,Rulebook!$L34,x,'Stress Inputs'!U34*d,ta,Rulebook!$G34*d,tb,Rulebook!$H34*d,tc,Rulebook!$I34*d,te,Rulebook!$J34*d,tf,Rulebook!$K34*d,IFS(x&lt;=ta,0,x&lt;=tb,25*(x-ta)/(tb-ta),x&lt;=tc,25+25*(x-tb)/(tc-tb),x&lt;=te,50+25*(x-tc)/(te-tc),x&lt;tf,75+25*(x-te)/(tf-te),TRUE,100)))</f>
        <v/>
      </c>
      <c r="V34" s="35" t="str">
        <f>IF('Stress Inputs'!V34="","",LET(d,Rulebook!$L34,x,'Stress Inputs'!V34*d,ta,Rulebook!$G34*d,tb,Rulebook!$H34*d,tc,Rulebook!$I34*d,te,Rulebook!$J34*d,tf,Rulebook!$K34*d,IFS(x&lt;=ta,0,x&lt;=tb,25*(x-ta)/(tb-ta),x&lt;=tc,25+25*(x-tb)/(tc-tb),x&lt;=te,50+25*(x-tc)/(te-tc),x&lt;tf,75+25*(x-te)/(tf-te),TRUE,100)))</f>
        <v/>
      </c>
    </row>
    <row r="35">
      <c r="A35" s="26" t="s">
        <v>554</v>
      </c>
      <c r="B35" s="26">
        <v>3.0</v>
      </c>
      <c r="C35" s="26" t="s">
        <v>555</v>
      </c>
      <c r="D35" s="26" t="s">
        <v>254</v>
      </c>
      <c r="E35" s="35" t="str">
        <f>IF('Stress Inputs'!E35="","",LET(d,Rulebook!$L35,x,'Stress Inputs'!E35*d,ta,Rulebook!$G35*d,tb,Rulebook!$H35*d,tc,Rulebook!$I35*d,te,Rulebook!$J35*d,tf,Rulebook!$K35*d,IFS(x&lt;=ta,0,x&lt;=tb,25*(x-ta)/(tb-ta),x&lt;=tc,25+25*(x-tb)/(tc-tb),x&lt;=te,50+25*(x-tc)/(te-tc),x&lt;tf,75+25*(x-te)/(tf-te),TRUE,100)))</f>
        <v/>
      </c>
      <c r="F35" s="35" t="str">
        <f>IF('Stress Inputs'!F35="","",LET(d,Rulebook!$L35,x,'Stress Inputs'!F35*d,ta,Rulebook!$G35*d,tb,Rulebook!$H35*d,tc,Rulebook!$I35*d,te,Rulebook!$J35*d,tf,Rulebook!$K35*d,IFS(x&lt;=ta,0,x&lt;=tb,25*(x-ta)/(tb-ta),x&lt;=tc,25+25*(x-tb)/(tc-tb),x&lt;=te,50+25*(x-tc)/(te-tc),x&lt;tf,75+25*(x-te)/(tf-te),TRUE,100)))</f>
        <v/>
      </c>
      <c r="G35" s="35" t="str">
        <f>IF('Stress Inputs'!G35="","",LET(d,Rulebook!$L35,x,'Stress Inputs'!G35*d,ta,Rulebook!$G35*d,tb,Rulebook!$H35*d,tc,Rulebook!$I35*d,te,Rulebook!$J35*d,tf,Rulebook!$K35*d,IFS(x&lt;=ta,0,x&lt;=tb,25*(x-ta)/(tb-ta),x&lt;=tc,25+25*(x-tb)/(tc-tb),x&lt;=te,50+25*(x-tc)/(te-tc),x&lt;tf,75+25*(x-te)/(tf-te),TRUE,100)))</f>
        <v/>
      </c>
      <c r="H35" s="35" t="str">
        <f>IF('Stress Inputs'!H35="","",LET(d,Rulebook!$L35,x,'Stress Inputs'!H35*d,ta,Rulebook!$G35*d,tb,Rulebook!$H35*d,tc,Rulebook!$I35*d,te,Rulebook!$J35*d,tf,Rulebook!$K35*d,IFS(x&lt;=ta,0,x&lt;=tb,25*(x-ta)/(tb-ta),x&lt;=tc,25+25*(x-tb)/(tc-tb),x&lt;=te,50+25*(x-tc)/(te-tc),x&lt;tf,75+25*(x-te)/(tf-te),TRUE,100)))</f>
        <v/>
      </c>
      <c r="I35" s="35" t="str">
        <f>IF('Stress Inputs'!I35="","",LET(d,Rulebook!$L35,x,'Stress Inputs'!I35*d,ta,Rulebook!$G35*d,tb,Rulebook!$H35*d,tc,Rulebook!$I35*d,te,Rulebook!$J35*d,tf,Rulebook!$K35*d,IFS(x&lt;=ta,0,x&lt;=tb,25*(x-ta)/(tb-ta),x&lt;=tc,25+25*(x-tb)/(tc-tb),x&lt;=te,50+25*(x-tc)/(te-tc),x&lt;tf,75+25*(x-te)/(tf-te),TRUE,100)))</f>
        <v/>
      </c>
      <c r="J35" s="35" t="str">
        <f>IF('Stress Inputs'!J35="","",LET(d,Rulebook!$L35,x,'Stress Inputs'!J35*d,ta,Rulebook!$G35*d,tb,Rulebook!$H35*d,tc,Rulebook!$I35*d,te,Rulebook!$J35*d,tf,Rulebook!$K35*d,IFS(x&lt;=ta,0,x&lt;=tb,25*(x-ta)/(tb-ta),x&lt;=tc,25+25*(x-tb)/(tc-tb),x&lt;=te,50+25*(x-tc)/(te-tc),x&lt;tf,75+25*(x-te)/(tf-te),TRUE,100)))</f>
        <v/>
      </c>
      <c r="K35" s="35" t="str">
        <f>IF('Stress Inputs'!K35="","",LET(d,Rulebook!$L35,x,'Stress Inputs'!K35*d,ta,Rulebook!$G35*d,tb,Rulebook!$H35*d,tc,Rulebook!$I35*d,te,Rulebook!$J35*d,tf,Rulebook!$K35*d,IFS(x&lt;=ta,0,x&lt;=tb,25*(x-ta)/(tb-ta),x&lt;=tc,25+25*(x-tb)/(tc-tb),x&lt;=te,50+25*(x-tc)/(te-tc),x&lt;tf,75+25*(x-te)/(tf-te),TRUE,100)))</f>
        <v/>
      </c>
      <c r="L35" s="35" t="str">
        <f>IF('Stress Inputs'!L35="","",LET(d,Rulebook!$L35,x,'Stress Inputs'!L35*d,ta,Rulebook!$G35*d,tb,Rulebook!$H35*d,tc,Rulebook!$I35*d,te,Rulebook!$J35*d,tf,Rulebook!$K35*d,IFS(x&lt;=ta,0,x&lt;=tb,25*(x-ta)/(tb-ta),x&lt;=tc,25+25*(x-tb)/(tc-tb),x&lt;=te,50+25*(x-tc)/(te-tc),x&lt;tf,75+25*(x-te)/(tf-te),TRUE,100)))</f>
        <v/>
      </c>
      <c r="M35" s="35" t="str">
        <f>IF('Stress Inputs'!M35="","",LET(d,Rulebook!$L35,x,'Stress Inputs'!M35*d,ta,Rulebook!$G35*d,tb,Rulebook!$H35*d,tc,Rulebook!$I35*d,te,Rulebook!$J35*d,tf,Rulebook!$K35*d,IFS(x&lt;=ta,0,x&lt;=tb,25*(x-ta)/(tb-ta),x&lt;=tc,25+25*(x-tb)/(tc-tb),x&lt;=te,50+25*(x-tc)/(te-tc),x&lt;tf,75+25*(x-te)/(tf-te),TRUE,100)))</f>
        <v/>
      </c>
      <c r="N35" s="35" t="str">
        <f>IF('Stress Inputs'!N35="","",LET(d,Rulebook!$L35,x,'Stress Inputs'!N35*d,ta,Rulebook!$G35*d,tb,Rulebook!$H35*d,tc,Rulebook!$I35*d,te,Rulebook!$J35*d,tf,Rulebook!$K35*d,IFS(x&lt;=ta,0,x&lt;=tb,25*(x-ta)/(tb-ta),x&lt;=tc,25+25*(x-tb)/(tc-tb),x&lt;=te,50+25*(x-tc)/(te-tc),x&lt;tf,75+25*(x-te)/(tf-te),TRUE,100)))</f>
        <v/>
      </c>
      <c r="O35" s="35" t="str">
        <f>IF('Stress Inputs'!O35="","",LET(d,Rulebook!$L35,x,'Stress Inputs'!O35*d,ta,Rulebook!$G35*d,tb,Rulebook!$H35*d,tc,Rulebook!$I35*d,te,Rulebook!$J35*d,tf,Rulebook!$K35*d,IFS(x&lt;=ta,0,x&lt;=tb,25*(x-ta)/(tb-ta),x&lt;=tc,25+25*(x-tb)/(tc-tb),x&lt;=te,50+25*(x-tc)/(te-tc),x&lt;tf,75+25*(x-te)/(tf-te),TRUE,100)))</f>
        <v/>
      </c>
      <c r="P35" s="35" t="str">
        <f>IF('Stress Inputs'!P35="","",LET(d,Rulebook!$L35,x,'Stress Inputs'!P35*d,ta,Rulebook!$G35*d,tb,Rulebook!$H35*d,tc,Rulebook!$I35*d,te,Rulebook!$J35*d,tf,Rulebook!$K35*d,IFS(x&lt;=ta,0,x&lt;=tb,25*(x-ta)/(tb-ta),x&lt;=tc,25+25*(x-tb)/(tc-tb),x&lt;=te,50+25*(x-tc)/(te-tc),x&lt;tf,75+25*(x-te)/(tf-te),TRUE,100)))</f>
        <v/>
      </c>
      <c r="Q35" s="35" t="str">
        <f>IF('Stress Inputs'!Q35="","",LET(d,Rulebook!$L35,x,'Stress Inputs'!Q35*d,ta,Rulebook!$G35*d,tb,Rulebook!$H35*d,tc,Rulebook!$I35*d,te,Rulebook!$J35*d,tf,Rulebook!$K35*d,IFS(x&lt;=ta,0,x&lt;=tb,25*(x-ta)/(tb-ta),x&lt;=tc,25+25*(x-tb)/(tc-tb),x&lt;=te,50+25*(x-tc)/(te-tc),x&lt;tf,75+25*(x-te)/(tf-te),TRUE,100)))</f>
        <v/>
      </c>
      <c r="R35" s="35" t="str">
        <f>IF('Stress Inputs'!R35="","",LET(d,Rulebook!$L35,x,'Stress Inputs'!R35*d,ta,Rulebook!$G35*d,tb,Rulebook!$H35*d,tc,Rulebook!$I35*d,te,Rulebook!$J35*d,tf,Rulebook!$K35*d,IFS(x&lt;=ta,0,x&lt;=tb,25*(x-ta)/(tb-ta),x&lt;=tc,25+25*(x-tb)/(tc-tb),x&lt;=te,50+25*(x-tc)/(te-tc),x&lt;tf,75+25*(x-te)/(tf-te),TRUE,100)))</f>
        <v/>
      </c>
      <c r="S35" s="35" t="str">
        <f>IF('Stress Inputs'!S35="","",LET(d,Rulebook!$L35,x,'Stress Inputs'!S35*d,ta,Rulebook!$G35*d,tb,Rulebook!$H35*d,tc,Rulebook!$I35*d,te,Rulebook!$J35*d,tf,Rulebook!$K35*d,IFS(x&lt;=ta,0,x&lt;=tb,25*(x-ta)/(tb-ta),x&lt;=tc,25+25*(x-tb)/(tc-tb),x&lt;=te,50+25*(x-tc)/(te-tc),x&lt;tf,75+25*(x-te)/(tf-te),TRUE,100)))</f>
        <v/>
      </c>
      <c r="T35" s="35" t="str">
        <f>IF('Stress Inputs'!T35="","",LET(d,Rulebook!$L35,x,'Stress Inputs'!T35*d,ta,Rulebook!$G35*d,tb,Rulebook!$H35*d,tc,Rulebook!$I35*d,te,Rulebook!$J35*d,tf,Rulebook!$K35*d,IFS(x&lt;=ta,0,x&lt;=tb,25*(x-ta)/(tb-ta),x&lt;=tc,25+25*(x-tb)/(tc-tb),x&lt;=te,50+25*(x-tc)/(te-tc),x&lt;tf,75+25*(x-te)/(tf-te),TRUE,100)))</f>
        <v/>
      </c>
      <c r="U35" s="35" t="str">
        <f>IF('Stress Inputs'!U35="","",LET(d,Rulebook!$L35,x,'Stress Inputs'!U35*d,ta,Rulebook!$G35*d,tb,Rulebook!$H35*d,tc,Rulebook!$I35*d,te,Rulebook!$J35*d,tf,Rulebook!$K35*d,IFS(x&lt;=ta,0,x&lt;=tb,25*(x-ta)/(tb-ta),x&lt;=tc,25+25*(x-tb)/(tc-tb),x&lt;=te,50+25*(x-tc)/(te-tc),x&lt;tf,75+25*(x-te)/(tf-te),TRUE,100)))</f>
        <v/>
      </c>
      <c r="V35" s="35" t="str">
        <f>IF('Stress Inputs'!V35="","",LET(d,Rulebook!$L35,x,'Stress Inputs'!V35*d,ta,Rulebook!$G35*d,tb,Rulebook!$H35*d,tc,Rulebook!$I35*d,te,Rulebook!$J35*d,tf,Rulebook!$K35*d,IFS(x&lt;=ta,0,x&lt;=tb,25*(x-ta)/(tb-ta),x&lt;=tc,25+25*(x-tb)/(tc-tb),x&lt;=te,50+25*(x-tc)/(te-tc),x&lt;tf,75+25*(x-te)/(tf-te),TRUE,100)))</f>
        <v/>
      </c>
    </row>
    <row r="36">
      <c r="A36" s="26" t="s">
        <v>561</v>
      </c>
      <c r="B36" s="26">
        <v>4.0</v>
      </c>
      <c r="C36" s="26" t="s">
        <v>562</v>
      </c>
      <c r="D36" s="26" t="s">
        <v>254</v>
      </c>
      <c r="E36" s="35" t="str">
        <f>IF('Stress Inputs'!E36="","",LET(d,Rulebook!$L36,x,'Stress Inputs'!E36*d,ta,Rulebook!$G36*d,tb,Rulebook!$H36*d,tc,Rulebook!$I36*d,te,Rulebook!$J36*d,tf,Rulebook!$K36*d,IFS(x&lt;=ta,0,x&lt;=tb,25*(x-ta)/(tb-ta),x&lt;=tc,25+25*(x-tb)/(tc-tb),x&lt;=te,50+25*(x-tc)/(te-tc),x&lt;tf,75+25*(x-te)/(tf-te),TRUE,100)))</f>
        <v/>
      </c>
      <c r="F36" s="35" t="str">
        <f>IF('Stress Inputs'!F36="","",LET(d,Rulebook!$L36,x,'Stress Inputs'!F36*d,ta,Rulebook!$G36*d,tb,Rulebook!$H36*d,tc,Rulebook!$I36*d,te,Rulebook!$J36*d,tf,Rulebook!$K36*d,IFS(x&lt;=ta,0,x&lt;=tb,25*(x-ta)/(tb-ta),x&lt;=tc,25+25*(x-tb)/(tc-tb),x&lt;=te,50+25*(x-tc)/(te-tc),x&lt;tf,75+25*(x-te)/(tf-te),TRUE,100)))</f>
        <v/>
      </c>
      <c r="G36" s="35" t="str">
        <f>IF('Stress Inputs'!G36="","",LET(d,Rulebook!$L36,x,'Stress Inputs'!G36*d,ta,Rulebook!$G36*d,tb,Rulebook!$H36*d,tc,Rulebook!$I36*d,te,Rulebook!$J36*d,tf,Rulebook!$K36*d,IFS(x&lt;=ta,0,x&lt;=tb,25*(x-ta)/(tb-ta),x&lt;=tc,25+25*(x-tb)/(tc-tb),x&lt;=te,50+25*(x-tc)/(te-tc),x&lt;tf,75+25*(x-te)/(tf-te),TRUE,100)))</f>
        <v/>
      </c>
      <c r="H36" s="35" t="str">
        <f>IF('Stress Inputs'!H36="","",LET(d,Rulebook!$L36,x,'Stress Inputs'!H36*d,ta,Rulebook!$G36*d,tb,Rulebook!$H36*d,tc,Rulebook!$I36*d,te,Rulebook!$J36*d,tf,Rulebook!$K36*d,IFS(x&lt;=ta,0,x&lt;=tb,25*(x-ta)/(tb-ta),x&lt;=tc,25+25*(x-tb)/(tc-tb),x&lt;=te,50+25*(x-tc)/(te-tc),x&lt;tf,75+25*(x-te)/(tf-te),TRUE,100)))</f>
        <v/>
      </c>
      <c r="I36" s="35" t="str">
        <f>IF('Stress Inputs'!I36="","",LET(d,Rulebook!$L36,x,'Stress Inputs'!I36*d,ta,Rulebook!$G36*d,tb,Rulebook!$H36*d,tc,Rulebook!$I36*d,te,Rulebook!$J36*d,tf,Rulebook!$K36*d,IFS(x&lt;=ta,0,x&lt;=tb,25*(x-ta)/(tb-ta),x&lt;=tc,25+25*(x-tb)/(tc-tb),x&lt;=te,50+25*(x-tc)/(te-tc),x&lt;tf,75+25*(x-te)/(tf-te),TRUE,100)))</f>
        <v/>
      </c>
      <c r="J36" s="35" t="str">
        <f>IF('Stress Inputs'!J36="","",LET(d,Rulebook!$L36,x,'Stress Inputs'!J36*d,ta,Rulebook!$G36*d,tb,Rulebook!$H36*d,tc,Rulebook!$I36*d,te,Rulebook!$J36*d,tf,Rulebook!$K36*d,IFS(x&lt;=ta,0,x&lt;=tb,25*(x-ta)/(tb-ta),x&lt;=tc,25+25*(x-tb)/(tc-tb),x&lt;=te,50+25*(x-tc)/(te-tc),x&lt;tf,75+25*(x-te)/(tf-te),TRUE,100)))</f>
        <v/>
      </c>
      <c r="K36" s="35" t="str">
        <f>IF('Stress Inputs'!K36="","",LET(d,Rulebook!$L36,x,'Stress Inputs'!K36*d,ta,Rulebook!$G36*d,tb,Rulebook!$H36*d,tc,Rulebook!$I36*d,te,Rulebook!$J36*d,tf,Rulebook!$K36*d,IFS(x&lt;=ta,0,x&lt;=tb,25*(x-ta)/(tb-ta),x&lt;=tc,25+25*(x-tb)/(tc-tb),x&lt;=te,50+25*(x-tc)/(te-tc),x&lt;tf,75+25*(x-te)/(tf-te),TRUE,100)))</f>
        <v/>
      </c>
      <c r="L36" s="35" t="str">
        <f>IF('Stress Inputs'!L36="","",LET(d,Rulebook!$L36,x,'Stress Inputs'!L36*d,ta,Rulebook!$G36*d,tb,Rulebook!$H36*d,tc,Rulebook!$I36*d,te,Rulebook!$J36*d,tf,Rulebook!$K36*d,IFS(x&lt;=ta,0,x&lt;=tb,25*(x-ta)/(tb-ta),x&lt;=tc,25+25*(x-tb)/(tc-tb),x&lt;=te,50+25*(x-tc)/(te-tc),x&lt;tf,75+25*(x-te)/(tf-te),TRUE,100)))</f>
        <v/>
      </c>
      <c r="M36" s="35" t="str">
        <f>IF('Stress Inputs'!M36="","",LET(d,Rulebook!$L36,x,'Stress Inputs'!M36*d,ta,Rulebook!$G36*d,tb,Rulebook!$H36*d,tc,Rulebook!$I36*d,te,Rulebook!$J36*d,tf,Rulebook!$K36*d,IFS(x&lt;=ta,0,x&lt;=tb,25*(x-ta)/(tb-ta),x&lt;=tc,25+25*(x-tb)/(tc-tb),x&lt;=te,50+25*(x-tc)/(te-tc),x&lt;tf,75+25*(x-te)/(tf-te),TRUE,100)))</f>
        <v/>
      </c>
      <c r="N36" s="35" t="str">
        <f>IF('Stress Inputs'!N36="","",LET(d,Rulebook!$L36,x,'Stress Inputs'!N36*d,ta,Rulebook!$G36*d,tb,Rulebook!$H36*d,tc,Rulebook!$I36*d,te,Rulebook!$J36*d,tf,Rulebook!$K36*d,IFS(x&lt;=ta,0,x&lt;=tb,25*(x-ta)/(tb-ta),x&lt;=tc,25+25*(x-tb)/(tc-tb),x&lt;=te,50+25*(x-tc)/(te-tc),x&lt;tf,75+25*(x-te)/(tf-te),TRUE,100)))</f>
        <v/>
      </c>
      <c r="O36" s="35" t="str">
        <f>IF('Stress Inputs'!O36="","",LET(d,Rulebook!$L36,x,'Stress Inputs'!O36*d,ta,Rulebook!$G36*d,tb,Rulebook!$H36*d,tc,Rulebook!$I36*d,te,Rulebook!$J36*d,tf,Rulebook!$K36*d,IFS(x&lt;=ta,0,x&lt;=tb,25*(x-ta)/(tb-ta),x&lt;=tc,25+25*(x-tb)/(tc-tb),x&lt;=te,50+25*(x-tc)/(te-tc),x&lt;tf,75+25*(x-te)/(tf-te),TRUE,100)))</f>
        <v/>
      </c>
      <c r="P36" s="35" t="str">
        <f>IF('Stress Inputs'!P36="","",LET(d,Rulebook!$L36,x,'Stress Inputs'!P36*d,ta,Rulebook!$G36*d,tb,Rulebook!$H36*d,tc,Rulebook!$I36*d,te,Rulebook!$J36*d,tf,Rulebook!$K36*d,IFS(x&lt;=ta,0,x&lt;=tb,25*(x-ta)/(tb-ta),x&lt;=tc,25+25*(x-tb)/(tc-tb),x&lt;=te,50+25*(x-tc)/(te-tc),x&lt;tf,75+25*(x-te)/(tf-te),TRUE,100)))</f>
        <v/>
      </c>
      <c r="Q36" s="35" t="str">
        <f>IF('Stress Inputs'!Q36="","",LET(d,Rulebook!$L36,x,'Stress Inputs'!Q36*d,ta,Rulebook!$G36*d,tb,Rulebook!$H36*d,tc,Rulebook!$I36*d,te,Rulebook!$J36*d,tf,Rulebook!$K36*d,IFS(x&lt;=ta,0,x&lt;=tb,25*(x-ta)/(tb-ta),x&lt;=tc,25+25*(x-tb)/(tc-tb),x&lt;=te,50+25*(x-tc)/(te-tc),x&lt;tf,75+25*(x-te)/(tf-te),TRUE,100)))</f>
        <v/>
      </c>
      <c r="R36" s="35" t="str">
        <f>IF('Stress Inputs'!R36="","",LET(d,Rulebook!$L36,x,'Stress Inputs'!R36*d,ta,Rulebook!$G36*d,tb,Rulebook!$H36*d,tc,Rulebook!$I36*d,te,Rulebook!$J36*d,tf,Rulebook!$K36*d,IFS(x&lt;=ta,0,x&lt;=tb,25*(x-ta)/(tb-ta),x&lt;=tc,25+25*(x-tb)/(tc-tb),x&lt;=te,50+25*(x-tc)/(te-tc),x&lt;tf,75+25*(x-te)/(tf-te),TRUE,100)))</f>
        <v/>
      </c>
      <c r="S36" s="35" t="str">
        <f>IF('Stress Inputs'!S36="","",LET(d,Rulebook!$L36,x,'Stress Inputs'!S36*d,ta,Rulebook!$G36*d,tb,Rulebook!$H36*d,tc,Rulebook!$I36*d,te,Rulebook!$J36*d,tf,Rulebook!$K36*d,IFS(x&lt;=ta,0,x&lt;=tb,25*(x-ta)/(tb-ta),x&lt;=tc,25+25*(x-tb)/(tc-tb),x&lt;=te,50+25*(x-tc)/(te-tc),x&lt;tf,75+25*(x-te)/(tf-te),TRUE,100)))</f>
        <v/>
      </c>
      <c r="T36" s="35" t="str">
        <f>IF('Stress Inputs'!T36="","",LET(d,Rulebook!$L36,x,'Stress Inputs'!T36*d,ta,Rulebook!$G36*d,tb,Rulebook!$H36*d,tc,Rulebook!$I36*d,te,Rulebook!$J36*d,tf,Rulebook!$K36*d,IFS(x&lt;=ta,0,x&lt;=tb,25*(x-ta)/(tb-ta),x&lt;=tc,25+25*(x-tb)/(tc-tb),x&lt;=te,50+25*(x-tc)/(te-tc),x&lt;tf,75+25*(x-te)/(tf-te),TRUE,100)))</f>
        <v/>
      </c>
      <c r="U36" s="35" t="str">
        <f>IF('Stress Inputs'!U36="","",LET(d,Rulebook!$L36,x,'Stress Inputs'!U36*d,ta,Rulebook!$G36*d,tb,Rulebook!$H36*d,tc,Rulebook!$I36*d,te,Rulebook!$J36*d,tf,Rulebook!$K36*d,IFS(x&lt;=ta,0,x&lt;=tb,25*(x-ta)/(tb-ta),x&lt;=tc,25+25*(x-tb)/(tc-tb),x&lt;=te,50+25*(x-tc)/(te-tc),x&lt;tf,75+25*(x-te)/(tf-te),TRUE,100)))</f>
        <v/>
      </c>
      <c r="V36" s="35" t="str">
        <f>IF('Stress Inputs'!V36="","",LET(d,Rulebook!$L36,x,'Stress Inputs'!V36*d,ta,Rulebook!$G36*d,tb,Rulebook!$H36*d,tc,Rulebook!$I36*d,te,Rulebook!$J36*d,tf,Rulebook!$K36*d,IFS(x&lt;=ta,0,x&lt;=tb,25*(x-ta)/(tb-ta),x&lt;=tc,25+25*(x-tb)/(tc-tb),x&lt;=te,50+25*(x-tc)/(te-tc),x&lt;tf,75+25*(x-te)/(tf-te),TRUE,100)))</f>
        <v/>
      </c>
    </row>
    <row r="37">
      <c r="A37" s="26" t="s">
        <v>569</v>
      </c>
      <c r="B37" s="26">
        <v>4.0</v>
      </c>
      <c r="C37" s="26" t="s">
        <v>570</v>
      </c>
      <c r="D37" s="26" t="s">
        <v>254</v>
      </c>
      <c r="E37" s="35" t="str">
        <f>IF('Stress Inputs'!E37="","",LET(d,Rulebook!$L37,x,'Stress Inputs'!E37*d,ta,Rulebook!$G37*d,tb,Rulebook!$H37*d,tc,Rulebook!$I37*d,te,Rulebook!$J37*d,tf,Rulebook!$K37*d,IFS(x&lt;=ta,0,x&lt;=tb,25*(x-ta)/(tb-ta),x&lt;=tc,25+25*(x-tb)/(tc-tb),x&lt;=te,50+25*(x-tc)/(te-tc),x&lt;tf,75+25*(x-te)/(tf-te),TRUE,100)))</f>
        <v/>
      </c>
      <c r="F37" s="35" t="str">
        <f>IF('Stress Inputs'!F37="","",LET(d,Rulebook!$L37,x,'Stress Inputs'!F37*d,ta,Rulebook!$G37*d,tb,Rulebook!$H37*d,tc,Rulebook!$I37*d,te,Rulebook!$J37*d,tf,Rulebook!$K37*d,IFS(x&lt;=ta,0,x&lt;=tb,25*(x-ta)/(tb-ta),x&lt;=tc,25+25*(x-tb)/(tc-tb),x&lt;=te,50+25*(x-tc)/(te-tc),x&lt;tf,75+25*(x-te)/(tf-te),TRUE,100)))</f>
        <v/>
      </c>
      <c r="G37" s="35" t="str">
        <f>IF('Stress Inputs'!G37="","",LET(d,Rulebook!$L37,x,'Stress Inputs'!G37*d,ta,Rulebook!$G37*d,tb,Rulebook!$H37*d,tc,Rulebook!$I37*d,te,Rulebook!$J37*d,tf,Rulebook!$K37*d,IFS(x&lt;=ta,0,x&lt;=tb,25*(x-ta)/(tb-ta),x&lt;=tc,25+25*(x-tb)/(tc-tb),x&lt;=te,50+25*(x-tc)/(te-tc),x&lt;tf,75+25*(x-te)/(tf-te),TRUE,100)))</f>
        <v/>
      </c>
      <c r="H37" s="35" t="str">
        <f>IF('Stress Inputs'!H37="","",LET(d,Rulebook!$L37,x,'Stress Inputs'!H37*d,ta,Rulebook!$G37*d,tb,Rulebook!$H37*d,tc,Rulebook!$I37*d,te,Rulebook!$J37*d,tf,Rulebook!$K37*d,IFS(x&lt;=ta,0,x&lt;=tb,25*(x-ta)/(tb-ta),x&lt;=tc,25+25*(x-tb)/(tc-tb),x&lt;=te,50+25*(x-tc)/(te-tc),x&lt;tf,75+25*(x-te)/(tf-te),TRUE,100)))</f>
        <v/>
      </c>
      <c r="I37" s="35" t="str">
        <f>IF('Stress Inputs'!I37="","",LET(d,Rulebook!$L37,x,'Stress Inputs'!I37*d,ta,Rulebook!$G37*d,tb,Rulebook!$H37*d,tc,Rulebook!$I37*d,te,Rulebook!$J37*d,tf,Rulebook!$K37*d,IFS(x&lt;=ta,0,x&lt;=tb,25*(x-ta)/(tb-ta),x&lt;=tc,25+25*(x-tb)/(tc-tb),x&lt;=te,50+25*(x-tc)/(te-tc),x&lt;tf,75+25*(x-te)/(tf-te),TRUE,100)))</f>
        <v/>
      </c>
      <c r="J37" s="35" t="str">
        <f>IF('Stress Inputs'!J37="","",LET(d,Rulebook!$L37,x,'Stress Inputs'!J37*d,ta,Rulebook!$G37*d,tb,Rulebook!$H37*d,tc,Rulebook!$I37*d,te,Rulebook!$J37*d,tf,Rulebook!$K37*d,IFS(x&lt;=ta,0,x&lt;=tb,25*(x-ta)/(tb-ta),x&lt;=tc,25+25*(x-tb)/(tc-tb),x&lt;=te,50+25*(x-tc)/(te-tc),x&lt;tf,75+25*(x-te)/(tf-te),TRUE,100)))</f>
        <v/>
      </c>
      <c r="K37" s="35" t="str">
        <f>IF('Stress Inputs'!K37="","",LET(d,Rulebook!$L37,x,'Stress Inputs'!K37*d,ta,Rulebook!$G37*d,tb,Rulebook!$H37*d,tc,Rulebook!$I37*d,te,Rulebook!$J37*d,tf,Rulebook!$K37*d,IFS(x&lt;=ta,0,x&lt;=tb,25*(x-ta)/(tb-ta),x&lt;=tc,25+25*(x-tb)/(tc-tb),x&lt;=te,50+25*(x-tc)/(te-tc),x&lt;tf,75+25*(x-te)/(tf-te),TRUE,100)))</f>
        <v/>
      </c>
      <c r="L37" s="35" t="str">
        <f>IF('Stress Inputs'!L37="","",LET(d,Rulebook!$L37,x,'Stress Inputs'!L37*d,ta,Rulebook!$G37*d,tb,Rulebook!$H37*d,tc,Rulebook!$I37*d,te,Rulebook!$J37*d,tf,Rulebook!$K37*d,IFS(x&lt;=ta,0,x&lt;=tb,25*(x-ta)/(tb-ta),x&lt;=tc,25+25*(x-tb)/(tc-tb),x&lt;=te,50+25*(x-tc)/(te-tc),x&lt;tf,75+25*(x-te)/(tf-te),TRUE,100)))</f>
        <v/>
      </c>
      <c r="M37" s="35" t="str">
        <f>IF('Stress Inputs'!M37="","",LET(d,Rulebook!$L37,x,'Stress Inputs'!M37*d,ta,Rulebook!$G37*d,tb,Rulebook!$H37*d,tc,Rulebook!$I37*d,te,Rulebook!$J37*d,tf,Rulebook!$K37*d,IFS(x&lt;=ta,0,x&lt;=tb,25*(x-ta)/(tb-ta),x&lt;=tc,25+25*(x-tb)/(tc-tb),x&lt;=te,50+25*(x-tc)/(te-tc),x&lt;tf,75+25*(x-te)/(tf-te),TRUE,100)))</f>
        <v/>
      </c>
      <c r="N37" s="35" t="str">
        <f>IF('Stress Inputs'!N37="","",LET(d,Rulebook!$L37,x,'Stress Inputs'!N37*d,ta,Rulebook!$G37*d,tb,Rulebook!$H37*d,tc,Rulebook!$I37*d,te,Rulebook!$J37*d,tf,Rulebook!$K37*d,IFS(x&lt;=ta,0,x&lt;=tb,25*(x-ta)/(tb-ta),x&lt;=tc,25+25*(x-tb)/(tc-tb),x&lt;=te,50+25*(x-tc)/(te-tc),x&lt;tf,75+25*(x-te)/(tf-te),TRUE,100)))</f>
        <v/>
      </c>
      <c r="O37" s="35" t="str">
        <f>IF('Stress Inputs'!O37="","",LET(d,Rulebook!$L37,x,'Stress Inputs'!O37*d,ta,Rulebook!$G37*d,tb,Rulebook!$H37*d,tc,Rulebook!$I37*d,te,Rulebook!$J37*d,tf,Rulebook!$K37*d,IFS(x&lt;=ta,0,x&lt;=tb,25*(x-ta)/(tb-ta),x&lt;=tc,25+25*(x-tb)/(tc-tb),x&lt;=te,50+25*(x-tc)/(te-tc),x&lt;tf,75+25*(x-te)/(tf-te),TRUE,100)))</f>
        <v/>
      </c>
      <c r="P37" s="35" t="str">
        <f>IF('Stress Inputs'!P37="","",LET(d,Rulebook!$L37,x,'Stress Inputs'!P37*d,ta,Rulebook!$G37*d,tb,Rulebook!$H37*d,tc,Rulebook!$I37*d,te,Rulebook!$J37*d,tf,Rulebook!$K37*d,IFS(x&lt;=ta,0,x&lt;=tb,25*(x-ta)/(tb-ta),x&lt;=tc,25+25*(x-tb)/(tc-tb),x&lt;=te,50+25*(x-tc)/(te-tc),x&lt;tf,75+25*(x-te)/(tf-te),TRUE,100)))</f>
        <v/>
      </c>
      <c r="Q37" s="35" t="str">
        <f>IF('Stress Inputs'!Q37="","",LET(d,Rulebook!$L37,x,'Stress Inputs'!Q37*d,ta,Rulebook!$G37*d,tb,Rulebook!$H37*d,tc,Rulebook!$I37*d,te,Rulebook!$J37*d,tf,Rulebook!$K37*d,IFS(x&lt;=ta,0,x&lt;=tb,25*(x-ta)/(tb-ta),x&lt;=tc,25+25*(x-tb)/(tc-tb),x&lt;=te,50+25*(x-tc)/(te-tc),x&lt;tf,75+25*(x-te)/(tf-te),TRUE,100)))</f>
        <v/>
      </c>
      <c r="R37" s="35" t="str">
        <f>IF('Stress Inputs'!R37="","",LET(d,Rulebook!$L37,x,'Stress Inputs'!R37*d,ta,Rulebook!$G37*d,tb,Rulebook!$H37*d,tc,Rulebook!$I37*d,te,Rulebook!$J37*d,tf,Rulebook!$K37*d,IFS(x&lt;=ta,0,x&lt;=tb,25*(x-ta)/(tb-ta),x&lt;=tc,25+25*(x-tb)/(tc-tb),x&lt;=te,50+25*(x-tc)/(te-tc),x&lt;tf,75+25*(x-te)/(tf-te),TRUE,100)))</f>
        <v/>
      </c>
      <c r="S37" s="35" t="str">
        <f>IF('Stress Inputs'!S37="","",LET(d,Rulebook!$L37,x,'Stress Inputs'!S37*d,ta,Rulebook!$G37*d,tb,Rulebook!$H37*d,tc,Rulebook!$I37*d,te,Rulebook!$J37*d,tf,Rulebook!$K37*d,IFS(x&lt;=ta,0,x&lt;=tb,25*(x-ta)/(tb-ta),x&lt;=tc,25+25*(x-tb)/(tc-tb),x&lt;=te,50+25*(x-tc)/(te-tc),x&lt;tf,75+25*(x-te)/(tf-te),TRUE,100)))</f>
        <v/>
      </c>
      <c r="T37" s="35" t="str">
        <f>IF('Stress Inputs'!T37="","",LET(d,Rulebook!$L37,x,'Stress Inputs'!T37*d,ta,Rulebook!$G37*d,tb,Rulebook!$H37*d,tc,Rulebook!$I37*d,te,Rulebook!$J37*d,tf,Rulebook!$K37*d,IFS(x&lt;=ta,0,x&lt;=tb,25*(x-ta)/(tb-ta),x&lt;=tc,25+25*(x-tb)/(tc-tb),x&lt;=te,50+25*(x-tc)/(te-tc),x&lt;tf,75+25*(x-te)/(tf-te),TRUE,100)))</f>
        <v/>
      </c>
      <c r="U37" s="35" t="str">
        <f>IF('Stress Inputs'!U37="","",LET(d,Rulebook!$L37,x,'Stress Inputs'!U37*d,ta,Rulebook!$G37*d,tb,Rulebook!$H37*d,tc,Rulebook!$I37*d,te,Rulebook!$J37*d,tf,Rulebook!$K37*d,IFS(x&lt;=ta,0,x&lt;=tb,25*(x-ta)/(tb-ta),x&lt;=tc,25+25*(x-tb)/(tc-tb),x&lt;=te,50+25*(x-tc)/(te-tc),x&lt;tf,75+25*(x-te)/(tf-te),TRUE,100)))</f>
        <v/>
      </c>
      <c r="V37" s="35" t="str">
        <f>IF('Stress Inputs'!V37="","",LET(d,Rulebook!$L37,x,'Stress Inputs'!V37*d,ta,Rulebook!$G37*d,tb,Rulebook!$H37*d,tc,Rulebook!$I37*d,te,Rulebook!$J37*d,tf,Rulebook!$K37*d,IFS(x&lt;=ta,0,x&lt;=tb,25*(x-ta)/(tb-ta),x&lt;=tc,25+25*(x-tb)/(tc-tb),x&lt;=te,50+25*(x-tc)/(te-tc),x&lt;tf,75+25*(x-te)/(tf-te),TRUE,100)))</f>
        <v/>
      </c>
    </row>
    <row r="38">
      <c r="A38" s="26" t="s">
        <v>577</v>
      </c>
      <c r="B38" s="26">
        <v>4.0</v>
      </c>
      <c r="C38" s="26" t="s">
        <v>578</v>
      </c>
      <c r="D38" s="26" t="s">
        <v>254</v>
      </c>
      <c r="E38" s="35" t="str">
        <f>IF('Stress Inputs'!E38="","",LET(d,Rulebook!$L38,x,'Stress Inputs'!E38*d,ta,Rulebook!$G38*d,tb,Rulebook!$H38*d,tc,Rulebook!$I38*d,te,Rulebook!$J38*d,tf,Rulebook!$K38*d,IFS(x&lt;=ta,0,x&lt;=tb,25*(x-ta)/(tb-ta),x&lt;=tc,25+25*(x-tb)/(tc-tb),x&lt;=te,50+25*(x-tc)/(te-tc),x&lt;tf,75+25*(x-te)/(tf-te),TRUE,100)))</f>
        <v/>
      </c>
      <c r="F38" s="35" t="str">
        <f>IF('Stress Inputs'!F38="","",LET(d,Rulebook!$L38,x,'Stress Inputs'!F38*d,ta,Rulebook!$G38*d,tb,Rulebook!$H38*d,tc,Rulebook!$I38*d,te,Rulebook!$J38*d,tf,Rulebook!$K38*d,IFS(x&lt;=ta,0,x&lt;=tb,25*(x-ta)/(tb-ta),x&lt;=tc,25+25*(x-tb)/(tc-tb),x&lt;=te,50+25*(x-tc)/(te-tc),x&lt;tf,75+25*(x-te)/(tf-te),TRUE,100)))</f>
        <v/>
      </c>
      <c r="G38" s="35" t="str">
        <f>IF('Stress Inputs'!G38="","",LET(d,Rulebook!$L38,x,'Stress Inputs'!G38*d,ta,Rulebook!$G38*d,tb,Rulebook!$H38*d,tc,Rulebook!$I38*d,te,Rulebook!$J38*d,tf,Rulebook!$K38*d,IFS(x&lt;=ta,0,x&lt;=tb,25*(x-ta)/(tb-ta),x&lt;=tc,25+25*(x-tb)/(tc-tb),x&lt;=te,50+25*(x-tc)/(te-tc),x&lt;tf,75+25*(x-te)/(tf-te),TRUE,100)))</f>
        <v/>
      </c>
      <c r="H38" s="35" t="str">
        <f>IF('Stress Inputs'!H38="","",LET(d,Rulebook!$L38,x,'Stress Inputs'!H38*d,ta,Rulebook!$G38*d,tb,Rulebook!$H38*d,tc,Rulebook!$I38*d,te,Rulebook!$J38*d,tf,Rulebook!$K38*d,IFS(x&lt;=ta,0,x&lt;=tb,25*(x-ta)/(tb-ta),x&lt;=tc,25+25*(x-tb)/(tc-tb),x&lt;=te,50+25*(x-tc)/(te-tc),x&lt;tf,75+25*(x-te)/(tf-te),TRUE,100)))</f>
        <v/>
      </c>
      <c r="I38" s="35" t="str">
        <f>IF('Stress Inputs'!I38="","",LET(d,Rulebook!$L38,x,'Stress Inputs'!I38*d,ta,Rulebook!$G38*d,tb,Rulebook!$H38*d,tc,Rulebook!$I38*d,te,Rulebook!$J38*d,tf,Rulebook!$K38*d,IFS(x&lt;=ta,0,x&lt;=tb,25*(x-ta)/(tb-ta),x&lt;=tc,25+25*(x-tb)/(tc-tb),x&lt;=te,50+25*(x-tc)/(te-tc),x&lt;tf,75+25*(x-te)/(tf-te),TRUE,100)))</f>
        <v/>
      </c>
      <c r="J38" s="35" t="str">
        <f>IF('Stress Inputs'!J38="","",LET(d,Rulebook!$L38,x,'Stress Inputs'!J38*d,ta,Rulebook!$G38*d,tb,Rulebook!$H38*d,tc,Rulebook!$I38*d,te,Rulebook!$J38*d,tf,Rulebook!$K38*d,IFS(x&lt;=ta,0,x&lt;=tb,25*(x-ta)/(tb-ta),x&lt;=tc,25+25*(x-tb)/(tc-tb),x&lt;=te,50+25*(x-tc)/(te-tc),x&lt;tf,75+25*(x-te)/(tf-te),TRUE,100)))</f>
        <v/>
      </c>
      <c r="K38" s="35" t="str">
        <f>IF('Stress Inputs'!K38="","",LET(d,Rulebook!$L38,x,'Stress Inputs'!K38*d,ta,Rulebook!$G38*d,tb,Rulebook!$H38*d,tc,Rulebook!$I38*d,te,Rulebook!$J38*d,tf,Rulebook!$K38*d,IFS(x&lt;=ta,0,x&lt;=tb,25*(x-ta)/(tb-ta),x&lt;=tc,25+25*(x-tb)/(tc-tb),x&lt;=te,50+25*(x-tc)/(te-tc),x&lt;tf,75+25*(x-te)/(tf-te),TRUE,100)))</f>
        <v/>
      </c>
      <c r="L38" s="35" t="str">
        <f>IF('Stress Inputs'!L38="","",LET(d,Rulebook!$L38,x,'Stress Inputs'!L38*d,ta,Rulebook!$G38*d,tb,Rulebook!$H38*d,tc,Rulebook!$I38*d,te,Rulebook!$J38*d,tf,Rulebook!$K38*d,IFS(x&lt;=ta,0,x&lt;=tb,25*(x-ta)/(tb-ta),x&lt;=tc,25+25*(x-tb)/(tc-tb),x&lt;=te,50+25*(x-tc)/(te-tc),x&lt;tf,75+25*(x-te)/(tf-te),TRUE,100)))</f>
        <v/>
      </c>
      <c r="M38" s="35" t="str">
        <f>IF('Stress Inputs'!M38="","",LET(d,Rulebook!$L38,x,'Stress Inputs'!M38*d,ta,Rulebook!$G38*d,tb,Rulebook!$H38*d,tc,Rulebook!$I38*d,te,Rulebook!$J38*d,tf,Rulebook!$K38*d,IFS(x&lt;=ta,0,x&lt;=tb,25*(x-ta)/(tb-ta),x&lt;=tc,25+25*(x-tb)/(tc-tb),x&lt;=te,50+25*(x-tc)/(te-tc),x&lt;tf,75+25*(x-te)/(tf-te),TRUE,100)))</f>
        <v/>
      </c>
      <c r="N38" s="35" t="str">
        <f>IF('Stress Inputs'!N38="","",LET(d,Rulebook!$L38,x,'Stress Inputs'!N38*d,ta,Rulebook!$G38*d,tb,Rulebook!$H38*d,tc,Rulebook!$I38*d,te,Rulebook!$J38*d,tf,Rulebook!$K38*d,IFS(x&lt;=ta,0,x&lt;=tb,25*(x-ta)/(tb-ta),x&lt;=tc,25+25*(x-tb)/(tc-tb),x&lt;=te,50+25*(x-tc)/(te-tc),x&lt;tf,75+25*(x-te)/(tf-te),TRUE,100)))</f>
        <v/>
      </c>
      <c r="O38" s="35" t="str">
        <f>IF('Stress Inputs'!O38="","",LET(d,Rulebook!$L38,x,'Stress Inputs'!O38*d,ta,Rulebook!$G38*d,tb,Rulebook!$H38*d,tc,Rulebook!$I38*d,te,Rulebook!$J38*d,tf,Rulebook!$K38*d,IFS(x&lt;=ta,0,x&lt;=tb,25*(x-ta)/(tb-ta),x&lt;=tc,25+25*(x-tb)/(tc-tb),x&lt;=te,50+25*(x-tc)/(te-tc),x&lt;tf,75+25*(x-te)/(tf-te),TRUE,100)))</f>
        <v/>
      </c>
      <c r="P38" s="35" t="str">
        <f>IF('Stress Inputs'!P38="","",LET(d,Rulebook!$L38,x,'Stress Inputs'!P38*d,ta,Rulebook!$G38*d,tb,Rulebook!$H38*d,tc,Rulebook!$I38*d,te,Rulebook!$J38*d,tf,Rulebook!$K38*d,IFS(x&lt;=ta,0,x&lt;=tb,25*(x-ta)/(tb-ta),x&lt;=tc,25+25*(x-tb)/(tc-tb),x&lt;=te,50+25*(x-tc)/(te-tc),x&lt;tf,75+25*(x-te)/(tf-te),TRUE,100)))</f>
        <v/>
      </c>
      <c r="Q38" s="35" t="str">
        <f>IF('Stress Inputs'!Q38="","",LET(d,Rulebook!$L38,x,'Stress Inputs'!Q38*d,ta,Rulebook!$G38*d,tb,Rulebook!$H38*d,tc,Rulebook!$I38*d,te,Rulebook!$J38*d,tf,Rulebook!$K38*d,IFS(x&lt;=ta,0,x&lt;=tb,25*(x-ta)/(tb-ta),x&lt;=tc,25+25*(x-tb)/(tc-tb),x&lt;=te,50+25*(x-tc)/(te-tc),x&lt;tf,75+25*(x-te)/(tf-te),TRUE,100)))</f>
        <v/>
      </c>
      <c r="R38" s="35" t="str">
        <f>IF('Stress Inputs'!R38="","",LET(d,Rulebook!$L38,x,'Stress Inputs'!R38*d,ta,Rulebook!$G38*d,tb,Rulebook!$H38*d,tc,Rulebook!$I38*d,te,Rulebook!$J38*d,tf,Rulebook!$K38*d,IFS(x&lt;=ta,0,x&lt;=tb,25*(x-ta)/(tb-ta),x&lt;=tc,25+25*(x-tb)/(tc-tb),x&lt;=te,50+25*(x-tc)/(te-tc),x&lt;tf,75+25*(x-te)/(tf-te),TRUE,100)))</f>
        <v/>
      </c>
      <c r="S38" s="35" t="str">
        <f>IF('Stress Inputs'!S38="","",LET(d,Rulebook!$L38,x,'Stress Inputs'!S38*d,ta,Rulebook!$G38*d,tb,Rulebook!$H38*d,tc,Rulebook!$I38*d,te,Rulebook!$J38*d,tf,Rulebook!$K38*d,IFS(x&lt;=ta,0,x&lt;=tb,25*(x-ta)/(tb-ta),x&lt;=tc,25+25*(x-tb)/(tc-tb),x&lt;=te,50+25*(x-tc)/(te-tc),x&lt;tf,75+25*(x-te)/(tf-te),TRUE,100)))</f>
        <v/>
      </c>
      <c r="T38" s="35" t="str">
        <f>IF('Stress Inputs'!T38="","",LET(d,Rulebook!$L38,x,'Stress Inputs'!T38*d,ta,Rulebook!$G38*d,tb,Rulebook!$H38*d,tc,Rulebook!$I38*d,te,Rulebook!$J38*d,tf,Rulebook!$K38*d,IFS(x&lt;=ta,0,x&lt;=tb,25*(x-ta)/(tb-ta),x&lt;=tc,25+25*(x-tb)/(tc-tb),x&lt;=te,50+25*(x-tc)/(te-tc),x&lt;tf,75+25*(x-te)/(tf-te),TRUE,100)))</f>
        <v/>
      </c>
      <c r="U38" s="35" t="str">
        <f>IF('Stress Inputs'!U38="","",LET(d,Rulebook!$L38,x,'Stress Inputs'!U38*d,ta,Rulebook!$G38*d,tb,Rulebook!$H38*d,tc,Rulebook!$I38*d,te,Rulebook!$J38*d,tf,Rulebook!$K38*d,IFS(x&lt;=ta,0,x&lt;=tb,25*(x-ta)/(tb-ta),x&lt;=tc,25+25*(x-tb)/(tc-tb),x&lt;=te,50+25*(x-tc)/(te-tc),x&lt;tf,75+25*(x-te)/(tf-te),TRUE,100)))</f>
        <v/>
      </c>
      <c r="V38" s="35" t="str">
        <f>IF('Stress Inputs'!V38="","",LET(d,Rulebook!$L38,x,'Stress Inputs'!V38*d,ta,Rulebook!$G38*d,tb,Rulebook!$H38*d,tc,Rulebook!$I38*d,te,Rulebook!$J38*d,tf,Rulebook!$K38*d,IFS(x&lt;=ta,0,x&lt;=tb,25*(x-ta)/(tb-ta),x&lt;=tc,25+25*(x-tb)/(tc-tb),x&lt;=te,50+25*(x-tc)/(te-tc),x&lt;tf,75+25*(x-te)/(tf-te),TRUE,100)))</f>
        <v/>
      </c>
    </row>
    <row r="39">
      <c r="A39" s="26" t="s">
        <v>585</v>
      </c>
      <c r="B39" s="26">
        <v>4.0</v>
      </c>
      <c r="C39" s="26" t="s">
        <v>586</v>
      </c>
      <c r="D39" s="26" t="s">
        <v>254</v>
      </c>
      <c r="E39" s="35" t="str">
        <f>IF('Stress Inputs'!E39="","",LET(d,Rulebook!$L39,x,'Stress Inputs'!E39*d,ta,Rulebook!$G39*d,tb,Rulebook!$H39*d,tc,Rulebook!$I39*d,te,Rulebook!$J39*d,tf,Rulebook!$K39*d,IFS(x&lt;=ta,0,x&lt;=tb,25*(x-ta)/(tb-ta),x&lt;=tc,25+25*(x-tb)/(tc-tb),x&lt;=te,50+25*(x-tc)/(te-tc),x&lt;tf,75+25*(x-te)/(tf-te),TRUE,100)))</f>
        <v/>
      </c>
      <c r="F39" s="35" t="str">
        <f>IF('Stress Inputs'!F39="","",LET(d,Rulebook!$L39,x,'Stress Inputs'!F39*d,ta,Rulebook!$G39*d,tb,Rulebook!$H39*d,tc,Rulebook!$I39*d,te,Rulebook!$J39*d,tf,Rulebook!$K39*d,IFS(x&lt;=ta,0,x&lt;=tb,25*(x-ta)/(tb-ta),x&lt;=tc,25+25*(x-tb)/(tc-tb),x&lt;=te,50+25*(x-tc)/(te-tc),x&lt;tf,75+25*(x-te)/(tf-te),TRUE,100)))</f>
        <v/>
      </c>
      <c r="G39" s="35" t="str">
        <f>IF('Stress Inputs'!G39="","",LET(d,Rulebook!$L39,x,'Stress Inputs'!G39*d,ta,Rulebook!$G39*d,tb,Rulebook!$H39*d,tc,Rulebook!$I39*d,te,Rulebook!$J39*d,tf,Rulebook!$K39*d,IFS(x&lt;=ta,0,x&lt;=tb,25*(x-ta)/(tb-ta),x&lt;=tc,25+25*(x-tb)/(tc-tb),x&lt;=te,50+25*(x-tc)/(te-tc),x&lt;tf,75+25*(x-te)/(tf-te),TRUE,100)))</f>
        <v/>
      </c>
      <c r="H39" s="35" t="str">
        <f>IF('Stress Inputs'!H39="","",LET(d,Rulebook!$L39,x,'Stress Inputs'!H39*d,ta,Rulebook!$G39*d,tb,Rulebook!$H39*d,tc,Rulebook!$I39*d,te,Rulebook!$J39*d,tf,Rulebook!$K39*d,IFS(x&lt;=ta,0,x&lt;=tb,25*(x-ta)/(tb-ta),x&lt;=tc,25+25*(x-tb)/(tc-tb),x&lt;=te,50+25*(x-tc)/(te-tc),x&lt;tf,75+25*(x-te)/(tf-te),TRUE,100)))</f>
        <v/>
      </c>
      <c r="I39" s="35" t="str">
        <f>IF('Stress Inputs'!I39="","",LET(d,Rulebook!$L39,x,'Stress Inputs'!I39*d,ta,Rulebook!$G39*d,tb,Rulebook!$H39*d,tc,Rulebook!$I39*d,te,Rulebook!$J39*d,tf,Rulebook!$K39*d,IFS(x&lt;=ta,0,x&lt;=tb,25*(x-ta)/(tb-ta),x&lt;=tc,25+25*(x-tb)/(tc-tb),x&lt;=te,50+25*(x-tc)/(te-tc),x&lt;tf,75+25*(x-te)/(tf-te),TRUE,100)))</f>
        <v/>
      </c>
      <c r="J39" s="35" t="str">
        <f>IF('Stress Inputs'!J39="","",LET(d,Rulebook!$L39,x,'Stress Inputs'!J39*d,ta,Rulebook!$G39*d,tb,Rulebook!$H39*d,tc,Rulebook!$I39*d,te,Rulebook!$J39*d,tf,Rulebook!$K39*d,IFS(x&lt;=ta,0,x&lt;=tb,25*(x-ta)/(tb-ta),x&lt;=tc,25+25*(x-tb)/(tc-tb),x&lt;=te,50+25*(x-tc)/(te-tc),x&lt;tf,75+25*(x-te)/(tf-te),TRUE,100)))</f>
        <v/>
      </c>
      <c r="K39" s="35" t="str">
        <f>IF('Stress Inputs'!K39="","",LET(d,Rulebook!$L39,x,'Stress Inputs'!K39*d,ta,Rulebook!$G39*d,tb,Rulebook!$H39*d,tc,Rulebook!$I39*d,te,Rulebook!$J39*d,tf,Rulebook!$K39*d,IFS(x&lt;=ta,0,x&lt;=tb,25*(x-ta)/(tb-ta),x&lt;=tc,25+25*(x-tb)/(tc-tb),x&lt;=te,50+25*(x-tc)/(te-tc),x&lt;tf,75+25*(x-te)/(tf-te),TRUE,100)))</f>
        <v/>
      </c>
      <c r="L39" s="35" t="str">
        <f>IF('Stress Inputs'!L39="","",LET(d,Rulebook!$L39,x,'Stress Inputs'!L39*d,ta,Rulebook!$G39*d,tb,Rulebook!$H39*d,tc,Rulebook!$I39*d,te,Rulebook!$J39*d,tf,Rulebook!$K39*d,IFS(x&lt;=ta,0,x&lt;=tb,25*(x-ta)/(tb-ta),x&lt;=tc,25+25*(x-tb)/(tc-tb),x&lt;=te,50+25*(x-tc)/(te-tc),x&lt;tf,75+25*(x-te)/(tf-te),TRUE,100)))</f>
        <v/>
      </c>
      <c r="M39" s="35" t="str">
        <f>IF('Stress Inputs'!M39="","",LET(d,Rulebook!$L39,x,'Stress Inputs'!M39*d,ta,Rulebook!$G39*d,tb,Rulebook!$H39*d,tc,Rulebook!$I39*d,te,Rulebook!$J39*d,tf,Rulebook!$K39*d,IFS(x&lt;=ta,0,x&lt;=tb,25*(x-ta)/(tb-ta),x&lt;=tc,25+25*(x-tb)/(tc-tb),x&lt;=te,50+25*(x-tc)/(te-tc),x&lt;tf,75+25*(x-te)/(tf-te),TRUE,100)))</f>
        <v/>
      </c>
      <c r="N39" s="35" t="str">
        <f>IF('Stress Inputs'!N39="","",LET(d,Rulebook!$L39,x,'Stress Inputs'!N39*d,ta,Rulebook!$G39*d,tb,Rulebook!$H39*d,tc,Rulebook!$I39*d,te,Rulebook!$J39*d,tf,Rulebook!$K39*d,IFS(x&lt;=ta,0,x&lt;=tb,25*(x-ta)/(tb-ta),x&lt;=tc,25+25*(x-tb)/(tc-tb),x&lt;=te,50+25*(x-tc)/(te-tc),x&lt;tf,75+25*(x-te)/(tf-te),TRUE,100)))</f>
        <v/>
      </c>
      <c r="O39" s="35" t="str">
        <f>IF('Stress Inputs'!O39="","",LET(d,Rulebook!$L39,x,'Stress Inputs'!O39*d,ta,Rulebook!$G39*d,tb,Rulebook!$H39*d,tc,Rulebook!$I39*d,te,Rulebook!$J39*d,tf,Rulebook!$K39*d,IFS(x&lt;=ta,0,x&lt;=tb,25*(x-ta)/(tb-ta),x&lt;=tc,25+25*(x-tb)/(tc-tb),x&lt;=te,50+25*(x-tc)/(te-tc),x&lt;tf,75+25*(x-te)/(tf-te),TRUE,100)))</f>
        <v/>
      </c>
      <c r="P39" s="35" t="str">
        <f>IF('Stress Inputs'!P39="","",LET(d,Rulebook!$L39,x,'Stress Inputs'!P39*d,ta,Rulebook!$G39*d,tb,Rulebook!$H39*d,tc,Rulebook!$I39*d,te,Rulebook!$J39*d,tf,Rulebook!$K39*d,IFS(x&lt;=ta,0,x&lt;=tb,25*(x-ta)/(tb-ta),x&lt;=tc,25+25*(x-tb)/(tc-tb),x&lt;=te,50+25*(x-tc)/(te-tc),x&lt;tf,75+25*(x-te)/(tf-te),TRUE,100)))</f>
        <v/>
      </c>
      <c r="Q39" s="35" t="str">
        <f>IF('Stress Inputs'!Q39="","",LET(d,Rulebook!$L39,x,'Stress Inputs'!Q39*d,ta,Rulebook!$G39*d,tb,Rulebook!$H39*d,tc,Rulebook!$I39*d,te,Rulebook!$J39*d,tf,Rulebook!$K39*d,IFS(x&lt;=ta,0,x&lt;=tb,25*(x-ta)/(tb-ta),x&lt;=tc,25+25*(x-tb)/(tc-tb),x&lt;=te,50+25*(x-tc)/(te-tc),x&lt;tf,75+25*(x-te)/(tf-te),TRUE,100)))</f>
        <v/>
      </c>
      <c r="R39" s="35" t="str">
        <f>IF('Stress Inputs'!R39="","",LET(d,Rulebook!$L39,x,'Stress Inputs'!R39*d,ta,Rulebook!$G39*d,tb,Rulebook!$H39*d,tc,Rulebook!$I39*d,te,Rulebook!$J39*d,tf,Rulebook!$K39*d,IFS(x&lt;=ta,0,x&lt;=tb,25*(x-ta)/(tb-ta),x&lt;=tc,25+25*(x-tb)/(tc-tb),x&lt;=te,50+25*(x-tc)/(te-tc),x&lt;tf,75+25*(x-te)/(tf-te),TRUE,100)))</f>
        <v/>
      </c>
      <c r="S39" s="35" t="str">
        <f>IF('Stress Inputs'!S39="","",LET(d,Rulebook!$L39,x,'Stress Inputs'!S39*d,ta,Rulebook!$G39*d,tb,Rulebook!$H39*d,tc,Rulebook!$I39*d,te,Rulebook!$J39*d,tf,Rulebook!$K39*d,IFS(x&lt;=ta,0,x&lt;=tb,25*(x-ta)/(tb-ta),x&lt;=tc,25+25*(x-tb)/(tc-tb),x&lt;=te,50+25*(x-tc)/(te-tc),x&lt;tf,75+25*(x-te)/(tf-te),TRUE,100)))</f>
        <v/>
      </c>
      <c r="T39" s="35" t="str">
        <f>IF('Stress Inputs'!T39="","",LET(d,Rulebook!$L39,x,'Stress Inputs'!T39*d,ta,Rulebook!$G39*d,tb,Rulebook!$H39*d,tc,Rulebook!$I39*d,te,Rulebook!$J39*d,tf,Rulebook!$K39*d,IFS(x&lt;=ta,0,x&lt;=tb,25*(x-ta)/(tb-ta),x&lt;=tc,25+25*(x-tb)/(tc-tb),x&lt;=te,50+25*(x-tc)/(te-tc),x&lt;tf,75+25*(x-te)/(tf-te),TRUE,100)))</f>
        <v/>
      </c>
      <c r="U39" s="35" t="str">
        <f>IF('Stress Inputs'!U39="","",LET(d,Rulebook!$L39,x,'Stress Inputs'!U39*d,ta,Rulebook!$G39*d,tb,Rulebook!$H39*d,tc,Rulebook!$I39*d,te,Rulebook!$J39*d,tf,Rulebook!$K39*d,IFS(x&lt;=ta,0,x&lt;=tb,25*(x-ta)/(tb-ta),x&lt;=tc,25+25*(x-tb)/(tc-tb),x&lt;=te,50+25*(x-tc)/(te-tc),x&lt;tf,75+25*(x-te)/(tf-te),TRUE,100)))</f>
        <v/>
      </c>
      <c r="V39" s="35" t="str">
        <f>IF('Stress Inputs'!V39="","",LET(d,Rulebook!$L39,x,'Stress Inputs'!V39*d,ta,Rulebook!$G39*d,tb,Rulebook!$H39*d,tc,Rulebook!$I39*d,te,Rulebook!$J39*d,tf,Rulebook!$K39*d,IFS(x&lt;=ta,0,x&lt;=tb,25*(x-ta)/(tb-ta),x&lt;=tc,25+25*(x-tb)/(tc-tb),x&lt;=te,50+25*(x-tc)/(te-tc),x&lt;tf,75+25*(x-te)/(tf-te),TRUE,100)))</f>
        <v/>
      </c>
    </row>
    <row r="40">
      <c r="A40" s="26" t="s">
        <v>593</v>
      </c>
      <c r="B40" s="26">
        <v>4.0</v>
      </c>
      <c r="C40" s="26" t="s">
        <v>594</v>
      </c>
      <c r="D40" s="26" t="s">
        <v>254</v>
      </c>
      <c r="E40" s="35" t="str">
        <f>IF('Stress Inputs'!E40="","",LET(d,Rulebook!$L40,x,'Stress Inputs'!E40*d,ta,Rulebook!$G40*d,tb,Rulebook!$H40*d,tc,Rulebook!$I40*d,te,Rulebook!$J40*d,tf,Rulebook!$K40*d,IFS(x&lt;=ta,0,x&lt;=tb,25*(x-ta)/(tb-ta),x&lt;=tc,25+25*(x-tb)/(tc-tb),x&lt;=te,50+25*(x-tc)/(te-tc),x&lt;tf,75+25*(x-te)/(tf-te),TRUE,100)))</f>
        <v/>
      </c>
      <c r="F40" s="35" t="str">
        <f>IF('Stress Inputs'!F40="","",LET(d,Rulebook!$L40,x,'Stress Inputs'!F40*d,ta,Rulebook!$G40*d,tb,Rulebook!$H40*d,tc,Rulebook!$I40*d,te,Rulebook!$J40*d,tf,Rulebook!$K40*d,IFS(x&lt;=ta,0,x&lt;=tb,25*(x-ta)/(tb-ta),x&lt;=tc,25+25*(x-tb)/(tc-tb),x&lt;=te,50+25*(x-tc)/(te-tc),x&lt;tf,75+25*(x-te)/(tf-te),TRUE,100)))</f>
        <v/>
      </c>
      <c r="G40" s="35" t="str">
        <f>IF('Stress Inputs'!G40="","",LET(d,Rulebook!$L40,x,'Stress Inputs'!G40*d,ta,Rulebook!$G40*d,tb,Rulebook!$H40*d,tc,Rulebook!$I40*d,te,Rulebook!$J40*d,tf,Rulebook!$K40*d,IFS(x&lt;=ta,0,x&lt;=tb,25*(x-ta)/(tb-ta),x&lt;=tc,25+25*(x-tb)/(tc-tb),x&lt;=te,50+25*(x-tc)/(te-tc),x&lt;tf,75+25*(x-te)/(tf-te),TRUE,100)))</f>
        <v/>
      </c>
      <c r="H40" s="35" t="str">
        <f>IF('Stress Inputs'!H40="","",LET(d,Rulebook!$L40,x,'Stress Inputs'!H40*d,ta,Rulebook!$G40*d,tb,Rulebook!$H40*d,tc,Rulebook!$I40*d,te,Rulebook!$J40*d,tf,Rulebook!$K40*d,IFS(x&lt;=ta,0,x&lt;=tb,25*(x-ta)/(tb-ta),x&lt;=tc,25+25*(x-tb)/(tc-tb),x&lt;=te,50+25*(x-tc)/(te-tc),x&lt;tf,75+25*(x-te)/(tf-te),TRUE,100)))</f>
        <v/>
      </c>
      <c r="I40" s="35" t="str">
        <f>IF('Stress Inputs'!I40="","",LET(d,Rulebook!$L40,x,'Stress Inputs'!I40*d,ta,Rulebook!$G40*d,tb,Rulebook!$H40*d,tc,Rulebook!$I40*d,te,Rulebook!$J40*d,tf,Rulebook!$K40*d,IFS(x&lt;=ta,0,x&lt;=tb,25*(x-ta)/(tb-ta),x&lt;=tc,25+25*(x-tb)/(tc-tb),x&lt;=te,50+25*(x-tc)/(te-tc),x&lt;tf,75+25*(x-te)/(tf-te),TRUE,100)))</f>
        <v/>
      </c>
      <c r="J40" s="35" t="str">
        <f>IF('Stress Inputs'!J40="","",LET(d,Rulebook!$L40,x,'Stress Inputs'!J40*d,ta,Rulebook!$G40*d,tb,Rulebook!$H40*d,tc,Rulebook!$I40*d,te,Rulebook!$J40*d,tf,Rulebook!$K40*d,IFS(x&lt;=ta,0,x&lt;=tb,25*(x-ta)/(tb-ta),x&lt;=tc,25+25*(x-tb)/(tc-tb),x&lt;=te,50+25*(x-tc)/(te-tc),x&lt;tf,75+25*(x-te)/(tf-te),TRUE,100)))</f>
        <v/>
      </c>
      <c r="K40" s="35" t="str">
        <f>IF('Stress Inputs'!K40="","",LET(d,Rulebook!$L40,x,'Stress Inputs'!K40*d,ta,Rulebook!$G40*d,tb,Rulebook!$H40*d,tc,Rulebook!$I40*d,te,Rulebook!$J40*d,tf,Rulebook!$K40*d,IFS(x&lt;=ta,0,x&lt;=tb,25*(x-ta)/(tb-ta),x&lt;=tc,25+25*(x-tb)/(tc-tb),x&lt;=te,50+25*(x-tc)/(te-tc),x&lt;tf,75+25*(x-te)/(tf-te),TRUE,100)))</f>
        <v/>
      </c>
      <c r="L40" s="35" t="str">
        <f>IF('Stress Inputs'!L40="","",LET(d,Rulebook!$L40,x,'Stress Inputs'!L40*d,ta,Rulebook!$G40*d,tb,Rulebook!$H40*d,tc,Rulebook!$I40*d,te,Rulebook!$J40*d,tf,Rulebook!$K40*d,IFS(x&lt;=ta,0,x&lt;=tb,25*(x-ta)/(tb-ta),x&lt;=tc,25+25*(x-tb)/(tc-tb),x&lt;=te,50+25*(x-tc)/(te-tc),x&lt;tf,75+25*(x-te)/(tf-te),TRUE,100)))</f>
        <v/>
      </c>
      <c r="M40" s="35" t="str">
        <f>IF('Stress Inputs'!M40="","",LET(d,Rulebook!$L40,x,'Stress Inputs'!M40*d,ta,Rulebook!$G40*d,tb,Rulebook!$H40*d,tc,Rulebook!$I40*d,te,Rulebook!$J40*d,tf,Rulebook!$K40*d,IFS(x&lt;=ta,0,x&lt;=tb,25*(x-ta)/(tb-ta),x&lt;=tc,25+25*(x-tb)/(tc-tb),x&lt;=te,50+25*(x-tc)/(te-tc),x&lt;tf,75+25*(x-te)/(tf-te),TRUE,100)))</f>
        <v/>
      </c>
      <c r="N40" s="35" t="str">
        <f>IF('Stress Inputs'!N40="","",LET(d,Rulebook!$L40,x,'Stress Inputs'!N40*d,ta,Rulebook!$G40*d,tb,Rulebook!$H40*d,tc,Rulebook!$I40*d,te,Rulebook!$J40*d,tf,Rulebook!$K40*d,IFS(x&lt;=ta,0,x&lt;=tb,25*(x-ta)/(tb-ta),x&lt;=tc,25+25*(x-tb)/(tc-tb),x&lt;=te,50+25*(x-tc)/(te-tc),x&lt;tf,75+25*(x-te)/(tf-te),TRUE,100)))</f>
        <v/>
      </c>
      <c r="O40" s="35" t="str">
        <f>IF('Stress Inputs'!O40="","",LET(d,Rulebook!$L40,x,'Stress Inputs'!O40*d,ta,Rulebook!$G40*d,tb,Rulebook!$H40*d,tc,Rulebook!$I40*d,te,Rulebook!$J40*d,tf,Rulebook!$K40*d,IFS(x&lt;=ta,0,x&lt;=tb,25*(x-ta)/(tb-ta),x&lt;=tc,25+25*(x-tb)/(tc-tb),x&lt;=te,50+25*(x-tc)/(te-tc),x&lt;tf,75+25*(x-te)/(tf-te),TRUE,100)))</f>
        <v/>
      </c>
      <c r="P40" s="35" t="str">
        <f>IF('Stress Inputs'!P40="","",LET(d,Rulebook!$L40,x,'Stress Inputs'!P40*d,ta,Rulebook!$G40*d,tb,Rulebook!$H40*d,tc,Rulebook!$I40*d,te,Rulebook!$J40*d,tf,Rulebook!$K40*d,IFS(x&lt;=ta,0,x&lt;=tb,25*(x-ta)/(tb-ta),x&lt;=tc,25+25*(x-tb)/(tc-tb),x&lt;=te,50+25*(x-tc)/(te-tc),x&lt;tf,75+25*(x-te)/(tf-te),TRUE,100)))</f>
        <v/>
      </c>
      <c r="Q40" s="35" t="str">
        <f>IF('Stress Inputs'!Q40="","",LET(d,Rulebook!$L40,x,'Stress Inputs'!Q40*d,ta,Rulebook!$G40*d,tb,Rulebook!$H40*d,tc,Rulebook!$I40*d,te,Rulebook!$J40*d,tf,Rulebook!$K40*d,IFS(x&lt;=ta,0,x&lt;=tb,25*(x-ta)/(tb-ta),x&lt;=tc,25+25*(x-tb)/(tc-tb),x&lt;=te,50+25*(x-tc)/(te-tc),x&lt;tf,75+25*(x-te)/(tf-te),TRUE,100)))</f>
        <v/>
      </c>
      <c r="R40" s="35" t="str">
        <f>IF('Stress Inputs'!R40="","",LET(d,Rulebook!$L40,x,'Stress Inputs'!R40*d,ta,Rulebook!$G40*d,tb,Rulebook!$H40*d,tc,Rulebook!$I40*d,te,Rulebook!$J40*d,tf,Rulebook!$K40*d,IFS(x&lt;=ta,0,x&lt;=tb,25*(x-ta)/(tb-ta),x&lt;=tc,25+25*(x-tb)/(tc-tb),x&lt;=te,50+25*(x-tc)/(te-tc),x&lt;tf,75+25*(x-te)/(tf-te),TRUE,100)))</f>
        <v/>
      </c>
      <c r="S40" s="35" t="str">
        <f>IF('Stress Inputs'!S40="","",LET(d,Rulebook!$L40,x,'Stress Inputs'!S40*d,ta,Rulebook!$G40*d,tb,Rulebook!$H40*d,tc,Rulebook!$I40*d,te,Rulebook!$J40*d,tf,Rulebook!$K40*d,IFS(x&lt;=ta,0,x&lt;=tb,25*(x-ta)/(tb-ta),x&lt;=tc,25+25*(x-tb)/(tc-tb),x&lt;=te,50+25*(x-tc)/(te-tc),x&lt;tf,75+25*(x-te)/(tf-te),TRUE,100)))</f>
        <v/>
      </c>
      <c r="T40" s="35" t="str">
        <f>IF('Stress Inputs'!T40="","",LET(d,Rulebook!$L40,x,'Stress Inputs'!T40*d,ta,Rulebook!$G40*d,tb,Rulebook!$H40*d,tc,Rulebook!$I40*d,te,Rulebook!$J40*d,tf,Rulebook!$K40*d,IFS(x&lt;=ta,0,x&lt;=tb,25*(x-ta)/(tb-ta),x&lt;=tc,25+25*(x-tb)/(tc-tb),x&lt;=te,50+25*(x-tc)/(te-tc),x&lt;tf,75+25*(x-te)/(tf-te),TRUE,100)))</f>
        <v/>
      </c>
      <c r="U40" s="35" t="str">
        <f>IF('Stress Inputs'!U40="","",LET(d,Rulebook!$L40,x,'Stress Inputs'!U40*d,ta,Rulebook!$G40*d,tb,Rulebook!$H40*d,tc,Rulebook!$I40*d,te,Rulebook!$J40*d,tf,Rulebook!$K40*d,IFS(x&lt;=ta,0,x&lt;=tb,25*(x-ta)/(tb-ta),x&lt;=tc,25+25*(x-tb)/(tc-tb),x&lt;=te,50+25*(x-tc)/(te-tc),x&lt;tf,75+25*(x-te)/(tf-te),TRUE,100)))</f>
        <v/>
      </c>
      <c r="V40" s="35" t="str">
        <f>IF('Stress Inputs'!V40="","",LET(d,Rulebook!$L40,x,'Stress Inputs'!V40*d,ta,Rulebook!$G40*d,tb,Rulebook!$H40*d,tc,Rulebook!$I40*d,te,Rulebook!$J40*d,tf,Rulebook!$K40*d,IFS(x&lt;=ta,0,x&lt;=tb,25*(x-ta)/(tb-ta),x&lt;=tc,25+25*(x-tb)/(tc-tb),x&lt;=te,50+25*(x-tc)/(te-tc),x&lt;tf,75+25*(x-te)/(tf-te),TRUE,100)))</f>
        <v/>
      </c>
    </row>
    <row r="41">
      <c r="A41" s="26" t="s">
        <v>598</v>
      </c>
      <c r="B41" s="26">
        <v>4.0</v>
      </c>
      <c r="C41" s="26" t="s">
        <v>599</v>
      </c>
      <c r="D41" s="26" t="s">
        <v>254</v>
      </c>
      <c r="E41" s="35" t="str">
        <f>IF('Stress Inputs'!E41="","",LET(d,Rulebook!$L41,x,'Stress Inputs'!E41*d,ta,Rulebook!$G41*d,tb,Rulebook!$H41*d,tc,Rulebook!$I41*d,te,Rulebook!$J41*d,tf,Rulebook!$K41*d,IFS(x&lt;=ta,0,x&lt;=tb,25*(x-ta)/(tb-ta),x&lt;=tc,25+25*(x-tb)/(tc-tb),x&lt;=te,50+25*(x-tc)/(te-tc),x&lt;tf,75+25*(x-te)/(tf-te),TRUE,100)))</f>
        <v/>
      </c>
      <c r="F41" s="35" t="str">
        <f>IF('Stress Inputs'!F41="","",LET(d,Rulebook!$L41,x,'Stress Inputs'!F41*d,ta,Rulebook!$G41*d,tb,Rulebook!$H41*d,tc,Rulebook!$I41*d,te,Rulebook!$J41*d,tf,Rulebook!$K41*d,IFS(x&lt;=ta,0,x&lt;=tb,25*(x-ta)/(tb-ta),x&lt;=tc,25+25*(x-tb)/(tc-tb),x&lt;=te,50+25*(x-tc)/(te-tc),x&lt;tf,75+25*(x-te)/(tf-te),TRUE,100)))</f>
        <v/>
      </c>
      <c r="G41" s="35" t="str">
        <f>IF('Stress Inputs'!G41="","",LET(d,Rulebook!$L41,x,'Stress Inputs'!G41*d,ta,Rulebook!$G41*d,tb,Rulebook!$H41*d,tc,Rulebook!$I41*d,te,Rulebook!$J41*d,tf,Rulebook!$K41*d,IFS(x&lt;=ta,0,x&lt;=tb,25*(x-ta)/(tb-ta),x&lt;=tc,25+25*(x-tb)/(tc-tb),x&lt;=te,50+25*(x-tc)/(te-tc),x&lt;tf,75+25*(x-te)/(tf-te),TRUE,100)))</f>
        <v/>
      </c>
      <c r="H41" s="35" t="str">
        <f>IF('Stress Inputs'!H41="","",LET(d,Rulebook!$L41,x,'Stress Inputs'!H41*d,ta,Rulebook!$G41*d,tb,Rulebook!$H41*d,tc,Rulebook!$I41*d,te,Rulebook!$J41*d,tf,Rulebook!$K41*d,IFS(x&lt;=ta,0,x&lt;=tb,25*(x-ta)/(tb-ta),x&lt;=tc,25+25*(x-tb)/(tc-tb),x&lt;=te,50+25*(x-tc)/(te-tc),x&lt;tf,75+25*(x-te)/(tf-te),TRUE,100)))</f>
        <v/>
      </c>
      <c r="I41" s="35" t="str">
        <f>IF('Stress Inputs'!I41="","",LET(d,Rulebook!$L41,x,'Stress Inputs'!I41*d,ta,Rulebook!$G41*d,tb,Rulebook!$H41*d,tc,Rulebook!$I41*d,te,Rulebook!$J41*d,tf,Rulebook!$K41*d,IFS(x&lt;=ta,0,x&lt;=tb,25*(x-ta)/(tb-ta),x&lt;=tc,25+25*(x-tb)/(tc-tb),x&lt;=te,50+25*(x-tc)/(te-tc),x&lt;tf,75+25*(x-te)/(tf-te),TRUE,100)))</f>
        <v/>
      </c>
      <c r="J41" s="35" t="str">
        <f>IF('Stress Inputs'!J41="","",LET(d,Rulebook!$L41,x,'Stress Inputs'!J41*d,ta,Rulebook!$G41*d,tb,Rulebook!$H41*d,tc,Rulebook!$I41*d,te,Rulebook!$J41*d,tf,Rulebook!$K41*d,IFS(x&lt;=ta,0,x&lt;=tb,25*(x-ta)/(tb-ta),x&lt;=tc,25+25*(x-tb)/(tc-tb),x&lt;=te,50+25*(x-tc)/(te-tc),x&lt;tf,75+25*(x-te)/(tf-te),TRUE,100)))</f>
        <v/>
      </c>
      <c r="K41" s="35" t="str">
        <f>IF('Stress Inputs'!K41="","",LET(d,Rulebook!$L41,x,'Stress Inputs'!K41*d,ta,Rulebook!$G41*d,tb,Rulebook!$H41*d,tc,Rulebook!$I41*d,te,Rulebook!$J41*d,tf,Rulebook!$K41*d,IFS(x&lt;=ta,0,x&lt;=tb,25*(x-ta)/(tb-ta),x&lt;=tc,25+25*(x-tb)/(tc-tb),x&lt;=te,50+25*(x-tc)/(te-tc),x&lt;tf,75+25*(x-te)/(tf-te),TRUE,100)))</f>
        <v/>
      </c>
      <c r="L41" s="35" t="str">
        <f>IF('Stress Inputs'!L41="","",LET(d,Rulebook!$L41,x,'Stress Inputs'!L41*d,ta,Rulebook!$G41*d,tb,Rulebook!$H41*d,tc,Rulebook!$I41*d,te,Rulebook!$J41*d,tf,Rulebook!$K41*d,IFS(x&lt;=ta,0,x&lt;=tb,25*(x-ta)/(tb-ta),x&lt;=tc,25+25*(x-tb)/(tc-tb),x&lt;=te,50+25*(x-tc)/(te-tc),x&lt;tf,75+25*(x-te)/(tf-te),TRUE,100)))</f>
        <v/>
      </c>
      <c r="M41" s="35" t="str">
        <f>IF('Stress Inputs'!M41="","",LET(d,Rulebook!$L41,x,'Stress Inputs'!M41*d,ta,Rulebook!$G41*d,tb,Rulebook!$H41*d,tc,Rulebook!$I41*d,te,Rulebook!$J41*d,tf,Rulebook!$K41*d,IFS(x&lt;=ta,0,x&lt;=tb,25*(x-ta)/(tb-ta),x&lt;=tc,25+25*(x-tb)/(tc-tb),x&lt;=te,50+25*(x-tc)/(te-tc),x&lt;tf,75+25*(x-te)/(tf-te),TRUE,100)))</f>
        <v/>
      </c>
      <c r="N41" s="35" t="str">
        <f>IF('Stress Inputs'!N41="","",LET(d,Rulebook!$L41,x,'Stress Inputs'!N41*d,ta,Rulebook!$G41*d,tb,Rulebook!$H41*d,tc,Rulebook!$I41*d,te,Rulebook!$J41*d,tf,Rulebook!$K41*d,IFS(x&lt;=ta,0,x&lt;=tb,25*(x-ta)/(tb-ta),x&lt;=tc,25+25*(x-tb)/(tc-tb),x&lt;=te,50+25*(x-tc)/(te-tc),x&lt;tf,75+25*(x-te)/(tf-te),TRUE,100)))</f>
        <v/>
      </c>
      <c r="O41" s="35" t="str">
        <f>IF('Stress Inputs'!O41="","",LET(d,Rulebook!$L41,x,'Stress Inputs'!O41*d,ta,Rulebook!$G41*d,tb,Rulebook!$H41*d,tc,Rulebook!$I41*d,te,Rulebook!$J41*d,tf,Rulebook!$K41*d,IFS(x&lt;=ta,0,x&lt;=tb,25*(x-ta)/(tb-ta),x&lt;=tc,25+25*(x-tb)/(tc-tb),x&lt;=te,50+25*(x-tc)/(te-tc),x&lt;tf,75+25*(x-te)/(tf-te),TRUE,100)))</f>
        <v/>
      </c>
      <c r="P41" s="35" t="str">
        <f>IF('Stress Inputs'!P41="","",LET(d,Rulebook!$L41,x,'Stress Inputs'!P41*d,ta,Rulebook!$G41*d,tb,Rulebook!$H41*d,tc,Rulebook!$I41*d,te,Rulebook!$J41*d,tf,Rulebook!$K41*d,IFS(x&lt;=ta,0,x&lt;=tb,25*(x-ta)/(tb-ta),x&lt;=tc,25+25*(x-tb)/(tc-tb),x&lt;=te,50+25*(x-tc)/(te-tc),x&lt;tf,75+25*(x-te)/(tf-te),TRUE,100)))</f>
        <v/>
      </c>
      <c r="Q41" s="35" t="str">
        <f>IF('Stress Inputs'!Q41="","",LET(d,Rulebook!$L41,x,'Stress Inputs'!Q41*d,ta,Rulebook!$G41*d,tb,Rulebook!$H41*d,tc,Rulebook!$I41*d,te,Rulebook!$J41*d,tf,Rulebook!$K41*d,IFS(x&lt;=ta,0,x&lt;=tb,25*(x-ta)/(tb-ta),x&lt;=tc,25+25*(x-tb)/(tc-tb),x&lt;=te,50+25*(x-tc)/(te-tc),x&lt;tf,75+25*(x-te)/(tf-te),TRUE,100)))</f>
        <v/>
      </c>
      <c r="R41" s="35" t="str">
        <f>IF('Stress Inputs'!R41="","",LET(d,Rulebook!$L41,x,'Stress Inputs'!R41*d,ta,Rulebook!$G41*d,tb,Rulebook!$H41*d,tc,Rulebook!$I41*d,te,Rulebook!$J41*d,tf,Rulebook!$K41*d,IFS(x&lt;=ta,0,x&lt;=tb,25*(x-ta)/(tb-ta),x&lt;=tc,25+25*(x-tb)/(tc-tb),x&lt;=te,50+25*(x-tc)/(te-tc),x&lt;tf,75+25*(x-te)/(tf-te),TRUE,100)))</f>
        <v/>
      </c>
      <c r="S41" s="35" t="str">
        <f>IF('Stress Inputs'!S41="","",LET(d,Rulebook!$L41,x,'Stress Inputs'!S41*d,ta,Rulebook!$G41*d,tb,Rulebook!$H41*d,tc,Rulebook!$I41*d,te,Rulebook!$J41*d,tf,Rulebook!$K41*d,IFS(x&lt;=ta,0,x&lt;=tb,25*(x-ta)/(tb-ta),x&lt;=tc,25+25*(x-tb)/(tc-tb),x&lt;=te,50+25*(x-tc)/(te-tc),x&lt;tf,75+25*(x-te)/(tf-te),TRUE,100)))</f>
        <v/>
      </c>
      <c r="T41" s="35" t="str">
        <f>IF('Stress Inputs'!T41="","",LET(d,Rulebook!$L41,x,'Stress Inputs'!T41*d,ta,Rulebook!$G41*d,tb,Rulebook!$H41*d,tc,Rulebook!$I41*d,te,Rulebook!$J41*d,tf,Rulebook!$K41*d,IFS(x&lt;=ta,0,x&lt;=tb,25*(x-ta)/(tb-ta),x&lt;=tc,25+25*(x-tb)/(tc-tb),x&lt;=te,50+25*(x-tc)/(te-tc),x&lt;tf,75+25*(x-te)/(tf-te),TRUE,100)))</f>
        <v/>
      </c>
      <c r="U41" s="35" t="str">
        <f>IF('Stress Inputs'!U41="","",LET(d,Rulebook!$L41,x,'Stress Inputs'!U41*d,ta,Rulebook!$G41*d,tb,Rulebook!$H41*d,tc,Rulebook!$I41*d,te,Rulebook!$J41*d,tf,Rulebook!$K41*d,IFS(x&lt;=ta,0,x&lt;=tb,25*(x-ta)/(tb-ta),x&lt;=tc,25+25*(x-tb)/(tc-tb),x&lt;=te,50+25*(x-tc)/(te-tc),x&lt;tf,75+25*(x-te)/(tf-te),TRUE,100)))</f>
        <v/>
      </c>
      <c r="V41" s="35" t="str">
        <f>IF('Stress Inputs'!V41="","",LET(d,Rulebook!$L41,x,'Stress Inputs'!V41*d,ta,Rulebook!$G41*d,tb,Rulebook!$H41*d,tc,Rulebook!$I41*d,te,Rulebook!$J41*d,tf,Rulebook!$K41*d,IFS(x&lt;=ta,0,x&lt;=tb,25*(x-ta)/(tb-ta),x&lt;=tc,25+25*(x-tb)/(tc-tb),x&lt;=te,50+25*(x-tc)/(te-tc),x&lt;tf,75+25*(x-te)/(tf-te),TRUE,100)))</f>
        <v/>
      </c>
    </row>
    <row r="42">
      <c r="A42" s="26" t="s">
        <v>606</v>
      </c>
      <c r="B42" s="26">
        <v>4.0</v>
      </c>
      <c r="C42" s="26" t="s">
        <v>607</v>
      </c>
      <c r="D42" s="26" t="s">
        <v>254</v>
      </c>
      <c r="E42" s="35" t="str">
        <f>IF('Stress Inputs'!E42="","",LET(d,Rulebook!$L42,x,'Stress Inputs'!E42*d,ta,Rulebook!$G42*d,tb,Rulebook!$H42*d,tc,Rulebook!$I42*d,te,Rulebook!$J42*d,tf,Rulebook!$K42*d,IFS(x&lt;=ta,0,x&lt;=tb,25*(x-ta)/(tb-ta),x&lt;=tc,25+25*(x-tb)/(tc-tb),x&lt;=te,50+25*(x-tc)/(te-tc),x&lt;tf,75+25*(x-te)/(tf-te),TRUE,100)))</f>
        <v/>
      </c>
      <c r="F42" s="35" t="str">
        <f>IF('Stress Inputs'!F42="","",LET(d,Rulebook!$L42,x,'Stress Inputs'!F42*d,ta,Rulebook!$G42*d,tb,Rulebook!$H42*d,tc,Rulebook!$I42*d,te,Rulebook!$J42*d,tf,Rulebook!$K42*d,IFS(x&lt;=ta,0,x&lt;=tb,25*(x-ta)/(tb-ta),x&lt;=tc,25+25*(x-tb)/(tc-tb),x&lt;=te,50+25*(x-tc)/(te-tc),x&lt;tf,75+25*(x-te)/(tf-te),TRUE,100)))</f>
        <v/>
      </c>
      <c r="G42" s="35" t="str">
        <f>IF('Stress Inputs'!G42="","",LET(d,Rulebook!$L42,x,'Stress Inputs'!G42*d,ta,Rulebook!$G42*d,tb,Rulebook!$H42*d,tc,Rulebook!$I42*d,te,Rulebook!$J42*d,tf,Rulebook!$K42*d,IFS(x&lt;=ta,0,x&lt;=tb,25*(x-ta)/(tb-ta),x&lt;=tc,25+25*(x-tb)/(tc-tb),x&lt;=te,50+25*(x-tc)/(te-tc),x&lt;tf,75+25*(x-te)/(tf-te),TRUE,100)))</f>
        <v/>
      </c>
      <c r="H42" s="35" t="str">
        <f>IF('Stress Inputs'!H42="","",LET(d,Rulebook!$L42,x,'Stress Inputs'!H42*d,ta,Rulebook!$G42*d,tb,Rulebook!$H42*d,tc,Rulebook!$I42*d,te,Rulebook!$J42*d,tf,Rulebook!$K42*d,IFS(x&lt;=ta,0,x&lt;=tb,25*(x-ta)/(tb-ta),x&lt;=tc,25+25*(x-tb)/(tc-tb),x&lt;=te,50+25*(x-tc)/(te-tc),x&lt;tf,75+25*(x-te)/(tf-te),TRUE,100)))</f>
        <v/>
      </c>
      <c r="I42" s="35" t="str">
        <f>IF('Stress Inputs'!I42="","",LET(d,Rulebook!$L42,x,'Stress Inputs'!I42*d,ta,Rulebook!$G42*d,tb,Rulebook!$H42*d,tc,Rulebook!$I42*d,te,Rulebook!$J42*d,tf,Rulebook!$K42*d,IFS(x&lt;=ta,0,x&lt;=tb,25*(x-ta)/(tb-ta),x&lt;=tc,25+25*(x-tb)/(tc-tb),x&lt;=te,50+25*(x-tc)/(te-tc),x&lt;tf,75+25*(x-te)/(tf-te),TRUE,100)))</f>
        <v/>
      </c>
      <c r="J42" s="35" t="str">
        <f>IF('Stress Inputs'!J42="","",LET(d,Rulebook!$L42,x,'Stress Inputs'!J42*d,ta,Rulebook!$G42*d,tb,Rulebook!$H42*d,tc,Rulebook!$I42*d,te,Rulebook!$J42*d,tf,Rulebook!$K42*d,IFS(x&lt;=ta,0,x&lt;=tb,25*(x-ta)/(tb-ta),x&lt;=tc,25+25*(x-tb)/(tc-tb),x&lt;=te,50+25*(x-tc)/(te-tc),x&lt;tf,75+25*(x-te)/(tf-te),TRUE,100)))</f>
        <v/>
      </c>
      <c r="K42" s="35" t="str">
        <f>IF('Stress Inputs'!K42="","",LET(d,Rulebook!$L42,x,'Stress Inputs'!K42*d,ta,Rulebook!$G42*d,tb,Rulebook!$H42*d,tc,Rulebook!$I42*d,te,Rulebook!$J42*d,tf,Rulebook!$K42*d,IFS(x&lt;=ta,0,x&lt;=tb,25*(x-ta)/(tb-ta),x&lt;=tc,25+25*(x-tb)/(tc-tb),x&lt;=te,50+25*(x-tc)/(te-tc),x&lt;tf,75+25*(x-te)/(tf-te),TRUE,100)))</f>
        <v/>
      </c>
      <c r="L42" s="35" t="str">
        <f>IF('Stress Inputs'!L42="","",LET(d,Rulebook!$L42,x,'Stress Inputs'!L42*d,ta,Rulebook!$G42*d,tb,Rulebook!$H42*d,tc,Rulebook!$I42*d,te,Rulebook!$J42*d,tf,Rulebook!$K42*d,IFS(x&lt;=ta,0,x&lt;=tb,25*(x-ta)/(tb-ta),x&lt;=tc,25+25*(x-tb)/(tc-tb),x&lt;=te,50+25*(x-tc)/(te-tc),x&lt;tf,75+25*(x-te)/(tf-te),TRUE,100)))</f>
        <v/>
      </c>
      <c r="M42" s="35" t="str">
        <f>IF('Stress Inputs'!M42="","",LET(d,Rulebook!$L42,x,'Stress Inputs'!M42*d,ta,Rulebook!$G42*d,tb,Rulebook!$H42*d,tc,Rulebook!$I42*d,te,Rulebook!$J42*d,tf,Rulebook!$K42*d,IFS(x&lt;=ta,0,x&lt;=tb,25*(x-ta)/(tb-ta),x&lt;=tc,25+25*(x-tb)/(tc-tb),x&lt;=te,50+25*(x-tc)/(te-tc),x&lt;tf,75+25*(x-te)/(tf-te),TRUE,100)))</f>
        <v/>
      </c>
      <c r="N42" s="35" t="str">
        <f>IF('Stress Inputs'!N42="","",LET(d,Rulebook!$L42,x,'Stress Inputs'!N42*d,ta,Rulebook!$G42*d,tb,Rulebook!$H42*d,tc,Rulebook!$I42*d,te,Rulebook!$J42*d,tf,Rulebook!$K42*d,IFS(x&lt;=ta,0,x&lt;=tb,25*(x-ta)/(tb-ta),x&lt;=tc,25+25*(x-tb)/(tc-tb),x&lt;=te,50+25*(x-tc)/(te-tc),x&lt;tf,75+25*(x-te)/(tf-te),TRUE,100)))</f>
        <v/>
      </c>
      <c r="O42" s="35" t="str">
        <f>IF('Stress Inputs'!O42="","",LET(d,Rulebook!$L42,x,'Stress Inputs'!O42*d,ta,Rulebook!$G42*d,tb,Rulebook!$H42*d,tc,Rulebook!$I42*d,te,Rulebook!$J42*d,tf,Rulebook!$K42*d,IFS(x&lt;=ta,0,x&lt;=tb,25*(x-ta)/(tb-ta),x&lt;=tc,25+25*(x-tb)/(tc-tb),x&lt;=te,50+25*(x-tc)/(te-tc),x&lt;tf,75+25*(x-te)/(tf-te),TRUE,100)))</f>
        <v/>
      </c>
      <c r="P42" s="35" t="str">
        <f>IF('Stress Inputs'!P42="","",LET(d,Rulebook!$L42,x,'Stress Inputs'!P42*d,ta,Rulebook!$G42*d,tb,Rulebook!$H42*d,tc,Rulebook!$I42*d,te,Rulebook!$J42*d,tf,Rulebook!$K42*d,IFS(x&lt;=ta,0,x&lt;=tb,25*(x-ta)/(tb-ta),x&lt;=tc,25+25*(x-tb)/(tc-tb),x&lt;=te,50+25*(x-tc)/(te-tc),x&lt;tf,75+25*(x-te)/(tf-te),TRUE,100)))</f>
        <v/>
      </c>
      <c r="Q42" s="35" t="str">
        <f>IF('Stress Inputs'!Q42="","",LET(d,Rulebook!$L42,x,'Stress Inputs'!Q42*d,ta,Rulebook!$G42*d,tb,Rulebook!$H42*d,tc,Rulebook!$I42*d,te,Rulebook!$J42*d,tf,Rulebook!$K42*d,IFS(x&lt;=ta,0,x&lt;=tb,25*(x-ta)/(tb-ta),x&lt;=tc,25+25*(x-tb)/(tc-tb),x&lt;=te,50+25*(x-tc)/(te-tc),x&lt;tf,75+25*(x-te)/(tf-te),TRUE,100)))</f>
        <v/>
      </c>
      <c r="R42" s="35" t="str">
        <f>IF('Stress Inputs'!R42="","",LET(d,Rulebook!$L42,x,'Stress Inputs'!R42*d,ta,Rulebook!$G42*d,tb,Rulebook!$H42*d,tc,Rulebook!$I42*d,te,Rulebook!$J42*d,tf,Rulebook!$K42*d,IFS(x&lt;=ta,0,x&lt;=tb,25*(x-ta)/(tb-ta),x&lt;=tc,25+25*(x-tb)/(tc-tb),x&lt;=te,50+25*(x-tc)/(te-tc),x&lt;tf,75+25*(x-te)/(tf-te),TRUE,100)))</f>
        <v/>
      </c>
      <c r="S42" s="35" t="str">
        <f>IF('Stress Inputs'!S42="","",LET(d,Rulebook!$L42,x,'Stress Inputs'!S42*d,ta,Rulebook!$G42*d,tb,Rulebook!$H42*d,tc,Rulebook!$I42*d,te,Rulebook!$J42*d,tf,Rulebook!$K42*d,IFS(x&lt;=ta,0,x&lt;=tb,25*(x-ta)/(tb-ta),x&lt;=tc,25+25*(x-tb)/(tc-tb),x&lt;=te,50+25*(x-tc)/(te-tc),x&lt;tf,75+25*(x-te)/(tf-te),TRUE,100)))</f>
        <v/>
      </c>
      <c r="T42" s="35" t="str">
        <f>IF('Stress Inputs'!T42="","",LET(d,Rulebook!$L42,x,'Stress Inputs'!T42*d,ta,Rulebook!$G42*d,tb,Rulebook!$H42*d,tc,Rulebook!$I42*d,te,Rulebook!$J42*d,tf,Rulebook!$K42*d,IFS(x&lt;=ta,0,x&lt;=tb,25*(x-ta)/(tb-ta),x&lt;=tc,25+25*(x-tb)/(tc-tb),x&lt;=te,50+25*(x-tc)/(te-tc),x&lt;tf,75+25*(x-te)/(tf-te),TRUE,100)))</f>
        <v/>
      </c>
      <c r="U42" s="35" t="str">
        <f>IF('Stress Inputs'!U42="","",LET(d,Rulebook!$L42,x,'Stress Inputs'!U42*d,ta,Rulebook!$G42*d,tb,Rulebook!$H42*d,tc,Rulebook!$I42*d,te,Rulebook!$J42*d,tf,Rulebook!$K42*d,IFS(x&lt;=ta,0,x&lt;=tb,25*(x-ta)/(tb-ta),x&lt;=tc,25+25*(x-tb)/(tc-tb),x&lt;=te,50+25*(x-tc)/(te-tc),x&lt;tf,75+25*(x-te)/(tf-te),TRUE,100)))</f>
        <v/>
      </c>
      <c r="V42" s="35" t="str">
        <f>IF('Stress Inputs'!V42="","",LET(d,Rulebook!$L42,x,'Stress Inputs'!V42*d,ta,Rulebook!$G42*d,tb,Rulebook!$H42*d,tc,Rulebook!$I42*d,te,Rulebook!$J42*d,tf,Rulebook!$K42*d,IFS(x&lt;=ta,0,x&lt;=tb,25*(x-ta)/(tb-ta),x&lt;=tc,25+25*(x-tb)/(tc-tb),x&lt;=te,50+25*(x-tc)/(te-tc),x&lt;tf,75+25*(x-te)/(tf-te),TRUE,100)))</f>
        <v/>
      </c>
    </row>
    <row r="43">
      <c r="A43" s="26" t="s">
        <v>613</v>
      </c>
      <c r="B43" s="26">
        <v>4.0</v>
      </c>
      <c r="C43" s="26" t="s">
        <v>614</v>
      </c>
      <c r="D43" s="26" t="s">
        <v>254</v>
      </c>
      <c r="E43" s="35" t="str">
        <f>IF('Stress Inputs'!E43="","",LET(d,Rulebook!$L43,x,'Stress Inputs'!E43*d,ta,Rulebook!$G43*d,tb,Rulebook!$H43*d,tc,Rulebook!$I43*d,te,Rulebook!$J43*d,tf,Rulebook!$K43*d,IFS(x&lt;=ta,0,x&lt;=tb,25*(x-ta)/(tb-ta),x&lt;=tc,25+25*(x-tb)/(tc-tb),x&lt;=te,50+25*(x-tc)/(te-tc),x&lt;tf,75+25*(x-te)/(tf-te),TRUE,100)))</f>
        <v/>
      </c>
      <c r="F43" s="35" t="str">
        <f>IF('Stress Inputs'!F43="","",LET(d,Rulebook!$L43,x,'Stress Inputs'!F43*d,ta,Rulebook!$G43*d,tb,Rulebook!$H43*d,tc,Rulebook!$I43*d,te,Rulebook!$J43*d,tf,Rulebook!$K43*d,IFS(x&lt;=ta,0,x&lt;=tb,25*(x-ta)/(tb-ta),x&lt;=tc,25+25*(x-tb)/(tc-tb),x&lt;=te,50+25*(x-tc)/(te-tc),x&lt;tf,75+25*(x-te)/(tf-te),TRUE,100)))</f>
        <v/>
      </c>
      <c r="G43" s="35" t="str">
        <f>IF('Stress Inputs'!G43="","",LET(d,Rulebook!$L43,x,'Stress Inputs'!G43*d,ta,Rulebook!$G43*d,tb,Rulebook!$H43*d,tc,Rulebook!$I43*d,te,Rulebook!$J43*d,tf,Rulebook!$K43*d,IFS(x&lt;=ta,0,x&lt;=tb,25*(x-ta)/(tb-ta),x&lt;=tc,25+25*(x-tb)/(tc-tb),x&lt;=te,50+25*(x-tc)/(te-tc),x&lt;tf,75+25*(x-te)/(tf-te),TRUE,100)))</f>
        <v/>
      </c>
      <c r="H43" s="35" t="str">
        <f>IF('Stress Inputs'!H43="","",LET(d,Rulebook!$L43,x,'Stress Inputs'!H43*d,ta,Rulebook!$G43*d,tb,Rulebook!$H43*d,tc,Rulebook!$I43*d,te,Rulebook!$J43*d,tf,Rulebook!$K43*d,IFS(x&lt;=ta,0,x&lt;=tb,25*(x-ta)/(tb-ta),x&lt;=tc,25+25*(x-tb)/(tc-tb),x&lt;=te,50+25*(x-tc)/(te-tc),x&lt;tf,75+25*(x-te)/(tf-te),TRUE,100)))</f>
        <v/>
      </c>
      <c r="I43" s="35" t="str">
        <f>IF('Stress Inputs'!I43="","",LET(d,Rulebook!$L43,x,'Stress Inputs'!I43*d,ta,Rulebook!$G43*d,tb,Rulebook!$H43*d,tc,Rulebook!$I43*d,te,Rulebook!$J43*d,tf,Rulebook!$K43*d,IFS(x&lt;=ta,0,x&lt;=tb,25*(x-ta)/(tb-ta),x&lt;=tc,25+25*(x-tb)/(tc-tb),x&lt;=te,50+25*(x-tc)/(te-tc),x&lt;tf,75+25*(x-te)/(tf-te),TRUE,100)))</f>
        <v/>
      </c>
      <c r="J43" s="35" t="str">
        <f>IF('Stress Inputs'!J43="","",LET(d,Rulebook!$L43,x,'Stress Inputs'!J43*d,ta,Rulebook!$G43*d,tb,Rulebook!$H43*d,tc,Rulebook!$I43*d,te,Rulebook!$J43*d,tf,Rulebook!$K43*d,IFS(x&lt;=ta,0,x&lt;=tb,25*(x-ta)/(tb-ta),x&lt;=tc,25+25*(x-tb)/(tc-tb),x&lt;=te,50+25*(x-tc)/(te-tc),x&lt;tf,75+25*(x-te)/(tf-te),TRUE,100)))</f>
        <v/>
      </c>
      <c r="K43" s="35" t="str">
        <f>IF('Stress Inputs'!K43="","",LET(d,Rulebook!$L43,x,'Stress Inputs'!K43*d,ta,Rulebook!$G43*d,tb,Rulebook!$H43*d,tc,Rulebook!$I43*d,te,Rulebook!$J43*d,tf,Rulebook!$K43*d,IFS(x&lt;=ta,0,x&lt;=tb,25*(x-ta)/(tb-ta),x&lt;=tc,25+25*(x-tb)/(tc-tb),x&lt;=te,50+25*(x-tc)/(te-tc),x&lt;tf,75+25*(x-te)/(tf-te),TRUE,100)))</f>
        <v/>
      </c>
      <c r="L43" s="35" t="str">
        <f>IF('Stress Inputs'!L43="","",LET(d,Rulebook!$L43,x,'Stress Inputs'!L43*d,ta,Rulebook!$G43*d,tb,Rulebook!$H43*d,tc,Rulebook!$I43*d,te,Rulebook!$J43*d,tf,Rulebook!$K43*d,IFS(x&lt;=ta,0,x&lt;=tb,25*(x-ta)/(tb-ta),x&lt;=tc,25+25*(x-tb)/(tc-tb),x&lt;=te,50+25*(x-tc)/(te-tc),x&lt;tf,75+25*(x-te)/(tf-te),TRUE,100)))</f>
        <v/>
      </c>
      <c r="M43" s="35" t="str">
        <f>IF('Stress Inputs'!M43="","",LET(d,Rulebook!$L43,x,'Stress Inputs'!M43*d,ta,Rulebook!$G43*d,tb,Rulebook!$H43*d,tc,Rulebook!$I43*d,te,Rulebook!$J43*d,tf,Rulebook!$K43*d,IFS(x&lt;=ta,0,x&lt;=tb,25*(x-ta)/(tb-ta),x&lt;=tc,25+25*(x-tb)/(tc-tb),x&lt;=te,50+25*(x-tc)/(te-tc),x&lt;tf,75+25*(x-te)/(tf-te),TRUE,100)))</f>
        <v/>
      </c>
      <c r="N43" s="35" t="str">
        <f>IF('Stress Inputs'!N43="","",LET(d,Rulebook!$L43,x,'Stress Inputs'!N43*d,ta,Rulebook!$G43*d,tb,Rulebook!$H43*d,tc,Rulebook!$I43*d,te,Rulebook!$J43*d,tf,Rulebook!$K43*d,IFS(x&lt;=ta,0,x&lt;=tb,25*(x-ta)/(tb-ta),x&lt;=tc,25+25*(x-tb)/(tc-tb),x&lt;=te,50+25*(x-tc)/(te-tc),x&lt;tf,75+25*(x-te)/(tf-te),TRUE,100)))</f>
        <v/>
      </c>
      <c r="O43" s="35" t="str">
        <f>IF('Stress Inputs'!O43="","",LET(d,Rulebook!$L43,x,'Stress Inputs'!O43*d,ta,Rulebook!$G43*d,tb,Rulebook!$H43*d,tc,Rulebook!$I43*d,te,Rulebook!$J43*d,tf,Rulebook!$K43*d,IFS(x&lt;=ta,0,x&lt;=tb,25*(x-ta)/(tb-ta),x&lt;=tc,25+25*(x-tb)/(tc-tb),x&lt;=te,50+25*(x-tc)/(te-tc),x&lt;tf,75+25*(x-te)/(tf-te),TRUE,100)))</f>
        <v/>
      </c>
      <c r="P43" s="35" t="str">
        <f>IF('Stress Inputs'!P43="","",LET(d,Rulebook!$L43,x,'Stress Inputs'!P43*d,ta,Rulebook!$G43*d,tb,Rulebook!$H43*d,tc,Rulebook!$I43*d,te,Rulebook!$J43*d,tf,Rulebook!$K43*d,IFS(x&lt;=ta,0,x&lt;=tb,25*(x-ta)/(tb-ta),x&lt;=tc,25+25*(x-tb)/(tc-tb),x&lt;=te,50+25*(x-tc)/(te-tc),x&lt;tf,75+25*(x-te)/(tf-te),TRUE,100)))</f>
        <v/>
      </c>
      <c r="Q43" s="35" t="str">
        <f>IF('Stress Inputs'!Q43="","",LET(d,Rulebook!$L43,x,'Stress Inputs'!Q43*d,ta,Rulebook!$G43*d,tb,Rulebook!$H43*d,tc,Rulebook!$I43*d,te,Rulebook!$J43*d,tf,Rulebook!$K43*d,IFS(x&lt;=ta,0,x&lt;=tb,25*(x-ta)/(tb-ta),x&lt;=tc,25+25*(x-tb)/(tc-tb),x&lt;=te,50+25*(x-tc)/(te-tc),x&lt;tf,75+25*(x-te)/(tf-te),TRUE,100)))</f>
        <v/>
      </c>
      <c r="R43" s="35" t="str">
        <f>IF('Stress Inputs'!R43="","",LET(d,Rulebook!$L43,x,'Stress Inputs'!R43*d,ta,Rulebook!$G43*d,tb,Rulebook!$H43*d,tc,Rulebook!$I43*d,te,Rulebook!$J43*d,tf,Rulebook!$K43*d,IFS(x&lt;=ta,0,x&lt;=tb,25*(x-ta)/(tb-ta),x&lt;=tc,25+25*(x-tb)/(tc-tb),x&lt;=te,50+25*(x-tc)/(te-tc),x&lt;tf,75+25*(x-te)/(tf-te),TRUE,100)))</f>
        <v/>
      </c>
      <c r="S43" s="35" t="str">
        <f>IF('Stress Inputs'!S43="","",LET(d,Rulebook!$L43,x,'Stress Inputs'!S43*d,ta,Rulebook!$G43*d,tb,Rulebook!$H43*d,tc,Rulebook!$I43*d,te,Rulebook!$J43*d,tf,Rulebook!$K43*d,IFS(x&lt;=ta,0,x&lt;=tb,25*(x-ta)/(tb-ta),x&lt;=tc,25+25*(x-tb)/(tc-tb),x&lt;=te,50+25*(x-tc)/(te-tc),x&lt;tf,75+25*(x-te)/(tf-te),TRUE,100)))</f>
        <v/>
      </c>
      <c r="T43" s="35" t="str">
        <f>IF('Stress Inputs'!T43="","",LET(d,Rulebook!$L43,x,'Stress Inputs'!T43*d,ta,Rulebook!$G43*d,tb,Rulebook!$H43*d,tc,Rulebook!$I43*d,te,Rulebook!$J43*d,tf,Rulebook!$K43*d,IFS(x&lt;=ta,0,x&lt;=tb,25*(x-ta)/(tb-ta),x&lt;=tc,25+25*(x-tb)/(tc-tb),x&lt;=te,50+25*(x-tc)/(te-tc),x&lt;tf,75+25*(x-te)/(tf-te),TRUE,100)))</f>
        <v/>
      </c>
      <c r="U43" s="35" t="str">
        <f>IF('Stress Inputs'!U43="","",LET(d,Rulebook!$L43,x,'Stress Inputs'!U43*d,ta,Rulebook!$G43*d,tb,Rulebook!$H43*d,tc,Rulebook!$I43*d,te,Rulebook!$J43*d,tf,Rulebook!$K43*d,IFS(x&lt;=ta,0,x&lt;=tb,25*(x-ta)/(tb-ta),x&lt;=tc,25+25*(x-tb)/(tc-tb),x&lt;=te,50+25*(x-tc)/(te-tc),x&lt;tf,75+25*(x-te)/(tf-te),TRUE,100)))</f>
        <v/>
      </c>
      <c r="V43" s="35" t="str">
        <f>IF('Stress Inputs'!V43="","",LET(d,Rulebook!$L43,x,'Stress Inputs'!V43*d,ta,Rulebook!$G43*d,tb,Rulebook!$H43*d,tc,Rulebook!$I43*d,te,Rulebook!$J43*d,tf,Rulebook!$K43*d,IFS(x&lt;=ta,0,x&lt;=tb,25*(x-ta)/(tb-ta),x&lt;=tc,25+25*(x-tb)/(tc-tb),x&lt;=te,50+25*(x-tc)/(te-tc),x&lt;tf,75+25*(x-te)/(tf-te),TRUE,100)))</f>
        <v/>
      </c>
    </row>
    <row r="44">
      <c r="A44" s="26" t="s">
        <v>617</v>
      </c>
      <c r="B44" s="26">
        <v>4.0</v>
      </c>
      <c r="C44" s="26" t="s">
        <v>618</v>
      </c>
      <c r="D44" s="26" t="s">
        <v>254</v>
      </c>
      <c r="E44" s="35" t="str">
        <f>IF('Stress Inputs'!E44="","",LET(d,Rulebook!$L44,x,'Stress Inputs'!E44*d,ta,Rulebook!$G44*d,tb,Rulebook!$H44*d,tc,Rulebook!$I44*d,te,Rulebook!$J44*d,tf,Rulebook!$K44*d,IFS(x&lt;=ta,0,x&lt;=tb,25*(x-ta)/(tb-ta),x&lt;=tc,25+25*(x-tb)/(tc-tb),x&lt;=te,50+25*(x-tc)/(te-tc),x&lt;tf,75+25*(x-te)/(tf-te),TRUE,100)))</f>
        <v/>
      </c>
      <c r="F44" s="35" t="str">
        <f>IF('Stress Inputs'!F44="","",LET(d,Rulebook!$L44,x,'Stress Inputs'!F44*d,ta,Rulebook!$G44*d,tb,Rulebook!$H44*d,tc,Rulebook!$I44*d,te,Rulebook!$J44*d,tf,Rulebook!$K44*d,IFS(x&lt;=ta,0,x&lt;=tb,25*(x-ta)/(tb-ta),x&lt;=tc,25+25*(x-tb)/(tc-tb),x&lt;=te,50+25*(x-tc)/(te-tc),x&lt;tf,75+25*(x-te)/(tf-te),TRUE,100)))</f>
        <v/>
      </c>
      <c r="G44" s="35" t="str">
        <f>IF('Stress Inputs'!G44="","",LET(d,Rulebook!$L44,x,'Stress Inputs'!G44*d,ta,Rulebook!$G44*d,tb,Rulebook!$H44*d,tc,Rulebook!$I44*d,te,Rulebook!$J44*d,tf,Rulebook!$K44*d,IFS(x&lt;=ta,0,x&lt;=tb,25*(x-ta)/(tb-ta),x&lt;=tc,25+25*(x-tb)/(tc-tb),x&lt;=te,50+25*(x-tc)/(te-tc),x&lt;tf,75+25*(x-te)/(tf-te),TRUE,100)))</f>
        <v/>
      </c>
      <c r="H44" s="35" t="str">
        <f>IF('Stress Inputs'!H44="","",LET(d,Rulebook!$L44,x,'Stress Inputs'!H44*d,ta,Rulebook!$G44*d,tb,Rulebook!$H44*d,tc,Rulebook!$I44*d,te,Rulebook!$J44*d,tf,Rulebook!$K44*d,IFS(x&lt;=ta,0,x&lt;=tb,25*(x-ta)/(tb-ta),x&lt;=tc,25+25*(x-tb)/(tc-tb),x&lt;=te,50+25*(x-tc)/(te-tc),x&lt;tf,75+25*(x-te)/(tf-te),TRUE,100)))</f>
        <v/>
      </c>
      <c r="I44" s="35" t="str">
        <f>IF('Stress Inputs'!I44="","",LET(d,Rulebook!$L44,x,'Stress Inputs'!I44*d,ta,Rulebook!$G44*d,tb,Rulebook!$H44*d,tc,Rulebook!$I44*d,te,Rulebook!$J44*d,tf,Rulebook!$K44*d,IFS(x&lt;=ta,0,x&lt;=tb,25*(x-ta)/(tb-ta),x&lt;=tc,25+25*(x-tb)/(tc-tb),x&lt;=te,50+25*(x-tc)/(te-tc),x&lt;tf,75+25*(x-te)/(tf-te),TRUE,100)))</f>
        <v/>
      </c>
      <c r="J44" s="35" t="str">
        <f>IF('Stress Inputs'!J44="","",LET(d,Rulebook!$L44,x,'Stress Inputs'!J44*d,ta,Rulebook!$G44*d,tb,Rulebook!$H44*d,tc,Rulebook!$I44*d,te,Rulebook!$J44*d,tf,Rulebook!$K44*d,IFS(x&lt;=ta,0,x&lt;=tb,25*(x-ta)/(tb-ta),x&lt;=tc,25+25*(x-tb)/(tc-tb),x&lt;=te,50+25*(x-tc)/(te-tc),x&lt;tf,75+25*(x-te)/(tf-te),TRUE,100)))</f>
        <v/>
      </c>
      <c r="K44" s="35" t="str">
        <f>IF('Stress Inputs'!K44="","",LET(d,Rulebook!$L44,x,'Stress Inputs'!K44*d,ta,Rulebook!$G44*d,tb,Rulebook!$H44*d,tc,Rulebook!$I44*d,te,Rulebook!$J44*d,tf,Rulebook!$K44*d,IFS(x&lt;=ta,0,x&lt;=tb,25*(x-ta)/(tb-ta),x&lt;=tc,25+25*(x-tb)/(tc-tb),x&lt;=te,50+25*(x-tc)/(te-tc),x&lt;tf,75+25*(x-te)/(tf-te),TRUE,100)))</f>
        <v/>
      </c>
      <c r="L44" s="35" t="str">
        <f>IF('Stress Inputs'!L44="","",LET(d,Rulebook!$L44,x,'Stress Inputs'!L44*d,ta,Rulebook!$G44*d,tb,Rulebook!$H44*d,tc,Rulebook!$I44*d,te,Rulebook!$J44*d,tf,Rulebook!$K44*d,IFS(x&lt;=ta,0,x&lt;=tb,25*(x-ta)/(tb-ta),x&lt;=tc,25+25*(x-tb)/(tc-tb),x&lt;=te,50+25*(x-tc)/(te-tc),x&lt;tf,75+25*(x-te)/(tf-te),TRUE,100)))</f>
        <v/>
      </c>
      <c r="M44" s="35" t="str">
        <f>IF('Stress Inputs'!M44="","",LET(d,Rulebook!$L44,x,'Stress Inputs'!M44*d,ta,Rulebook!$G44*d,tb,Rulebook!$H44*d,tc,Rulebook!$I44*d,te,Rulebook!$J44*d,tf,Rulebook!$K44*d,IFS(x&lt;=ta,0,x&lt;=tb,25*(x-ta)/(tb-ta),x&lt;=tc,25+25*(x-tb)/(tc-tb),x&lt;=te,50+25*(x-tc)/(te-tc),x&lt;tf,75+25*(x-te)/(tf-te),TRUE,100)))</f>
        <v/>
      </c>
      <c r="N44" s="35" t="str">
        <f>IF('Stress Inputs'!N44="","",LET(d,Rulebook!$L44,x,'Stress Inputs'!N44*d,ta,Rulebook!$G44*d,tb,Rulebook!$H44*d,tc,Rulebook!$I44*d,te,Rulebook!$J44*d,tf,Rulebook!$K44*d,IFS(x&lt;=ta,0,x&lt;=tb,25*(x-ta)/(tb-ta),x&lt;=tc,25+25*(x-tb)/(tc-tb),x&lt;=te,50+25*(x-tc)/(te-tc),x&lt;tf,75+25*(x-te)/(tf-te),TRUE,100)))</f>
        <v/>
      </c>
      <c r="O44" s="35" t="str">
        <f>IF('Stress Inputs'!O44="","",LET(d,Rulebook!$L44,x,'Stress Inputs'!O44*d,ta,Rulebook!$G44*d,tb,Rulebook!$H44*d,tc,Rulebook!$I44*d,te,Rulebook!$J44*d,tf,Rulebook!$K44*d,IFS(x&lt;=ta,0,x&lt;=tb,25*(x-ta)/(tb-ta),x&lt;=tc,25+25*(x-tb)/(tc-tb),x&lt;=te,50+25*(x-tc)/(te-tc),x&lt;tf,75+25*(x-te)/(tf-te),TRUE,100)))</f>
        <v/>
      </c>
      <c r="P44" s="35" t="str">
        <f>IF('Stress Inputs'!P44="","",LET(d,Rulebook!$L44,x,'Stress Inputs'!P44*d,ta,Rulebook!$G44*d,tb,Rulebook!$H44*d,tc,Rulebook!$I44*d,te,Rulebook!$J44*d,tf,Rulebook!$K44*d,IFS(x&lt;=ta,0,x&lt;=tb,25*(x-ta)/(tb-ta),x&lt;=tc,25+25*(x-tb)/(tc-tb),x&lt;=te,50+25*(x-tc)/(te-tc),x&lt;tf,75+25*(x-te)/(tf-te),TRUE,100)))</f>
        <v/>
      </c>
      <c r="Q44" s="35" t="str">
        <f>IF('Stress Inputs'!Q44="","",LET(d,Rulebook!$L44,x,'Stress Inputs'!Q44*d,ta,Rulebook!$G44*d,tb,Rulebook!$H44*d,tc,Rulebook!$I44*d,te,Rulebook!$J44*d,tf,Rulebook!$K44*d,IFS(x&lt;=ta,0,x&lt;=tb,25*(x-ta)/(tb-ta),x&lt;=tc,25+25*(x-tb)/(tc-tb),x&lt;=te,50+25*(x-tc)/(te-tc),x&lt;tf,75+25*(x-te)/(tf-te),TRUE,100)))</f>
        <v/>
      </c>
      <c r="R44" s="35" t="str">
        <f>IF('Stress Inputs'!R44="","",LET(d,Rulebook!$L44,x,'Stress Inputs'!R44*d,ta,Rulebook!$G44*d,tb,Rulebook!$H44*d,tc,Rulebook!$I44*d,te,Rulebook!$J44*d,tf,Rulebook!$K44*d,IFS(x&lt;=ta,0,x&lt;=tb,25*(x-ta)/(tb-ta),x&lt;=tc,25+25*(x-tb)/(tc-tb),x&lt;=te,50+25*(x-tc)/(te-tc),x&lt;tf,75+25*(x-te)/(tf-te),TRUE,100)))</f>
        <v/>
      </c>
      <c r="S44" s="35" t="str">
        <f>IF('Stress Inputs'!S44="","",LET(d,Rulebook!$L44,x,'Stress Inputs'!S44*d,ta,Rulebook!$G44*d,tb,Rulebook!$H44*d,tc,Rulebook!$I44*d,te,Rulebook!$J44*d,tf,Rulebook!$K44*d,IFS(x&lt;=ta,0,x&lt;=tb,25*(x-ta)/(tb-ta),x&lt;=tc,25+25*(x-tb)/(tc-tb),x&lt;=te,50+25*(x-tc)/(te-tc),x&lt;tf,75+25*(x-te)/(tf-te),TRUE,100)))</f>
        <v/>
      </c>
      <c r="T44" s="35" t="str">
        <f>IF('Stress Inputs'!T44="","",LET(d,Rulebook!$L44,x,'Stress Inputs'!T44*d,ta,Rulebook!$G44*d,tb,Rulebook!$H44*d,tc,Rulebook!$I44*d,te,Rulebook!$J44*d,tf,Rulebook!$K44*d,IFS(x&lt;=ta,0,x&lt;=tb,25*(x-ta)/(tb-ta),x&lt;=tc,25+25*(x-tb)/(tc-tb),x&lt;=te,50+25*(x-tc)/(te-tc),x&lt;tf,75+25*(x-te)/(tf-te),TRUE,100)))</f>
        <v/>
      </c>
      <c r="U44" s="35" t="str">
        <f>IF('Stress Inputs'!U44="","",LET(d,Rulebook!$L44,x,'Stress Inputs'!U44*d,ta,Rulebook!$G44*d,tb,Rulebook!$H44*d,tc,Rulebook!$I44*d,te,Rulebook!$J44*d,tf,Rulebook!$K44*d,IFS(x&lt;=ta,0,x&lt;=tb,25*(x-ta)/(tb-ta),x&lt;=tc,25+25*(x-tb)/(tc-tb),x&lt;=te,50+25*(x-tc)/(te-tc),x&lt;tf,75+25*(x-te)/(tf-te),TRUE,100)))</f>
        <v/>
      </c>
      <c r="V44" s="35" t="str">
        <f>IF('Stress Inputs'!V44="","",LET(d,Rulebook!$L44,x,'Stress Inputs'!V44*d,ta,Rulebook!$G44*d,tb,Rulebook!$H44*d,tc,Rulebook!$I44*d,te,Rulebook!$J44*d,tf,Rulebook!$K44*d,IFS(x&lt;=ta,0,x&lt;=tb,25*(x-ta)/(tb-ta),x&lt;=tc,25+25*(x-tb)/(tc-tb),x&lt;=te,50+25*(x-tc)/(te-tc),x&lt;tf,75+25*(x-te)/(tf-te),TRUE,100)))</f>
        <v/>
      </c>
    </row>
    <row r="45">
      <c r="A45" s="26" t="s">
        <v>624</v>
      </c>
      <c r="B45" s="26">
        <v>4.0</v>
      </c>
      <c r="C45" s="26" t="s">
        <v>625</v>
      </c>
      <c r="D45" s="26" t="s">
        <v>254</v>
      </c>
      <c r="E45" s="35" t="str">
        <f>IF('Stress Inputs'!E45="","",LET(d,Rulebook!$L45,x,'Stress Inputs'!E45*d,ta,Rulebook!$G45*d,tb,Rulebook!$H45*d,tc,Rulebook!$I45*d,te,Rulebook!$J45*d,tf,Rulebook!$K45*d,IFS(x&lt;=ta,0,x&lt;=tb,25*(x-ta)/(tb-ta),x&lt;=tc,25+25*(x-tb)/(tc-tb),x&lt;=te,50+25*(x-tc)/(te-tc),x&lt;tf,75+25*(x-te)/(tf-te),TRUE,100)))</f>
        <v/>
      </c>
      <c r="F45" s="35" t="str">
        <f>IF('Stress Inputs'!F45="","",LET(d,Rulebook!$L45,x,'Stress Inputs'!F45*d,ta,Rulebook!$G45*d,tb,Rulebook!$H45*d,tc,Rulebook!$I45*d,te,Rulebook!$J45*d,tf,Rulebook!$K45*d,IFS(x&lt;=ta,0,x&lt;=tb,25*(x-ta)/(tb-ta),x&lt;=tc,25+25*(x-tb)/(tc-tb),x&lt;=te,50+25*(x-tc)/(te-tc),x&lt;tf,75+25*(x-te)/(tf-te),TRUE,100)))</f>
        <v/>
      </c>
      <c r="G45" s="35" t="str">
        <f>IF('Stress Inputs'!G45="","",LET(d,Rulebook!$L45,x,'Stress Inputs'!G45*d,ta,Rulebook!$G45*d,tb,Rulebook!$H45*d,tc,Rulebook!$I45*d,te,Rulebook!$J45*d,tf,Rulebook!$K45*d,IFS(x&lt;=ta,0,x&lt;=tb,25*(x-ta)/(tb-ta),x&lt;=tc,25+25*(x-tb)/(tc-tb),x&lt;=te,50+25*(x-tc)/(te-tc),x&lt;tf,75+25*(x-te)/(tf-te),TRUE,100)))</f>
        <v/>
      </c>
      <c r="H45" s="35" t="str">
        <f>IF('Stress Inputs'!H45="","",LET(d,Rulebook!$L45,x,'Stress Inputs'!H45*d,ta,Rulebook!$G45*d,tb,Rulebook!$H45*d,tc,Rulebook!$I45*d,te,Rulebook!$J45*d,tf,Rulebook!$K45*d,IFS(x&lt;=ta,0,x&lt;=tb,25*(x-ta)/(tb-ta),x&lt;=tc,25+25*(x-tb)/(tc-tb),x&lt;=te,50+25*(x-tc)/(te-tc),x&lt;tf,75+25*(x-te)/(tf-te),TRUE,100)))</f>
        <v/>
      </c>
      <c r="I45" s="35" t="str">
        <f>IF('Stress Inputs'!I45="","",LET(d,Rulebook!$L45,x,'Stress Inputs'!I45*d,ta,Rulebook!$G45*d,tb,Rulebook!$H45*d,tc,Rulebook!$I45*d,te,Rulebook!$J45*d,tf,Rulebook!$K45*d,IFS(x&lt;=ta,0,x&lt;=tb,25*(x-ta)/(tb-ta),x&lt;=tc,25+25*(x-tb)/(tc-tb),x&lt;=te,50+25*(x-tc)/(te-tc),x&lt;tf,75+25*(x-te)/(tf-te),TRUE,100)))</f>
        <v/>
      </c>
      <c r="J45" s="35" t="str">
        <f>IF('Stress Inputs'!J45="","",LET(d,Rulebook!$L45,x,'Stress Inputs'!J45*d,ta,Rulebook!$G45*d,tb,Rulebook!$H45*d,tc,Rulebook!$I45*d,te,Rulebook!$J45*d,tf,Rulebook!$K45*d,IFS(x&lt;=ta,0,x&lt;=tb,25*(x-ta)/(tb-ta),x&lt;=tc,25+25*(x-tb)/(tc-tb),x&lt;=te,50+25*(x-tc)/(te-tc),x&lt;tf,75+25*(x-te)/(tf-te),TRUE,100)))</f>
        <v/>
      </c>
      <c r="K45" s="35" t="str">
        <f>IF('Stress Inputs'!K45="","",LET(d,Rulebook!$L45,x,'Stress Inputs'!K45*d,ta,Rulebook!$G45*d,tb,Rulebook!$H45*d,tc,Rulebook!$I45*d,te,Rulebook!$J45*d,tf,Rulebook!$K45*d,IFS(x&lt;=ta,0,x&lt;=tb,25*(x-ta)/(tb-ta),x&lt;=tc,25+25*(x-tb)/(tc-tb),x&lt;=te,50+25*(x-tc)/(te-tc),x&lt;tf,75+25*(x-te)/(tf-te),TRUE,100)))</f>
        <v/>
      </c>
      <c r="L45" s="35" t="str">
        <f>IF('Stress Inputs'!L45="","",LET(d,Rulebook!$L45,x,'Stress Inputs'!L45*d,ta,Rulebook!$G45*d,tb,Rulebook!$H45*d,tc,Rulebook!$I45*d,te,Rulebook!$J45*d,tf,Rulebook!$K45*d,IFS(x&lt;=ta,0,x&lt;=tb,25*(x-ta)/(tb-ta),x&lt;=tc,25+25*(x-tb)/(tc-tb),x&lt;=te,50+25*(x-tc)/(te-tc),x&lt;tf,75+25*(x-te)/(tf-te),TRUE,100)))</f>
        <v/>
      </c>
      <c r="M45" s="35" t="str">
        <f>IF('Stress Inputs'!M45="","",LET(d,Rulebook!$L45,x,'Stress Inputs'!M45*d,ta,Rulebook!$G45*d,tb,Rulebook!$H45*d,tc,Rulebook!$I45*d,te,Rulebook!$J45*d,tf,Rulebook!$K45*d,IFS(x&lt;=ta,0,x&lt;=tb,25*(x-ta)/(tb-ta),x&lt;=tc,25+25*(x-tb)/(tc-tb),x&lt;=te,50+25*(x-tc)/(te-tc),x&lt;tf,75+25*(x-te)/(tf-te),TRUE,100)))</f>
        <v/>
      </c>
      <c r="N45" s="35" t="str">
        <f>IF('Stress Inputs'!N45="","",LET(d,Rulebook!$L45,x,'Stress Inputs'!N45*d,ta,Rulebook!$G45*d,tb,Rulebook!$H45*d,tc,Rulebook!$I45*d,te,Rulebook!$J45*d,tf,Rulebook!$K45*d,IFS(x&lt;=ta,0,x&lt;=tb,25*(x-ta)/(tb-ta),x&lt;=tc,25+25*(x-tb)/(tc-tb),x&lt;=te,50+25*(x-tc)/(te-tc),x&lt;tf,75+25*(x-te)/(tf-te),TRUE,100)))</f>
        <v/>
      </c>
      <c r="O45" s="35" t="str">
        <f>IF('Stress Inputs'!O45="","",LET(d,Rulebook!$L45,x,'Stress Inputs'!O45*d,ta,Rulebook!$G45*d,tb,Rulebook!$H45*d,tc,Rulebook!$I45*d,te,Rulebook!$J45*d,tf,Rulebook!$K45*d,IFS(x&lt;=ta,0,x&lt;=tb,25*(x-ta)/(tb-ta),x&lt;=tc,25+25*(x-tb)/(tc-tb),x&lt;=te,50+25*(x-tc)/(te-tc),x&lt;tf,75+25*(x-te)/(tf-te),TRUE,100)))</f>
        <v/>
      </c>
      <c r="P45" s="35" t="str">
        <f>IF('Stress Inputs'!P45="","",LET(d,Rulebook!$L45,x,'Stress Inputs'!P45*d,ta,Rulebook!$G45*d,tb,Rulebook!$H45*d,tc,Rulebook!$I45*d,te,Rulebook!$J45*d,tf,Rulebook!$K45*d,IFS(x&lt;=ta,0,x&lt;=tb,25*(x-ta)/(tb-ta),x&lt;=tc,25+25*(x-tb)/(tc-tb),x&lt;=te,50+25*(x-tc)/(te-tc),x&lt;tf,75+25*(x-te)/(tf-te),TRUE,100)))</f>
        <v/>
      </c>
      <c r="Q45" s="35" t="str">
        <f>IF('Stress Inputs'!Q45="","",LET(d,Rulebook!$L45,x,'Stress Inputs'!Q45*d,ta,Rulebook!$G45*d,tb,Rulebook!$H45*d,tc,Rulebook!$I45*d,te,Rulebook!$J45*d,tf,Rulebook!$K45*d,IFS(x&lt;=ta,0,x&lt;=tb,25*(x-ta)/(tb-ta),x&lt;=tc,25+25*(x-tb)/(tc-tb),x&lt;=te,50+25*(x-tc)/(te-tc),x&lt;tf,75+25*(x-te)/(tf-te),TRUE,100)))</f>
        <v/>
      </c>
      <c r="R45" s="35" t="str">
        <f>IF('Stress Inputs'!R45="","",LET(d,Rulebook!$L45,x,'Stress Inputs'!R45*d,ta,Rulebook!$G45*d,tb,Rulebook!$H45*d,tc,Rulebook!$I45*d,te,Rulebook!$J45*d,tf,Rulebook!$K45*d,IFS(x&lt;=ta,0,x&lt;=tb,25*(x-ta)/(tb-ta),x&lt;=tc,25+25*(x-tb)/(tc-tb),x&lt;=te,50+25*(x-tc)/(te-tc),x&lt;tf,75+25*(x-te)/(tf-te),TRUE,100)))</f>
        <v/>
      </c>
      <c r="S45" s="35" t="str">
        <f>IF('Stress Inputs'!S45="","",LET(d,Rulebook!$L45,x,'Stress Inputs'!S45*d,ta,Rulebook!$G45*d,tb,Rulebook!$H45*d,tc,Rulebook!$I45*d,te,Rulebook!$J45*d,tf,Rulebook!$K45*d,IFS(x&lt;=ta,0,x&lt;=tb,25*(x-ta)/(tb-ta),x&lt;=tc,25+25*(x-tb)/(tc-tb),x&lt;=te,50+25*(x-tc)/(te-tc),x&lt;tf,75+25*(x-te)/(tf-te),TRUE,100)))</f>
        <v/>
      </c>
      <c r="T45" s="35" t="str">
        <f>IF('Stress Inputs'!T45="","",LET(d,Rulebook!$L45,x,'Stress Inputs'!T45*d,ta,Rulebook!$G45*d,tb,Rulebook!$H45*d,tc,Rulebook!$I45*d,te,Rulebook!$J45*d,tf,Rulebook!$K45*d,IFS(x&lt;=ta,0,x&lt;=tb,25*(x-ta)/(tb-ta),x&lt;=tc,25+25*(x-tb)/(tc-tb),x&lt;=te,50+25*(x-tc)/(te-tc),x&lt;tf,75+25*(x-te)/(tf-te),TRUE,100)))</f>
        <v/>
      </c>
      <c r="U45" s="35" t="str">
        <f>IF('Stress Inputs'!U45="","",LET(d,Rulebook!$L45,x,'Stress Inputs'!U45*d,ta,Rulebook!$G45*d,tb,Rulebook!$H45*d,tc,Rulebook!$I45*d,te,Rulebook!$J45*d,tf,Rulebook!$K45*d,IFS(x&lt;=ta,0,x&lt;=tb,25*(x-ta)/(tb-ta),x&lt;=tc,25+25*(x-tb)/(tc-tb),x&lt;=te,50+25*(x-tc)/(te-tc),x&lt;tf,75+25*(x-te)/(tf-te),TRUE,100)))</f>
        <v/>
      </c>
      <c r="V45" s="35" t="str">
        <f>IF('Stress Inputs'!V45="","",LET(d,Rulebook!$L45,x,'Stress Inputs'!V45*d,ta,Rulebook!$G45*d,tb,Rulebook!$H45*d,tc,Rulebook!$I45*d,te,Rulebook!$J45*d,tf,Rulebook!$K45*d,IFS(x&lt;=ta,0,x&lt;=tb,25*(x-ta)/(tb-ta),x&lt;=tc,25+25*(x-tb)/(tc-tb),x&lt;=te,50+25*(x-tc)/(te-tc),x&lt;tf,75+25*(x-te)/(tf-te),TRUE,100)))</f>
        <v/>
      </c>
    </row>
    <row r="46">
      <c r="A46" s="26" t="s">
        <v>629</v>
      </c>
      <c r="B46" s="26">
        <v>4.0</v>
      </c>
      <c r="C46" s="26" t="s">
        <v>630</v>
      </c>
      <c r="D46" s="26" t="s">
        <v>254</v>
      </c>
      <c r="E46" s="35" t="str">
        <f>IF('Stress Inputs'!E46="","",LET(d,Rulebook!$L46,x,'Stress Inputs'!E46*d,ta,Rulebook!$G46*d,tb,Rulebook!$H46*d,tc,Rulebook!$I46*d,te,Rulebook!$J46*d,tf,Rulebook!$K46*d,IFS(x&lt;=ta,0,x&lt;=tb,25*(x-ta)/(tb-ta),x&lt;=tc,25+25*(x-tb)/(tc-tb),x&lt;=te,50+25*(x-tc)/(te-tc),x&lt;tf,75+25*(x-te)/(tf-te),TRUE,100)))</f>
        <v/>
      </c>
      <c r="F46" s="35" t="str">
        <f>IF('Stress Inputs'!F46="","",LET(d,Rulebook!$L46,x,'Stress Inputs'!F46*d,ta,Rulebook!$G46*d,tb,Rulebook!$H46*d,tc,Rulebook!$I46*d,te,Rulebook!$J46*d,tf,Rulebook!$K46*d,IFS(x&lt;=ta,0,x&lt;=tb,25*(x-ta)/(tb-ta),x&lt;=tc,25+25*(x-tb)/(tc-tb),x&lt;=te,50+25*(x-tc)/(te-tc),x&lt;tf,75+25*(x-te)/(tf-te),TRUE,100)))</f>
        <v/>
      </c>
      <c r="G46" s="35" t="str">
        <f>IF('Stress Inputs'!G46="","",LET(d,Rulebook!$L46,x,'Stress Inputs'!G46*d,ta,Rulebook!$G46*d,tb,Rulebook!$H46*d,tc,Rulebook!$I46*d,te,Rulebook!$J46*d,tf,Rulebook!$K46*d,IFS(x&lt;=ta,0,x&lt;=tb,25*(x-ta)/(tb-ta),x&lt;=tc,25+25*(x-tb)/(tc-tb),x&lt;=te,50+25*(x-tc)/(te-tc),x&lt;tf,75+25*(x-te)/(tf-te),TRUE,100)))</f>
        <v/>
      </c>
      <c r="H46" s="35" t="str">
        <f>IF('Stress Inputs'!H46="","",LET(d,Rulebook!$L46,x,'Stress Inputs'!H46*d,ta,Rulebook!$G46*d,tb,Rulebook!$H46*d,tc,Rulebook!$I46*d,te,Rulebook!$J46*d,tf,Rulebook!$K46*d,IFS(x&lt;=ta,0,x&lt;=tb,25*(x-ta)/(tb-ta),x&lt;=tc,25+25*(x-tb)/(tc-tb),x&lt;=te,50+25*(x-tc)/(te-tc),x&lt;tf,75+25*(x-te)/(tf-te),TRUE,100)))</f>
        <v/>
      </c>
      <c r="I46" s="35" t="str">
        <f>IF('Stress Inputs'!I46="","",LET(d,Rulebook!$L46,x,'Stress Inputs'!I46*d,ta,Rulebook!$G46*d,tb,Rulebook!$H46*d,tc,Rulebook!$I46*d,te,Rulebook!$J46*d,tf,Rulebook!$K46*d,IFS(x&lt;=ta,0,x&lt;=tb,25*(x-ta)/(tb-ta),x&lt;=tc,25+25*(x-tb)/(tc-tb),x&lt;=te,50+25*(x-tc)/(te-tc),x&lt;tf,75+25*(x-te)/(tf-te),TRUE,100)))</f>
        <v/>
      </c>
      <c r="J46" s="35" t="str">
        <f>IF('Stress Inputs'!J46="","",LET(d,Rulebook!$L46,x,'Stress Inputs'!J46*d,ta,Rulebook!$G46*d,tb,Rulebook!$H46*d,tc,Rulebook!$I46*d,te,Rulebook!$J46*d,tf,Rulebook!$K46*d,IFS(x&lt;=ta,0,x&lt;=tb,25*(x-ta)/(tb-ta),x&lt;=tc,25+25*(x-tb)/(tc-tb),x&lt;=te,50+25*(x-tc)/(te-tc),x&lt;tf,75+25*(x-te)/(tf-te),TRUE,100)))</f>
        <v/>
      </c>
      <c r="K46" s="35" t="str">
        <f>IF('Stress Inputs'!K46="","",LET(d,Rulebook!$L46,x,'Stress Inputs'!K46*d,ta,Rulebook!$G46*d,tb,Rulebook!$H46*d,tc,Rulebook!$I46*d,te,Rulebook!$J46*d,tf,Rulebook!$K46*d,IFS(x&lt;=ta,0,x&lt;=tb,25*(x-ta)/(tb-ta),x&lt;=tc,25+25*(x-tb)/(tc-tb),x&lt;=te,50+25*(x-tc)/(te-tc),x&lt;tf,75+25*(x-te)/(tf-te),TRUE,100)))</f>
        <v/>
      </c>
      <c r="L46" s="35" t="str">
        <f>IF('Stress Inputs'!L46="","",LET(d,Rulebook!$L46,x,'Stress Inputs'!L46*d,ta,Rulebook!$G46*d,tb,Rulebook!$H46*d,tc,Rulebook!$I46*d,te,Rulebook!$J46*d,tf,Rulebook!$K46*d,IFS(x&lt;=ta,0,x&lt;=tb,25*(x-ta)/(tb-ta),x&lt;=tc,25+25*(x-tb)/(tc-tb),x&lt;=te,50+25*(x-tc)/(te-tc),x&lt;tf,75+25*(x-te)/(tf-te),TRUE,100)))</f>
        <v/>
      </c>
      <c r="M46" s="35" t="str">
        <f>IF('Stress Inputs'!M46="","",LET(d,Rulebook!$L46,x,'Stress Inputs'!M46*d,ta,Rulebook!$G46*d,tb,Rulebook!$H46*d,tc,Rulebook!$I46*d,te,Rulebook!$J46*d,tf,Rulebook!$K46*d,IFS(x&lt;=ta,0,x&lt;=tb,25*(x-ta)/(tb-ta),x&lt;=tc,25+25*(x-tb)/(tc-tb),x&lt;=te,50+25*(x-tc)/(te-tc),x&lt;tf,75+25*(x-te)/(tf-te),TRUE,100)))</f>
        <v/>
      </c>
      <c r="N46" s="35" t="str">
        <f>IF('Stress Inputs'!N46="","",LET(d,Rulebook!$L46,x,'Stress Inputs'!N46*d,ta,Rulebook!$G46*d,tb,Rulebook!$H46*d,tc,Rulebook!$I46*d,te,Rulebook!$J46*d,tf,Rulebook!$K46*d,IFS(x&lt;=ta,0,x&lt;=tb,25*(x-ta)/(tb-ta),x&lt;=tc,25+25*(x-tb)/(tc-tb),x&lt;=te,50+25*(x-tc)/(te-tc),x&lt;tf,75+25*(x-te)/(tf-te),TRUE,100)))</f>
        <v/>
      </c>
      <c r="O46" s="35" t="str">
        <f>IF('Stress Inputs'!O46="","",LET(d,Rulebook!$L46,x,'Stress Inputs'!O46*d,ta,Rulebook!$G46*d,tb,Rulebook!$H46*d,tc,Rulebook!$I46*d,te,Rulebook!$J46*d,tf,Rulebook!$K46*d,IFS(x&lt;=ta,0,x&lt;=tb,25*(x-ta)/(tb-ta),x&lt;=tc,25+25*(x-tb)/(tc-tb),x&lt;=te,50+25*(x-tc)/(te-tc),x&lt;tf,75+25*(x-te)/(tf-te),TRUE,100)))</f>
        <v/>
      </c>
      <c r="P46" s="35" t="str">
        <f>IF('Stress Inputs'!P46="","",LET(d,Rulebook!$L46,x,'Stress Inputs'!P46*d,ta,Rulebook!$G46*d,tb,Rulebook!$H46*d,tc,Rulebook!$I46*d,te,Rulebook!$J46*d,tf,Rulebook!$K46*d,IFS(x&lt;=ta,0,x&lt;=tb,25*(x-ta)/(tb-ta),x&lt;=tc,25+25*(x-tb)/(tc-tb),x&lt;=te,50+25*(x-tc)/(te-tc),x&lt;tf,75+25*(x-te)/(tf-te),TRUE,100)))</f>
        <v/>
      </c>
      <c r="Q46" s="35" t="str">
        <f>IF('Stress Inputs'!Q46="","",LET(d,Rulebook!$L46,x,'Stress Inputs'!Q46*d,ta,Rulebook!$G46*d,tb,Rulebook!$H46*d,tc,Rulebook!$I46*d,te,Rulebook!$J46*d,tf,Rulebook!$K46*d,IFS(x&lt;=ta,0,x&lt;=tb,25*(x-ta)/(tb-ta),x&lt;=tc,25+25*(x-tb)/(tc-tb),x&lt;=te,50+25*(x-tc)/(te-tc),x&lt;tf,75+25*(x-te)/(tf-te),TRUE,100)))</f>
        <v/>
      </c>
      <c r="R46" s="35" t="str">
        <f>IF('Stress Inputs'!R46="","",LET(d,Rulebook!$L46,x,'Stress Inputs'!R46*d,ta,Rulebook!$G46*d,tb,Rulebook!$H46*d,tc,Rulebook!$I46*d,te,Rulebook!$J46*d,tf,Rulebook!$K46*d,IFS(x&lt;=ta,0,x&lt;=tb,25*(x-ta)/(tb-ta),x&lt;=tc,25+25*(x-tb)/(tc-tb),x&lt;=te,50+25*(x-tc)/(te-tc),x&lt;tf,75+25*(x-te)/(tf-te),TRUE,100)))</f>
        <v/>
      </c>
      <c r="S46" s="35" t="str">
        <f>IF('Stress Inputs'!S46="","",LET(d,Rulebook!$L46,x,'Stress Inputs'!S46*d,ta,Rulebook!$G46*d,tb,Rulebook!$H46*d,tc,Rulebook!$I46*d,te,Rulebook!$J46*d,tf,Rulebook!$K46*d,IFS(x&lt;=ta,0,x&lt;=tb,25*(x-ta)/(tb-ta),x&lt;=tc,25+25*(x-tb)/(tc-tb),x&lt;=te,50+25*(x-tc)/(te-tc),x&lt;tf,75+25*(x-te)/(tf-te),TRUE,100)))</f>
        <v/>
      </c>
      <c r="T46" s="35" t="str">
        <f>IF('Stress Inputs'!T46="","",LET(d,Rulebook!$L46,x,'Stress Inputs'!T46*d,ta,Rulebook!$G46*d,tb,Rulebook!$H46*d,tc,Rulebook!$I46*d,te,Rulebook!$J46*d,tf,Rulebook!$K46*d,IFS(x&lt;=ta,0,x&lt;=tb,25*(x-ta)/(tb-ta),x&lt;=tc,25+25*(x-tb)/(tc-tb),x&lt;=te,50+25*(x-tc)/(te-tc),x&lt;tf,75+25*(x-te)/(tf-te),TRUE,100)))</f>
        <v/>
      </c>
      <c r="U46" s="35" t="str">
        <f>IF('Stress Inputs'!U46="","",LET(d,Rulebook!$L46,x,'Stress Inputs'!U46*d,ta,Rulebook!$G46*d,tb,Rulebook!$H46*d,tc,Rulebook!$I46*d,te,Rulebook!$J46*d,tf,Rulebook!$K46*d,IFS(x&lt;=ta,0,x&lt;=tb,25*(x-ta)/(tb-ta),x&lt;=tc,25+25*(x-tb)/(tc-tb),x&lt;=te,50+25*(x-tc)/(te-tc),x&lt;tf,75+25*(x-te)/(tf-te),TRUE,100)))</f>
        <v/>
      </c>
      <c r="V46" s="35" t="str">
        <f>IF('Stress Inputs'!V46="","",LET(d,Rulebook!$L46,x,'Stress Inputs'!V46*d,ta,Rulebook!$G46*d,tb,Rulebook!$H46*d,tc,Rulebook!$I46*d,te,Rulebook!$J46*d,tf,Rulebook!$K46*d,IFS(x&lt;=ta,0,x&lt;=tb,25*(x-ta)/(tb-ta),x&lt;=tc,25+25*(x-tb)/(tc-tb),x&lt;=te,50+25*(x-tc)/(te-tc),x&lt;tf,75+25*(x-te)/(tf-te),TRUE,100)))</f>
        <v/>
      </c>
    </row>
    <row r="47">
      <c r="A47" s="26" t="s">
        <v>636</v>
      </c>
      <c r="B47" s="26">
        <v>5.0</v>
      </c>
      <c r="C47" s="26" t="s">
        <v>637</v>
      </c>
      <c r="D47" s="26" t="s">
        <v>638</v>
      </c>
      <c r="E47" s="35" t="str">
        <f>IF('Stress Inputs'!E47="","",LET(d,Rulebook!$L47,x,'Stress Inputs'!E47*d,ta,Rulebook!$G47*d,tb,Rulebook!$H47*d,tc,Rulebook!$I47*d,te,Rulebook!$J47*d,tf,Rulebook!$K47*d,IFS(x&lt;=ta,0,x&lt;=tb,25*(x-ta)/(tb-ta),x&lt;=tc,25+25*(x-tb)/(tc-tb),x&lt;=te,50+25*(x-tc)/(te-tc),x&lt;tf,75+25*(x-te)/(tf-te),TRUE,100)))</f>
        <v/>
      </c>
      <c r="F47" s="35" t="str">
        <f>IF('Stress Inputs'!F47="","",LET(d,Rulebook!$L47,x,'Stress Inputs'!F47*d,ta,Rulebook!$G47*d,tb,Rulebook!$H47*d,tc,Rulebook!$I47*d,te,Rulebook!$J47*d,tf,Rulebook!$K47*d,IFS(x&lt;=ta,0,x&lt;=tb,25*(x-ta)/(tb-ta),x&lt;=tc,25+25*(x-tb)/(tc-tb),x&lt;=te,50+25*(x-tc)/(te-tc),x&lt;tf,75+25*(x-te)/(tf-te),TRUE,100)))</f>
        <v/>
      </c>
      <c r="G47" s="35" t="str">
        <f>IF('Stress Inputs'!G47="","",LET(d,Rulebook!$L47,x,'Stress Inputs'!G47*d,ta,Rulebook!$G47*d,tb,Rulebook!$H47*d,tc,Rulebook!$I47*d,te,Rulebook!$J47*d,tf,Rulebook!$K47*d,IFS(x&lt;=ta,0,x&lt;=tb,25*(x-ta)/(tb-ta),x&lt;=tc,25+25*(x-tb)/(tc-tb),x&lt;=te,50+25*(x-tc)/(te-tc),x&lt;tf,75+25*(x-te)/(tf-te),TRUE,100)))</f>
        <v/>
      </c>
      <c r="H47" s="35" t="str">
        <f>IF('Stress Inputs'!H47="","",LET(d,Rulebook!$L47,x,'Stress Inputs'!H47*d,ta,Rulebook!$G47*d,tb,Rulebook!$H47*d,tc,Rulebook!$I47*d,te,Rulebook!$J47*d,tf,Rulebook!$K47*d,IFS(x&lt;=ta,0,x&lt;=tb,25*(x-ta)/(tb-ta),x&lt;=tc,25+25*(x-tb)/(tc-tb),x&lt;=te,50+25*(x-tc)/(te-tc),x&lt;tf,75+25*(x-te)/(tf-te),TRUE,100)))</f>
        <v/>
      </c>
      <c r="I47" s="35" t="str">
        <f>IF('Stress Inputs'!I47="","",LET(d,Rulebook!$L47,x,'Stress Inputs'!I47*d,ta,Rulebook!$G47*d,tb,Rulebook!$H47*d,tc,Rulebook!$I47*d,te,Rulebook!$J47*d,tf,Rulebook!$K47*d,IFS(x&lt;=ta,0,x&lt;=tb,25*(x-ta)/(tb-ta),x&lt;=tc,25+25*(x-tb)/(tc-tb),x&lt;=te,50+25*(x-tc)/(te-tc),x&lt;tf,75+25*(x-te)/(tf-te),TRUE,100)))</f>
        <v/>
      </c>
      <c r="J47" s="35" t="str">
        <f>IF('Stress Inputs'!J47="","",LET(d,Rulebook!$L47,x,'Stress Inputs'!J47*d,ta,Rulebook!$G47*d,tb,Rulebook!$H47*d,tc,Rulebook!$I47*d,te,Rulebook!$J47*d,tf,Rulebook!$K47*d,IFS(x&lt;=ta,0,x&lt;=tb,25*(x-ta)/(tb-ta),x&lt;=tc,25+25*(x-tb)/(tc-tb),x&lt;=te,50+25*(x-tc)/(te-tc),x&lt;tf,75+25*(x-te)/(tf-te),TRUE,100)))</f>
        <v/>
      </c>
      <c r="K47" s="35" t="str">
        <f>IF('Stress Inputs'!K47="","",LET(d,Rulebook!$L47,x,'Stress Inputs'!K47*d,ta,Rulebook!$G47*d,tb,Rulebook!$H47*d,tc,Rulebook!$I47*d,te,Rulebook!$J47*d,tf,Rulebook!$K47*d,IFS(x&lt;=ta,0,x&lt;=tb,25*(x-ta)/(tb-ta),x&lt;=tc,25+25*(x-tb)/(tc-tb),x&lt;=te,50+25*(x-tc)/(te-tc),x&lt;tf,75+25*(x-te)/(tf-te),TRUE,100)))</f>
        <v/>
      </c>
      <c r="L47" s="35" t="str">
        <f>IF('Stress Inputs'!L47="","",LET(d,Rulebook!$L47,x,'Stress Inputs'!L47*d,ta,Rulebook!$G47*d,tb,Rulebook!$H47*d,tc,Rulebook!$I47*d,te,Rulebook!$J47*d,tf,Rulebook!$K47*d,IFS(x&lt;=ta,0,x&lt;=tb,25*(x-ta)/(tb-ta),x&lt;=tc,25+25*(x-tb)/(tc-tb),x&lt;=te,50+25*(x-tc)/(te-tc),x&lt;tf,75+25*(x-te)/(tf-te),TRUE,100)))</f>
        <v/>
      </c>
      <c r="M47" s="35" t="str">
        <f>IF('Stress Inputs'!M47="","",LET(d,Rulebook!$L47,x,'Stress Inputs'!M47*d,ta,Rulebook!$G47*d,tb,Rulebook!$H47*d,tc,Rulebook!$I47*d,te,Rulebook!$J47*d,tf,Rulebook!$K47*d,IFS(x&lt;=ta,0,x&lt;=tb,25*(x-ta)/(tb-ta),x&lt;=tc,25+25*(x-tb)/(tc-tb),x&lt;=te,50+25*(x-tc)/(te-tc),x&lt;tf,75+25*(x-te)/(tf-te),TRUE,100)))</f>
        <v/>
      </c>
      <c r="N47" s="35" t="str">
        <f>IF('Stress Inputs'!N47="","",LET(d,Rulebook!$L47,x,'Stress Inputs'!N47*d,ta,Rulebook!$G47*d,tb,Rulebook!$H47*d,tc,Rulebook!$I47*d,te,Rulebook!$J47*d,tf,Rulebook!$K47*d,IFS(x&lt;=ta,0,x&lt;=tb,25*(x-ta)/(tb-ta),x&lt;=tc,25+25*(x-tb)/(tc-tb),x&lt;=te,50+25*(x-tc)/(te-tc),x&lt;tf,75+25*(x-te)/(tf-te),TRUE,100)))</f>
        <v/>
      </c>
      <c r="O47" s="35" t="str">
        <f>IF('Stress Inputs'!O47="","",LET(d,Rulebook!$L47,x,'Stress Inputs'!O47*d,ta,Rulebook!$G47*d,tb,Rulebook!$H47*d,tc,Rulebook!$I47*d,te,Rulebook!$J47*d,tf,Rulebook!$K47*d,IFS(x&lt;=ta,0,x&lt;=tb,25*(x-ta)/(tb-ta),x&lt;=tc,25+25*(x-tb)/(tc-tb),x&lt;=te,50+25*(x-tc)/(te-tc),x&lt;tf,75+25*(x-te)/(tf-te),TRUE,100)))</f>
        <v/>
      </c>
      <c r="P47" s="35" t="str">
        <f>IF('Stress Inputs'!P47="","",LET(d,Rulebook!$L47,x,'Stress Inputs'!P47*d,ta,Rulebook!$G47*d,tb,Rulebook!$H47*d,tc,Rulebook!$I47*d,te,Rulebook!$J47*d,tf,Rulebook!$K47*d,IFS(x&lt;=ta,0,x&lt;=tb,25*(x-ta)/(tb-ta),x&lt;=tc,25+25*(x-tb)/(tc-tb),x&lt;=te,50+25*(x-tc)/(te-tc),x&lt;tf,75+25*(x-te)/(tf-te),TRUE,100)))</f>
        <v/>
      </c>
      <c r="Q47" s="35" t="str">
        <f>IF('Stress Inputs'!Q47="","",LET(d,Rulebook!$L47,x,'Stress Inputs'!Q47*d,ta,Rulebook!$G47*d,tb,Rulebook!$H47*d,tc,Rulebook!$I47*d,te,Rulebook!$J47*d,tf,Rulebook!$K47*d,IFS(x&lt;=ta,0,x&lt;=tb,25*(x-ta)/(tb-ta),x&lt;=tc,25+25*(x-tb)/(tc-tb),x&lt;=te,50+25*(x-tc)/(te-tc),x&lt;tf,75+25*(x-te)/(tf-te),TRUE,100)))</f>
        <v/>
      </c>
      <c r="R47" s="35" t="str">
        <f>IF('Stress Inputs'!R47="","",LET(d,Rulebook!$L47,x,'Stress Inputs'!R47*d,ta,Rulebook!$G47*d,tb,Rulebook!$H47*d,tc,Rulebook!$I47*d,te,Rulebook!$J47*d,tf,Rulebook!$K47*d,IFS(x&lt;=ta,0,x&lt;=tb,25*(x-ta)/(tb-ta),x&lt;=tc,25+25*(x-tb)/(tc-tb),x&lt;=te,50+25*(x-tc)/(te-tc),x&lt;tf,75+25*(x-te)/(tf-te),TRUE,100)))</f>
        <v/>
      </c>
      <c r="S47" s="35" t="str">
        <f>IF('Stress Inputs'!S47="","",LET(d,Rulebook!$L47,x,'Stress Inputs'!S47*d,ta,Rulebook!$G47*d,tb,Rulebook!$H47*d,tc,Rulebook!$I47*d,te,Rulebook!$J47*d,tf,Rulebook!$K47*d,IFS(x&lt;=ta,0,x&lt;=tb,25*(x-ta)/(tb-ta),x&lt;=tc,25+25*(x-tb)/(tc-tb),x&lt;=te,50+25*(x-tc)/(te-tc),x&lt;tf,75+25*(x-te)/(tf-te),TRUE,100)))</f>
        <v/>
      </c>
      <c r="T47" s="35" t="str">
        <f>IF('Stress Inputs'!T47="","",LET(d,Rulebook!$L47,x,'Stress Inputs'!T47*d,ta,Rulebook!$G47*d,tb,Rulebook!$H47*d,tc,Rulebook!$I47*d,te,Rulebook!$J47*d,tf,Rulebook!$K47*d,IFS(x&lt;=ta,0,x&lt;=tb,25*(x-ta)/(tb-ta),x&lt;=tc,25+25*(x-tb)/(tc-tb),x&lt;=te,50+25*(x-tc)/(te-tc),x&lt;tf,75+25*(x-te)/(tf-te),TRUE,100)))</f>
        <v/>
      </c>
      <c r="U47" s="35" t="str">
        <f>IF('Stress Inputs'!U47="","",LET(d,Rulebook!$L47,x,'Stress Inputs'!U47*d,ta,Rulebook!$G47*d,tb,Rulebook!$H47*d,tc,Rulebook!$I47*d,te,Rulebook!$J47*d,tf,Rulebook!$K47*d,IFS(x&lt;=ta,0,x&lt;=tb,25*(x-ta)/(tb-ta),x&lt;=tc,25+25*(x-tb)/(tc-tb),x&lt;=te,50+25*(x-tc)/(te-tc),x&lt;tf,75+25*(x-te)/(tf-te),TRUE,100)))</f>
        <v/>
      </c>
      <c r="V47" s="35" t="str">
        <f>IF('Stress Inputs'!V47="","",LET(d,Rulebook!$L47,x,'Stress Inputs'!V47*d,ta,Rulebook!$G47*d,tb,Rulebook!$H47*d,tc,Rulebook!$I47*d,te,Rulebook!$J47*d,tf,Rulebook!$K47*d,IFS(x&lt;=ta,0,x&lt;=tb,25*(x-ta)/(tb-ta),x&lt;=tc,25+25*(x-tb)/(tc-tb),x&lt;=te,50+25*(x-tc)/(te-tc),x&lt;tf,75+25*(x-te)/(tf-te),TRUE,100)))</f>
        <v/>
      </c>
    </row>
    <row r="48">
      <c r="A48" s="26" t="s">
        <v>643</v>
      </c>
      <c r="B48" s="26">
        <v>5.0</v>
      </c>
      <c r="C48" s="26" t="s">
        <v>646</v>
      </c>
      <c r="D48" s="26" t="s">
        <v>648</v>
      </c>
      <c r="E48" s="35" t="str">
        <f>IF('Stress Inputs'!E48="","",LET(d,Rulebook!$L48,x,'Stress Inputs'!E48*d,ta,Rulebook!$G48*d,tb,Rulebook!$H48*d,tc,Rulebook!$I48*d,te,Rulebook!$J48*d,tf,Rulebook!$K48*d,IFS(x&lt;=ta,0,x&lt;=tb,25*(x-ta)/(tb-ta),x&lt;=tc,25+25*(x-tb)/(tc-tb),x&lt;=te,50+25*(x-tc)/(te-tc),x&lt;tf,75+25*(x-te)/(tf-te),TRUE,100)))</f>
        <v/>
      </c>
      <c r="F48" s="35" t="str">
        <f>IF('Stress Inputs'!F48="","",LET(d,Rulebook!$L48,x,'Stress Inputs'!F48*d,ta,Rulebook!$G48*d,tb,Rulebook!$H48*d,tc,Rulebook!$I48*d,te,Rulebook!$J48*d,tf,Rulebook!$K48*d,IFS(x&lt;=ta,0,x&lt;=tb,25*(x-ta)/(tb-ta),x&lt;=tc,25+25*(x-tb)/(tc-tb),x&lt;=te,50+25*(x-tc)/(te-tc),x&lt;tf,75+25*(x-te)/(tf-te),TRUE,100)))</f>
        <v/>
      </c>
      <c r="G48" s="35" t="str">
        <f>IF('Stress Inputs'!G48="","",LET(d,Rulebook!$L48,x,'Stress Inputs'!G48*d,ta,Rulebook!$G48*d,tb,Rulebook!$H48*d,tc,Rulebook!$I48*d,te,Rulebook!$J48*d,tf,Rulebook!$K48*d,IFS(x&lt;=ta,0,x&lt;=tb,25*(x-ta)/(tb-ta),x&lt;=tc,25+25*(x-tb)/(tc-tb),x&lt;=te,50+25*(x-tc)/(te-tc),x&lt;tf,75+25*(x-te)/(tf-te),TRUE,100)))</f>
        <v/>
      </c>
      <c r="H48" s="35" t="str">
        <f>IF('Stress Inputs'!H48="","",LET(d,Rulebook!$L48,x,'Stress Inputs'!H48*d,ta,Rulebook!$G48*d,tb,Rulebook!$H48*d,tc,Rulebook!$I48*d,te,Rulebook!$J48*d,tf,Rulebook!$K48*d,IFS(x&lt;=ta,0,x&lt;=tb,25*(x-ta)/(tb-ta),x&lt;=tc,25+25*(x-tb)/(tc-tb),x&lt;=te,50+25*(x-tc)/(te-tc),x&lt;tf,75+25*(x-te)/(tf-te),TRUE,100)))</f>
        <v/>
      </c>
      <c r="I48" s="35" t="str">
        <f>IF('Stress Inputs'!I48="","",LET(d,Rulebook!$L48,x,'Stress Inputs'!I48*d,ta,Rulebook!$G48*d,tb,Rulebook!$H48*d,tc,Rulebook!$I48*d,te,Rulebook!$J48*d,tf,Rulebook!$K48*d,IFS(x&lt;=ta,0,x&lt;=tb,25*(x-ta)/(tb-ta),x&lt;=tc,25+25*(x-tb)/(tc-tb),x&lt;=te,50+25*(x-tc)/(te-tc),x&lt;tf,75+25*(x-te)/(tf-te),TRUE,100)))</f>
        <v/>
      </c>
      <c r="J48" s="35" t="str">
        <f>IF('Stress Inputs'!J48="","",LET(d,Rulebook!$L48,x,'Stress Inputs'!J48*d,ta,Rulebook!$G48*d,tb,Rulebook!$H48*d,tc,Rulebook!$I48*d,te,Rulebook!$J48*d,tf,Rulebook!$K48*d,IFS(x&lt;=ta,0,x&lt;=tb,25*(x-ta)/(tb-ta),x&lt;=tc,25+25*(x-tb)/(tc-tb),x&lt;=te,50+25*(x-tc)/(te-tc),x&lt;tf,75+25*(x-te)/(tf-te),TRUE,100)))</f>
        <v/>
      </c>
      <c r="K48" s="35" t="str">
        <f>IF('Stress Inputs'!K48="","",LET(d,Rulebook!$L48,x,'Stress Inputs'!K48*d,ta,Rulebook!$G48*d,tb,Rulebook!$H48*d,tc,Rulebook!$I48*d,te,Rulebook!$J48*d,tf,Rulebook!$K48*d,IFS(x&lt;=ta,0,x&lt;=tb,25*(x-ta)/(tb-ta),x&lt;=tc,25+25*(x-tb)/(tc-tb),x&lt;=te,50+25*(x-tc)/(te-tc),x&lt;tf,75+25*(x-te)/(tf-te),TRUE,100)))</f>
        <v/>
      </c>
      <c r="L48" s="35" t="str">
        <f>IF('Stress Inputs'!L48="","",LET(d,Rulebook!$L48,x,'Stress Inputs'!L48*d,ta,Rulebook!$G48*d,tb,Rulebook!$H48*d,tc,Rulebook!$I48*d,te,Rulebook!$J48*d,tf,Rulebook!$K48*d,IFS(x&lt;=ta,0,x&lt;=tb,25*(x-ta)/(tb-ta),x&lt;=tc,25+25*(x-tb)/(tc-tb),x&lt;=te,50+25*(x-tc)/(te-tc),x&lt;tf,75+25*(x-te)/(tf-te),TRUE,100)))</f>
        <v/>
      </c>
      <c r="M48" s="35" t="str">
        <f>IF('Stress Inputs'!M48="","",LET(d,Rulebook!$L48,x,'Stress Inputs'!M48*d,ta,Rulebook!$G48*d,tb,Rulebook!$H48*d,tc,Rulebook!$I48*d,te,Rulebook!$J48*d,tf,Rulebook!$K48*d,IFS(x&lt;=ta,0,x&lt;=tb,25*(x-ta)/(tb-ta),x&lt;=tc,25+25*(x-tb)/(tc-tb),x&lt;=te,50+25*(x-tc)/(te-tc),x&lt;tf,75+25*(x-te)/(tf-te),TRUE,100)))</f>
        <v/>
      </c>
      <c r="N48" s="35" t="str">
        <f>IF('Stress Inputs'!N48="","",LET(d,Rulebook!$L48,x,'Stress Inputs'!N48*d,ta,Rulebook!$G48*d,tb,Rulebook!$H48*d,tc,Rulebook!$I48*d,te,Rulebook!$J48*d,tf,Rulebook!$K48*d,IFS(x&lt;=ta,0,x&lt;=tb,25*(x-ta)/(tb-ta),x&lt;=tc,25+25*(x-tb)/(tc-tb),x&lt;=te,50+25*(x-tc)/(te-tc),x&lt;tf,75+25*(x-te)/(tf-te),TRUE,100)))</f>
        <v/>
      </c>
      <c r="O48" s="35" t="str">
        <f>IF('Stress Inputs'!O48="","",LET(d,Rulebook!$L48,x,'Stress Inputs'!O48*d,ta,Rulebook!$G48*d,tb,Rulebook!$H48*d,tc,Rulebook!$I48*d,te,Rulebook!$J48*d,tf,Rulebook!$K48*d,IFS(x&lt;=ta,0,x&lt;=tb,25*(x-ta)/(tb-ta),x&lt;=tc,25+25*(x-tb)/(tc-tb),x&lt;=te,50+25*(x-tc)/(te-tc),x&lt;tf,75+25*(x-te)/(tf-te),TRUE,100)))</f>
        <v/>
      </c>
      <c r="P48" s="35" t="str">
        <f>IF('Stress Inputs'!P48="","",LET(d,Rulebook!$L48,x,'Stress Inputs'!P48*d,ta,Rulebook!$G48*d,tb,Rulebook!$H48*d,tc,Rulebook!$I48*d,te,Rulebook!$J48*d,tf,Rulebook!$K48*d,IFS(x&lt;=ta,0,x&lt;=tb,25*(x-ta)/(tb-ta),x&lt;=tc,25+25*(x-tb)/(tc-tb),x&lt;=te,50+25*(x-tc)/(te-tc),x&lt;tf,75+25*(x-te)/(tf-te),TRUE,100)))</f>
        <v/>
      </c>
      <c r="Q48" s="35" t="str">
        <f>IF('Stress Inputs'!Q48="","",LET(d,Rulebook!$L48,x,'Stress Inputs'!Q48*d,ta,Rulebook!$G48*d,tb,Rulebook!$H48*d,tc,Rulebook!$I48*d,te,Rulebook!$J48*d,tf,Rulebook!$K48*d,IFS(x&lt;=ta,0,x&lt;=tb,25*(x-ta)/(tb-ta),x&lt;=tc,25+25*(x-tb)/(tc-tb),x&lt;=te,50+25*(x-tc)/(te-tc),x&lt;tf,75+25*(x-te)/(tf-te),TRUE,100)))</f>
        <v/>
      </c>
      <c r="R48" s="35" t="str">
        <f>IF('Stress Inputs'!R48="","",LET(d,Rulebook!$L48,x,'Stress Inputs'!R48*d,ta,Rulebook!$G48*d,tb,Rulebook!$H48*d,tc,Rulebook!$I48*d,te,Rulebook!$J48*d,tf,Rulebook!$K48*d,IFS(x&lt;=ta,0,x&lt;=tb,25*(x-ta)/(tb-ta),x&lt;=tc,25+25*(x-tb)/(tc-tb),x&lt;=te,50+25*(x-tc)/(te-tc),x&lt;tf,75+25*(x-te)/(tf-te),TRUE,100)))</f>
        <v/>
      </c>
      <c r="S48" s="35" t="str">
        <f>IF('Stress Inputs'!S48="","",LET(d,Rulebook!$L48,x,'Stress Inputs'!S48*d,ta,Rulebook!$G48*d,tb,Rulebook!$H48*d,tc,Rulebook!$I48*d,te,Rulebook!$J48*d,tf,Rulebook!$K48*d,IFS(x&lt;=ta,0,x&lt;=tb,25*(x-ta)/(tb-ta),x&lt;=tc,25+25*(x-tb)/(tc-tb),x&lt;=te,50+25*(x-tc)/(te-tc),x&lt;tf,75+25*(x-te)/(tf-te),TRUE,100)))</f>
        <v/>
      </c>
      <c r="T48" s="35" t="str">
        <f>IF('Stress Inputs'!T48="","",LET(d,Rulebook!$L48,x,'Stress Inputs'!T48*d,ta,Rulebook!$G48*d,tb,Rulebook!$H48*d,tc,Rulebook!$I48*d,te,Rulebook!$J48*d,tf,Rulebook!$K48*d,IFS(x&lt;=ta,0,x&lt;=tb,25*(x-ta)/(tb-ta),x&lt;=tc,25+25*(x-tb)/(tc-tb),x&lt;=te,50+25*(x-tc)/(te-tc),x&lt;tf,75+25*(x-te)/(tf-te),TRUE,100)))</f>
        <v/>
      </c>
      <c r="U48" s="35" t="str">
        <f>IF('Stress Inputs'!U48="","",LET(d,Rulebook!$L48,x,'Stress Inputs'!U48*d,ta,Rulebook!$G48*d,tb,Rulebook!$H48*d,tc,Rulebook!$I48*d,te,Rulebook!$J48*d,tf,Rulebook!$K48*d,IFS(x&lt;=ta,0,x&lt;=tb,25*(x-ta)/(tb-ta),x&lt;=tc,25+25*(x-tb)/(tc-tb),x&lt;=te,50+25*(x-tc)/(te-tc),x&lt;tf,75+25*(x-te)/(tf-te),TRUE,100)))</f>
        <v/>
      </c>
      <c r="V48" s="35" t="str">
        <f>IF('Stress Inputs'!V48="","",LET(d,Rulebook!$L48,x,'Stress Inputs'!V48*d,ta,Rulebook!$G48*d,tb,Rulebook!$H48*d,tc,Rulebook!$I48*d,te,Rulebook!$J48*d,tf,Rulebook!$K48*d,IFS(x&lt;=ta,0,x&lt;=tb,25*(x-ta)/(tb-ta),x&lt;=tc,25+25*(x-tb)/(tc-tb),x&lt;=te,50+25*(x-tc)/(te-tc),x&lt;tf,75+25*(x-te)/(tf-te),TRUE,100)))</f>
        <v/>
      </c>
    </row>
    <row r="49">
      <c r="A49" s="26" t="s">
        <v>658</v>
      </c>
      <c r="B49" s="26">
        <v>5.0</v>
      </c>
      <c r="C49" s="26" t="s">
        <v>659</v>
      </c>
      <c r="D49" s="26" t="s">
        <v>254</v>
      </c>
      <c r="E49" s="35" t="str">
        <f>IF('Stress Inputs'!E49="","",LET(d,Rulebook!$L49,x,'Stress Inputs'!E49*d,ta,Rulebook!$G49*d,tb,Rulebook!$H49*d,tc,Rulebook!$I49*d,te,Rulebook!$J49*d,tf,Rulebook!$K49*d,IFS(x&lt;=ta,0,x&lt;=tb,25*(x-ta)/(tb-ta),x&lt;=tc,25+25*(x-tb)/(tc-tb),x&lt;=te,50+25*(x-tc)/(te-tc),x&lt;tf,75+25*(x-te)/(tf-te),TRUE,100)))</f>
        <v/>
      </c>
      <c r="F49" s="35" t="str">
        <f>IF('Stress Inputs'!F49="","",LET(d,Rulebook!$L49,x,'Stress Inputs'!F49*d,ta,Rulebook!$G49*d,tb,Rulebook!$H49*d,tc,Rulebook!$I49*d,te,Rulebook!$J49*d,tf,Rulebook!$K49*d,IFS(x&lt;=ta,0,x&lt;=tb,25*(x-ta)/(tb-ta),x&lt;=tc,25+25*(x-tb)/(tc-tb),x&lt;=te,50+25*(x-tc)/(te-tc),x&lt;tf,75+25*(x-te)/(tf-te),TRUE,100)))</f>
        <v/>
      </c>
      <c r="G49" s="35" t="str">
        <f>IF('Stress Inputs'!G49="","",LET(d,Rulebook!$L49,x,'Stress Inputs'!G49*d,ta,Rulebook!$G49*d,tb,Rulebook!$H49*d,tc,Rulebook!$I49*d,te,Rulebook!$J49*d,tf,Rulebook!$K49*d,IFS(x&lt;=ta,0,x&lt;=tb,25*(x-ta)/(tb-ta),x&lt;=tc,25+25*(x-tb)/(tc-tb),x&lt;=te,50+25*(x-tc)/(te-tc),x&lt;tf,75+25*(x-te)/(tf-te),TRUE,100)))</f>
        <v/>
      </c>
      <c r="H49" s="35" t="str">
        <f>IF('Stress Inputs'!H49="","",LET(d,Rulebook!$L49,x,'Stress Inputs'!H49*d,ta,Rulebook!$G49*d,tb,Rulebook!$H49*d,tc,Rulebook!$I49*d,te,Rulebook!$J49*d,tf,Rulebook!$K49*d,IFS(x&lt;=ta,0,x&lt;=tb,25*(x-ta)/(tb-ta),x&lt;=tc,25+25*(x-tb)/(tc-tb),x&lt;=te,50+25*(x-tc)/(te-tc),x&lt;tf,75+25*(x-te)/(tf-te),TRUE,100)))</f>
        <v/>
      </c>
      <c r="I49" s="35" t="str">
        <f>IF('Stress Inputs'!I49="","",LET(d,Rulebook!$L49,x,'Stress Inputs'!I49*d,ta,Rulebook!$G49*d,tb,Rulebook!$H49*d,tc,Rulebook!$I49*d,te,Rulebook!$J49*d,tf,Rulebook!$K49*d,IFS(x&lt;=ta,0,x&lt;=tb,25*(x-ta)/(tb-ta),x&lt;=tc,25+25*(x-tb)/(tc-tb),x&lt;=te,50+25*(x-tc)/(te-tc),x&lt;tf,75+25*(x-te)/(tf-te),TRUE,100)))</f>
        <v/>
      </c>
      <c r="J49" s="35" t="str">
        <f>IF('Stress Inputs'!J49="","",LET(d,Rulebook!$L49,x,'Stress Inputs'!J49*d,ta,Rulebook!$G49*d,tb,Rulebook!$H49*d,tc,Rulebook!$I49*d,te,Rulebook!$J49*d,tf,Rulebook!$K49*d,IFS(x&lt;=ta,0,x&lt;=tb,25*(x-ta)/(tb-ta),x&lt;=tc,25+25*(x-tb)/(tc-tb),x&lt;=te,50+25*(x-tc)/(te-tc),x&lt;tf,75+25*(x-te)/(tf-te),TRUE,100)))</f>
        <v/>
      </c>
      <c r="K49" s="35" t="str">
        <f>IF('Stress Inputs'!K49="","",LET(d,Rulebook!$L49,x,'Stress Inputs'!K49*d,ta,Rulebook!$G49*d,tb,Rulebook!$H49*d,tc,Rulebook!$I49*d,te,Rulebook!$J49*d,tf,Rulebook!$K49*d,IFS(x&lt;=ta,0,x&lt;=tb,25*(x-ta)/(tb-ta),x&lt;=tc,25+25*(x-tb)/(tc-tb),x&lt;=te,50+25*(x-tc)/(te-tc),x&lt;tf,75+25*(x-te)/(tf-te),TRUE,100)))</f>
        <v/>
      </c>
      <c r="L49" s="35" t="str">
        <f>IF('Stress Inputs'!L49="","",LET(d,Rulebook!$L49,x,'Stress Inputs'!L49*d,ta,Rulebook!$G49*d,tb,Rulebook!$H49*d,tc,Rulebook!$I49*d,te,Rulebook!$J49*d,tf,Rulebook!$K49*d,IFS(x&lt;=ta,0,x&lt;=tb,25*(x-ta)/(tb-ta),x&lt;=tc,25+25*(x-tb)/(tc-tb),x&lt;=te,50+25*(x-tc)/(te-tc),x&lt;tf,75+25*(x-te)/(tf-te),TRUE,100)))</f>
        <v/>
      </c>
      <c r="M49" s="35" t="str">
        <f>IF('Stress Inputs'!M49="","",LET(d,Rulebook!$L49,x,'Stress Inputs'!M49*d,ta,Rulebook!$G49*d,tb,Rulebook!$H49*d,tc,Rulebook!$I49*d,te,Rulebook!$J49*d,tf,Rulebook!$K49*d,IFS(x&lt;=ta,0,x&lt;=tb,25*(x-ta)/(tb-ta),x&lt;=tc,25+25*(x-tb)/(tc-tb),x&lt;=te,50+25*(x-tc)/(te-tc),x&lt;tf,75+25*(x-te)/(tf-te),TRUE,100)))</f>
        <v/>
      </c>
      <c r="N49" s="35" t="str">
        <f>IF('Stress Inputs'!N49="","",LET(d,Rulebook!$L49,x,'Stress Inputs'!N49*d,ta,Rulebook!$G49*d,tb,Rulebook!$H49*d,tc,Rulebook!$I49*d,te,Rulebook!$J49*d,tf,Rulebook!$K49*d,IFS(x&lt;=ta,0,x&lt;=tb,25*(x-ta)/(tb-ta),x&lt;=tc,25+25*(x-tb)/(tc-tb),x&lt;=te,50+25*(x-tc)/(te-tc),x&lt;tf,75+25*(x-te)/(tf-te),TRUE,100)))</f>
        <v/>
      </c>
      <c r="O49" s="35" t="str">
        <f>IF('Stress Inputs'!O49="","",LET(d,Rulebook!$L49,x,'Stress Inputs'!O49*d,ta,Rulebook!$G49*d,tb,Rulebook!$H49*d,tc,Rulebook!$I49*d,te,Rulebook!$J49*d,tf,Rulebook!$K49*d,IFS(x&lt;=ta,0,x&lt;=tb,25*(x-ta)/(tb-ta),x&lt;=tc,25+25*(x-tb)/(tc-tb),x&lt;=te,50+25*(x-tc)/(te-tc),x&lt;tf,75+25*(x-te)/(tf-te),TRUE,100)))</f>
        <v/>
      </c>
      <c r="P49" s="35" t="str">
        <f>IF('Stress Inputs'!P49="","",LET(d,Rulebook!$L49,x,'Stress Inputs'!P49*d,ta,Rulebook!$G49*d,tb,Rulebook!$H49*d,tc,Rulebook!$I49*d,te,Rulebook!$J49*d,tf,Rulebook!$K49*d,IFS(x&lt;=ta,0,x&lt;=tb,25*(x-ta)/(tb-ta),x&lt;=tc,25+25*(x-tb)/(tc-tb),x&lt;=te,50+25*(x-tc)/(te-tc),x&lt;tf,75+25*(x-te)/(tf-te),TRUE,100)))</f>
        <v/>
      </c>
      <c r="Q49" s="35" t="str">
        <f>IF('Stress Inputs'!Q49="","",LET(d,Rulebook!$L49,x,'Stress Inputs'!Q49*d,ta,Rulebook!$G49*d,tb,Rulebook!$H49*d,tc,Rulebook!$I49*d,te,Rulebook!$J49*d,tf,Rulebook!$K49*d,IFS(x&lt;=ta,0,x&lt;=tb,25*(x-ta)/(tb-ta),x&lt;=tc,25+25*(x-tb)/(tc-tb),x&lt;=te,50+25*(x-tc)/(te-tc),x&lt;tf,75+25*(x-te)/(tf-te),TRUE,100)))</f>
        <v/>
      </c>
      <c r="R49" s="35" t="str">
        <f>IF('Stress Inputs'!R49="","",LET(d,Rulebook!$L49,x,'Stress Inputs'!R49*d,ta,Rulebook!$G49*d,tb,Rulebook!$H49*d,tc,Rulebook!$I49*d,te,Rulebook!$J49*d,tf,Rulebook!$K49*d,IFS(x&lt;=ta,0,x&lt;=tb,25*(x-ta)/(tb-ta),x&lt;=tc,25+25*(x-tb)/(tc-tb),x&lt;=te,50+25*(x-tc)/(te-tc),x&lt;tf,75+25*(x-te)/(tf-te),TRUE,100)))</f>
        <v/>
      </c>
      <c r="S49" s="35" t="str">
        <f>IF('Stress Inputs'!S49="","",LET(d,Rulebook!$L49,x,'Stress Inputs'!S49*d,ta,Rulebook!$G49*d,tb,Rulebook!$H49*d,tc,Rulebook!$I49*d,te,Rulebook!$J49*d,tf,Rulebook!$K49*d,IFS(x&lt;=ta,0,x&lt;=tb,25*(x-ta)/(tb-ta),x&lt;=tc,25+25*(x-tb)/(tc-tb),x&lt;=te,50+25*(x-tc)/(te-tc),x&lt;tf,75+25*(x-te)/(tf-te),TRUE,100)))</f>
        <v/>
      </c>
      <c r="T49" s="35" t="str">
        <f>IF('Stress Inputs'!T49="","",LET(d,Rulebook!$L49,x,'Stress Inputs'!T49*d,ta,Rulebook!$G49*d,tb,Rulebook!$H49*d,tc,Rulebook!$I49*d,te,Rulebook!$J49*d,tf,Rulebook!$K49*d,IFS(x&lt;=ta,0,x&lt;=tb,25*(x-ta)/(tb-ta),x&lt;=tc,25+25*(x-tb)/(tc-tb),x&lt;=te,50+25*(x-tc)/(te-tc),x&lt;tf,75+25*(x-te)/(tf-te),TRUE,100)))</f>
        <v/>
      </c>
      <c r="U49" s="35" t="str">
        <f>IF('Stress Inputs'!U49="","",LET(d,Rulebook!$L49,x,'Stress Inputs'!U49*d,ta,Rulebook!$G49*d,tb,Rulebook!$H49*d,tc,Rulebook!$I49*d,te,Rulebook!$J49*d,tf,Rulebook!$K49*d,IFS(x&lt;=ta,0,x&lt;=tb,25*(x-ta)/(tb-ta),x&lt;=tc,25+25*(x-tb)/(tc-tb),x&lt;=te,50+25*(x-tc)/(te-tc),x&lt;tf,75+25*(x-te)/(tf-te),TRUE,100)))</f>
        <v/>
      </c>
      <c r="V49" s="35" t="str">
        <f>IF('Stress Inputs'!V49="","",LET(d,Rulebook!$L49,x,'Stress Inputs'!V49*d,ta,Rulebook!$G49*d,tb,Rulebook!$H49*d,tc,Rulebook!$I49*d,te,Rulebook!$J49*d,tf,Rulebook!$K49*d,IFS(x&lt;=ta,0,x&lt;=tb,25*(x-ta)/(tb-ta),x&lt;=tc,25+25*(x-tb)/(tc-tb),x&lt;=te,50+25*(x-tc)/(te-tc),x&lt;tf,75+25*(x-te)/(tf-te),TRUE,100)))</f>
        <v/>
      </c>
    </row>
    <row r="50">
      <c r="A50" s="26" t="s">
        <v>662</v>
      </c>
      <c r="B50" s="26">
        <v>5.0</v>
      </c>
      <c r="C50" s="26" t="s">
        <v>663</v>
      </c>
      <c r="D50" s="26" t="s">
        <v>664</v>
      </c>
      <c r="E50" s="35" t="str">
        <f>IF('Stress Inputs'!E50="","",LET(d,Rulebook!$L50,x,'Stress Inputs'!E50*d,ta,Rulebook!$G50*d,tb,Rulebook!$H50*d,tc,Rulebook!$I50*d,te,Rulebook!$J50*d,tf,Rulebook!$K50*d,IFS(x&lt;=ta,0,x&lt;=tb,25*(x-ta)/(tb-ta),x&lt;=tc,25+25*(x-tb)/(tc-tb),x&lt;=te,50+25*(x-tc)/(te-tc),x&lt;tf,75+25*(x-te)/(tf-te),TRUE,100)))</f>
        <v/>
      </c>
      <c r="F50" s="35" t="str">
        <f>IF('Stress Inputs'!F50="","",LET(d,Rulebook!$L50,x,'Stress Inputs'!F50*d,ta,Rulebook!$G50*d,tb,Rulebook!$H50*d,tc,Rulebook!$I50*d,te,Rulebook!$J50*d,tf,Rulebook!$K50*d,IFS(x&lt;=ta,0,x&lt;=tb,25*(x-ta)/(tb-ta),x&lt;=tc,25+25*(x-tb)/(tc-tb),x&lt;=te,50+25*(x-tc)/(te-tc),x&lt;tf,75+25*(x-te)/(tf-te),TRUE,100)))</f>
        <v/>
      </c>
      <c r="G50" s="35" t="str">
        <f>IF('Stress Inputs'!G50="","",LET(d,Rulebook!$L50,x,'Stress Inputs'!G50*d,ta,Rulebook!$G50*d,tb,Rulebook!$H50*d,tc,Rulebook!$I50*d,te,Rulebook!$J50*d,tf,Rulebook!$K50*d,IFS(x&lt;=ta,0,x&lt;=tb,25*(x-ta)/(tb-ta),x&lt;=tc,25+25*(x-tb)/(tc-tb),x&lt;=te,50+25*(x-tc)/(te-tc),x&lt;tf,75+25*(x-te)/(tf-te),TRUE,100)))</f>
        <v/>
      </c>
      <c r="H50" s="35" t="str">
        <f>IF('Stress Inputs'!H50="","",LET(d,Rulebook!$L50,x,'Stress Inputs'!H50*d,ta,Rulebook!$G50*d,tb,Rulebook!$H50*d,tc,Rulebook!$I50*d,te,Rulebook!$J50*d,tf,Rulebook!$K50*d,IFS(x&lt;=ta,0,x&lt;=tb,25*(x-ta)/(tb-ta),x&lt;=tc,25+25*(x-tb)/(tc-tb),x&lt;=te,50+25*(x-tc)/(te-tc),x&lt;tf,75+25*(x-te)/(tf-te),TRUE,100)))</f>
        <v/>
      </c>
      <c r="I50" s="35" t="str">
        <f>IF('Stress Inputs'!I50="","",LET(d,Rulebook!$L50,x,'Stress Inputs'!I50*d,ta,Rulebook!$G50*d,tb,Rulebook!$H50*d,tc,Rulebook!$I50*d,te,Rulebook!$J50*d,tf,Rulebook!$K50*d,IFS(x&lt;=ta,0,x&lt;=tb,25*(x-ta)/(tb-ta),x&lt;=tc,25+25*(x-tb)/(tc-tb),x&lt;=te,50+25*(x-tc)/(te-tc),x&lt;tf,75+25*(x-te)/(tf-te),TRUE,100)))</f>
        <v/>
      </c>
      <c r="J50" s="35" t="str">
        <f>IF('Stress Inputs'!J50="","",LET(d,Rulebook!$L50,x,'Stress Inputs'!J50*d,ta,Rulebook!$G50*d,tb,Rulebook!$H50*d,tc,Rulebook!$I50*d,te,Rulebook!$J50*d,tf,Rulebook!$K50*d,IFS(x&lt;=ta,0,x&lt;=tb,25*(x-ta)/(tb-ta),x&lt;=tc,25+25*(x-tb)/(tc-tb),x&lt;=te,50+25*(x-tc)/(te-tc),x&lt;tf,75+25*(x-te)/(tf-te),TRUE,100)))</f>
        <v/>
      </c>
      <c r="K50" s="35" t="str">
        <f>IF('Stress Inputs'!K50="","",LET(d,Rulebook!$L50,x,'Stress Inputs'!K50*d,ta,Rulebook!$G50*d,tb,Rulebook!$H50*d,tc,Rulebook!$I50*d,te,Rulebook!$J50*d,tf,Rulebook!$K50*d,IFS(x&lt;=ta,0,x&lt;=tb,25*(x-ta)/(tb-ta),x&lt;=tc,25+25*(x-tb)/(tc-tb),x&lt;=te,50+25*(x-tc)/(te-tc),x&lt;tf,75+25*(x-te)/(tf-te),TRUE,100)))</f>
        <v/>
      </c>
      <c r="L50" s="35" t="str">
        <f>IF('Stress Inputs'!L50="","",LET(d,Rulebook!$L50,x,'Stress Inputs'!L50*d,ta,Rulebook!$G50*d,tb,Rulebook!$H50*d,tc,Rulebook!$I50*d,te,Rulebook!$J50*d,tf,Rulebook!$K50*d,IFS(x&lt;=ta,0,x&lt;=tb,25*(x-ta)/(tb-ta),x&lt;=tc,25+25*(x-tb)/(tc-tb),x&lt;=te,50+25*(x-tc)/(te-tc),x&lt;tf,75+25*(x-te)/(tf-te),TRUE,100)))</f>
        <v/>
      </c>
      <c r="M50" s="35" t="str">
        <f>IF('Stress Inputs'!M50="","",LET(d,Rulebook!$L50,x,'Stress Inputs'!M50*d,ta,Rulebook!$G50*d,tb,Rulebook!$H50*d,tc,Rulebook!$I50*d,te,Rulebook!$J50*d,tf,Rulebook!$K50*d,IFS(x&lt;=ta,0,x&lt;=tb,25*(x-ta)/(tb-ta),x&lt;=tc,25+25*(x-tb)/(tc-tb),x&lt;=te,50+25*(x-tc)/(te-tc),x&lt;tf,75+25*(x-te)/(tf-te),TRUE,100)))</f>
        <v/>
      </c>
      <c r="N50" s="35" t="str">
        <f>IF('Stress Inputs'!N50="","",LET(d,Rulebook!$L50,x,'Stress Inputs'!N50*d,ta,Rulebook!$G50*d,tb,Rulebook!$H50*d,tc,Rulebook!$I50*d,te,Rulebook!$J50*d,tf,Rulebook!$K50*d,IFS(x&lt;=ta,0,x&lt;=tb,25*(x-ta)/(tb-ta),x&lt;=tc,25+25*(x-tb)/(tc-tb),x&lt;=te,50+25*(x-tc)/(te-tc),x&lt;tf,75+25*(x-te)/(tf-te),TRUE,100)))</f>
        <v/>
      </c>
      <c r="O50" s="35" t="str">
        <f>IF('Stress Inputs'!O50="","",LET(d,Rulebook!$L50,x,'Stress Inputs'!O50*d,ta,Rulebook!$G50*d,tb,Rulebook!$H50*d,tc,Rulebook!$I50*d,te,Rulebook!$J50*d,tf,Rulebook!$K50*d,IFS(x&lt;=ta,0,x&lt;=tb,25*(x-ta)/(tb-ta),x&lt;=tc,25+25*(x-tb)/(tc-tb),x&lt;=te,50+25*(x-tc)/(te-tc),x&lt;tf,75+25*(x-te)/(tf-te),TRUE,100)))</f>
        <v/>
      </c>
      <c r="P50" s="35" t="str">
        <f>IF('Stress Inputs'!P50="","",LET(d,Rulebook!$L50,x,'Stress Inputs'!P50*d,ta,Rulebook!$G50*d,tb,Rulebook!$H50*d,tc,Rulebook!$I50*d,te,Rulebook!$J50*d,tf,Rulebook!$K50*d,IFS(x&lt;=ta,0,x&lt;=tb,25*(x-ta)/(tb-ta),x&lt;=tc,25+25*(x-tb)/(tc-tb),x&lt;=te,50+25*(x-tc)/(te-tc),x&lt;tf,75+25*(x-te)/(tf-te),TRUE,100)))</f>
        <v/>
      </c>
      <c r="Q50" s="35" t="str">
        <f>IF('Stress Inputs'!Q50="","",LET(d,Rulebook!$L50,x,'Stress Inputs'!Q50*d,ta,Rulebook!$G50*d,tb,Rulebook!$H50*d,tc,Rulebook!$I50*d,te,Rulebook!$J50*d,tf,Rulebook!$K50*d,IFS(x&lt;=ta,0,x&lt;=tb,25*(x-ta)/(tb-ta),x&lt;=tc,25+25*(x-tb)/(tc-tb),x&lt;=te,50+25*(x-tc)/(te-tc),x&lt;tf,75+25*(x-te)/(tf-te),TRUE,100)))</f>
        <v/>
      </c>
      <c r="R50" s="35" t="str">
        <f>IF('Stress Inputs'!R50="","",LET(d,Rulebook!$L50,x,'Stress Inputs'!R50*d,ta,Rulebook!$G50*d,tb,Rulebook!$H50*d,tc,Rulebook!$I50*d,te,Rulebook!$J50*d,tf,Rulebook!$K50*d,IFS(x&lt;=ta,0,x&lt;=tb,25*(x-ta)/(tb-ta),x&lt;=tc,25+25*(x-tb)/(tc-tb),x&lt;=te,50+25*(x-tc)/(te-tc),x&lt;tf,75+25*(x-te)/(tf-te),TRUE,100)))</f>
        <v/>
      </c>
      <c r="S50" s="35" t="str">
        <f>IF('Stress Inputs'!S50="","",LET(d,Rulebook!$L50,x,'Stress Inputs'!S50*d,ta,Rulebook!$G50*d,tb,Rulebook!$H50*d,tc,Rulebook!$I50*d,te,Rulebook!$J50*d,tf,Rulebook!$K50*d,IFS(x&lt;=ta,0,x&lt;=tb,25*(x-ta)/(tb-ta),x&lt;=tc,25+25*(x-tb)/(tc-tb),x&lt;=te,50+25*(x-tc)/(te-tc),x&lt;tf,75+25*(x-te)/(tf-te),TRUE,100)))</f>
        <v/>
      </c>
      <c r="T50" s="35" t="str">
        <f>IF('Stress Inputs'!T50="","",LET(d,Rulebook!$L50,x,'Stress Inputs'!T50*d,ta,Rulebook!$G50*d,tb,Rulebook!$H50*d,tc,Rulebook!$I50*d,te,Rulebook!$J50*d,tf,Rulebook!$K50*d,IFS(x&lt;=ta,0,x&lt;=tb,25*(x-ta)/(tb-ta),x&lt;=tc,25+25*(x-tb)/(tc-tb),x&lt;=te,50+25*(x-tc)/(te-tc),x&lt;tf,75+25*(x-te)/(tf-te),TRUE,100)))</f>
        <v/>
      </c>
      <c r="U50" s="35" t="str">
        <f>IF('Stress Inputs'!U50="","",LET(d,Rulebook!$L50,x,'Stress Inputs'!U50*d,ta,Rulebook!$G50*d,tb,Rulebook!$H50*d,tc,Rulebook!$I50*d,te,Rulebook!$J50*d,tf,Rulebook!$K50*d,IFS(x&lt;=ta,0,x&lt;=tb,25*(x-ta)/(tb-ta),x&lt;=tc,25+25*(x-tb)/(tc-tb),x&lt;=te,50+25*(x-tc)/(te-tc),x&lt;tf,75+25*(x-te)/(tf-te),TRUE,100)))</f>
        <v/>
      </c>
      <c r="V50" s="35" t="str">
        <f>IF('Stress Inputs'!V50="","",LET(d,Rulebook!$L50,x,'Stress Inputs'!V50*d,ta,Rulebook!$G50*d,tb,Rulebook!$H50*d,tc,Rulebook!$I50*d,te,Rulebook!$J50*d,tf,Rulebook!$K50*d,IFS(x&lt;=ta,0,x&lt;=tb,25*(x-ta)/(tb-ta),x&lt;=tc,25+25*(x-tb)/(tc-tb),x&lt;=te,50+25*(x-tc)/(te-tc),x&lt;tf,75+25*(x-te)/(tf-te),TRUE,100)))</f>
        <v/>
      </c>
    </row>
    <row r="51">
      <c r="A51" s="26" t="s">
        <v>667</v>
      </c>
      <c r="B51" s="26">
        <v>5.0</v>
      </c>
      <c r="C51" s="26" t="s">
        <v>668</v>
      </c>
      <c r="D51" s="26" t="s">
        <v>112</v>
      </c>
      <c r="E51" s="35">
        <f>IF('Stress Inputs'!E51="","",LET(d,Rulebook!$L51,x,'Stress Inputs'!E51*d,ta,Rulebook!$G51*d,tb,Rulebook!$H51*d,tc,Rulebook!$I51*d,te,Rulebook!$J51*d,tf,Rulebook!$K51*d,IFS(x&lt;=ta,0,x&lt;=tb,25*(x-ta)/(tb-ta),x&lt;=tc,25+25*(x-tb)/(tc-tb),x&lt;=te,50+25*(x-tc)/(te-tc),x&lt;tf,75+25*(x-te)/(tf-te),TRUE,100)))</f>
        <v>37.5</v>
      </c>
      <c r="F51" s="35">
        <f>IF('Stress Inputs'!F51="","",LET(d,Rulebook!$L51,x,'Stress Inputs'!F51*d,ta,Rulebook!$G51*d,tb,Rulebook!$H51*d,tc,Rulebook!$I51*d,te,Rulebook!$J51*d,tf,Rulebook!$K51*d,IFS(x&lt;=ta,0,x&lt;=tb,25*(x-ta)/(tb-ta),x&lt;=tc,25+25*(x-tb)/(tc-tb),x&lt;=te,50+25*(x-tc)/(te-tc),x&lt;tf,75+25*(x-te)/(tf-te),TRUE,100)))</f>
        <v>40.625</v>
      </c>
      <c r="G51" s="35">
        <f>IF('Stress Inputs'!G51="","",LET(d,Rulebook!$L51,x,'Stress Inputs'!G51*d,ta,Rulebook!$G51*d,tb,Rulebook!$H51*d,tc,Rulebook!$I51*d,te,Rulebook!$J51*d,tf,Rulebook!$K51*d,IFS(x&lt;=ta,0,x&lt;=tb,25*(x-ta)/(tb-ta),x&lt;=tc,25+25*(x-tb)/(tc-tb),x&lt;=te,50+25*(x-tc)/(te-tc),x&lt;tf,75+25*(x-te)/(tf-te),TRUE,100)))</f>
        <v>20.83333333</v>
      </c>
      <c r="H51" s="35">
        <f>IF('Stress Inputs'!H51="","",LET(d,Rulebook!$L51,x,'Stress Inputs'!H51*d,ta,Rulebook!$G51*d,tb,Rulebook!$H51*d,tc,Rulebook!$I51*d,te,Rulebook!$J51*d,tf,Rulebook!$K51*d,IFS(x&lt;=ta,0,x&lt;=tb,25*(x-ta)/(tb-ta),x&lt;=tc,25+25*(x-tb)/(tc-tb),x&lt;=te,50+25*(x-tc)/(te-tc),x&lt;tf,75+25*(x-te)/(tf-te),TRUE,100)))</f>
        <v>38.75</v>
      </c>
      <c r="I51" s="35">
        <f>IF('Stress Inputs'!I51="","",LET(d,Rulebook!$L51,x,'Stress Inputs'!I51*d,ta,Rulebook!$G51*d,tb,Rulebook!$H51*d,tc,Rulebook!$I51*d,te,Rulebook!$J51*d,tf,Rulebook!$K51*d,IFS(x&lt;=ta,0,x&lt;=tb,25*(x-ta)/(tb-ta),x&lt;=tc,25+25*(x-tb)/(tc-tb),x&lt;=te,50+25*(x-tc)/(te-tc),x&lt;tf,75+25*(x-te)/(tf-te),TRUE,100)))</f>
        <v>25</v>
      </c>
      <c r="J51" s="35">
        <f>IF('Stress Inputs'!J51="","",LET(d,Rulebook!$L51,x,'Stress Inputs'!J51*d,ta,Rulebook!$G51*d,tb,Rulebook!$H51*d,tc,Rulebook!$I51*d,te,Rulebook!$J51*d,tf,Rulebook!$K51*d,IFS(x&lt;=ta,0,x&lt;=tb,25*(x-ta)/(tb-ta),x&lt;=tc,25+25*(x-tb)/(tc-tb),x&lt;=te,50+25*(x-tc)/(te-tc),x&lt;tf,75+25*(x-te)/(tf-te),TRUE,100)))</f>
        <v>40.625</v>
      </c>
      <c r="K51" s="35">
        <f>IF('Stress Inputs'!K51="","",LET(d,Rulebook!$L51,x,'Stress Inputs'!K51*d,ta,Rulebook!$G51*d,tb,Rulebook!$H51*d,tc,Rulebook!$I51*d,te,Rulebook!$J51*d,tf,Rulebook!$K51*d,IFS(x&lt;=ta,0,x&lt;=tb,25*(x-ta)/(tb-ta),x&lt;=tc,25+25*(x-tb)/(tc-tb),x&lt;=te,50+25*(x-tc)/(te-tc),x&lt;tf,75+25*(x-te)/(tf-te),TRUE,100)))</f>
        <v>37.5</v>
      </c>
      <c r="L51" s="35">
        <f>IF('Stress Inputs'!L51="","",LET(d,Rulebook!$L51,x,'Stress Inputs'!L51*d,ta,Rulebook!$G51*d,tb,Rulebook!$H51*d,tc,Rulebook!$I51*d,te,Rulebook!$J51*d,tf,Rulebook!$K51*d,IFS(x&lt;=ta,0,x&lt;=tb,25*(x-ta)/(tb-ta),x&lt;=tc,25+25*(x-tb)/(tc-tb),x&lt;=te,50+25*(x-tc)/(te-tc),x&lt;tf,75+25*(x-te)/(tf-te),TRUE,100)))</f>
        <v>39.375</v>
      </c>
      <c r="M51" s="35">
        <f>IF('Stress Inputs'!M51="","",LET(d,Rulebook!$L51,x,'Stress Inputs'!M51*d,ta,Rulebook!$G51*d,tb,Rulebook!$H51*d,tc,Rulebook!$I51*d,te,Rulebook!$J51*d,tf,Rulebook!$K51*d,IFS(x&lt;=ta,0,x&lt;=tb,25*(x-ta)/(tb-ta),x&lt;=tc,25+25*(x-tb)/(tc-tb),x&lt;=te,50+25*(x-tc)/(te-tc),x&lt;tf,75+25*(x-te)/(tf-te),TRUE,100)))</f>
        <v>51.25</v>
      </c>
      <c r="N51" s="35">
        <f>IF('Stress Inputs'!N51="","",LET(d,Rulebook!$L51,x,'Stress Inputs'!N51*d,ta,Rulebook!$G51*d,tb,Rulebook!$H51*d,tc,Rulebook!$I51*d,te,Rulebook!$J51*d,tf,Rulebook!$K51*d,IFS(x&lt;=ta,0,x&lt;=tb,25*(x-ta)/(tb-ta),x&lt;=tc,25+25*(x-tb)/(tc-tb),x&lt;=te,50+25*(x-tc)/(te-tc),x&lt;tf,75+25*(x-te)/(tf-te),TRUE,100)))</f>
        <v>4.166666667</v>
      </c>
      <c r="O51" s="35">
        <f>IF('Stress Inputs'!O51="","",LET(d,Rulebook!$L51,x,'Stress Inputs'!O51*d,ta,Rulebook!$G51*d,tb,Rulebook!$H51*d,tc,Rulebook!$I51*d,te,Rulebook!$J51*d,tf,Rulebook!$K51*d,IFS(x&lt;=ta,0,x&lt;=tb,25*(x-ta)/(tb-ta),x&lt;=tc,25+25*(x-tb)/(tc-tb),x&lt;=te,50+25*(x-tc)/(te-tc),x&lt;tf,75+25*(x-te)/(tf-te),TRUE,100)))</f>
        <v>51</v>
      </c>
      <c r="P51" s="35">
        <f>IF('Stress Inputs'!P51="","",LET(d,Rulebook!$L51,x,'Stress Inputs'!P51*d,ta,Rulebook!$G51*d,tb,Rulebook!$H51*d,tc,Rulebook!$I51*d,te,Rulebook!$J51*d,tf,Rulebook!$K51*d,IFS(x&lt;=ta,0,x&lt;=tb,25*(x-ta)/(tb-ta),x&lt;=tc,25+25*(x-tb)/(tc-tb),x&lt;=te,50+25*(x-tc)/(te-tc),x&lt;tf,75+25*(x-te)/(tf-te),TRUE,100)))</f>
        <v>96.25</v>
      </c>
      <c r="Q51" s="35">
        <f>IF('Stress Inputs'!Q51="","",LET(d,Rulebook!$L51,x,'Stress Inputs'!Q51*d,ta,Rulebook!$G51*d,tb,Rulebook!$H51*d,tc,Rulebook!$I51*d,te,Rulebook!$J51*d,tf,Rulebook!$K51*d,IFS(x&lt;=ta,0,x&lt;=tb,25*(x-ta)/(tb-ta),x&lt;=tc,25+25*(x-tb)/(tc-tb),x&lt;=te,50+25*(x-tc)/(te-tc),x&lt;tf,75+25*(x-te)/(tf-te),TRUE,100)))</f>
        <v>55</v>
      </c>
      <c r="R51" s="35">
        <f>IF('Stress Inputs'!R51="","",LET(d,Rulebook!$L51,x,'Stress Inputs'!R51*d,ta,Rulebook!$G51*d,tb,Rulebook!$H51*d,tc,Rulebook!$I51*d,te,Rulebook!$J51*d,tf,Rulebook!$K51*d,IFS(x&lt;=ta,0,x&lt;=tb,25*(x-ta)/(tb-ta),x&lt;=tc,25+25*(x-tb)/(tc-tb),x&lt;=te,50+25*(x-tc)/(te-tc),x&lt;tf,75+25*(x-te)/(tf-te),TRUE,100)))</f>
        <v>100</v>
      </c>
      <c r="S51" s="35">
        <f>IF('Stress Inputs'!S51="","",LET(d,Rulebook!$L51,x,'Stress Inputs'!S51*d,ta,Rulebook!$G51*d,tb,Rulebook!$H51*d,tc,Rulebook!$I51*d,te,Rulebook!$J51*d,tf,Rulebook!$K51*d,IFS(x&lt;=ta,0,x&lt;=tb,25*(x-ta)/(tb-ta),x&lt;=tc,25+25*(x-tb)/(tc-tb),x&lt;=te,50+25*(x-tc)/(te-tc),x&lt;tf,75+25*(x-te)/(tf-te),TRUE,100)))</f>
        <v>85</v>
      </c>
      <c r="T51" s="35">
        <f>IF('Stress Inputs'!T51="","",LET(d,Rulebook!$L51,x,'Stress Inputs'!T51*d,ta,Rulebook!$G51*d,tb,Rulebook!$H51*d,tc,Rulebook!$I51*d,te,Rulebook!$J51*d,tf,Rulebook!$K51*d,IFS(x&lt;=ta,0,x&lt;=tb,25*(x-ta)/(tb-ta),x&lt;=tc,25+25*(x-tb)/(tc-tb),x&lt;=te,50+25*(x-tc)/(te-tc),x&lt;tf,75+25*(x-te)/(tf-te),TRUE,100)))</f>
        <v>0</v>
      </c>
      <c r="U51" s="35">
        <f>IF('Stress Inputs'!U51="","",LET(d,Rulebook!$L51,x,'Stress Inputs'!U51*d,ta,Rulebook!$G51*d,tb,Rulebook!$H51*d,tc,Rulebook!$I51*d,te,Rulebook!$J51*d,tf,Rulebook!$K51*d,IFS(x&lt;=ta,0,x&lt;=tb,25*(x-ta)/(tb-ta),x&lt;=tc,25+25*(x-tb)/(tc-tb),x&lt;=te,50+25*(x-tc)/(te-tc),x&lt;tf,75+25*(x-te)/(tf-te),TRUE,100)))</f>
        <v>70</v>
      </c>
      <c r="V51" s="35">
        <f>IF('Stress Inputs'!V51="","",LET(d,Rulebook!$L51,x,'Stress Inputs'!V51*d,ta,Rulebook!$G51*d,tb,Rulebook!$H51*d,tc,Rulebook!$I51*d,te,Rulebook!$J51*d,tf,Rulebook!$K51*d,IFS(x&lt;=ta,0,x&lt;=tb,25*(x-ta)/(tb-ta),x&lt;=tc,25+25*(x-tb)/(tc-tb),x&lt;=te,50+25*(x-tc)/(te-tc),x&lt;tf,75+25*(x-te)/(tf-te),TRUE,100)))</f>
        <v>93.125</v>
      </c>
    </row>
    <row r="52">
      <c r="A52" s="26" t="s">
        <v>671</v>
      </c>
      <c r="B52" s="26">
        <v>5.0</v>
      </c>
      <c r="C52" s="26" t="s">
        <v>672</v>
      </c>
      <c r="D52" s="26" t="s">
        <v>112</v>
      </c>
      <c r="E52" s="35">
        <f>IF('Stress Inputs'!E52="","",LET(d,Rulebook!$L52,x,'Stress Inputs'!E52*d,ta,Rulebook!$G52*d,tb,Rulebook!$H52*d,tc,Rulebook!$I52*d,te,Rulebook!$J52*d,tf,Rulebook!$K52*d,IFS(x&lt;=ta,0,x&lt;=tb,25*(x-ta)/(tb-ta),x&lt;=tc,25+25*(x-tb)/(tc-tb),x&lt;=te,50+25*(x-tc)/(te-tc),x&lt;tf,75+25*(x-te)/(tf-te),TRUE,100)))</f>
        <v>16.66666667</v>
      </c>
      <c r="F52" s="35">
        <f>IF('Stress Inputs'!F52="","",LET(d,Rulebook!$L52,x,'Stress Inputs'!F52*d,ta,Rulebook!$G52*d,tb,Rulebook!$H52*d,tc,Rulebook!$I52*d,te,Rulebook!$J52*d,tf,Rulebook!$K52*d,IFS(x&lt;=ta,0,x&lt;=tb,25*(x-ta)/(tb-ta),x&lt;=tc,25+25*(x-tb)/(tc-tb),x&lt;=te,50+25*(x-tc)/(te-tc),x&lt;tf,75+25*(x-te)/(tf-te),TRUE,100)))</f>
        <v>20</v>
      </c>
      <c r="G52" s="35">
        <f>IF('Stress Inputs'!G52="","",LET(d,Rulebook!$L52,x,'Stress Inputs'!G52*d,ta,Rulebook!$G52*d,tb,Rulebook!$H52*d,tc,Rulebook!$I52*d,te,Rulebook!$J52*d,tf,Rulebook!$K52*d,IFS(x&lt;=ta,0,x&lt;=tb,25*(x-ta)/(tb-ta),x&lt;=tc,25+25*(x-tb)/(tc-tb),x&lt;=te,50+25*(x-tc)/(te-tc),x&lt;tf,75+25*(x-te)/(tf-te),TRUE,100)))</f>
        <v>50</v>
      </c>
      <c r="H52" s="35">
        <f>IF('Stress Inputs'!H52="","",LET(d,Rulebook!$L52,x,'Stress Inputs'!H52*d,ta,Rulebook!$G52*d,tb,Rulebook!$H52*d,tc,Rulebook!$I52*d,te,Rulebook!$J52*d,tf,Rulebook!$K52*d,IFS(x&lt;=ta,0,x&lt;=tb,25*(x-ta)/(tb-ta),x&lt;=tc,25+25*(x-tb)/(tc-tb),x&lt;=te,50+25*(x-tc)/(te-tc),x&lt;tf,75+25*(x-te)/(tf-te),TRUE,100)))</f>
        <v>46.66666667</v>
      </c>
      <c r="I52" s="35">
        <f>IF('Stress Inputs'!I52="","",LET(d,Rulebook!$L52,x,'Stress Inputs'!I52*d,ta,Rulebook!$G52*d,tb,Rulebook!$H52*d,tc,Rulebook!$I52*d,te,Rulebook!$J52*d,tf,Rulebook!$K52*d,IFS(x&lt;=ta,0,x&lt;=tb,25*(x-ta)/(tb-ta),x&lt;=tc,25+25*(x-tb)/(tc-tb),x&lt;=te,50+25*(x-tc)/(te-tc),x&lt;tf,75+25*(x-te)/(tf-te),TRUE,100)))</f>
        <v>71.25</v>
      </c>
      <c r="J52" s="35">
        <f>IF('Stress Inputs'!J52="","",LET(d,Rulebook!$L52,x,'Stress Inputs'!J52*d,ta,Rulebook!$G52*d,tb,Rulebook!$H52*d,tc,Rulebook!$I52*d,te,Rulebook!$J52*d,tf,Rulebook!$K52*d,IFS(x&lt;=ta,0,x&lt;=tb,25*(x-ta)/(tb-ta),x&lt;=tc,25+25*(x-tb)/(tc-tb),x&lt;=te,50+25*(x-tc)/(te-tc),x&lt;tf,75+25*(x-te)/(tf-te),TRUE,100)))</f>
        <v>92.5</v>
      </c>
      <c r="K52" s="35">
        <f>IF('Stress Inputs'!K52="","",LET(d,Rulebook!$L52,x,'Stress Inputs'!K52*d,ta,Rulebook!$G52*d,tb,Rulebook!$H52*d,tc,Rulebook!$I52*d,te,Rulebook!$J52*d,tf,Rulebook!$K52*d,IFS(x&lt;=ta,0,x&lt;=tb,25*(x-ta)/(tb-ta),x&lt;=tc,25+25*(x-tb)/(tc-tb),x&lt;=te,50+25*(x-tc)/(te-tc),x&lt;tf,75+25*(x-te)/(tf-te),TRUE,100)))</f>
        <v>76.25</v>
      </c>
      <c r="L52" s="35">
        <f>IF('Stress Inputs'!L52="","",LET(d,Rulebook!$L52,x,'Stress Inputs'!L52*d,ta,Rulebook!$G52*d,tb,Rulebook!$H52*d,tc,Rulebook!$I52*d,te,Rulebook!$J52*d,tf,Rulebook!$K52*d,IFS(x&lt;=ta,0,x&lt;=tb,25*(x-ta)/(tb-ta),x&lt;=tc,25+25*(x-tb)/(tc-tb),x&lt;=te,50+25*(x-tc)/(te-tc),x&lt;tf,75+25*(x-te)/(tf-te),TRUE,100)))</f>
        <v>10</v>
      </c>
      <c r="M52" s="35">
        <f>IF('Stress Inputs'!M52="","",LET(d,Rulebook!$L52,x,'Stress Inputs'!M52*d,ta,Rulebook!$G52*d,tb,Rulebook!$H52*d,tc,Rulebook!$I52*d,te,Rulebook!$J52*d,tf,Rulebook!$K52*d,IFS(x&lt;=ta,0,x&lt;=tb,25*(x-ta)/(tb-ta),x&lt;=tc,25+25*(x-tb)/(tc-tb),x&lt;=te,50+25*(x-tc)/(te-tc),x&lt;tf,75+25*(x-te)/(tf-te),TRUE,100)))</f>
        <v>52.5</v>
      </c>
      <c r="N52" s="35">
        <f>IF('Stress Inputs'!N52="","",LET(d,Rulebook!$L52,x,'Stress Inputs'!N52*d,ta,Rulebook!$G52*d,tb,Rulebook!$H52*d,tc,Rulebook!$I52*d,te,Rulebook!$J52*d,tf,Rulebook!$K52*d,IFS(x&lt;=ta,0,x&lt;=tb,25*(x-ta)/(tb-ta),x&lt;=tc,25+25*(x-tb)/(tc-tb),x&lt;=te,50+25*(x-tc)/(te-tc),x&lt;tf,75+25*(x-te)/(tf-te),TRUE,100)))</f>
        <v>75</v>
      </c>
      <c r="O52" s="35">
        <f>IF('Stress Inputs'!O52="","",LET(d,Rulebook!$L52,x,'Stress Inputs'!O52*d,ta,Rulebook!$G52*d,tb,Rulebook!$H52*d,tc,Rulebook!$I52*d,te,Rulebook!$J52*d,tf,Rulebook!$K52*d,IFS(x&lt;=ta,0,x&lt;=tb,25*(x-ta)/(tb-ta),x&lt;=tc,25+25*(x-tb)/(tc-tb),x&lt;=te,50+25*(x-tc)/(te-tc),x&lt;tf,75+25*(x-te)/(tf-te),TRUE,100)))</f>
        <v>76.25</v>
      </c>
      <c r="P52" s="35">
        <f>IF('Stress Inputs'!P52="","",LET(d,Rulebook!$L52,x,'Stress Inputs'!P52*d,ta,Rulebook!$G52*d,tb,Rulebook!$H52*d,tc,Rulebook!$I52*d,te,Rulebook!$J52*d,tf,Rulebook!$K52*d,IFS(x&lt;=ta,0,x&lt;=tb,25*(x-ta)/(tb-ta),x&lt;=tc,25+25*(x-tb)/(tc-tb),x&lt;=te,50+25*(x-tc)/(te-tc),x&lt;tf,75+25*(x-te)/(tf-te),TRUE,100)))</f>
        <v>56.25</v>
      </c>
      <c r="Q52" s="35">
        <f>IF('Stress Inputs'!Q52="","",LET(d,Rulebook!$L52,x,'Stress Inputs'!Q52*d,ta,Rulebook!$G52*d,tb,Rulebook!$H52*d,tc,Rulebook!$I52*d,te,Rulebook!$J52*d,tf,Rulebook!$K52*d,IFS(x&lt;=ta,0,x&lt;=tb,25*(x-ta)/(tb-ta),x&lt;=tc,25+25*(x-tb)/(tc-tb),x&lt;=te,50+25*(x-tc)/(te-tc),x&lt;tf,75+25*(x-te)/(tf-te),TRUE,100)))</f>
        <v>71.25</v>
      </c>
      <c r="R52" s="35">
        <f>IF('Stress Inputs'!R52="","",LET(d,Rulebook!$L52,x,'Stress Inputs'!R52*d,ta,Rulebook!$G52*d,tb,Rulebook!$H52*d,tc,Rulebook!$I52*d,te,Rulebook!$J52*d,tf,Rulebook!$K52*d,IFS(x&lt;=ta,0,x&lt;=tb,25*(x-ta)/(tb-ta),x&lt;=tc,25+25*(x-tb)/(tc-tb),x&lt;=te,50+25*(x-tc)/(te-tc),x&lt;tf,75+25*(x-te)/(tf-te),TRUE,100)))</f>
        <v>87.5</v>
      </c>
      <c r="S52" s="35">
        <f>IF('Stress Inputs'!S52="","",LET(d,Rulebook!$L52,x,'Stress Inputs'!S52*d,ta,Rulebook!$G52*d,tb,Rulebook!$H52*d,tc,Rulebook!$I52*d,te,Rulebook!$J52*d,tf,Rulebook!$K52*d,IFS(x&lt;=ta,0,x&lt;=tb,25*(x-ta)/(tb-ta),x&lt;=tc,25+25*(x-tb)/(tc-tb),x&lt;=te,50+25*(x-tc)/(te-tc),x&lt;tf,75+25*(x-te)/(tf-te),TRUE,100)))</f>
        <v>56.25</v>
      </c>
      <c r="T52" s="35">
        <f>IF('Stress Inputs'!T52="","",LET(d,Rulebook!$L52,x,'Stress Inputs'!T52*d,ta,Rulebook!$G52*d,tb,Rulebook!$H52*d,tc,Rulebook!$I52*d,te,Rulebook!$J52*d,tf,Rulebook!$K52*d,IFS(x&lt;=ta,0,x&lt;=tb,25*(x-ta)/(tb-ta),x&lt;=tc,25+25*(x-tb)/(tc-tb),x&lt;=te,50+25*(x-tc)/(te-tc),x&lt;tf,75+25*(x-te)/(tf-te),TRUE,100)))</f>
        <v>41.66666667</v>
      </c>
      <c r="U52" s="35">
        <f>IF('Stress Inputs'!U52="","",LET(d,Rulebook!$L52,x,'Stress Inputs'!U52*d,ta,Rulebook!$G52*d,tb,Rulebook!$H52*d,tc,Rulebook!$I52*d,te,Rulebook!$J52*d,tf,Rulebook!$K52*d,IFS(x&lt;=ta,0,x&lt;=tb,25*(x-ta)/(tb-ta),x&lt;=tc,25+25*(x-tb)/(tc-tb),x&lt;=te,50+25*(x-tc)/(te-tc),x&lt;tf,75+25*(x-te)/(tf-te),TRUE,100)))</f>
        <v>25</v>
      </c>
      <c r="V52" s="35">
        <f>IF('Stress Inputs'!V52="","",LET(d,Rulebook!$L52,x,'Stress Inputs'!V52*d,ta,Rulebook!$G52*d,tb,Rulebook!$H52*d,tc,Rulebook!$I52*d,te,Rulebook!$J52*d,tf,Rulebook!$K52*d,IFS(x&lt;=ta,0,x&lt;=tb,25*(x-ta)/(tb-ta),x&lt;=tc,25+25*(x-tb)/(tc-tb),x&lt;=te,50+25*(x-tc)/(te-tc),x&lt;tf,75+25*(x-te)/(tf-te),TRUE,100)))</f>
        <v>62.5</v>
      </c>
    </row>
    <row r="53">
      <c r="A53" s="26" t="s">
        <v>674</v>
      </c>
      <c r="B53" s="26">
        <v>5.0</v>
      </c>
      <c r="C53" s="26" t="s">
        <v>675</v>
      </c>
      <c r="D53" s="26" t="s">
        <v>638</v>
      </c>
      <c r="E53" s="35" t="str">
        <f>IF('Stress Inputs'!E53="","",LET(d,Rulebook!$L53,x,'Stress Inputs'!E53*d,ta,Rulebook!$G53*d,tb,Rulebook!$H53*d,tc,Rulebook!$I53*d,te,Rulebook!$J53*d,tf,Rulebook!$K53*d,IFS(x&lt;=ta,0,x&lt;=tb,25*(x-ta)/(tb-ta),x&lt;=tc,25+25*(x-tb)/(tc-tb),x&lt;=te,50+25*(x-tc)/(te-tc),x&lt;tf,75+25*(x-te)/(tf-te),TRUE,100)))</f>
        <v/>
      </c>
      <c r="F53" s="35" t="str">
        <f>IF('Stress Inputs'!F53="","",LET(d,Rulebook!$L53,x,'Stress Inputs'!F53*d,ta,Rulebook!$G53*d,tb,Rulebook!$H53*d,tc,Rulebook!$I53*d,te,Rulebook!$J53*d,tf,Rulebook!$K53*d,IFS(x&lt;=ta,0,x&lt;=tb,25*(x-ta)/(tb-ta),x&lt;=tc,25+25*(x-tb)/(tc-tb),x&lt;=te,50+25*(x-tc)/(te-tc),x&lt;tf,75+25*(x-te)/(tf-te),TRUE,100)))</f>
        <v/>
      </c>
      <c r="G53" s="35" t="str">
        <f>IF('Stress Inputs'!G53="","",LET(d,Rulebook!$L53,x,'Stress Inputs'!G53*d,ta,Rulebook!$G53*d,tb,Rulebook!$H53*d,tc,Rulebook!$I53*d,te,Rulebook!$J53*d,tf,Rulebook!$K53*d,IFS(x&lt;=ta,0,x&lt;=tb,25*(x-ta)/(tb-ta),x&lt;=tc,25+25*(x-tb)/(tc-tb),x&lt;=te,50+25*(x-tc)/(te-tc),x&lt;tf,75+25*(x-te)/(tf-te),TRUE,100)))</f>
        <v/>
      </c>
      <c r="H53" s="35" t="str">
        <f>IF('Stress Inputs'!H53="","",LET(d,Rulebook!$L53,x,'Stress Inputs'!H53*d,ta,Rulebook!$G53*d,tb,Rulebook!$H53*d,tc,Rulebook!$I53*d,te,Rulebook!$J53*d,tf,Rulebook!$K53*d,IFS(x&lt;=ta,0,x&lt;=tb,25*(x-ta)/(tb-ta),x&lt;=tc,25+25*(x-tb)/(tc-tb),x&lt;=te,50+25*(x-tc)/(te-tc),x&lt;tf,75+25*(x-te)/(tf-te),TRUE,100)))</f>
        <v/>
      </c>
      <c r="I53" s="35" t="str">
        <f>IF('Stress Inputs'!I53="","",LET(d,Rulebook!$L53,x,'Stress Inputs'!I53*d,ta,Rulebook!$G53*d,tb,Rulebook!$H53*d,tc,Rulebook!$I53*d,te,Rulebook!$J53*d,tf,Rulebook!$K53*d,IFS(x&lt;=ta,0,x&lt;=tb,25*(x-ta)/(tb-ta),x&lt;=tc,25+25*(x-tb)/(tc-tb),x&lt;=te,50+25*(x-tc)/(te-tc),x&lt;tf,75+25*(x-te)/(tf-te),TRUE,100)))</f>
        <v/>
      </c>
      <c r="J53" s="35" t="str">
        <f>IF('Stress Inputs'!J53="","",LET(d,Rulebook!$L53,x,'Stress Inputs'!J53*d,ta,Rulebook!$G53*d,tb,Rulebook!$H53*d,tc,Rulebook!$I53*d,te,Rulebook!$J53*d,tf,Rulebook!$K53*d,IFS(x&lt;=ta,0,x&lt;=tb,25*(x-ta)/(tb-ta),x&lt;=tc,25+25*(x-tb)/(tc-tb),x&lt;=te,50+25*(x-tc)/(te-tc),x&lt;tf,75+25*(x-te)/(tf-te),TRUE,100)))</f>
        <v/>
      </c>
      <c r="K53" s="35" t="str">
        <f>IF('Stress Inputs'!K53="","",LET(d,Rulebook!$L53,x,'Stress Inputs'!K53*d,ta,Rulebook!$G53*d,tb,Rulebook!$H53*d,tc,Rulebook!$I53*d,te,Rulebook!$J53*d,tf,Rulebook!$K53*d,IFS(x&lt;=ta,0,x&lt;=tb,25*(x-ta)/(tb-ta),x&lt;=tc,25+25*(x-tb)/(tc-tb),x&lt;=te,50+25*(x-tc)/(te-tc),x&lt;tf,75+25*(x-te)/(tf-te),TRUE,100)))</f>
        <v/>
      </c>
      <c r="L53" s="35" t="str">
        <f>IF('Stress Inputs'!L53="","",LET(d,Rulebook!$L53,x,'Stress Inputs'!L53*d,ta,Rulebook!$G53*d,tb,Rulebook!$H53*d,tc,Rulebook!$I53*d,te,Rulebook!$J53*d,tf,Rulebook!$K53*d,IFS(x&lt;=ta,0,x&lt;=tb,25*(x-ta)/(tb-ta),x&lt;=tc,25+25*(x-tb)/(tc-tb),x&lt;=te,50+25*(x-tc)/(te-tc),x&lt;tf,75+25*(x-te)/(tf-te),TRUE,100)))</f>
        <v/>
      </c>
      <c r="M53" s="35" t="str">
        <f>IF('Stress Inputs'!M53="","",LET(d,Rulebook!$L53,x,'Stress Inputs'!M53*d,ta,Rulebook!$G53*d,tb,Rulebook!$H53*d,tc,Rulebook!$I53*d,te,Rulebook!$J53*d,tf,Rulebook!$K53*d,IFS(x&lt;=ta,0,x&lt;=tb,25*(x-ta)/(tb-ta),x&lt;=tc,25+25*(x-tb)/(tc-tb),x&lt;=te,50+25*(x-tc)/(te-tc),x&lt;tf,75+25*(x-te)/(tf-te),TRUE,100)))</f>
        <v/>
      </c>
      <c r="N53" s="35" t="str">
        <f>IF('Stress Inputs'!N53="","",LET(d,Rulebook!$L53,x,'Stress Inputs'!N53*d,ta,Rulebook!$G53*d,tb,Rulebook!$H53*d,tc,Rulebook!$I53*d,te,Rulebook!$J53*d,tf,Rulebook!$K53*d,IFS(x&lt;=ta,0,x&lt;=tb,25*(x-ta)/(tb-ta),x&lt;=tc,25+25*(x-tb)/(tc-tb),x&lt;=te,50+25*(x-tc)/(te-tc),x&lt;tf,75+25*(x-te)/(tf-te),TRUE,100)))</f>
        <v/>
      </c>
      <c r="O53" s="35" t="str">
        <f>IF('Stress Inputs'!O53="","",LET(d,Rulebook!$L53,x,'Stress Inputs'!O53*d,ta,Rulebook!$G53*d,tb,Rulebook!$H53*d,tc,Rulebook!$I53*d,te,Rulebook!$J53*d,tf,Rulebook!$K53*d,IFS(x&lt;=ta,0,x&lt;=tb,25*(x-ta)/(tb-ta),x&lt;=tc,25+25*(x-tb)/(tc-tb),x&lt;=te,50+25*(x-tc)/(te-tc),x&lt;tf,75+25*(x-te)/(tf-te),TRUE,100)))</f>
        <v/>
      </c>
      <c r="P53" s="35" t="str">
        <f>IF('Stress Inputs'!P53="","",LET(d,Rulebook!$L53,x,'Stress Inputs'!P53*d,ta,Rulebook!$G53*d,tb,Rulebook!$H53*d,tc,Rulebook!$I53*d,te,Rulebook!$J53*d,tf,Rulebook!$K53*d,IFS(x&lt;=ta,0,x&lt;=tb,25*(x-ta)/(tb-ta),x&lt;=tc,25+25*(x-tb)/(tc-tb),x&lt;=te,50+25*(x-tc)/(te-tc),x&lt;tf,75+25*(x-te)/(tf-te),TRUE,100)))</f>
        <v/>
      </c>
      <c r="Q53" s="35" t="str">
        <f>IF('Stress Inputs'!Q53="","",LET(d,Rulebook!$L53,x,'Stress Inputs'!Q53*d,ta,Rulebook!$G53*d,tb,Rulebook!$H53*d,tc,Rulebook!$I53*d,te,Rulebook!$J53*d,tf,Rulebook!$K53*d,IFS(x&lt;=ta,0,x&lt;=tb,25*(x-ta)/(tb-ta),x&lt;=tc,25+25*(x-tb)/(tc-tb),x&lt;=te,50+25*(x-tc)/(te-tc),x&lt;tf,75+25*(x-te)/(tf-te),TRUE,100)))</f>
        <v/>
      </c>
      <c r="R53" s="35" t="str">
        <f>IF('Stress Inputs'!R53="","",LET(d,Rulebook!$L53,x,'Stress Inputs'!R53*d,ta,Rulebook!$G53*d,tb,Rulebook!$H53*d,tc,Rulebook!$I53*d,te,Rulebook!$J53*d,tf,Rulebook!$K53*d,IFS(x&lt;=ta,0,x&lt;=tb,25*(x-ta)/(tb-ta),x&lt;=tc,25+25*(x-tb)/(tc-tb),x&lt;=te,50+25*(x-tc)/(te-tc),x&lt;tf,75+25*(x-te)/(tf-te),TRUE,100)))</f>
        <v/>
      </c>
      <c r="S53" s="35" t="str">
        <f>IF('Stress Inputs'!S53="","",LET(d,Rulebook!$L53,x,'Stress Inputs'!S53*d,ta,Rulebook!$G53*d,tb,Rulebook!$H53*d,tc,Rulebook!$I53*d,te,Rulebook!$J53*d,tf,Rulebook!$K53*d,IFS(x&lt;=ta,0,x&lt;=tb,25*(x-ta)/(tb-ta),x&lt;=tc,25+25*(x-tb)/(tc-tb),x&lt;=te,50+25*(x-tc)/(te-tc),x&lt;tf,75+25*(x-te)/(tf-te),TRUE,100)))</f>
        <v/>
      </c>
      <c r="T53" s="35" t="str">
        <f>IF('Stress Inputs'!T53="","",LET(d,Rulebook!$L53,x,'Stress Inputs'!T53*d,ta,Rulebook!$G53*d,tb,Rulebook!$H53*d,tc,Rulebook!$I53*d,te,Rulebook!$J53*d,tf,Rulebook!$K53*d,IFS(x&lt;=ta,0,x&lt;=tb,25*(x-ta)/(tb-ta),x&lt;=tc,25+25*(x-tb)/(tc-tb),x&lt;=te,50+25*(x-tc)/(te-tc),x&lt;tf,75+25*(x-te)/(tf-te),TRUE,100)))</f>
        <v/>
      </c>
      <c r="U53" s="35" t="str">
        <f>IF('Stress Inputs'!U53="","",LET(d,Rulebook!$L53,x,'Stress Inputs'!U53*d,ta,Rulebook!$G53*d,tb,Rulebook!$H53*d,tc,Rulebook!$I53*d,te,Rulebook!$J53*d,tf,Rulebook!$K53*d,IFS(x&lt;=ta,0,x&lt;=tb,25*(x-ta)/(tb-ta),x&lt;=tc,25+25*(x-tb)/(tc-tb),x&lt;=te,50+25*(x-tc)/(te-tc),x&lt;tf,75+25*(x-te)/(tf-te),TRUE,100)))</f>
        <v/>
      </c>
      <c r="V53" s="35" t="str">
        <f>IF('Stress Inputs'!V53="","",LET(d,Rulebook!$L53,x,'Stress Inputs'!V53*d,ta,Rulebook!$G53*d,tb,Rulebook!$H53*d,tc,Rulebook!$I53*d,te,Rulebook!$J53*d,tf,Rulebook!$K53*d,IFS(x&lt;=ta,0,x&lt;=tb,25*(x-ta)/(tb-ta),x&lt;=tc,25+25*(x-tb)/(tc-tb),x&lt;=te,50+25*(x-tc)/(te-tc),x&lt;tf,75+25*(x-te)/(tf-te),TRUE,100)))</f>
        <v/>
      </c>
    </row>
    <row r="54">
      <c r="A54" s="26" t="s">
        <v>678</v>
      </c>
      <c r="B54" s="26">
        <v>5.0</v>
      </c>
      <c r="C54" s="26" t="s">
        <v>679</v>
      </c>
      <c r="D54" s="26" t="s">
        <v>254</v>
      </c>
      <c r="E54" s="35" t="str">
        <f>IF('Stress Inputs'!E54="","",LET(d,Rulebook!$L54,x,'Stress Inputs'!E54*d,ta,Rulebook!$G54*d,tb,Rulebook!$H54*d,tc,Rulebook!$I54*d,te,Rulebook!$J54*d,tf,Rulebook!$K54*d,IFS(x&lt;=ta,0,x&lt;=tb,25*(x-ta)/(tb-ta),x&lt;=tc,25+25*(x-tb)/(tc-tb),x&lt;=te,50+25*(x-tc)/(te-tc),x&lt;tf,75+25*(x-te)/(tf-te),TRUE,100)))</f>
        <v/>
      </c>
      <c r="F54" s="35" t="str">
        <f>IF('Stress Inputs'!F54="","",LET(d,Rulebook!$L54,x,'Stress Inputs'!F54*d,ta,Rulebook!$G54*d,tb,Rulebook!$H54*d,tc,Rulebook!$I54*d,te,Rulebook!$J54*d,tf,Rulebook!$K54*d,IFS(x&lt;=ta,0,x&lt;=tb,25*(x-ta)/(tb-ta),x&lt;=tc,25+25*(x-tb)/(tc-tb),x&lt;=te,50+25*(x-tc)/(te-tc),x&lt;tf,75+25*(x-te)/(tf-te),TRUE,100)))</f>
        <v/>
      </c>
      <c r="G54" s="35" t="str">
        <f>IF('Stress Inputs'!G54="","",LET(d,Rulebook!$L54,x,'Stress Inputs'!G54*d,ta,Rulebook!$G54*d,tb,Rulebook!$H54*d,tc,Rulebook!$I54*d,te,Rulebook!$J54*d,tf,Rulebook!$K54*d,IFS(x&lt;=ta,0,x&lt;=tb,25*(x-ta)/(tb-ta),x&lt;=tc,25+25*(x-tb)/(tc-tb),x&lt;=te,50+25*(x-tc)/(te-tc),x&lt;tf,75+25*(x-te)/(tf-te),TRUE,100)))</f>
        <v/>
      </c>
      <c r="H54" s="35" t="str">
        <f>IF('Stress Inputs'!H54="","",LET(d,Rulebook!$L54,x,'Stress Inputs'!H54*d,ta,Rulebook!$G54*d,tb,Rulebook!$H54*d,tc,Rulebook!$I54*d,te,Rulebook!$J54*d,tf,Rulebook!$K54*d,IFS(x&lt;=ta,0,x&lt;=tb,25*(x-ta)/(tb-ta),x&lt;=tc,25+25*(x-tb)/(tc-tb),x&lt;=te,50+25*(x-tc)/(te-tc),x&lt;tf,75+25*(x-te)/(tf-te),TRUE,100)))</f>
        <v/>
      </c>
      <c r="I54" s="35" t="str">
        <f>IF('Stress Inputs'!I54="","",LET(d,Rulebook!$L54,x,'Stress Inputs'!I54*d,ta,Rulebook!$G54*d,tb,Rulebook!$H54*d,tc,Rulebook!$I54*d,te,Rulebook!$J54*d,tf,Rulebook!$K54*d,IFS(x&lt;=ta,0,x&lt;=tb,25*(x-ta)/(tb-ta),x&lt;=tc,25+25*(x-tb)/(tc-tb),x&lt;=te,50+25*(x-tc)/(te-tc),x&lt;tf,75+25*(x-te)/(tf-te),TRUE,100)))</f>
        <v/>
      </c>
      <c r="J54" s="35" t="str">
        <f>IF('Stress Inputs'!J54="","",LET(d,Rulebook!$L54,x,'Stress Inputs'!J54*d,ta,Rulebook!$G54*d,tb,Rulebook!$H54*d,tc,Rulebook!$I54*d,te,Rulebook!$J54*d,tf,Rulebook!$K54*d,IFS(x&lt;=ta,0,x&lt;=tb,25*(x-ta)/(tb-ta),x&lt;=tc,25+25*(x-tb)/(tc-tb),x&lt;=te,50+25*(x-tc)/(te-tc),x&lt;tf,75+25*(x-te)/(tf-te),TRUE,100)))</f>
        <v/>
      </c>
      <c r="K54" s="35" t="str">
        <f>IF('Stress Inputs'!K54="","",LET(d,Rulebook!$L54,x,'Stress Inputs'!K54*d,ta,Rulebook!$G54*d,tb,Rulebook!$H54*d,tc,Rulebook!$I54*d,te,Rulebook!$J54*d,tf,Rulebook!$K54*d,IFS(x&lt;=ta,0,x&lt;=tb,25*(x-ta)/(tb-ta),x&lt;=tc,25+25*(x-tb)/(tc-tb),x&lt;=te,50+25*(x-tc)/(te-tc),x&lt;tf,75+25*(x-te)/(tf-te),TRUE,100)))</f>
        <v/>
      </c>
      <c r="L54" s="35" t="str">
        <f>IF('Stress Inputs'!L54="","",LET(d,Rulebook!$L54,x,'Stress Inputs'!L54*d,ta,Rulebook!$G54*d,tb,Rulebook!$H54*d,tc,Rulebook!$I54*d,te,Rulebook!$J54*d,tf,Rulebook!$K54*d,IFS(x&lt;=ta,0,x&lt;=tb,25*(x-ta)/(tb-ta),x&lt;=tc,25+25*(x-tb)/(tc-tb),x&lt;=te,50+25*(x-tc)/(te-tc),x&lt;tf,75+25*(x-te)/(tf-te),TRUE,100)))</f>
        <v/>
      </c>
      <c r="M54" s="35" t="str">
        <f>IF('Stress Inputs'!M54="","",LET(d,Rulebook!$L54,x,'Stress Inputs'!M54*d,ta,Rulebook!$G54*d,tb,Rulebook!$H54*d,tc,Rulebook!$I54*d,te,Rulebook!$J54*d,tf,Rulebook!$K54*d,IFS(x&lt;=ta,0,x&lt;=tb,25*(x-ta)/(tb-ta),x&lt;=tc,25+25*(x-tb)/(tc-tb),x&lt;=te,50+25*(x-tc)/(te-tc),x&lt;tf,75+25*(x-te)/(tf-te),TRUE,100)))</f>
        <v/>
      </c>
      <c r="N54" s="35" t="str">
        <f>IF('Stress Inputs'!N54="","",LET(d,Rulebook!$L54,x,'Stress Inputs'!N54*d,ta,Rulebook!$G54*d,tb,Rulebook!$H54*d,tc,Rulebook!$I54*d,te,Rulebook!$J54*d,tf,Rulebook!$K54*d,IFS(x&lt;=ta,0,x&lt;=tb,25*(x-ta)/(tb-ta),x&lt;=tc,25+25*(x-tb)/(tc-tb),x&lt;=te,50+25*(x-tc)/(te-tc),x&lt;tf,75+25*(x-te)/(tf-te),TRUE,100)))</f>
        <v/>
      </c>
      <c r="O54" s="35" t="str">
        <f>IF('Stress Inputs'!O54="","",LET(d,Rulebook!$L54,x,'Stress Inputs'!O54*d,ta,Rulebook!$G54*d,tb,Rulebook!$H54*d,tc,Rulebook!$I54*d,te,Rulebook!$J54*d,tf,Rulebook!$K54*d,IFS(x&lt;=ta,0,x&lt;=tb,25*(x-ta)/(tb-ta),x&lt;=tc,25+25*(x-tb)/(tc-tb),x&lt;=te,50+25*(x-tc)/(te-tc),x&lt;tf,75+25*(x-te)/(tf-te),TRUE,100)))</f>
        <v/>
      </c>
      <c r="P54" s="35" t="str">
        <f>IF('Stress Inputs'!P54="","",LET(d,Rulebook!$L54,x,'Stress Inputs'!P54*d,ta,Rulebook!$G54*d,tb,Rulebook!$H54*d,tc,Rulebook!$I54*d,te,Rulebook!$J54*d,tf,Rulebook!$K54*d,IFS(x&lt;=ta,0,x&lt;=tb,25*(x-ta)/(tb-ta),x&lt;=tc,25+25*(x-tb)/(tc-tb),x&lt;=te,50+25*(x-tc)/(te-tc),x&lt;tf,75+25*(x-te)/(tf-te),TRUE,100)))</f>
        <v/>
      </c>
      <c r="Q54" s="35" t="str">
        <f>IF('Stress Inputs'!Q54="","",LET(d,Rulebook!$L54,x,'Stress Inputs'!Q54*d,ta,Rulebook!$G54*d,tb,Rulebook!$H54*d,tc,Rulebook!$I54*d,te,Rulebook!$J54*d,tf,Rulebook!$K54*d,IFS(x&lt;=ta,0,x&lt;=tb,25*(x-ta)/(tb-ta),x&lt;=tc,25+25*(x-tb)/(tc-tb),x&lt;=te,50+25*(x-tc)/(te-tc),x&lt;tf,75+25*(x-te)/(tf-te),TRUE,100)))</f>
        <v/>
      </c>
      <c r="R54" s="35" t="str">
        <f>IF('Stress Inputs'!R54="","",LET(d,Rulebook!$L54,x,'Stress Inputs'!R54*d,ta,Rulebook!$G54*d,tb,Rulebook!$H54*d,tc,Rulebook!$I54*d,te,Rulebook!$J54*d,tf,Rulebook!$K54*d,IFS(x&lt;=ta,0,x&lt;=tb,25*(x-ta)/(tb-ta),x&lt;=tc,25+25*(x-tb)/(tc-tb),x&lt;=te,50+25*(x-tc)/(te-tc),x&lt;tf,75+25*(x-te)/(tf-te),TRUE,100)))</f>
        <v/>
      </c>
      <c r="S54" s="35" t="str">
        <f>IF('Stress Inputs'!S54="","",LET(d,Rulebook!$L54,x,'Stress Inputs'!S54*d,ta,Rulebook!$G54*d,tb,Rulebook!$H54*d,tc,Rulebook!$I54*d,te,Rulebook!$J54*d,tf,Rulebook!$K54*d,IFS(x&lt;=ta,0,x&lt;=tb,25*(x-ta)/(tb-ta),x&lt;=tc,25+25*(x-tb)/(tc-tb),x&lt;=te,50+25*(x-tc)/(te-tc),x&lt;tf,75+25*(x-te)/(tf-te),TRUE,100)))</f>
        <v/>
      </c>
      <c r="T54" s="35" t="str">
        <f>IF('Stress Inputs'!T54="","",LET(d,Rulebook!$L54,x,'Stress Inputs'!T54*d,ta,Rulebook!$G54*d,tb,Rulebook!$H54*d,tc,Rulebook!$I54*d,te,Rulebook!$J54*d,tf,Rulebook!$K54*d,IFS(x&lt;=ta,0,x&lt;=tb,25*(x-ta)/(tb-ta),x&lt;=tc,25+25*(x-tb)/(tc-tb),x&lt;=te,50+25*(x-tc)/(te-tc),x&lt;tf,75+25*(x-te)/(tf-te),TRUE,100)))</f>
        <v/>
      </c>
      <c r="U54" s="35" t="str">
        <f>IF('Stress Inputs'!U54="","",LET(d,Rulebook!$L54,x,'Stress Inputs'!U54*d,ta,Rulebook!$G54*d,tb,Rulebook!$H54*d,tc,Rulebook!$I54*d,te,Rulebook!$J54*d,tf,Rulebook!$K54*d,IFS(x&lt;=ta,0,x&lt;=tb,25*(x-ta)/(tb-ta),x&lt;=tc,25+25*(x-tb)/(tc-tb),x&lt;=te,50+25*(x-tc)/(te-tc),x&lt;tf,75+25*(x-te)/(tf-te),TRUE,100)))</f>
        <v/>
      </c>
      <c r="V54" s="35" t="str">
        <f>IF('Stress Inputs'!V54="","",LET(d,Rulebook!$L54,x,'Stress Inputs'!V54*d,ta,Rulebook!$G54*d,tb,Rulebook!$H54*d,tc,Rulebook!$I54*d,te,Rulebook!$J54*d,tf,Rulebook!$K54*d,IFS(x&lt;=ta,0,x&lt;=tb,25*(x-ta)/(tb-ta),x&lt;=tc,25+25*(x-tb)/(tc-tb),x&lt;=te,50+25*(x-tc)/(te-tc),x&lt;tf,75+25*(x-te)/(tf-te),TRUE,100)))</f>
        <v/>
      </c>
    </row>
    <row r="55">
      <c r="A55" s="26" t="s">
        <v>682</v>
      </c>
      <c r="B55" s="26">
        <v>5.0</v>
      </c>
      <c r="C55" s="26" t="s">
        <v>683</v>
      </c>
      <c r="D55" s="26" t="s">
        <v>125</v>
      </c>
      <c r="E55" s="35" t="str">
        <f>IF('Stress Inputs'!E55="","",LET(d,Rulebook!$L55,x,'Stress Inputs'!E55*d,ta,Rulebook!$G55*d,tb,Rulebook!$H55*d,tc,Rulebook!$I55*d,te,Rulebook!$J55*d,tf,Rulebook!$K55*d,IFS(x&lt;=ta,0,x&lt;=tb,25*(x-ta)/(tb-ta),x&lt;=tc,25+25*(x-tb)/(tc-tb),x&lt;=te,50+25*(x-tc)/(te-tc),x&lt;tf,75+25*(x-te)/(tf-te),TRUE,100)))</f>
        <v/>
      </c>
      <c r="F55" s="35" t="str">
        <f>IF('Stress Inputs'!F55="","",LET(d,Rulebook!$L55,x,'Stress Inputs'!F55*d,ta,Rulebook!$G55*d,tb,Rulebook!$H55*d,tc,Rulebook!$I55*d,te,Rulebook!$J55*d,tf,Rulebook!$K55*d,IFS(x&lt;=ta,0,x&lt;=tb,25*(x-ta)/(tb-ta),x&lt;=tc,25+25*(x-tb)/(tc-tb),x&lt;=te,50+25*(x-tc)/(te-tc),x&lt;tf,75+25*(x-te)/(tf-te),TRUE,100)))</f>
        <v/>
      </c>
      <c r="G55" s="35" t="str">
        <f>IF('Stress Inputs'!G55="","",LET(d,Rulebook!$L55,x,'Stress Inputs'!G55*d,ta,Rulebook!$G55*d,tb,Rulebook!$H55*d,tc,Rulebook!$I55*d,te,Rulebook!$J55*d,tf,Rulebook!$K55*d,IFS(x&lt;=ta,0,x&lt;=tb,25*(x-ta)/(tb-ta),x&lt;=tc,25+25*(x-tb)/(tc-tb),x&lt;=te,50+25*(x-tc)/(te-tc),x&lt;tf,75+25*(x-te)/(tf-te),TRUE,100)))</f>
        <v/>
      </c>
      <c r="H55" s="35" t="str">
        <f>IF('Stress Inputs'!H55="","",LET(d,Rulebook!$L55,x,'Stress Inputs'!H55*d,ta,Rulebook!$G55*d,tb,Rulebook!$H55*d,tc,Rulebook!$I55*d,te,Rulebook!$J55*d,tf,Rulebook!$K55*d,IFS(x&lt;=ta,0,x&lt;=tb,25*(x-ta)/(tb-ta),x&lt;=tc,25+25*(x-tb)/(tc-tb),x&lt;=te,50+25*(x-tc)/(te-tc),x&lt;tf,75+25*(x-te)/(tf-te),TRUE,100)))</f>
        <v/>
      </c>
      <c r="I55" s="35" t="str">
        <f>IF('Stress Inputs'!I55="","",LET(d,Rulebook!$L55,x,'Stress Inputs'!I55*d,ta,Rulebook!$G55*d,tb,Rulebook!$H55*d,tc,Rulebook!$I55*d,te,Rulebook!$J55*d,tf,Rulebook!$K55*d,IFS(x&lt;=ta,0,x&lt;=tb,25*(x-ta)/(tb-ta),x&lt;=tc,25+25*(x-tb)/(tc-tb),x&lt;=te,50+25*(x-tc)/(te-tc),x&lt;tf,75+25*(x-te)/(tf-te),TRUE,100)))</f>
        <v/>
      </c>
      <c r="J55" s="35" t="str">
        <f>IF('Stress Inputs'!J55="","",LET(d,Rulebook!$L55,x,'Stress Inputs'!J55*d,ta,Rulebook!$G55*d,tb,Rulebook!$H55*d,tc,Rulebook!$I55*d,te,Rulebook!$J55*d,tf,Rulebook!$K55*d,IFS(x&lt;=ta,0,x&lt;=tb,25*(x-ta)/(tb-ta),x&lt;=tc,25+25*(x-tb)/(tc-tb),x&lt;=te,50+25*(x-tc)/(te-tc),x&lt;tf,75+25*(x-te)/(tf-te),TRUE,100)))</f>
        <v/>
      </c>
      <c r="K55" s="35" t="str">
        <f>IF('Stress Inputs'!K55="","",LET(d,Rulebook!$L55,x,'Stress Inputs'!K55*d,ta,Rulebook!$G55*d,tb,Rulebook!$H55*d,tc,Rulebook!$I55*d,te,Rulebook!$J55*d,tf,Rulebook!$K55*d,IFS(x&lt;=ta,0,x&lt;=tb,25*(x-ta)/(tb-ta),x&lt;=tc,25+25*(x-tb)/(tc-tb),x&lt;=te,50+25*(x-tc)/(te-tc),x&lt;tf,75+25*(x-te)/(tf-te),TRUE,100)))</f>
        <v/>
      </c>
      <c r="L55" s="35" t="str">
        <f>IF('Stress Inputs'!L55="","",LET(d,Rulebook!$L55,x,'Stress Inputs'!L55*d,ta,Rulebook!$G55*d,tb,Rulebook!$H55*d,tc,Rulebook!$I55*d,te,Rulebook!$J55*d,tf,Rulebook!$K55*d,IFS(x&lt;=ta,0,x&lt;=tb,25*(x-ta)/(tb-ta),x&lt;=tc,25+25*(x-tb)/(tc-tb),x&lt;=te,50+25*(x-tc)/(te-tc),x&lt;tf,75+25*(x-te)/(tf-te),TRUE,100)))</f>
        <v/>
      </c>
      <c r="M55" s="35" t="str">
        <f>IF('Stress Inputs'!M55="","",LET(d,Rulebook!$L55,x,'Stress Inputs'!M55*d,ta,Rulebook!$G55*d,tb,Rulebook!$H55*d,tc,Rulebook!$I55*d,te,Rulebook!$J55*d,tf,Rulebook!$K55*d,IFS(x&lt;=ta,0,x&lt;=tb,25*(x-ta)/(tb-ta),x&lt;=tc,25+25*(x-tb)/(tc-tb),x&lt;=te,50+25*(x-tc)/(te-tc),x&lt;tf,75+25*(x-te)/(tf-te),TRUE,100)))</f>
        <v/>
      </c>
      <c r="N55" s="35" t="str">
        <f>IF('Stress Inputs'!N55="","",LET(d,Rulebook!$L55,x,'Stress Inputs'!N55*d,ta,Rulebook!$G55*d,tb,Rulebook!$H55*d,tc,Rulebook!$I55*d,te,Rulebook!$J55*d,tf,Rulebook!$K55*d,IFS(x&lt;=ta,0,x&lt;=tb,25*(x-ta)/(tb-ta),x&lt;=tc,25+25*(x-tb)/(tc-tb),x&lt;=te,50+25*(x-tc)/(te-tc),x&lt;tf,75+25*(x-te)/(tf-te),TRUE,100)))</f>
        <v/>
      </c>
      <c r="O55" s="35" t="str">
        <f>IF('Stress Inputs'!O55="","",LET(d,Rulebook!$L55,x,'Stress Inputs'!O55*d,ta,Rulebook!$G55*d,tb,Rulebook!$H55*d,tc,Rulebook!$I55*d,te,Rulebook!$J55*d,tf,Rulebook!$K55*d,IFS(x&lt;=ta,0,x&lt;=tb,25*(x-ta)/(tb-ta),x&lt;=tc,25+25*(x-tb)/(tc-tb),x&lt;=te,50+25*(x-tc)/(te-tc),x&lt;tf,75+25*(x-te)/(tf-te),TRUE,100)))</f>
        <v/>
      </c>
      <c r="P55" s="35" t="str">
        <f>IF('Stress Inputs'!P55="","",LET(d,Rulebook!$L55,x,'Stress Inputs'!P55*d,ta,Rulebook!$G55*d,tb,Rulebook!$H55*d,tc,Rulebook!$I55*d,te,Rulebook!$J55*d,tf,Rulebook!$K55*d,IFS(x&lt;=ta,0,x&lt;=tb,25*(x-ta)/(tb-ta),x&lt;=tc,25+25*(x-tb)/(tc-tb),x&lt;=te,50+25*(x-tc)/(te-tc),x&lt;tf,75+25*(x-te)/(tf-te),TRUE,100)))</f>
        <v/>
      </c>
      <c r="Q55" s="35" t="str">
        <f>IF('Stress Inputs'!Q55="","",LET(d,Rulebook!$L55,x,'Stress Inputs'!Q55*d,ta,Rulebook!$G55*d,tb,Rulebook!$H55*d,tc,Rulebook!$I55*d,te,Rulebook!$J55*d,tf,Rulebook!$K55*d,IFS(x&lt;=ta,0,x&lt;=tb,25*(x-ta)/(tb-ta),x&lt;=tc,25+25*(x-tb)/(tc-tb),x&lt;=te,50+25*(x-tc)/(te-tc),x&lt;tf,75+25*(x-te)/(tf-te),TRUE,100)))</f>
        <v/>
      </c>
      <c r="R55" s="35" t="str">
        <f>IF('Stress Inputs'!R55="","",LET(d,Rulebook!$L55,x,'Stress Inputs'!R55*d,ta,Rulebook!$G55*d,tb,Rulebook!$H55*d,tc,Rulebook!$I55*d,te,Rulebook!$J55*d,tf,Rulebook!$K55*d,IFS(x&lt;=ta,0,x&lt;=tb,25*(x-ta)/(tb-ta),x&lt;=tc,25+25*(x-tb)/(tc-tb),x&lt;=te,50+25*(x-tc)/(te-tc),x&lt;tf,75+25*(x-te)/(tf-te),TRUE,100)))</f>
        <v/>
      </c>
      <c r="S55" s="35" t="str">
        <f>IF('Stress Inputs'!S55="","",LET(d,Rulebook!$L55,x,'Stress Inputs'!S55*d,ta,Rulebook!$G55*d,tb,Rulebook!$H55*d,tc,Rulebook!$I55*d,te,Rulebook!$J55*d,tf,Rulebook!$K55*d,IFS(x&lt;=ta,0,x&lt;=tb,25*(x-ta)/(tb-ta),x&lt;=tc,25+25*(x-tb)/(tc-tb),x&lt;=te,50+25*(x-tc)/(te-tc),x&lt;tf,75+25*(x-te)/(tf-te),TRUE,100)))</f>
        <v/>
      </c>
      <c r="T55" s="35" t="str">
        <f>IF('Stress Inputs'!T55="","",LET(d,Rulebook!$L55,x,'Stress Inputs'!T55*d,ta,Rulebook!$G55*d,tb,Rulebook!$H55*d,tc,Rulebook!$I55*d,te,Rulebook!$J55*d,tf,Rulebook!$K55*d,IFS(x&lt;=ta,0,x&lt;=tb,25*(x-ta)/(tb-ta),x&lt;=tc,25+25*(x-tb)/(tc-tb),x&lt;=te,50+25*(x-tc)/(te-tc),x&lt;tf,75+25*(x-te)/(tf-te),TRUE,100)))</f>
        <v/>
      </c>
      <c r="U55" s="35" t="str">
        <f>IF('Stress Inputs'!U55="","",LET(d,Rulebook!$L55,x,'Stress Inputs'!U55*d,ta,Rulebook!$G55*d,tb,Rulebook!$H55*d,tc,Rulebook!$I55*d,te,Rulebook!$J55*d,tf,Rulebook!$K55*d,IFS(x&lt;=ta,0,x&lt;=tb,25*(x-ta)/(tb-ta),x&lt;=tc,25+25*(x-tb)/(tc-tb),x&lt;=te,50+25*(x-tc)/(te-tc),x&lt;tf,75+25*(x-te)/(tf-te),TRUE,100)))</f>
        <v/>
      </c>
      <c r="V55" s="35" t="str">
        <f>IF('Stress Inputs'!V55="","",LET(d,Rulebook!$L55,x,'Stress Inputs'!V55*d,ta,Rulebook!$G55*d,tb,Rulebook!$H55*d,tc,Rulebook!$I55*d,te,Rulebook!$J55*d,tf,Rulebook!$K55*d,IFS(x&lt;=ta,0,x&lt;=tb,25*(x-ta)/(tb-ta),x&lt;=tc,25+25*(x-tb)/(tc-tb),x&lt;=te,50+25*(x-tc)/(te-tc),x&lt;tf,75+25*(x-te)/(tf-te),TRUE,100)))</f>
        <v/>
      </c>
    </row>
    <row r="56">
      <c r="A56" s="26" t="s">
        <v>686</v>
      </c>
      <c r="B56" s="26">
        <v>5.0</v>
      </c>
      <c r="C56" s="26" t="s">
        <v>687</v>
      </c>
      <c r="D56" s="26" t="s">
        <v>648</v>
      </c>
      <c r="E56" s="35" t="str">
        <f>IF('Stress Inputs'!E56="","",LET(d,Rulebook!$L56,x,'Stress Inputs'!E56*d,ta,Rulebook!$G56*d,tb,Rulebook!$H56*d,tc,Rulebook!$I56*d,te,Rulebook!$J56*d,tf,Rulebook!$K56*d,IFS(x&lt;=ta,0,x&lt;=tb,25*(x-ta)/(tb-ta),x&lt;=tc,25+25*(x-tb)/(tc-tb),x&lt;=te,50+25*(x-tc)/(te-tc),x&lt;tf,75+25*(x-te)/(tf-te),TRUE,100)))</f>
        <v/>
      </c>
      <c r="F56" s="35" t="str">
        <f>IF('Stress Inputs'!F56="","",LET(d,Rulebook!$L56,x,'Stress Inputs'!F56*d,ta,Rulebook!$G56*d,tb,Rulebook!$H56*d,tc,Rulebook!$I56*d,te,Rulebook!$J56*d,tf,Rulebook!$K56*d,IFS(x&lt;=ta,0,x&lt;=tb,25*(x-ta)/(tb-ta),x&lt;=tc,25+25*(x-tb)/(tc-tb),x&lt;=te,50+25*(x-tc)/(te-tc),x&lt;tf,75+25*(x-te)/(tf-te),TRUE,100)))</f>
        <v/>
      </c>
      <c r="G56" s="35" t="str">
        <f>IF('Stress Inputs'!G56="","",LET(d,Rulebook!$L56,x,'Stress Inputs'!G56*d,ta,Rulebook!$G56*d,tb,Rulebook!$H56*d,tc,Rulebook!$I56*d,te,Rulebook!$J56*d,tf,Rulebook!$K56*d,IFS(x&lt;=ta,0,x&lt;=tb,25*(x-ta)/(tb-ta),x&lt;=tc,25+25*(x-tb)/(tc-tb),x&lt;=te,50+25*(x-tc)/(te-tc),x&lt;tf,75+25*(x-te)/(tf-te),TRUE,100)))</f>
        <v/>
      </c>
      <c r="H56" s="35" t="str">
        <f>IF('Stress Inputs'!H56="","",LET(d,Rulebook!$L56,x,'Stress Inputs'!H56*d,ta,Rulebook!$G56*d,tb,Rulebook!$H56*d,tc,Rulebook!$I56*d,te,Rulebook!$J56*d,tf,Rulebook!$K56*d,IFS(x&lt;=ta,0,x&lt;=tb,25*(x-ta)/(tb-ta),x&lt;=tc,25+25*(x-tb)/(tc-tb),x&lt;=te,50+25*(x-tc)/(te-tc),x&lt;tf,75+25*(x-te)/(tf-te),TRUE,100)))</f>
        <v/>
      </c>
      <c r="I56" s="35" t="str">
        <f>IF('Stress Inputs'!I56="","",LET(d,Rulebook!$L56,x,'Stress Inputs'!I56*d,ta,Rulebook!$G56*d,tb,Rulebook!$H56*d,tc,Rulebook!$I56*d,te,Rulebook!$J56*d,tf,Rulebook!$K56*d,IFS(x&lt;=ta,0,x&lt;=tb,25*(x-ta)/(tb-ta),x&lt;=tc,25+25*(x-tb)/(tc-tb),x&lt;=te,50+25*(x-tc)/(te-tc),x&lt;tf,75+25*(x-te)/(tf-te),TRUE,100)))</f>
        <v/>
      </c>
      <c r="J56" s="35" t="str">
        <f>IF('Stress Inputs'!J56="","",LET(d,Rulebook!$L56,x,'Stress Inputs'!J56*d,ta,Rulebook!$G56*d,tb,Rulebook!$H56*d,tc,Rulebook!$I56*d,te,Rulebook!$J56*d,tf,Rulebook!$K56*d,IFS(x&lt;=ta,0,x&lt;=tb,25*(x-ta)/(tb-ta),x&lt;=tc,25+25*(x-tb)/(tc-tb),x&lt;=te,50+25*(x-tc)/(te-tc),x&lt;tf,75+25*(x-te)/(tf-te),TRUE,100)))</f>
        <v/>
      </c>
      <c r="K56" s="35" t="str">
        <f>IF('Stress Inputs'!K56="","",LET(d,Rulebook!$L56,x,'Stress Inputs'!K56*d,ta,Rulebook!$G56*d,tb,Rulebook!$H56*d,tc,Rulebook!$I56*d,te,Rulebook!$J56*d,tf,Rulebook!$K56*d,IFS(x&lt;=ta,0,x&lt;=tb,25*(x-ta)/(tb-ta),x&lt;=tc,25+25*(x-tb)/(tc-tb),x&lt;=te,50+25*(x-tc)/(te-tc),x&lt;tf,75+25*(x-te)/(tf-te),TRUE,100)))</f>
        <v/>
      </c>
      <c r="L56" s="35" t="str">
        <f>IF('Stress Inputs'!L56="","",LET(d,Rulebook!$L56,x,'Stress Inputs'!L56*d,ta,Rulebook!$G56*d,tb,Rulebook!$H56*d,tc,Rulebook!$I56*d,te,Rulebook!$J56*d,tf,Rulebook!$K56*d,IFS(x&lt;=ta,0,x&lt;=tb,25*(x-ta)/(tb-ta),x&lt;=tc,25+25*(x-tb)/(tc-tb),x&lt;=te,50+25*(x-tc)/(te-tc),x&lt;tf,75+25*(x-te)/(tf-te),TRUE,100)))</f>
        <v/>
      </c>
      <c r="M56" s="35" t="str">
        <f>IF('Stress Inputs'!M56="","",LET(d,Rulebook!$L56,x,'Stress Inputs'!M56*d,ta,Rulebook!$G56*d,tb,Rulebook!$H56*d,tc,Rulebook!$I56*d,te,Rulebook!$J56*d,tf,Rulebook!$K56*d,IFS(x&lt;=ta,0,x&lt;=tb,25*(x-ta)/(tb-ta),x&lt;=tc,25+25*(x-tb)/(tc-tb),x&lt;=te,50+25*(x-tc)/(te-tc),x&lt;tf,75+25*(x-te)/(tf-te),TRUE,100)))</f>
        <v/>
      </c>
      <c r="N56" s="35" t="str">
        <f>IF('Stress Inputs'!N56="","",LET(d,Rulebook!$L56,x,'Stress Inputs'!N56*d,ta,Rulebook!$G56*d,tb,Rulebook!$H56*d,tc,Rulebook!$I56*d,te,Rulebook!$J56*d,tf,Rulebook!$K56*d,IFS(x&lt;=ta,0,x&lt;=tb,25*(x-ta)/(tb-ta),x&lt;=tc,25+25*(x-tb)/(tc-tb),x&lt;=te,50+25*(x-tc)/(te-tc),x&lt;tf,75+25*(x-te)/(tf-te),TRUE,100)))</f>
        <v/>
      </c>
      <c r="O56" s="35" t="str">
        <f>IF('Stress Inputs'!O56="","",LET(d,Rulebook!$L56,x,'Stress Inputs'!O56*d,ta,Rulebook!$G56*d,tb,Rulebook!$H56*d,tc,Rulebook!$I56*d,te,Rulebook!$J56*d,tf,Rulebook!$K56*d,IFS(x&lt;=ta,0,x&lt;=tb,25*(x-ta)/(tb-ta),x&lt;=tc,25+25*(x-tb)/(tc-tb),x&lt;=te,50+25*(x-tc)/(te-tc),x&lt;tf,75+25*(x-te)/(tf-te),TRUE,100)))</f>
        <v/>
      </c>
      <c r="P56" s="35" t="str">
        <f>IF('Stress Inputs'!P56="","",LET(d,Rulebook!$L56,x,'Stress Inputs'!P56*d,ta,Rulebook!$G56*d,tb,Rulebook!$H56*d,tc,Rulebook!$I56*d,te,Rulebook!$J56*d,tf,Rulebook!$K56*d,IFS(x&lt;=ta,0,x&lt;=tb,25*(x-ta)/(tb-ta),x&lt;=tc,25+25*(x-tb)/(tc-tb),x&lt;=te,50+25*(x-tc)/(te-tc),x&lt;tf,75+25*(x-te)/(tf-te),TRUE,100)))</f>
        <v/>
      </c>
      <c r="Q56" s="35" t="str">
        <f>IF('Stress Inputs'!Q56="","",LET(d,Rulebook!$L56,x,'Stress Inputs'!Q56*d,ta,Rulebook!$G56*d,tb,Rulebook!$H56*d,tc,Rulebook!$I56*d,te,Rulebook!$J56*d,tf,Rulebook!$K56*d,IFS(x&lt;=ta,0,x&lt;=tb,25*(x-ta)/(tb-ta),x&lt;=tc,25+25*(x-tb)/(tc-tb),x&lt;=te,50+25*(x-tc)/(te-tc),x&lt;tf,75+25*(x-te)/(tf-te),TRUE,100)))</f>
        <v/>
      </c>
      <c r="R56" s="35" t="str">
        <f>IF('Stress Inputs'!R56="","",LET(d,Rulebook!$L56,x,'Stress Inputs'!R56*d,ta,Rulebook!$G56*d,tb,Rulebook!$H56*d,tc,Rulebook!$I56*d,te,Rulebook!$J56*d,tf,Rulebook!$K56*d,IFS(x&lt;=ta,0,x&lt;=tb,25*(x-ta)/(tb-ta),x&lt;=tc,25+25*(x-tb)/(tc-tb),x&lt;=te,50+25*(x-tc)/(te-tc),x&lt;tf,75+25*(x-te)/(tf-te),TRUE,100)))</f>
        <v/>
      </c>
      <c r="S56" s="35" t="str">
        <f>IF('Stress Inputs'!S56="","",LET(d,Rulebook!$L56,x,'Stress Inputs'!S56*d,ta,Rulebook!$G56*d,tb,Rulebook!$H56*d,tc,Rulebook!$I56*d,te,Rulebook!$J56*d,tf,Rulebook!$K56*d,IFS(x&lt;=ta,0,x&lt;=tb,25*(x-ta)/(tb-ta),x&lt;=tc,25+25*(x-tb)/(tc-tb),x&lt;=te,50+25*(x-tc)/(te-tc),x&lt;tf,75+25*(x-te)/(tf-te),TRUE,100)))</f>
        <v/>
      </c>
      <c r="T56" s="35" t="str">
        <f>IF('Stress Inputs'!T56="","",LET(d,Rulebook!$L56,x,'Stress Inputs'!T56*d,ta,Rulebook!$G56*d,tb,Rulebook!$H56*d,tc,Rulebook!$I56*d,te,Rulebook!$J56*d,tf,Rulebook!$K56*d,IFS(x&lt;=ta,0,x&lt;=tb,25*(x-ta)/(tb-ta),x&lt;=tc,25+25*(x-tb)/(tc-tb),x&lt;=te,50+25*(x-tc)/(te-tc),x&lt;tf,75+25*(x-te)/(tf-te),TRUE,100)))</f>
        <v/>
      </c>
      <c r="U56" s="35" t="str">
        <f>IF('Stress Inputs'!U56="","",LET(d,Rulebook!$L56,x,'Stress Inputs'!U56*d,ta,Rulebook!$G56*d,tb,Rulebook!$H56*d,tc,Rulebook!$I56*d,te,Rulebook!$J56*d,tf,Rulebook!$K56*d,IFS(x&lt;=ta,0,x&lt;=tb,25*(x-ta)/(tb-ta),x&lt;=tc,25+25*(x-tb)/(tc-tb),x&lt;=te,50+25*(x-tc)/(te-tc),x&lt;tf,75+25*(x-te)/(tf-te),TRUE,100)))</f>
        <v/>
      </c>
      <c r="V56" s="35" t="str">
        <f>IF('Stress Inputs'!V56="","",LET(d,Rulebook!$L56,x,'Stress Inputs'!V56*d,ta,Rulebook!$G56*d,tb,Rulebook!$H56*d,tc,Rulebook!$I56*d,te,Rulebook!$J56*d,tf,Rulebook!$K56*d,IFS(x&lt;=ta,0,x&lt;=tb,25*(x-ta)/(tb-ta),x&lt;=tc,25+25*(x-tb)/(tc-tb),x&lt;=te,50+25*(x-tc)/(te-tc),x&lt;tf,75+25*(x-te)/(tf-te),TRUE,100)))</f>
        <v/>
      </c>
    </row>
    <row r="57">
      <c r="A57" s="26" t="s">
        <v>690</v>
      </c>
      <c r="B57" s="26">
        <v>5.0</v>
      </c>
      <c r="C57" s="26" t="s">
        <v>691</v>
      </c>
      <c r="D57" s="26" t="s">
        <v>112</v>
      </c>
      <c r="E57" s="35" t="str">
        <f>IF('Stress Inputs'!E57="","",LET(d,Rulebook!$L57,x,'Stress Inputs'!E57*d,ta,Rulebook!$G57*d,tb,Rulebook!$H57*d,tc,Rulebook!$I57*d,te,Rulebook!$J57*d,tf,Rulebook!$K57*d,IFS(x&lt;=ta,0,x&lt;=tb,25*(x-ta)/(tb-ta),x&lt;=tc,25+25*(x-tb)/(tc-tb),x&lt;=te,50+25*(x-tc)/(te-tc),x&lt;tf,75+25*(x-te)/(tf-te),TRUE,100)))</f>
        <v/>
      </c>
      <c r="F57" s="35" t="str">
        <f>IF('Stress Inputs'!F57="","",LET(d,Rulebook!$L57,x,'Stress Inputs'!F57*d,ta,Rulebook!$G57*d,tb,Rulebook!$H57*d,tc,Rulebook!$I57*d,te,Rulebook!$J57*d,tf,Rulebook!$K57*d,IFS(x&lt;=ta,0,x&lt;=tb,25*(x-ta)/(tb-ta),x&lt;=tc,25+25*(x-tb)/(tc-tb),x&lt;=te,50+25*(x-tc)/(te-tc),x&lt;tf,75+25*(x-te)/(tf-te),TRUE,100)))</f>
        <v/>
      </c>
      <c r="G57" s="35" t="str">
        <f>IF('Stress Inputs'!G57="","",LET(d,Rulebook!$L57,x,'Stress Inputs'!G57*d,ta,Rulebook!$G57*d,tb,Rulebook!$H57*d,tc,Rulebook!$I57*d,te,Rulebook!$J57*d,tf,Rulebook!$K57*d,IFS(x&lt;=ta,0,x&lt;=tb,25*(x-ta)/(tb-ta),x&lt;=tc,25+25*(x-tb)/(tc-tb),x&lt;=te,50+25*(x-tc)/(te-tc),x&lt;tf,75+25*(x-te)/(tf-te),TRUE,100)))</f>
        <v/>
      </c>
      <c r="H57" s="35" t="str">
        <f>IF('Stress Inputs'!H57="","",LET(d,Rulebook!$L57,x,'Stress Inputs'!H57*d,ta,Rulebook!$G57*d,tb,Rulebook!$H57*d,tc,Rulebook!$I57*d,te,Rulebook!$J57*d,tf,Rulebook!$K57*d,IFS(x&lt;=ta,0,x&lt;=tb,25*(x-ta)/(tb-ta),x&lt;=tc,25+25*(x-tb)/(tc-tb),x&lt;=te,50+25*(x-tc)/(te-tc),x&lt;tf,75+25*(x-te)/(tf-te),TRUE,100)))</f>
        <v/>
      </c>
      <c r="I57" s="35" t="str">
        <f>IF('Stress Inputs'!I57="","",LET(d,Rulebook!$L57,x,'Stress Inputs'!I57*d,ta,Rulebook!$G57*d,tb,Rulebook!$H57*d,tc,Rulebook!$I57*d,te,Rulebook!$J57*d,tf,Rulebook!$K57*d,IFS(x&lt;=ta,0,x&lt;=tb,25*(x-ta)/(tb-ta),x&lt;=tc,25+25*(x-tb)/(tc-tb),x&lt;=te,50+25*(x-tc)/(te-tc),x&lt;tf,75+25*(x-te)/(tf-te),TRUE,100)))</f>
        <v/>
      </c>
      <c r="J57" s="35" t="str">
        <f>IF('Stress Inputs'!J57="","",LET(d,Rulebook!$L57,x,'Stress Inputs'!J57*d,ta,Rulebook!$G57*d,tb,Rulebook!$H57*d,tc,Rulebook!$I57*d,te,Rulebook!$J57*d,tf,Rulebook!$K57*d,IFS(x&lt;=ta,0,x&lt;=tb,25*(x-ta)/(tb-ta),x&lt;=tc,25+25*(x-tb)/(tc-tb),x&lt;=te,50+25*(x-tc)/(te-tc),x&lt;tf,75+25*(x-te)/(tf-te),TRUE,100)))</f>
        <v/>
      </c>
      <c r="K57" s="35" t="str">
        <f>IF('Stress Inputs'!K57="","",LET(d,Rulebook!$L57,x,'Stress Inputs'!K57*d,ta,Rulebook!$G57*d,tb,Rulebook!$H57*d,tc,Rulebook!$I57*d,te,Rulebook!$J57*d,tf,Rulebook!$K57*d,IFS(x&lt;=ta,0,x&lt;=tb,25*(x-ta)/(tb-ta),x&lt;=tc,25+25*(x-tb)/(tc-tb),x&lt;=te,50+25*(x-tc)/(te-tc),x&lt;tf,75+25*(x-te)/(tf-te),TRUE,100)))</f>
        <v/>
      </c>
      <c r="L57" s="35" t="str">
        <f>IF('Stress Inputs'!L57="","",LET(d,Rulebook!$L57,x,'Stress Inputs'!L57*d,ta,Rulebook!$G57*d,tb,Rulebook!$H57*d,tc,Rulebook!$I57*d,te,Rulebook!$J57*d,tf,Rulebook!$K57*d,IFS(x&lt;=ta,0,x&lt;=tb,25*(x-ta)/(tb-ta),x&lt;=tc,25+25*(x-tb)/(tc-tb),x&lt;=te,50+25*(x-tc)/(te-tc),x&lt;tf,75+25*(x-te)/(tf-te),TRUE,100)))</f>
        <v/>
      </c>
      <c r="M57" s="35" t="str">
        <f>IF('Stress Inputs'!M57="","",LET(d,Rulebook!$L57,x,'Stress Inputs'!M57*d,ta,Rulebook!$G57*d,tb,Rulebook!$H57*d,tc,Rulebook!$I57*d,te,Rulebook!$J57*d,tf,Rulebook!$K57*d,IFS(x&lt;=ta,0,x&lt;=tb,25*(x-ta)/(tb-ta),x&lt;=tc,25+25*(x-tb)/(tc-tb),x&lt;=te,50+25*(x-tc)/(te-tc),x&lt;tf,75+25*(x-te)/(tf-te),TRUE,100)))</f>
        <v/>
      </c>
      <c r="N57" s="35" t="str">
        <f>IF('Stress Inputs'!N57="","",LET(d,Rulebook!$L57,x,'Stress Inputs'!N57*d,ta,Rulebook!$G57*d,tb,Rulebook!$H57*d,tc,Rulebook!$I57*d,te,Rulebook!$J57*d,tf,Rulebook!$K57*d,IFS(x&lt;=ta,0,x&lt;=tb,25*(x-ta)/(tb-ta),x&lt;=tc,25+25*(x-tb)/(tc-tb),x&lt;=te,50+25*(x-tc)/(te-tc),x&lt;tf,75+25*(x-te)/(tf-te),TRUE,100)))</f>
        <v/>
      </c>
      <c r="O57" s="35" t="str">
        <f>IF('Stress Inputs'!O57="","",LET(d,Rulebook!$L57,x,'Stress Inputs'!O57*d,ta,Rulebook!$G57*d,tb,Rulebook!$H57*d,tc,Rulebook!$I57*d,te,Rulebook!$J57*d,tf,Rulebook!$K57*d,IFS(x&lt;=ta,0,x&lt;=tb,25*(x-ta)/(tb-ta),x&lt;=tc,25+25*(x-tb)/(tc-tb),x&lt;=te,50+25*(x-tc)/(te-tc),x&lt;tf,75+25*(x-te)/(tf-te),TRUE,100)))</f>
        <v/>
      </c>
      <c r="P57" s="35" t="str">
        <f>IF('Stress Inputs'!P57="","",LET(d,Rulebook!$L57,x,'Stress Inputs'!P57*d,ta,Rulebook!$G57*d,tb,Rulebook!$H57*d,tc,Rulebook!$I57*d,te,Rulebook!$J57*d,tf,Rulebook!$K57*d,IFS(x&lt;=ta,0,x&lt;=tb,25*(x-ta)/(tb-ta),x&lt;=tc,25+25*(x-tb)/(tc-tb),x&lt;=te,50+25*(x-tc)/(te-tc),x&lt;tf,75+25*(x-te)/(tf-te),TRUE,100)))</f>
        <v/>
      </c>
      <c r="Q57" s="35" t="str">
        <f>IF('Stress Inputs'!Q57="","",LET(d,Rulebook!$L57,x,'Stress Inputs'!Q57*d,ta,Rulebook!$G57*d,tb,Rulebook!$H57*d,tc,Rulebook!$I57*d,te,Rulebook!$J57*d,tf,Rulebook!$K57*d,IFS(x&lt;=ta,0,x&lt;=tb,25*(x-ta)/(tb-ta),x&lt;=tc,25+25*(x-tb)/(tc-tb),x&lt;=te,50+25*(x-tc)/(te-tc),x&lt;tf,75+25*(x-te)/(tf-te),TRUE,100)))</f>
        <v/>
      </c>
      <c r="R57" s="35" t="str">
        <f>IF('Stress Inputs'!R57="","",LET(d,Rulebook!$L57,x,'Stress Inputs'!R57*d,ta,Rulebook!$G57*d,tb,Rulebook!$H57*d,tc,Rulebook!$I57*d,te,Rulebook!$J57*d,tf,Rulebook!$K57*d,IFS(x&lt;=ta,0,x&lt;=tb,25*(x-ta)/(tb-ta),x&lt;=tc,25+25*(x-tb)/(tc-tb),x&lt;=te,50+25*(x-tc)/(te-tc),x&lt;tf,75+25*(x-te)/(tf-te),TRUE,100)))</f>
        <v/>
      </c>
      <c r="S57" s="35" t="str">
        <f>IF('Stress Inputs'!S57="","",LET(d,Rulebook!$L57,x,'Stress Inputs'!S57*d,ta,Rulebook!$G57*d,tb,Rulebook!$H57*d,tc,Rulebook!$I57*d,te,Rulebook!$J57*d,tf,Rulebook!$K57*d,IFS(x&lt;=ta,0,x&lt;=tb,25*(x-ta)/(tb-ta),x&lt;=tc,25+25*(x-tb)/(tc-tb),x&lt;=te,50+25*(x-tc)/(te-tc),x&lt;tf,75+25*(x-te)/(tf-te),TRUE,100)))</f>
        <v/>
      </c>
      <c r="T57" s="35" t="str">
        <f>IF('Stress Inputs'!T57="","",LET(d,Rulebook!$L57,x,'Stress Inputs'!T57*d,ta,Rulebook!$G57*d,tb,Rulebook!$H57*d,tc,Rulebook!$I57*d,te,Rulebook!$J57*d,tf,Rulebook!$K57*d,IFS(x&lt;=ta,0,x&lt;=tb,25*(x-ta)/(tb-ta),x&lt;=tc,25+25*(x-tb)/(tc-tb),x&lt;=te,50+25*(x-tc)/(te-tc),x&lt;tf,75+25*(x-te)/(tf-te),TRUE,100)))</f>
        <v/>
      </c>
      <c r="U57" s="35" t="str">
        <f>IF('Stress Inputs'!U57="","",LET(d,Rulebook!$L57,x,'Stress Inputs'!U57*d,ta,Rulebook!$G57*d,tb,Rulebook!$H57*d,tc,Rulebook!$I57*d,te,Rulebook!$J57*d,tf,Rulebook!$K57*d,IFS(x&lt;=ta,0,x&lt;=tb,25*(x-ta)/(tb-ta),x&lt;=tc,25+25*(x-tb)/(tc-tb),x&lt;=te,50+25*(x-tc)/(te-tc),x&lt;tf,75+25*(x-te)/(tf-te),TRUE,100)))</f>
        <v/>
      </c>
      <c r="V57" s="35" t="str">
        <f>IF('Stress Inputs'!V57="","",LET(d,Rulebook!$L57,x,'Stress Inputs'!V57*d,ta,Rulebook!$G57*d,tb,Rulebook!$H57*d,tc,Rulebook!$I57*d,te,Rulebook!$J57*d,tf,Rulebook!$K57*d,IFS(x&lt;=ta,0,x&lt;=tb,25*(x-ta)/(tb-ta),x&lt;=tc,25+25*(x-tb)/(tc-tb),x&lt;=te,50+25*(x-tc)/(te-tc),x&lt;tf,75+25*(x-te)/(tf-te),TRUE,100)))</f>
        <v/>
      </c>
    </row>
    <row r="58">
      <c r="A58" s="26" t="s">
        <v>694</v>
      </c>
      <c r="B58" s="26">
        <v>5.0</v>
      </c>
      <c r="C58" s="26" t="s">
        <v>695</v>
      </c>
      <c r="D58" s="26" t="s">
        <v>120</v>
      </c>
      <c r="E58" s="35" t="str">
        <f>IF('Stress Inputs'!E58="","",LET(d,Rulebook!$L58,x,'Stress Inputs'!E58*d,ta,Rulebook!$G58*d,tb,Rulebook!$H58*d,tc,Rulebook!$I58*d,te,Rulebook!$J58*d,tf,Rulebook!$K58*d,IFS(x&lt;=ta,0,x&lt;=tb,25*(x-ta)/(tb-ta),x&lt;=tc,25+25*(x-tb)/(tc-tb),x&lt;=te,50+25*(x-tc)/(te-tc),x&lt;tf,75+25*(x-te)/(tf-te),TRUE,100)))</f>
        <v/>
      </c>
      <c r="F58" s="35" t="str">
        <f>IF('Stress Inputs'!F58="","",LET(d,Rulebook!$L58,x,'Stress Inputs'!F58*d,ta,Rulebook!$G58*d,tb,Rulebook!$H58*d,tc,Rulebook!$I58*d,te,Rulebook!$J58*d,tf,Rulebook!$K58*d,IFS(x&lt;=ta,0,x&lt;=tb,25*(x-ta)/(tb-ta),x&lt;=tc,25+25*(x-tb)/(tc-tb),x&lt;=te,50+25*(x-tc)/(te-tc),x&lt;tf,75+25*(x-te)/(tf-te),TRUE,100)))</f>
        <v/>
      </c>
      <c r="G58" s="35" t="str">
        <f>IF('Stress Inputs'!G58="","",LET(d,Rulebook!$L58,x,'Stress Inputs'!G58*d,ta,Rulebook!$G58*d,tb,Rulebook!$H58*d,tc,Rulebook!$I58*d,te,Rulebook!$J58*d,tf,Rulebook!$K58*d,IFS(x&lt;=ta,0,x&lt;=tb,25*(x-ta)/(tb-ta),x&lt;=tc,25+25*(x-tb)/(tc-tb),x&lt;=te,50+25*(x-tc)/(te-tc),x&lt;tf,75+25*(x-te)/(tf-te),TRUE,100)))</f>
        <v/>
      </c>
      <c r="H58" s="35" t="str">
        <f>IF('Stress Inputs'!H58="","",LET(d,Rulebook!$L58,x,'Stress Inputs'!H58*d,ta,Rulebook!$G58*d,tb,Rulebook!$H58*d,tc,Rulebook!$I58*d,te,Rulebook!$J58*d,tf,Rulebook!$K58*d,IFS(x&lt;=ta,0,x&lt;=tb,25*(x-ta)/(tb-ta),x&lt;=tc,25+25*(x-tb)/(tc-tb),x&lt;=te,50+25*(x-tc)/(te-tc),x&lt;tf,75+25*(x-te)/(tf-te),TRUE,100)))</f>
        <v/>
      </c>
      <c r="I58" s="35" t="str">
        <f>IF('Stress Inputs'!I58="","",LET(d,Rulebook!$L58,x,'Stress Inputs'!I58*d,ta,Rulebook!$G58*d,tb,Rulebook!$H58*d,tc,Rulebook!$I58*d,te,Rulebook!$J58*d,tf,Rulebook!$K58*d,IFS(x&lt;=ta,0,x&lt;=tb,25*(x-ta)/(tb-ta),x&lt;=tc,25+25*(x-tb)/(tc-tb),x&lt;=te,50+25*(x-tc)/(te-tc),x&lt;tf,75+25*(x-te)/(tf-te),TRUE,100)))</f>
        <v/>
      </c>
      <c r="J58" s="35" t="str">
        <f>IF('Stress Inputs'!J58="","",LET(d,Rulebook!$L58,x,'Stress Inputs'!J58*d,ta,Rulebook!$G58*d,tb,Rulebook!$H58*d,tc,Rulebook!$I58*d,te,Rulebook!$J58*d,tf,Rulebook!$K58*d,IFS(x&lt;=ta,0,x&lt;=tb,25*(x-ta)/(tb-ta),x&lt;=tc,25+25*(x-tb)/(tc-tb),x&lt;=te,50+25*(x-tc)/(te-tc),x&lt;tf,75+25*(x-te)/(tf-te),TRUE,100)))</f>
        <v/>
      </c>
      <c r="K58" s="35" t="str">
        <f>IF('Stress Inputs'!K58="","",LET(d,Rulebook!$L58,x,'Stress Inputs'!K58*d,ta,Rulebook!$G58*d,tb,Rulebook!$H58*d,tc,Rulebook!$I58*d,te,Rulebook!$J58*d,tf,Rulebook!$K58*d,IFS(x&lt;=ta,0,x&lt;=tb,25*(x-ta)/(tb-ta),x&lt;=tc,25+25*(x-tb)/(tc-tb),x&lt;=te,50+25*(x-tc)/(te-tc),x&lt;tf,75+25*(x-te)/(tf-te),TRUE,100)))</f>
        <v/>
      </c>
      <c r="L58" s="35" t="str">
        <f>IF('Stress Inputs'!L58="","",LET(d,Rulebook!$L58,x,'Stress Inputs'!L58*d,ta,Rulebook!$G58*d,tb,Rulebook!$H58*d,tc,Rulebook!$I58*d,te,Rulebook!$J58*d,tf,Rulebook!$K58*d,IFS(x&lt;=ta,0,x&lt;=tb,25*(x-ta)/(tb-ta),x&lt;=tc,25+25*(x-tb)/(tc-tb),x&lt;=te,50+25*(x-tc)/(te-tc),x&lt;tf,75+25*(x-te)/(tf-te),TRUE,100)))</f>
        <v/>
      </c>
      <c r="M58" s="35" t="str">
        <f>IF('Stress Inputs'!M58="","",LET(d,Rulebook!$L58,x,'Stress Inputs'!M58*d,ta,Rulebook!$G58*d,tb,Rulebook!$H58*d,tc,Rulebook!$I58*d,te,Rulebook!$J58*d,tf,Rulebook!$K58*d,IFS(x&lt;=ta,0,x&lt;=tb,25*(x-ta)/(tb-ta),x&lt;=tc,25+25*(x-tb)/(tc-tb),x&lt;=te,50+25*(x-tc)/(te-tc),x&lt;tf,75+25*(x-te)/(tf-te),TRUE,100)))</f>
        <v/>
      </c>
      <c r="N58" s="35" t="str">
        <f>IF('Stress Inputs'!N58="","",LET(d,Rulebook!$L58,x,'Stress Inputs'!N58*d,ta,Rulebook!$G58*d,tb,Rulebook!$H58*d,tc,Rulebook!$I58*d,te,Rulebook!$J58*d,tf,Rulebook!$K58*d,IFS(x&lt;=ta,0,x&lt;=tb,25*(x-ta)/(tb-ta),x&lt;=tc,25+25*(x-tb)/(tc-tb),x&lt;=te,50+25*(x-tc)/(te-tc),x&lt;tf,75+25*(x-te)/(tf-te),TRUE,100)))</f>
        <v/>
      </c>
      <c r="O58" s="35" t="str">
        <f>IF('Stress Inputs'!O58="","",LET(d,Rulebook!$L58,x,'Stress Inputs'!O58*d,ta,Rulebook!$G58*d,tb,Rulebook!$H58*d,tc,Rulebook!$I58*d,te,Rulebook!$J58*d,tf,Rulebook!$K58*d,IFS(x&lt;=ta,0,x&lt;=tb,25*(x-ta)/(tb-ta),x&lt;=tc,25+25*(x-tb)/(tc-tb),x&lt;=te,50+25*(x-tc)/(te-tc),x&lt;tf,75+25*(x-te)/(tf-te),TRUE,100)))</f>
        <v/>
      </c>
      <c r="P58" s="35" t="str">
        <f>IF('Stress Inputs'!P58="","",LET(d,Rulebook!$L58,x,'Stress Inputs'!P58*d,ta,Rulebook!$G58*d,tb,Rulebook!$H58*d,tc,Rulebook!$I58*d,te,Rulebook!$J58*d,tf,Rulebook!$K58*d,IFS(x&lt;=ta,0,x&lt;=tb,25*(x-ta)/(tb-ta),x&lt;=tc,25+25*(x-tb)/(tc-tb),x&lt;=te,50+25*(x-tc)/(te-tc),x&lt;tf,75+25*(x-te)/(tf-te),TRUE,100)))</f>
        <v/>
      </c>
      <c r="Q58" s="35" t="str">
        <f>IF('Stress Inputs'!Q58="","",LET(d,Rulebook!$L58,x,'Stress Inputs'!Q58*d,ta,Rulebook!$G58*d,tb,Rulebook!$H58*d,tc,Rulebook!$I58*d,te,Rulebook!$J58*d,tf,Rulebook!$K58*d,IFS(x&lt;=ta,0,x&lt;=tb,25*(x-ta)/(tb-ta),x&lt;=tc,25+25*(x-tb)/(tc-tb),x&lt;=te,50+25*(x-tc)/(te-tc),x&lt;tf,75+25*(x-te)/(tf-te),TRUE,100)))</f>
        <v/>
      </c>
      <c r="R58" s="35" t="str">
        <f>IF('Stress Inputs'!R58="","",LET(d,Rulebook!$L58,x,'Stress Inputs'!R58*d,ta,Rulebook!$G58*d,tb,Rulebook!$H58*d,tc,Rulebook!$I58*d,te,Rulebook!$J58*d,tf,Rulebook!$K58*d,IFS(x&lt;=ta,0,x&lt;=tb,25*(x-ta)/(tb-ta),x&lt;=tc,25+25*(x-tb)/(tc-tb),x&lt;=te,50+25*(x-tc)/(te-tc),x&lt;tf,75+25*(x-te)/(tf-te),TRUE,100)))</f>
        <v/>
      </c>
      <c r="S58" s="35" t="str">
        <f>IF('Stress Inputs'!S58="","",LET(d,Rulebook!$L58,x,'Stress Inputs'!S58*d,ta,Rulebook!$G58*d,tb,Rulebook!$H58*d,tc,Rulebook!$I58*d,te,Rulebook!$J58*d,tf,Rulebook!$K58*d,IFS(x&lt;=ta,0,x&lt;=tb,25*(x-ta)/(tb-ta),x&lt;=tc,25+25*(x-tb)/(tc-tb),x&lt;=te,50+25*(x-tc)/(te-tc),x&lt;tf,75+25*(x-te)/(tf-te),TRUE,100)))</f>
        <v/>
      </c>
      <c r="T58" s="35" t="str">
        <f>IF('Stress Inputs'!T58="","",LET(d,Rulebook!$L58,x,'Stress Inputs'!T58*d,ta,Rulebook!$G58*d,tb,Rulebook!$H58*d,tc,Rulebook!$I58*d,te,Rulebook!$J58*d,tf,Rulebook!$K58*d,IFS(x&lt;=ta,0,x&lt;=tb,25*(x-ta)/(tb-ta),x&lt;=tc,25+25*(x-tb)/(tc-tb),x&lt;=te,50+25*(x-tc)/(te-tc),x&lt;tf,75+25*(x-te)/(tf-te),TRUE,100)))</f>
        <v/>
      </c>
      <c r="U58" s="35" t="str">
        <f>IF('Stress Inputs'!U58="","",LET(d,Rulebook!$L58,x,'Stress Inputs'!U58*d,ta,Rulebook!$G58*d,tb,Rulebook!$H58*d,tc,Rulebook!$I58*d,te,Rulebook!$J58*d,tf,Rulebook!$K58*d,IFS(x&lt;=ta,0,x&lt;=tb,25*(x-ta)/(tb-ta),x&lt;=tc,25+25*(x-tb)/(tc-tb),x&lt;=te,50+25*(x-tc)/(te-tc),x&lt;tf,75+25*(x-te)/(tf-te),TRUE,100)))</f>
        <v/>
      </c>
      <c r="V58" s="35" t="str">
        <f>IF('Stress Inputs'!V58="","",LET(d,Rulebook!$L58,x,'Stress Inputs'!V58*d,ta,Rulebook!$G58*d,tb,Rulebook!$H58*d,tc,Rulebook!$I58*d,te,Rulebook!$J58*d,tf,Rulebook!$K58*d,IFS(x&lt;=ta,0,x&lt;=tb,25*(x-ta)/(tb-ta),x&lt;=tc,25+25*(x-tb)/(tc-tb),x&lt;=te,50+25*(x-tc)/(te-tc),x&lt;tf,75+25*(x-te)/(tf-te),TRUE,100)))</f>
        <v/>
      </c>
    </row>
    <row r="59">
      <c r="A59" s="26" t="s">
        <v>698</v>
      </c>
      <c r="B59" s="26">
        <v>5.0</v>
      </c>
      <c r="C59" s="26" t="s">
        <v>699</v>
      </c>
      <c r="D59" s="26" t="s">
        <v>112</v>
      </c>
      <c r="E59" s="35" t="str">
        <f>IF('Stress Inputs'!E59="","",LET(d,Rulebook!$L59,x,'Stress Inputs'!E59*d,ta,Rulebook!$G59*d,tb,Rulebook!$H59*d,tc,Rulebook!$I59*d,te,Rulebook!$J59*d,tf,Rulebook!$K59*d,IFS(x&lt;=ta,0,x&lt;=tb,25*(x-ta)/(tb-ta),x&lt;=tc,25+25*(x-tb)/(tc-tb),x&lt;=te,50+25*(x-tc)/(te-tc),x&lt;tf,75+25*(x-te)/(tf-te),TRUE,100)))</f>
        <v/>
      </c>
      <c r="F59" s="35" t="str">
        <f>IF('Stress Inputs'!F59="","",LET(d,Rulebook!$L59,x,'Stress Inputs'!F59*d,ta,Rulebook!$G59*d,tb,Rulebook!$H59*d,tc,Rulebook!$I59*d,te,Rulebook!$J59*d,tf,Rulebook!$K59*d,IFS(x&lt;=ta,0,x&lt;=tb,25*(x-ta)/(tb-ta),x&lt;=tc,25+25*(x-tb)/(tc-tb),x&lt;=te,50+25*(x-tc)/(te-tc),x&lt;tf,75+25*(x-te)/(tf-te),TRUE,100)))</f>
        <v/>
      </c>
      <c r="G59" s="35" t="str">
        <f>IF('Stress Inputs'!G59="","",LET(d,Rulebook!$L59,x,'Stress Inputs'!G59*d,ta,Rulebook!$G59*d,tb,Rulebook!$H59*d,tc,Rulebook!$I59*d,te,Rulebook!$J59*d,tf,Rulebook!$K59*d,IFS(x&lt;=ta,0,x&lt;=tb,25*(x-ta)/(tb-ta),x&lt;=tc,25+25*(x-tb)/(tc-tb),x&lt;=te,50+25*(x-tc)/(te-tc),x&lt;tf,75+25*(x-te)/(tf-te),TRUE,100)))</f>
        <v/>
      </c>
      <c r="H59" s="35" t="str">
        <f>IF('Stress Inputs'!H59="","",LET(d,Rulebook!$L59,x,'Stress Inputs'!H59*d,ta,Rulebook!$G59*d,tb,Rulebook!$H59*d,tc,Rulebook!$I59*d,te,Rulebook!$J59*d,tf,Rulebook!$K59*d,IFS(x&lt;=ta,0,x&lt;=tb,25*(x-ta)/(tb-ta),x&lt;=tc,25+25*(x-tb)/(tc-tb),x&lt;=te,50+25*(x-tc)/(te-tc),x&lt;tf,75+25*(x-te)/(tf-te),TRUE,100)))</f>
        <v/>
      </c>
      <c r="I59" s="35" t="str">
        <f>IF('Stress Inputs'!I59="","",LET(d,Rulebook!$L59,x,'Stress Inputs'!I59*d,ta,Rulebook!$G59*d,tb,Rulebook!$H59*d,tc,Rulebook!$I59*d,te,Rulebook!$J59*d,tf,Rulebook!$K59*d,IFS(x&lt;=ta,0,x&lt;=tb,25*(x-ta)/(tb-ta),x&lt;=tc,25+25*(x-tb)/(tc-tb),x&lt;=te,50+25*(x-tc)/(te-tc),x&lt;tf,75+25*(x-te)/(tf-te),TRUE,100)))</f>
        <v/>
      </c>
      <c r="J59" s="35" t="str">
        <f>IF('Stress Inputs'!J59="","",LET(d,Rulebook!$L59,x,'Stress Inputs'!J59*d,ta,Rulebook!$G59*d,tb,Rulebook!$H59*d,tc,Rulebook!$I59*d,te,Rulebook!$J59*d,tf,Rulebook!$K59*d,IFS(x&lt;=ta,0,x&lt;=tb,25*(x-ta)/(tb-ta),x&lt;=tc,25+25*(x-tb)/(tc-tb),x&lt;=te,50+25*(x-tc)/(te-tc),x&lt;tf,75+25*(x-te)/(tf-te),TRUE,100)))</f>
        <v/>
      </c>
      <c r="K59" s="35" t="str">
        <f>IF('Stress Inputs'!K59="","",LET(d,Rulebook!$L59,x,'Stress Inputs'!K59*d,ta,Rulebook!$G59*d,tb,Rulebook!$H59*d,tc,Rulebook!$I59*d,te,Rulebook!$J59*d,tf,Rulebook!$K59*d,IFS(x&lt;=ta,0,x&lt;=tb,25*(x-ta)/(tb-ta),x&lt;=tc,25+25*(x-tb)/(tc-tb),x&lt;=te,50+25*(x-tc)/(te-tc),x&lt;tf,75+25*(x-te)/(tf-te),TRUE,100)))</f>
        <v/>
      </c>
      <c r="L59" s="35" t="str">
        <f>IF('Stress Inputs'!L59="","",LET(d,Rulebook!$L59,x,'Stress Inputs'!L59*d,ta,Rulebook!$G59*d,tb,Rulebook!$H59*d,tc,Rulebook!$I59*d,te,Rulebook!$J59*d,tf,Rulebook!$K59*d,IFS(x&lt;=ta,0,x&lt;=tb,25*(x-ta)/(tb-ta),x&lt;=tc,25+25*(x-tb)/(tc-tb),x&lt;=te,50+25*(x-tc)/(te-tc),x&lt;tf,75+25*(x-te)/(tf-te),TRUE,100)))</f>
        <v/>
      </c>
      <c r="M59" s="35" t="str">
        <f>IF('Stress Inputs'!M59="","",LET(d,Rulebook!$L59,x,'Stress Inputs'!M59*d,ta,Rulebook!$G59*d,tb,Rulebook!$H59*d,tc,Rulebook!$I59*d,te,Rulebook!$J59*d,tf,Rulebook!$K59*d,IFS(x&lt;=ta,0,x&lt;=tb,25*(x-ta)/(tb-ta),x&lt;=tc,25+25*(x-tb)/(tc-tb),x&lt;=te,50+25*(x-tc)/(te-tc),x&lt;tf,75+25*(x-te)/(tf-te),TRUE,100)))</f>
        <v/>
      </c>
      <c r="N59" s="35" t="str">
        <f>IF('Stress Inputs'!N59="","",LET(d,Rulebook!$L59,x,'Stress Inputs'!N59*d,ta,Rulebook!$G59*d,tb,Rulebook!$H59*d,tc,Rulebook!$I59*d,te,Rulebook!$J59*d,tf,Rulebook!$K59*d,IFS(x&lt;=ta,0,x&lt;=tb,25*(x-ta)/(tb-ta),x&lt;=tc,25+25*(x-tb)/(tc-tb),x&lt;=te,50+25*(x-tc)/(te-tc),x&lt;tf,75+25*(x-te)/(tf-te),TRUE,100)))</f>
        <v/>
      </c>
      <c r="O59" s="35" t="str">
        <f>IF('Stress Inputs'!O59="","",LET(d,Rulebook!$L59,x,'Stress Inputs'!O59*d,ta,Rulebook!$G59*d,tb,Rulebook!$H59*d,tc,Rulebook!$I59*d,te,Rulebook!$J59*d,tf,Rulebook!$K59*d,IFS(x&lt;=ta,0,x&lt;=tb,25*(x-ta)/(tb-ta),x&lt;=tc,25+25*(x-tb)/(tc-tb),x&lt;=te,50+25*(x-tc)/(te-tc),x&lt;tf,75+25*(x-te)/(tf-te),TRUE,100)))</f>
        <v/>
      </c>
      <c r="P59" s="35" t="str">
        <f>IF('Stress Inputs'!P59="","",LET(d,Rulebook!$L59,x,'Stress Inputs'!P59*d,ta,Rulebook!$G59*d,tb,Rulebook!$H59*d,tc,Rulebook!$I59*d,te,Rulebook!$J59*d,tf,Rulebook!$K59*d,IFS(x&lt;=ta,0,x&lt;=tb,25*(x-ta)/(tb-ta),x&lt;=tc,25+25*(x-tb)/(tc-tb),x&lt;=te,50+25*(x-tc)/(te-tc),x&lt;tf,75+25*(x-te)/(tf-te),TRUE,100)))</f>
        <v/>
      </c>
      <c r="Q59" s="35" t="str">
        <f>IF('Stress Inputs'!Q59="","",LET(d,Rulebook!$L59,x,'Stress Inputs'!Q59*d,ta,Rulebook!$G59*d,tb,Rulebook!$H59*d,tc,Rulebook!$I59*d,te,Rulebook!$J59*d,tf,Rulebook!$K59*d,IFS(x&lt;=ta,0,x&lt;=tb,25*(x-ta)/(tb-ta),x&lt;=tc,25+25*(x-tb)/(tc-tb),x&lt;=te,50+25*(x-tc)/(te-tc),x&lt;tf,75+25*(x-te)/(tf-te),TRUE,100)))</f>
        <v/>
      </c>
      <c r="R59" s="35" t="str">
        <f>IF('Stress Inputs'!R59="","",LET(d,Rulebook!$L59,x,'Stress Inputs'!R59*d,ta,Rulebook!$G59*d,tb,Rulebook!$H59*d,tc,Rulebook!$I59*d,te,Rulebook!$J59*d,tf,Rulebook!$K59*d,IFS(x&lt;=ta,0,x&lt;=tb,25*(x-ta)/(tb-ta),x&lt;=tc,25+25*(x-tb)/(tc-tb),x&lt;=te,50+25*(x-tc)/(te-tc),x&lt;tf,75+25*(x-te)/(tf-te),TRUE,100)))</f>
        <v/>
      </c>
      <c r="S59" s="35" t="str">
        <f>IF('Stress Inputs'!S59="","",LET(d,Rulebook!$L59,x,'Stress Inputs'!S59*d,ta,Rulebook!$G59*d,tb,Rulebook!$H59*d,tc,Rulebook!$I59*d,te,Rulebook!$J59*d,tf,Rulebook!$K59*d,IFS(x&lt;=ta,0,x&lt;=tb,25*(x-ta)/(tb-ta),x&lt;=tc,25+25*(x-tb)/(tc-tb),x&lt;=te,50+25*(x-tc)/(te-tc),x&lt;tf,75+25*(x-te)/(tf-te),TRUE,100)))</f>
        <v/>
      </c>
      <c r="T59" s="35" t="str">
        <f>IF('Stress Inputs'!T59="","",LET(d,Rulebook!$L59,x,'Stress Inputs'!T59*d,ta,Rulebook!$G59*d,tb,Rulebook!$H59*d,tc,Rulebook!$I59*d,te,Rulebook!$J59*d,tf,Rulebook!$K59*d,IFS(x&lt;=ta,0,x&lt;=tb,25*(x-ta)/(tb-ta),x&lt;=tc,25+25*(x-tb)/(tc-tb),x&lt;=te,50+25*(x-tc)/(te-tc),x&lt;tf,75+25*(x-te)/(tf-te),TRUE,100)))</f>
        <v/>
      </c>
      <c r="U59" s="35" t="str">
        <f>IF('Stress Inputs'!U59="","",LET(d,Rulebook!$L59,x,'Stress Inputs'!U59*d,ta,Rulebook!$G59*d,tb,Rulebook!$H59*d,tc,Rulebook!$I59*d,te,Rulebook!$J59*d,tf,Rulebook!$K59*d,IFS(x&lt;=ta,0,x&lt;=tb,25*(x-ta)/(tb-ta),x&lt;=tc,25+25*(x-tb)/(tc-tb),x&lt;=te,50+25*(x-tc)/(te-tc),x&lt;tf,75+25*(x-te)/(tf-te),TRUE,100)))</f>
        <v/>
      </c>
      <c r="V59" s="35" t="str">
        <f>IF('Stress Inputs'!V59="","",LET(d,Rulebook!$L59,x,'Stress Inputs'!V59*d,ta,Rulebook!$G59*d,tb,Rulebook!$H59*d,tc,Rulebook!$I59*d,te,Rulebook!$J59*d,tf,Rulebook!$K59*d,IFS(x&lt;=ta,0,x&lt;=tb,25*(x-ta)/(tb-ta),x&lt;=tc,25+25*(x-tb)/(tc-tb),x&lt;=te,50+25*(x-tc)/(te-tc),x&lt;tf,75+25*(x-te)/(tf-te),TRUE,100)))</f>
        <v/>
      </c>
    </row>
    <row r="60">
      <c r="A60" s="26" t="s">
        <v>703</v>
      </c>
      <c r="B60" s="26">
        <v>5.0</v>
      </c>
      <c r="C60" s="26" t="s">
        <v>704</v>
      </c>
      <c r="D60" s="26" t="s">
        <v>705</v>
      </c>
      <c r="E60" s="35" t="str">
        <f>IF('Stress Inputs'!E60="","",LET(d,Rulebook!$L60,x,'Stress Inputs'!E60*d,ta,Rulebook!$G60*d,tb,Rulebook!$H60*d,tc,Rulebook!$I60*d,te,Rulebook!$J60*d,tf,Rulebook!$K60*d,IFS(x&lt;=ta,0,x&lt;=tb,25*(x-ta)/(tb-ta),x&lt;=tc,25+25*(x-tb)/(tc-tb),x&lt;=te,50+25*(x-tc)/(te-tc),x&lt;tf,75+25*(x-te)/(tf-te),TRUE,100)))</f>
        <v/>
      </c>
      <c r="F60" s="35" t="str">
        <f>IF('Stress Inputs'!F60="","",LET(d,Rulebook!$L60,x,'Stress Inputs'!F60*d,ta,Rulebook!$G60*d,tb,Rulebook!$H60*d,tc,Rulebook!$I60*d,te,Rulebook!$J60*d,tf,Rulebook!$K60*d,IFS(x&lt;=ta,0,x&lt;=tb,25*(x-ta)/(tb-ta),x&lt;=tc,25+25*(x-tb)/(tc-tb),x&lt;=te,50+25*(x-tc)/(te-tc),x&lt;tf,75+25*(x-te)/(tf-te),TRUE,100)))</f>
        <v/>
      </c>
      <c r="G60" s="35" t="str">
        <f>IF('Stress Inputs'!G60="","",LET(d,Rulebook!$L60,x,'Stress Inputs'!G60*d,ta,Rulebook!$G60*d,tb,Rulebook!$H60*d,tc,Rulebook!$I60*d,te,Rulebook!$J60*d,tf,Rulebook!$K60*d,IFS(x&lt;=ta,0,x&lt;=tb,25*(x-ta)/(tb-ta),x&lt;=tc,25+25*(x-tb)/(tc-tb),x&lt;=te,50+25*(x-tc)/(te-tc),x&lt;tf,75+25*(x-te)/(tf-te),TRUE,100)))</f>
        <v/>
      </c>
      <c r="H60" s="35" t="str">
        <f>IF('Stress Inputs'!H60="","",LET(d,Rulebook!$L60,x,'Stress Inputs'!H60*d,ta,Rulebook!$G60*d,tb,Rulebook!$H60*d,tc,Rulebook!$I60*d,te,Rulebook!$J60*d,tf,Rulebook!$K60*d,IFS(x&lt;=ta,0,x&lt;=tb,25*(x-ta)/(tb-ta),x&lt;=tc,25+25*(x-tb)/(tc-tb),x&lt;=te,50+25*(x-tc)/(te-tc),x&lt;tf,75+25*(x-te)/(tf-te),TRUE,100)))</f>
        <v/>
      </c>
      <c r="I60" s="35" t="str">
        <f>IF('Stress Inputs'!I60="","",LET(d,Rulebook!$L60,x,'Stress Inputs'!I60*d,ta,Rulebook!$G60*d,tb,Rulebook!$H60*d,tc,Rulebook!$I60*d,te,Rulebook!$J60*d,tf,Rulebook!$K60*d,IFS(x&lt;=ta,0,x&lt;=tb,25*(x-ta)/(tb-ta),x&lt;=tc,25+25*(x-tb)/(tc-tb),x&lt;=te,50+25*(x-tc)/(te-tc),x&lt;tf,75+25*(x-te)/(tf-te),TRUE,100)))</f>
        <v/>
      </c>
      <c r="J60" s="35" t="str">
        <f>IF('Stress Inputs'!J60="","",LET(d,Rulebook!$L60,x,'Stress Inputs'!J60*d,ta,Rulebook!$G60*d,tb,Rulebook!$H60*d,tc,Rulebook!$I60*d,te,Rulebook!$J60*d,tf,Rulebook!$K60*d,IFS(x&lt;=ta,0,x&lt;=tb,25*(x-ta)/(tb-ta),x&lt;=tc,25+25*(x-tb)/(tc-tb),x&lt;=te,50+25*(x-tc)/(te-tc),x&lt;tf,75+25*(x-te)/(tf-te),TRUE,100)))</f>
        <v/>
      </c>
      <c r="K60" s="35" t="str">
        <f>IF('Stress Inputs'!K60="","",LET(d,Rulebook!$L60,x,'Stress Inputs'!K60*d,ta,Rulebook!$G60*d,tb,Rulebook!$H60*d,tc,Rulebook!$I60*d,te,Rulebook!$J60*d,tf,Rulebook!$K60*d,IFS(x&lt;=ta,0,x&lt;=tb,25*(x-ta)/(tb-ta),x&lt;=tc,25+25*(x-tb)/(tc-tb),x&lt;=te,50+25*(x-tc)/(te-tc),x&lt;tf,75+25*(x-te)/(tf-te),TRUE,100)))</f>
        <v/>
      </c>
      <c r="L60" s="35" t="str">
        <f>IF('Stress Inputs'!L60="","",LET(d,Rulebook!$L60,x,'Stress Inputs'!L60*d,ta,Rulebook!$G60*d,tb,Rulebook!$H60*d,tc,Rulebook!$I60*d,te,Rulebook!$J60*d,tf,Rulebook!$K60*d,IFS(x&lt;=ta,0,x&lt;=tb,25*(x-ta)/(tb-ta),x&lt;=tc,25+25*(x-tb)/(tc-tb),x&lt;=te,50+25*(x-tc)/(te-tc),x&lt;tf,75+25*(x-te)/(tf-te),TRUE,100)))</f>
        <v/>
      </c>
      <c r="M60" s="35" t="str">
        <f>IF('Stress Inputs'!M60="","",LET(d,Rulebook!$L60,x,'Stress Inputs'!M60*d,ta,Rulebook!$G60*d,tb,Rulebook!$H60*d,tc,Rulebook!$I60*d,te,Rulebook!$J60*d,tf,Rulebook!$K60*d,IFS(x&lt;=ta,0,x&lt;=tb,25*(x-ta)/(tb-ta),x&lt;=tc,25+25*(x-tb)/(tc-tb),x&lt;=te,50+25*(x-tc)/(te-tc),x&lt;tf,75+25*(x-te)/(tf-te),TRUE,100)))</f>
        <v/>
      </c>
      <c r="N60" s="35" t="str">
        <f>IF('Stress Inputs'!N60="","",LET(d,Rulebook!$L60,x,'Stress Inputs'!N60*d,ta,Rulebook!$G60*d,tb,Rulebook!$H60*d,tc,Rulebook!$I60*d,te,Rulebook!$J60*d,tf,Rulebook!$K60*d,IFS(x&lt;=ta,0,x&lt;=tb,25*(x-ta)/(tb-ta),x&lt;=tc,25+25*(x-tb)/(tc-tb),x&lt;=te,50+25*(x-tc)/(te-tc),x&lt;tf,75+25*(x-te)/(tf-te),TRUE,100)))</f>
        <v/>
      </c>
      <c r="O60" s="35" t="str">
        <f>IF('Stress Inputs'!O60="","",LET(d,Rulebook!$L60,x,'Stress Inputs'!O60*d,ta,Rulebook!$G60*d,tb,Rulebook!$H60*d,tc,Rulebook!$I60*d,te,Rulebook!$J60*d,tf,Rulebook!$K60*d,IFS(x&lt;=ta,0,x&lt;=tb,25*(x-ta)/(tb-ta),x&lt;=tc,25+25*(x-tb)/(tc-tb),x&lt;=te,50+25*(x-tc)/(te-tc),x&lt;tf,75+25*(x-te)/(tf-te),TRUE,100)))</f>
        <v/>
      </c>
      <c r="P60" s="35" t="str">
        <f>IF('Stress Inputs'!P60="","",LET(d,Rulebook!$L60,x,'Stress Inputs'!P60*d,ta,Rulebook!$G60*d,tb,Rulebook!$H60*d,tc,Rulebook!$I60*d,te,Rulebook!$J60*d,tf,Rulebook!$K60*d,IFS(x&lt;=ta,0,x&lt;=tb,25*(x-ta)/(tb-ta),x&lt;=tc,25+25*(x-tb)/(tc-tb),x&lt;=te,50+25*(x-tc)/(te-tc),x&lt;tf,75+25*(x-te)/(tf-te),TRUE,100)))</f>
        <v/>
      </c>
      <c r="Q60" s="35" t="str">
        <f>IF('Stress Inputs'!Q60="","",LET(d,Rulebook!$L60,x,'Stress Inputs'!Q60*d,ta,Rulebook!$G60*d,tb,Rulebook!$H60*d,tc,Rulebook!$I60*d,te,Rulebook!$J60*d,tf,Rulebook!$K60*d,IFS(x&lt;=ta,0,x&lt;=tb,25*(x-ta)/(tb-ta),x&lt;=tc,25+25*(x-tb)/(tc-tb),x&lt;=te,50+25*(x-tc)/(te-tc),x&lt;tf,75+25*(x-te)/(tf-te),TRUE,100)))</f>
        <v/>
      </c>
      <c r="R60" s="35" t="str">
        <f>IF('Stress Inputs'!R60="","",LET(d,Rulebook!$L60,x,'Stress Inputs'!R60*d,ta,Rulebook!$G60*d,tb,Rulebook!$H60*d,tc,Rulebook!$I60*d,te,Rulebook!$J60*d,tf,Rulebook!$K60*d,IFS(x&lt;=ta,0,x&lt;=tb,25*(x-ta)/(tb-ta),x&lt;=tc,25+25*(x-tb)/(tc-tb),x&lt;=te,50+25*(x-tc)/(te-tc),x&lt;tf,75+25*(x-te)/(tf-te),TRUE,100)))</f>
        <v/>
      </c>
      <c r="S60" s="35" t="str">
        <f>IF('Stress Inputs'!S60="","",LET(d,Rulebook!$L60,x,'Stress Inputs'!S60*d,ta,Rulebook!$G60*d,tb,Rulebook!$H60*d,tc,Rulebook!$I60*d,te,Rulebook!$J60*d,tf,Rulebook!$K60*d,IFS(x&lt;=ta,0,x&lt;=tb,25*(x-ta)/(tb-ta),x&lt;=tc,25+25*(x-tb)/(tc-tb),x&lt;=te,50+25*(x-tc)/(te-tc),x&lt;tf,75+25*(x-te)/(tf-te),TRUE,100)))</f>
        <v/>
      </c>
      <c r="T60" s="35" t="str">
        <f>IF('Stress Inputs'!T60="","",LET(d,Rulebook!$L60,x,'Stress Inputs'!T60*d,ta,Rulebook!$G60*d,tb,Rulebook!$H60*d,tc,Rulebook!$I60*d,te,Rulebook!$J60*d,tf,Rulebook!$K60*d,IFS(x&lt;=ta,0,x&lt;=tb,25*(x-ta)/(tb-ta),x&lt;=tc,25+25*(x-tb)/(tc-tb),x&lt;=te,50+25*(x-tc)/(te-tc),x&lt;tf,75+25*(x-te)/(tf-te),TRUE,100)))</f>
        <v/>
      </c>
      <c r="U60" s="35" t="str">
        <f>IF('Stress Inputs'!U60="","",LET(d,Rulebook!$L60,x,'Stress Inputs'!U60*d,ta,Rulebook!$G60*d,tb,Rulebook!$H60*d,tc,Rulebook!$I60*d,te,Rulebook!$J60*d,tf,Rulebook!$K60*d,IFS(x&lt;=ta,0,x&lt;=tb,25*(x-ta)/(tb-ta),x&lt;=tc,25+25*(x-tb)/(tc-tb),x&lt;=te,50+25*(x-tc)/(te-tc),x&lt;tf,75+25*(x-te)/(tf-te),TRUE,100)))</f>
        <v/>
      </c>
      <c r="V60" s="35" t="str">
        <f>IF('Stress Inputs'!V60="","",LET(d,Rulebook!$L60,x,'Stress Inputs'!V60*d,ta,Rulebook!$G60*d,tb,Rulebook!$H60*d,tc,Rulebook!$I60*d,te,Rulebook!$J60*d,tf,Rulebook!$K60*d,IFS(x&lt;=ta,0,x&lt;=tb,25*(x-ta)/(tb-ta),x&lt;=tc,25+25*(x-tb)/(tc-tb),x&lt;=te,50+25*(x-tc)/(te-tc),x&lt;tf,75+25*(x-te)/(tf-te),TRUE,100)))</f>
        <v/>
      </c>
    </row>
    <row r="61">
      <c r="A61" s="26" t="s">
        <v>707</v>
      </c>
      <c r="B61" s="26">
        <v>6.0</v>
      </c>
      <c r="C61" s="26" t="s">
        <v>708</v>
      </c>
      <c r="D61" s="26" t="s">
        <v>254</v>
      </c>
      <c r="E61" s="35" t="str">
        <f>IF('Stress Inputs'!E61="","",LET(d,Rulebook!$L61,x,'Stress Inputs'!E61*d,ta,Rulebook!$G61*d,tb,Rulebook!$H61*d,tc,Rulebook!$I61*d,te,Rulebook!$J61*d,tf,Rulebook!$K61*d,IFS(x&lt;=ta,0,x&lt;=tb,25*(x-ta)/(tb-ta),x&lt;=tc,25+25*(x-tb)/(tc-tb),x&lt;=te,50+25*(x-tc)/(te-tc),x&lt;tf,75+25*(x-te)/(tf-te),TRUE,100)))</f>
        <v/>
      </c>
      <c r="F61" s="35" t="str">
        <f>IF('Stress Inputs'!F61="","",LET(d,Rulebook!$L61,x,'Stress Inputs'!F61*d,ta,Rulebook!$G61*d,tb,Rulebook!$H61*d,tc,Rulebook!$I61*d,te,Rulebook!$J61*d,tf,Rulebook!$K61*d,IFS(x&lt;=ta,0,x&lt;=tb,25*(x-ta)/(tb-ta),x&lt;=tc,25+25*(x-tb)/(tc-tb),x&lt;=te,50+25*(x-tc)/(te-tc),x&lt;tf,75+25*(x-te)/(tf-te),TRUE,100)))</f>
        <v/>
      </c>
      <c r="G61" s="35" t="str">
        <f>IF('Stress Inputs'!G61="","",LET(d,Rulebook!$L61,x,'Stress Inputs'!G61*d,ta,Rulebook!$G61*d,tb,Rulebook!$H61*d,tc,Rulebook!$I61*d,te,Rulebook!$J61*d,tf,Rulebook!$K61*d,IFS(x&lt;=ta,0,x&lt;=tb,25*(x-ta)/(tb-ta),x&lt;=tc,25+25*(x-tb)/(tc-tb),x&lt;=te,50+25*(x-tc)/(te-tc),x&lt;tf,75+25*(x-te)/(tf-te),TRUE,100)))</f>
        <v/>
      </c>
      <c r="H61" s="35" t="str">
        <f>IF('Stress Inputs'!H61="","",LET(d,Rulebook!$L61,x,'Stress Inputs'!H61*d,ta,Rulebook!$G61*d,tb,Rulebook!$H61*d,tc,Rulebook!$I61*d,te,Rulebook!$J61*d,tf,Rulebook!$K61*d,IFS(x&lt;=ta,0,x&lt;=tb,25*(x-ta)/(tb-ta),x&lt;=tc,25+25*(x-tb)/(tc-tb),x&lt;=te,50+25*(x-tc)/(te-tc),x&lt;tf,75+25*(x-te)/(tf-te),TRUE,100)))</f>
        <v/>
      </c>
      <c r="I61" s="35" t="str">
        <f>IF('Stress Inputs'!I61="","",LET(d,Rulebook!$L61,x,'Stress Inputs'!I61*d,ta,Rulebook!$G61*d,tb,Rulebook!$H61*d,tc,Rulebook!$I61*d,te,Rulebook!$J61*d,tf,Rulebook!$K61*d,IFS(x&lt;=ta,0,x&lt;=tb,25*(x-ta)/(tb-ta),x&lt;=tc,25+25*(x-tb)/(tc-tb),x&lt;=te,50+25*(x-tc)/(te-tc),x&lt;tf,75+25*(x-te)/(tf-te),TRUE,100)))</f>
        <v/>
      </c>
      <c r="J61" s="35" t="str">
        <f>IF('Stress Inputs'!J61="","",LET(d,Rulebook!$L61,x,'Stress Inputs'!J61*d,ta,Rulebook!$G61*d,tb,Rulebook!$H61*d,tc,Rulebook!$I61*d,te,Rulebook!$J61*d,tf,Rulebook!$K61*d,IFS(x&lt;=ta,0,x&lt;=tb,25*(x-ta)/(tb-ta),x&lt;=tc,25+25*(x-tb)/(tc-tb),x&lt;=te,50+25*(x-tc)/(te-tc),x&lt;tf,75+25*(x-te)/(tf-te),TRUE,100)))</f>
        <v/>
      </c>
      <c r="K61" s="35" t="str">
        <f>IF('Stress Inputs'!K61="","",LET(d,Rulebook!$L61,x,'Stress Inputs'!K61*d,ta,Rulebook!$G61*d,tb,Rulebook!$H61*d,tc,Rulebook!$I61*d,te,Rulebook!$J61*d,tf,Rulebook!$K61*d,IFS(x&lt;=ta,0,x&lt;=tb,25*(x-ta)/(tb-ta),x&lt;=tc,25+25*(x-tb)/(tc-tb),x&lt;=te,50+25*(x-tc)/(te-tc),x&lt;tf,75+25*(x-te)/(tf-te),TRUE,100)))</f>
        <v/>
      </c>
      <c r="L61" s="35" t="str">
        <f>IF('Stress Inputs'!L61="","",LET(d,Rulebook!$L61,x,'Stress Inputs'!L61*d,ta,Rulebook!$G61*d,tb,Rulebook!$H61*d,tc,Rulebook!$I61*d,te,Rulebook!$J61*d,tf,Rulebook!$K61*d,IFS(x&lt;=ta,0,x&lt;=tb,25*(x-ta)/(tb-ta),x&lt;=tc,25+25*(x-tb)/(tc-tb),x&lt;=te,50+25*(x-tc)/(te-tc),x&lt;tf,75+25*(x-te)/(tf-te),TRUE,100)))</f>
        <v/>
      </c>
      <c r="M61" s="35" t="str">
        <f>IF('Stress Inputs'!M61="","",LET(d,Rulebook!$L61,x,'Stress Inputs'!M61*d,ta,Rulebook!$G61*d,tb,Rulebook!$H61*d,tc,Rulebook!$I61*d,te,Rulebook!$J61*d,tf,Rulebook!$K61*d,IFS(x&lt;=ta,0,x&lt;=tb,25*(x-ta)/(tb-ta),x&lt;=tc,25+25*(x-tb)/(tc-tb),x&lt;=te,50+25*(x-tc)/(te-tc),x&lt;tf,75+25*(x-te)/(tf-te),TRUE,100)))</f>
        <v/>
      </c>
      <c r="N61" s="35" t="str">
        <f>IF('Stress Inputs'!N61="","",LET(d,Rulebook!$L61,x,'Stress Inputs'!N61*d,ta,Rulebook!$G61*d,tb,Rulebook!$H61*d,tc,Rulebook!$I61*d,te,Rulebook!$J61*d,tf,Rulebook!$K61*d,IFS(x&lt;=ta,0,x&lt;=tb,25*(x-ta)/(tb-ta),x&lt;=tc,25+25*(x-tb)/(tc-tb),x&lt;=te,50+25*(x-tc)/(te-tc),x&lt;tf,75+25*(x-te)/(tf-te),TRUE,100)))</f>
        <v/>
      </c>
      <c r="O61" s="35" t="str">
        <f>IF('Stress Inputs'!O61="","",LET(d,Rulebook!$L61,x,'Stress Inputs'!O61*d,ta,Rulebook!$G61*d,tb,Rulebook!$H61*d,tc,Rulebook!$I61*d,te,Rulebook!$J61*d,tf,Rulebook!$K61*d,IFS(x&lt;=ta,0,x&lt;=tb,25*(x-ta)/(tb-ta),x&lt;=tc,25+25*(x-tb)/(tc-tb),x&lt;=te,50+25*(x-tc)/(te-tc),x&lt;tf,75+25*(x-te)/(tf-te),TRUE,100)))</f>
        <v/>
      </c>
      <c r="P61" s="35" t="str">
        <f>IF('Stress Inputs'!P61="","",LET(d,Rulebook!$L61,x,'Stress Inputs'!P61*d,ta,Rulebook!$G61*d,tb,Rulebook!$H61*d,tc,Rulebook!$I61*d,te,Rulebook!$J61*d,tf,Rulebook!$K61*d,IFS(x&lt;=ta,0,x&lt;=tb,25*(x-ta)/(tb-ta),x&lt;=tc,25+25*(x-tb)/(tc-tb),x&lt;=te,50+25*(x-tc)/(te-tc),x&lt;tf,75+25*(x-te)/(tf-te),TRUE,100)))</f>
        <v/>
      </c>
      <c r="Q61" s="35" t="str">
        <f>IF('Stress Inputs'!Q61="","",LET(d,Rulebook!$L61,x,'Stress Inputs'!Q61*d,ta,Rulebook!$G61*d,tb,Rulebook!$H61*d,tc,Rulebook!$I61*d,te,Rulebook!$J61*d,tf,Rulebook!$K61*d,IFS(x&lt;=ta,0,x&lt;=tb,25*(x-ta)/(tb-ta),x&lt;=tc,25+25*(x-tb)/(tc-tb),x&lt;=te,50+25*(x-tc)/(te-tc),x&lt;tf,75+25*(x-te)/(tf-te),TRUE,100)))</f>
        <v/>
      </c>
      <c r="R61" s="35" t="str">
        <f>IF('Stress Inputs'!R61="","",LET(d,Rulebook!$L61,x,'Stress Inputs'!R61*d,ta,Rulebook!$G61*d,tb,Rulebook!$H61*d,tc,Rulebook!$I61*d,te,Rulebook!$J61*d,tf,Rulebook!$K61*d,IFS(x&lt;=ta,0,x&lt;=tb,25*(x-ta)/(tb-ta),x&lt;=tc,25+25*(x-tb)/(tc-tb),x&lt;=te,50+25*(x-tc)/(te-tc),x&lt;tf,75+25*(x-te)/(tf-te),TRUE,100)))</f>
        <v/>
      </c>
      <c r="S61" s="35" t="str">
        <f>IF('Stress Inputs'!S61="","",LET(d,Rulebook!$L61,x,'Stress Inputs'!S61*d,ta,Rulebook!$G61*d,tb,Rulebook!$H61*d,tc,Rulebook!$I61*d,te,Rulebook!$J61*d,tf,Rulebook!$K61*d,IFS(x&lt;=ta,0,x&lt;=tb,25*(x-ta)/(tb-ta),x&lt;=tc,25+25*(x-tb)/(tc-tb),x&lt;=te,50+25*(x-tc)/(te-tc),x&lt;tf,75+25*(x-te)/(tf-te),TRUE,100)))</f>
        <v/>
      </c>
      <c r="T61" s="35" t="str">
        <f>IF('Stress Inputs'!T61="","",LET(d,Rulebook!$L61,x,'Stress Inputs'!T61*d,ta,Rulebook!$G61*d,tb,Rulebook!$H61*d,tc,Rulebook!$I61*d,te,Rulebook!$J61*d,tf,Rulebook!$K61*d,IFS(x&lt;=ta,0,x&lt;=tb,25*(x-ta)/(tb-ta),x&lt;=tc,25+25*(x-tb)/(tc-tb),x&lt;=te,50+25*(x-tc)/(te-tc),x&lt;tf,75+25*(x-te)/(tf-te),TRUE,100)))</f>
        <v/>
      </c>
      <c r="U61" s="35" t="str">
        <f>IF('Stress Inputs'!U61="","",LET(d,Rulebook!$L61,x,'Stress Inputs'!U61*d,ta,Rulebook!$G61*d,tb,Rulebook!$H61*d,tc,Rulebook!$I61*d,te,Rulebook!$J61*d,tf,Rulebook!$K61*d,IFS(x&lt;=ta,0,x&lt;=tb,25*(x-ta)/(tb-ta),x&lt;=tc,25+25*(x-tb)/(tc-tb),x&lt;=te,50+25*(x-tc)/(te-tc),x&lt;tf,75+25*(x-te)/(tf-te),TRUE,100)))</f>
        <v/>
      </c>
      <c r="V61" s="35" t="str">
        <f>IF('Stress Inputs'!V61="","",LET(d,Rulebook!$L61,x,'Stress Inputs'!V61*d,ta,Rulebook!$G61*d,tb,Rulebook!$H61*d,tc,Rulebook!$I61*d,te,Rulebook!$J61*d,tf,Rulebook!$K61*d,IFS(x&lt;=ta,0,x&lt;=tb,25*(x-ta)/(tb-ta),x&lt;=tc,25+25*(x-tb)/(tc-tb),x&lt;=te,50+25*(x-tc)/(te-tc),x&lt;tf,75+25*(x-te)/(tf-te),TRUE,100)))</f>
        <v/>
      </c>
    </row>
    <row r="62">
      <c r="A62" s="26" t="s">
        <v>712</v>
      </c>
      <c r="B62" s="26">
        <v>6.0</v>
      </c>
      <c r="C62" s="26" t="s">
        <v>713</v>
      </c>
      <c r="D62" s="26" t="s">
        <v>714</v>
      </c>
      <c r="E62" s="35" t="str">
        <f>IF('Stress Inputs'!E62="","",LET(d,Rulebook!$L62,x,'Stress Inputs'!E62*d,ta,Rulebook!$G62*d,tb,Rulebook!$H62*d,tc,Rulebook!$I62*d,te,Rulebook!$J62*d,tf,Rulebook!$K62*d,IFS(x&lt;=ta,0,x&lt;=tb,25*(x-ta)/(tb-ta),x&lt;=tc,25+25*(x-tb)/(tc-tb),x&lt;=te,50+25*(x-tc)/(te-tc),x&lt;tf,75+25*(x-te)/(tf-te),TRUE,100)))</f>
        <v/>
      </c>
      <c r="F62" s="35" t="str">
        <f>IF('Stress Inputs'!F62="","",LET(d,Rulebook!$L62,x,'Stress Inputs'!F62*d,ta,Rulebook!$G62*d,tb,Rulebook!$H62*d,tc,Rulebook!$I62*d,te,Rulebook!$J62*d,tf,Rulebook!$K62*d,IFS(x&lt;=ta,0,x&lt;=tb,25*(x-ta)/(tb-ta),x&lt;=tc,25+25*(x-tb)/(tc-tb),x&lt;=te,50+25*(x-tc)/(te-tc),x&lt;tf,75+25*(x-te)/(tf-te),TRUE,100)))</f>
        <v/>
      </c>
      <c r="G62" s="35" t="str">
        <f>IF('Stress Inputs'!G62="","",LET(d,Rulebook!$L62,x,'Stress Inputs'!G62*d,ta,Rulebook!$G62*d,tb,Rulebook!$H62*d,tc,Rulebook!$I62*d,te,Rulebook!$J62*d,tf,Rulebook!$K62*d,IFS(x&lt;=ta,0,x&lt;=tb,25*(x-ta)/(tb-ta),x&lt;=tc,25+25*(x-tb)/(tc-tb),x&lt;=te,50+25*(x-tc)/(te-tc),x&lt;tf,75+25*(x-te)/(tf-te),TRUE,100)))</f>
        <v/>
      </c>
      <c r="H62" s="35" t="str">
        <f>IF('Stress Inputs'!H62="","",LET(d,Rulebook!$L62,x,'Stress Inputs'!H62*d,ta,Rulebook!$G62*d,tb,Rulebook!$H62*d,tc,Rulebook!$I62*d,te,Rulebook!$J62*d,tf,Rulebook!$K62*d,IFS(x&lt;=ta,0,x&lt;=tb,25*(x-ta)/(tb-ta),x&lt;=tc,25+25*(x-tb)/(tc-tb),x&lt;=te,50+25*(x-tc)/(te-tc),x&lt;tf,75+25*(x-te)/(tf-te),TRUE,100)))</f>
        <v/>
      </c>
      <c r="I62" s="35" t="str">
        <f>IF('Stress Inputs'!I62="","",LET(d,Rulebook!$L62,x,'Stress Inputs'!I62*d,ta,Rulebook!$G62*d,tb,Rulebook!$H62*d,tc,Rulebook!$I62*d,te,Rulebook!$J62*d,tf,Rulebook!$K62*d,IFS(x&lt;=ta,0,x&lt;=tb,25*(x-ta)/(tb-ta),x&lt;=tc,25+25*(x-tb)/(tc-tb),x&lt;=te,50+25*(x-tc)/(te-tc),x&lt;tf,75+25*(x-te)/(tf-te),TRUE,100)))</f>
        <v/>
      </c>
      <c r="J62" s="35" t="str">
        <f>IF('Stress Inputs'!J62="","",LET(d,Rulebook!$L62,x,'Stress Inputs'!J62*d,ta,Rulebook!$G62*d,tb,Rulebook!$H62*d,tc,Rulebook!$I62*d,te,Rulebook!$J62*d,tf,Rulebook!$K62*d,IFS(x&lt;=ta,0,x&lt;=tb,25*(x-ta)/(tb-ta),x&lt;=tc,25+25*(x-tb)/(tc-tb),x&lt;=te,50+25*(x-tc)/(te-tc),x&lt;tf,75+25*(x-te)/(tf-te),TRUE,100)))</f>
        <v/>
      </c>
      <c r="K62" s="35" t="str">
        <f>IF('Stress Inputs'!K62="","",LET(d,Rulebook!$L62,x,'Stress Inputs'!K62*d,ta,Rulebook!$G62*d,tb,Rulebook!$H62*d,tc,Rulebook!$I62*d,te,Rulebook!$J62*d,tf,Rulebook!$K62*d,IFS(x&lt;=ta,0,x&lt;=tb,25*(x-ta)/(tb-ta),x&lt;=tc,25+25*(x-tb)/(tc-tb),x&lt;=te,50+25*(x-tc)/(te-tc),x&lt;tf,75+25*(x-te)/(tf-te),TRUE,100)))</f>
        <v/>
      </c>
      <c r="L62" s="35" t="str">
        <f>IF('Stress Inputs'!L62="","",LET(d,Rulebook!$L62,x,'Stress Inputs'!L62*d,ta,Rulebook!$G62*d,tb,Rulebook!$H62*d,tc,Rulebook!$I62*d,te,Rulebook!$J62*d,tf,Rulebook!$K62*d,IFS(x&lt;=ta,0,x&lt;=tb,25*(x-ta)/(tb-ta),x&lt;=tc,25+25*(x-tb)/(tc-tb),x&lt;=te,50+25*(x-tc)/(te-tc),x&lt;tf,75+25*(x-te)/(tf-te),TRUE,100)))</f>
        <v/>
      </c>
      <c r="M62" s="35" t="str">
        <f>IF('Stress Inputs'!M62="","",LET(d,Rulebook!$L62,x,'Stress Inputs'!M62*d,ta,Rulebook!$G62*d,tb,Rulebook!$H62*d,tc,Rulebook!$I62*d,te,Rulebook!$J62*d,tf,Rulebook!$K62*d,IFS(x&lt;=ta,0,x&lt;=tb,25*(x-ta)/(tb-ta),x&lt;=tc,25+25*(x-tb)/(tc-tb),x&lt;=te,50+25*(x-tc)/(te-tc),x&lt;tf,75+25*(x-te)/(tf-te),TRUE,100)))</f>
        <v/>
      </c>
      <c r="N62" s="35" t="str">
        <f>IF('Stress Inputs'!N62="","",LET(d,Rulebook!$L62,x,'Stress Inputs'!N62*d,ta,Rulebook!$G62*d,tb,Rulebook!$H62*d,tc,Rulebook!$I62*d,te,Rulebook!$J62*d,tf,Rulebook!$K62*d,IFS(x&lt;=ta,0,x&lt;=tb,25*(x-ta)/(tb-ta),x&lt;=tc,25+25*(x-tb)/(tc-tb),x&lt;=te,50+25*(x-tc)/(te-tc),x&lt;tf,75+25*(x-te)/(tf-te),TRUE,100)))</f>
        <v/>
      </c>
      <c r="O62" s="35" t="str">
        <f>IF('Stress Inputs'!O62="","",LET(d,Rulebook!$L62,x,'Stress Inputs'!O62*d,ta,Rulebook!$G62*d,tb,Rulebook!$H62*d,tc,Rulebook!$I62*d,te,Rulebook!$J62*d,tf,Rulebook!$K62*d,IFS(x&lt;=ta,0,x&lt;=tb,25*(x-ta)/(tb-ta),x&lt;=tc,25+25*(x-tb)/(tc-tb),x&lt;=te,50+25*(x-tc)/(te-tc),x&lt;tf,75+25*(x-te)/(tf-te),TRUE,100)))</f>
        <v/>
      </c>
      <c r="P62" s="35" t="str">
        <f>IF('Stress Inputs'!P62="","",LET(d,Rulebook!$L62,x,'Stress Inputs'!P62*d,ta,Rulebook!$G62*d,tb,Rulebook!$H62*d,tc,Rulebook!$I62*d,te,Rulebook!$J62*d,tf,Rulebook!$K62*d,IFS(x&lt;=ta,0,x&lt;=tb,25*(x-ta)/(tb-ta),x&lt;=tc,25+25*(x-tb)/(tc-tb),x&lt;=te,50+25*(x-tc)/(te-tc),x&lt;tf,75+25*(x-te)/(tf-te),TRUE,100)))</f>
        <v/>
      </c>
      <c r="Q62" s="35" t="str">
        <f>IF('Stress Inputs'!Q62="","",LET(d,Rulebook!$L62,x,'Stress Inputs'!Q62*d,ta,Rulebook!$G62*d,tb,Rulebook!$H62*d,tc,Rulebook!$I62*d,te,Rulebook!$J62*d,tf,Rulebook!$K62*d,IFS(x&lt;=ta,0,x&lt;=tb,25*(x-ta)/(tb-ta),x&lt;=tc,25+25*(x-tb)/(tc-tb),x&lt;=te,50+25*(x-tc)/(te-tc),x&lt;tf,75+25*(x-te)/(tf-te),TRUE,100)))</f>
        <v/>
      </c>
      <c r="R62" s="35" t="str">
        <f>IF('Stress Inputs'!R62="","",LET(d,Rulebook!$L62,x,'Stress Inputs'!R62*d,ta,Rulebook!$G62*d,tb,Rulebook!$H62*d,tc,Rulebook!$I62*d,te,Rulebook!$J62*d,tf,Rulebook!$K62*d,IFS(x&lt;=ta,0,x&lt;=tb,25*(x-ta)/(tb-ta),x&lt;=tc,25+25*(x-tb)/(tc-tb),x&lt;=te,50+25*(x-tc)/(te-tc),x&lt;tf,75+25*(x-te)/(tf-te),TRUE,100)))</f>
        <v/>
      </c>
      <c r="S62" s="35" t="str">
        <f>IF('Stress Inputs'!S62="","",LET(d,Rulebook!$L62,x,'Stress Inputs'!S62*d,ta,Rulebook!$G62*d,tb,Rulebook!$H62*d,tc,Rulebook!$I62*d,te,Rulebook!$J62*d,tf,Rulebook!$K62*d,IFS(x&lt;=ta,0,x&lt;=tb,25*(x-ta)/(tb-ta),x&lt;=tc,25+25*(x-tb)/(tc-tb),x&lt;=te,50+25*(x-tc)/(te-tc),x&lt;tf,75+25*(x-te)/(tf-te),TRUE,100)))</f>
        <v/>
      </c>
      <c r="T62" s="35" t="str">
        <f>IF('Stress Inputs'!T62="","",LET(d,Rulebook!$L62,x,'Stress Inputs'!T62*d,ta,Rulebook!$G62*d,tb,Rulebook!$H62*d,tc,Rulebook!$I62*d,te,Rulebook!$J62*d,tf,Rulebook!$K62*d,IFS(x&lt;=ta,0,x&lt;=tb,25*(x-ta)/(tb-ta),x&lt;=tc,25+25*(x-tb)/(tc-tb),x&lt;=te,50+25*(x-tc)/(te-tc),x&lt;tf,75+25*(x-te)/(tf-te),TRUE,100)))</f>
        <v/>
      </c>
      <c r="U62" s="35" t="str">
        <f>IF('Stress Inputs'!U62="","",LET(d,Rulebook!$L62,x,'Stress Inputs'!U62*d,ta,Rulebook!$G62*d,tb,Rulebook!$H62*d,tc,Rulebook!$I62*d,te,Rulebook!$J62*d,tf,Rulebook!$K62*d,IFS(x&lt;=ta,0,x&lt;=tb,25*(x-ta)/(tb-ta),x&lt;=tc,25+25*(x-tb)/(tc-tb),x&lt;=te,50+25*(x-tc)/(te-tc),x&lt;tf,75+25*(x-te)/(tf-te),TRUE,100)))</f>
        <v/>
      </c>
      <c r="V62" s="35" t="str">
        <f>IF('Stress Inputs'!V62="","",LET(d,Rulebook!$L62,x,'Stress Inputs'!V62*d,ta,Rulebook!$G62*d,tb,Rulebook!$H62*d,tc,Rulebook!$I62*d,te,Rulebook!$J62*d,tf,Rulebook!$K62*d,IFS(x&lt;=ta,0,x&lt;=tb,25*(x-ta)/(tb-ta),x&lt;=tc,25+25*(x-tb)/(tc-tb),x&lt;=te,50+25*(x-tc)/(te-tc),x&lt;tf,75+25*(x-te)/(tf-te),TRUE,100)))</f>
        <v/>
      </c>
    </row>
    <row r="63">
      <c r="A63" s="26" t="s">
        <v>717</v>
      </c>
      <c r="B63" s="26">
        <v>6.0</v>
      </c>
      <c r="C63" s="26" t="s">
        <v>718</v>
      </c>
      <c r="D63" s="26" t="s">
        <v>254</v>
      </c>
      <c r="E63" s="35" t="str">
        <f>IF('Stress Inputs'!E63="","",LET(d,Rulebook!$L63,x,'Stress Inputs'!E63*d,ta,Rulebook!$G63*d,tb,Rulebook!$H63*d,tc,Rulebook!$I63*d,te,Rulebook!$J63*d,tf,Rulebook!$K63*d,IFS(x&lt;=ta,0,x&lt;=tb,25*(x-ta)/(tb-ta),x&lt;=tc,25+25*(x-tb)/(tc-tb),x&lt;=te,50+25*(x-tc)/(te-tc),x&lt;tf,75+25*(x-te)/(tf-te),TRUE,100)))</f>
        <v/>
      </c>
      <c r="F63" s="35" t="str">
        <f>IF('Stress Inputs'!F63="","",LET(d,Rulebook!$L63,x,'Stress Inputs'!F63*d,ta,Rulebook!$G63*d,tb,Rulebook!$H63*d,tc,Rulebook!$I63*d,te,Rulebook!$J63*d,tf,Rulebook!$K63*d,IFS(x&lt;=ta,0,x&lt;=tb,25*(x-ta)/(tb-ta),x&lt;=tc,25+25*(x-tb)/(tc-tb),x&lt;=te,50+25*(x-tc)/(te-tc),x&lt;tf,75+25*(x-te)/(tf-te),TRUE,100)))</f>
        <v/>
      </c>
      <c r="G63" s="35" t="str">
        <f>IF('Stress Inputs'!G63="","",LET(d,Rulebook!$L63,x,'Stress Inputs'!G63*d,ta,Rulebook!$G63*d,tb,Rulebook!$H63*d,tc,Rulebook!$I63*d,te,Rulebook!$J63*d,tf,Rulebook!$K63*d,IFS(x&lt;=ta,0,x&lt;=tb,25*(x-ta)/(tb-ta),x&lt;=tc,25+25*(x-tb)/(tc-tb),x&lt;=te,50+25*(x-tc)/(te-tc),x&lt;tf,75+25*(x-te)/(tf-te),TRUE,100)))</f>
        <v/>
      </c>
      <c r="H63" s="35" t="str">
        <f>IF('Stress Inputs'!H63="","",LET(d,Rulebook!$L63,x,'Stress Inputs'!H63*d,ta,Rulebook!$G63*d,tb,Rulebook!$H63*d,tc,Rulebook!$I63*d,te,Rulebook!$J63*d,tf,Rulebook!$K63*d,IFS(x&lt;=ta,0,x&lt;=tb,25*(x-ta)/(tb-ta),x&lt;=tc,25+25*(x-tb)/(tc-tb),x&lt;=te,50+25*(x-tc)/(te-tc),x&lt;tf,75+25*(x-te)/(tf-te),TRUE,100)))</f>
        <v/>
      </c>
      <c r="I63" s="35" t="str">
        <f>IF('Stress Inputs'!I63="","",LET(d,Rulebook!$L63,x,'Stress Inputs'!I63*d,ta,Rulebook!$G63*d,tb,Rulebook!$H63*d,tc,Rulebook!$I63*d,te,Rulebook!$J63*d,tf,Rulebook!$K63*d,IFS(x&lt;=ta,0,x&lt;=tb,25*(x-ta)/(tb-ta),x&lt;=tc,25+25*(x-tb)/(tc-tb),x&lt;=te,50+25*(x-tc)/(te-tc),x&lt;tf,75+25*(x-te)/(tf-te),TRUE,100)))</f>
        <v/>
      </c>
      <c r="J63" s="35" t="str">
        <f>IF('Stress Inputs'!J63="","",LET(d,Rulebook!$L63,x,'Stress Inputs'!J63*d,ta,Rulebook!$G63*d,tb,Rulebook!$H63*d,tc,Rulebook!$I63*d,te,Rulebook!$J63*d,tf,Rulebook!$K63*d,IFS(x&lt;=ta,0,x&lt;=tb,25*(x-ta)/(tb-ta),x&lt;=tc,25+25*(x-tb)/(tc-tb),x&lt;=te,50+25*(x-tc)/(te-tc),x&lt;tf,75+25*(x-te)/(tf-te),TRUE,100)))</f>
        <v/>
      </c>
      <c r="K63" s="35" t="str">
        <f>IF('Stress Inputs'!K63="","",LET(d,Rulebook!$L63,x,'Stress Inputs'!K63*d,ta,Rulebook!$G63*d,tb,Rulebook!$H63*d,tc,Rulebook!$I63*d,te,Rulebook!$J63*d,tf,Rulebook!$K63*d,IFS(x&lt;=ta,0,x&lt;=tb,25*(x-ta)/(tb-ta),x&lt;=tc,25+25*(x-tb)/(tc-tb),x&lt;=te,50+25*(x-tc)/(te-tc),x&lt;tf,75+25*(x-te)/(tf-te),TRUE,100)))</f>
        <v/>
      </c>
      <c r="L63" s="35" t="str">
        <f>IF('Stress Inputs'!L63="","",LET(d,Rulebook!$L63,x,'Stress Inputs'!L63*d,ta,Rulebook!$G63*d,tb,Rulebook!$H63*d,tc,Rulebook!$I63*d,te,Rulebook!$J63*d,tf,Rulebook!$K63*d,IFS(x&lt;=ta,0,x&lt;=tb,25*(x-ta)/(tb-ta),x&lt;=tc,25+25*(x-tb)/(tc-tb),x&lt;=te,50+25*(x-tc)/(te-tc),x&lt;tf,75+25*(x-te)/(tf-te),TRUE,100)))</f>
        <v/>
      </c>
      <c r="M63" s="35" t="str">
        <f>IF('Stress Inputs'!M63="","",LET(d,Rulebook!$L63,x,'Stress Inputs'!M63*d,ta,Rulebook!$G63*d,tb,Rulebook!$H63*d,tc,Rulebook!$I63*d,te,Rulebook!$J63*d,tf,Rulebook!$K63*d,IFS(x&lt;=ta,0,x&lt;=tb,25*(x-ta)/(tb-ta),x&lt;=tc,25+25*(x-tb)/(tc-tb),x&lt;=te,50+25*(x-tc)/(te-tc),x&lt;tf,75+25*(x-te)/(tf-te),TRUE,100)))</f>
        <v/>
      </c>
      <c r="N63" s="35" t="str">
        <f>IF('Stress Inputs'!N63="","",LET(d,Rulebook!$L63,x,'Stress Inputs'!N63*d,ta,Rulebook!$G63*d,tb,Rulebook!$H63*d,tc,Rulebook!$I63*d,te,Rulebook!$J63*d,tf,Rulebook!$K63*d,IFS(x&lt;=ta,0,x&lt;=tb,25*(x-ta)/(tb-ta),x&lt;=tc,25+25*(x-tb)/(tc-tb),x&lt;=te,50+25*(x-tc)/(te-tc),x&lt;tf,75+25*(x-te)/(tf-te),TRUE,100)))</f>
        <v/>
      </c>
      <c r="O63" s="35" t="str">
        <f>IF('Stress Inputs'!O63="","",LET(d,Rulebook!$L63,x,'Stress Inputs'!O63*d,ta,Rulebook!$G63*d,tb,Rulebook!$H63*d,tc,Rulebook!$I63*d,te,Rulebook!$J63*d,tf,Rulebook!$K63*d,IFS(x&lt;=ta,0,x&lt;=tb,25*(x-ta)/(tb-ta),x&lt;=tc,25+25*(x-tb)/(tc-tb),x&lt;=te,50+25*(x-tc)/(te-tc),x&lt;tf,75+25*(x-te)/(tf-te),TRUE,100)))</f>
        <v/>
      </c>
      <c r="P63" s="35" t="str">
        <f>IF('Stress Inputs'!P63="","",LET(d,Rulebook!$L63,x,'Stress Inputs'!P63*d,ta,Rulebook!$G63*d,tb,Rulebook!$H63*d,tc,Rulebook!$I63*d,te,Rulebook!$J63*d,tf,Rulebook!$K63*d,IFS(x&lt;=ta,0,x&lt;=tb,25*(x-ta)/(tb-ta),x&lt;=tc,25+25*(x-tb)/(tc-tb),x&lt;=te,50+25*(x-tc)/(te-tc),x&lt;tf,75+25*(x-te)/(tf-te),TRUE,100)))</f>
        <v/>
      </c>
      <c r="Q63" s="35" t="str">
        <f>IF('Stress Inputs'!Q63="","",LET(d,Rulebook!$L63,x,'Stress Inputs'!Q63*d,ta,Rulebook!$G63*d,tb,Rulebook!$H63*d,tc,Rulebook!$I63*d,te,Rulebook!$J63*d,tf,Rulebook!$K63*d,IFS(x&lt;=ta,0,x&lt;=tb,25*(x-ta)/(tb-ta),x&lt;=tc,25+25*(x-tb)/(tc-tb),x&lt;=te,50+25*(x-tc)/(te-tc),x&lt;tf,75+25*(x-te)/(tf-te),TRUE,100)))</f>
        <v/>
      </c>
      <c r="R63" s="35" t="str">
        <f>IF('Stress Inputs'!R63="","",LET(d,Rulebook!$L63,x,'Stress Inputs'!R63*d,ta,Rulebook!$G63*d,tb,Rulebook!$H63*d,tc,Rulebook!$I63*d,te,Rulebook!$J63*d,tf,Rulebook!$K63*d,IFS(x&lt;=ta,0,x&lt;=tb,25*(x-ta)/(tb-ta),x&lt;=tc,25+25*(x-tb)/(tc-tb),x&lt;=te,50+25*(x-tc)/(te-tc),x&lt;tf,75+25*(x-te)/(tf-te),TRUE,100)))</f>
        <v/>
      </c>
      <c r="S63" s="35" t="str">
        <f>IF('Stress Inputs'!S63="","",LET(d,Rulebook!$L63,x,'Stress Inputs'!S63*d,ta,Rulebook!$G63*d,tb,Rulebook!$H63*d,tc,Rulebook!$I63*d,te,Rulebook!$J63*d,tf,Rulebook!$K63*d,IFS(x&lt;=ta,0,x&lt;=tb,25*(x-ta)/(tb-ta),x&lt;=tc,25+25*(x-tb)/(tc-tb),x&lt;=te,50+25*(x-tc)/(te-tc),x&lt;tf,75+25*(x-te)/(tf-te),TRUE,100)))</f>
        <v/>
      </c>
      <c r="T63" s="35" t="str">
        <f>IF('Stress Inputs'!T63="","",LET(d,Rulebook!$L63,x,'Stress Inputs'!T63*d,ta,Rulebook!$G63*d,tb,Rulebook!$H63*d,tc,Rulebook!$I63*d,te,Rulebook!$J63*d,tf,Rulebook!$K63*d,IFS(x&lt;=ta,0,x&lt;=tb,25*(x-ta)/(tb-ta),x&lt;=tc,25+25*(x-tb)/(tc-tb),x&lt;=te,50+25*(x-tc)/(te-tc),x&lt;tf,75+25*(x-te)/(tf-te),TRUE,100)))</f>
        <v/>
      </c>
      <c r="U63" s="35" t="str">
        <f>IF('Stress Inputs'!U63="","",LET(d,Rulebook!$L63,x,'Stress Inputs'!U63*d,ta,Rulebook!$G63*d,tb,Rulebook!$H63*d,tc,Rulebook!$I63*d,te,Rulebook!$J63*d,tf,Rulebook!$K63*d,IFS(x&lt;=ta,0,x&lt;=tb,25*(x-ta)/(tb-ta),x&lt;=tc,25+25*(x-tb)/(tc-tb),x&lt;=te,50+25*(x-tc)/(te-tc),x&lt;tf,75+25*(x-te)/(tf-te),TRUE,100)))</f>
        <v/>
      </c>
      <c r="V63" s="35" t="str">
        <f>IF('Stress Inputs'!V63="","",LET(d,Rulebook!$L63,x,'Stress Inputs'!V63*d,ta,Rulebook!$G63*d,tb,Rulebook!$H63*d,tc,Rulebook!$I63*d,te,Rulebook!$J63*d,tf,Rulebook!$K63*d,IFS(x&lt;=ta,0,x&lt;=tb,25*(x-ta)/(tb-ta),x&lt;=tc,25+25*(x-tb)/(tc-tb),x&lt;=te,50+25*(x-tc)/(te-tc),x&lt;tf,75+25*(x-te)/(tf-te),TRUE,100)))</f>
        <v/>
      </c>
    </row>
    <row r="64">
      <c r="A64" s="26" t="s">
        <v>721</v>
      </c>
      <c r="B64" s="26">
        <v>6.0</v>
      </c>
      <c r="C64" s="26" t="s">
        <v>722</v>
      </c>
      <c r="D64" s="26" t="s">
        <v>254</v>
      </c>
      <c r="E64" s="35" t="str">
        <f>IF('Stress Inputs'!E64="","",LET(d,Rulebook!$L64,x,'Stress Inputs'!E64*d,ta,Rulebook!$G64*d,tb,Rulebook!$H64*d,tc,Rulebook!$I64*d,te,Rulebook!$J64*d,tf,Rulebook!$K64*d,IFS(x&lt;=ta,0,x&lt;=tb,25*(x-ta)/(tb-ta),x&lt;=tc,25+25*(x-tb)/(tc-tb),x&lt;=te,50+25*(x-tc)/(te-tc),x&lt;tf,75+25*(x-te)/(tf-te),TRUE,100)))</f>
        <v/>
      </c>
      <c r="F64" s="35" t="str">
        <f>IF('Stress Inputs'!F64="","",LET(d,Rulebook!$L64,x,'Stress Inputs'!F64*d,ta,Rulebook!$G64*d,tb,Rulebook!$H64*d,tc,Rulebook!$I64*d,te,Rulebook!$J64*d,tf,Rulebook!$K64*d,IFS(x&lt;=ta,0,x&lt;=tb,25*(x-ta)/(tb-ta),x&lt;=tc,25+25*(x-tb)/(tc-tb),x&lt;=te,50+25*(x-tc)/(te-tc),x&lt;tf,75+25*(x-te)/(tf-te),TRUE,100)))</f>
        <v/>
      </c>
      <c r="G64" s="35" t="str">
        <f>IF('Stress Inputs'!G64="","",LET(d,Rulebook!$L64,x,'Stress Inputs'!G64*d,ta,Rulebook!$G64*d,tb,Rulebook!$H64*d,tc,Rulebook!$I64*d,te,Rulebook!$J64*d,tf,Rulebook!$K64*d,IFS(x&lt;=ta,0,x&lt;=tb,25*(x-ta)/(tb-ta),x&lt;=tc,25+25*(x-tb)/(tc-tb),x&lt;=te,50+25*(x-tc)/(te-tc),x&lt;tf,75+25*(x-te)/(tf-te),TRUE,100)))</f>
        <v/>
      </c>
      <c r="H64" s="35" t="str">
        <f>IF('Stress Inputs'!H64="","",LET(d,Rulebook!$L64,x,'Stress Inputs'!H64*d,ta,Rulebook!$G64*d,tb,Rulebook!$H64*d,tc,Rulebook!$I64*d,te,Rulebook!$J64*d,tf,Rulebook!$K64*d,IFS(x&lt;=ta,0,x&lt;=tb,25*(x-ta)/(tb-ta),x&lt;=tc,25+25*(x-tb)/(tc-tb),x&lt;=te,50+25*(x-tc)/(te-tc),x&lt;tf,75+25*(x-te)/(tf-te),TRUE,100)))</f>
        <v/>
      </c>
      <c r="I64" s="35" t="str">
        <f>IF('Stress Inputs'!I64="","",LET(d,Rulebook!$L64,x,'Stress Inputs'!I64*d,ta,Rulebook!$G64*d,tb,Rulebook!$H64*d,tc,Rulebook!$I64*d,te,Rulebook!$J64*d,tf,Rulebook!$K64*d,IFS(x&lt;=ta,0,x&lt;=tb,25*(x-ta)/(tb-ta),x&lt;=tc,25+25*(x-tb)/(tc-tb),x&lt;=te,50+25*(x-tc)/(te-tc),x&lt;tf,75+25*(x-te)/(tf-te),TRUE,100)))</f>
        <v/>
      </c>
      <c r="J64" s="35" t="str">
        <f>IF('Stress Inputs'!J64="","",LET(d,Rulebook!$L64,x,'Stress Inputs'!J64*d,ta,Rulebook!$G64*d,tb,Rulebook!$H64*d,tc,Rulebook!$I64*d,te,Rulebook!$J64*d,tf,Rulebook!$K64*d,IFS(x&lt;=ta,0,x&lt;=tb,25*(x-ta)/(tb-ta),x&lt;=tc,25+25*(x-tb)/(tc-tb),x&lt;=te,50+25*(x-tc)/(te-tc),x&lt;tf,75+25*(x-te)/(tf-te),TRUE,100)))</f>
        <v/>
      </c>
      <c r="K64" s="35" t="str">
        <f>IF('Stress Inputs'!K64="","",LET(d,Rulebook!$L64,x,'Stress Inputs'!K64*d,ta,Rulebook!$G64*d,tb,Rulebook!$H64*d,tc,Rulebook!$I64*d,te,Rulebook!$J64*d,tf,Rulebook!$K64*d,IFS(x&lt;=ta,0,x&lt;=tb,25*(x-ta)/(tb-ta),x&lt;=tc,25+25*(x-tb)/(tc-tb),x&lt;=te,50+25*(x-tc)/(te-tc),x&lt;tf,75+25*(x-te)/(tf-te),TRUE,100)))</f>
        <v/>
      </c>
      <c r="L64" s="35" t="str">
        <f>IF('Stress Inputs'!L64="","",LET(d,Rulebook!$L64,x,'Stress Inputs'!L64*d,ta,Rulebook!$G64*d,tb,Rulebook!$H64*d,tc,Rulebook!$I64*d,te,Rulebook!$J64*d,tf,Rulebook!$K64*d,IFS(x&lt;=ta,0,x&lt;=tb,25*(x-ta)/(tb-ta),x&lt;=tc,25+25*(x-tb)/(tc-tb),x&lt;=te,50+25*(x-tc)/(te-tc),x&lt;tf,75+25*(x-te)/(tf-te),TRUE,100)))</f>
        <v/>
      </c>
      <c r="M64" s="35" t="str">
        <f>IF('Stress Inputs'!M64="","",LET(d,Rulebook!$L64,x,'Stress Inputs'!M64*d,ta,Rulebook!$G64*d,tb,Rulebook!$H64*d,tc,Rulebook!$I64*d,te,Rulebook!$J64*d,tf,Rulebook!$K64*d,IFS(x&lt;=ta,0,x&lt;=tb,25*(x-ta)/(tb-ta),x&lt;=tc,25+25*(x-tb)/(tc-tb),x&lt;=te,50+25*(x-tc)/(te-tc),x&lt;tf,75+25*(x-te)/(tf-te),TRUE,100)))</f>
        <v/>
      </c>
      <c r="N64" s="35" t="str">
        <f>IF('Stress Inputs'!N64="","",LET(d,Rulebook!$L64,x,'Stress Inputs'!N64*d,ta,Rulebook!$G64*d,tb,Rulebook!$H64*d,tc,Rulebook!$I64*d,te,Rulebook!$J64*d,tf,Rulebook!$K64*d,IFS(x&lt;=ta,0,x&lt;=tb,25*(x-ta)/(tb-ta),x&lt;=tc,25+25*(x-tb)/(tc-tb),x&lt;=te,50+25*(x-tc)/(te-tc),x&lt;tf,75+25*(x-te)/(tf-te),TRUE,100)))</f>
        <v/>
      </c>
      <c r="O64" s="35" t="str">
        <f>IF('Stress Inputs'!O64="","",LET(d,Rulebook!$L64,x,'Stress Inputs'!O64*d,ta,Rulebook!$G64*d,tb,Rulebook!$H64*d,tc,Rulebook!$I64*d,te,Rulebook!$J64*d,tf,Rulebook!$K64*d,IFS(x&lt;=ta,0,x&lt;=tb,25*(x-ta)/(tb-ta),x&lt;=tc,25+25*(x-tb)/(tc-tb),x&lt;=te,50+25*(x-tc)/(te-tc),x&lt;tf,75+25*(x-te)/(tf-te),TRUE,100)))</f>
        <v/>
      </c>
      <c r="P64" s="35" t="str">
        <f>IF('Stress Inputs'!P64="","",LET(d,Rulebook!$L64,x,'Stress Inputs'!P64*d,ta,Rulebook!$G64*d,tb,Rulebook!$H64*d,tc,Rulebook!$I64*d,te,Rulebook!$J64*d,tf,Rulebook!$K64*d,IFS(x&lt;=ta,0,x&lt;=tb,25*(x-ta)/(tb-ta),x&lt;=tc,25+25*(x-tb)/(tc-tb),x&lt;=te,50+25*(x-tc)/(te-tc),x&lt;tf,75+25*(x-te)/(tf-te),TRUE,100)))</f>
        <v/>
      </c>
      <c r="Q64" s="35" t="str">
        <f>IF('Stress Inputs'!Q64="","",LET(d,Rulebook!$L64,x,'Stress Inputs'!Q64*d,ta,Rulebook!$G64*d,tb,Rulebook!$H64*d,tc,Rulebook!$I64*d,te,Rulebook!$J64*d,tf,Rulebook!$K64*d,IFS(x&lt;=ta,0,x&lt;=tb,25*(x-ta)/(tb-ta),x&lt;=tc,25+25*(x-tb)/(tc-tb),x&lt;=te,50+25*(x-tc)/(te-tc),x&lt;tf,75+25*(x-te)/(tf-te),TRUE,100)))</f>
        <v/>
      </c>
      <c r="R64" s="35" t="str">
        <f>IF('Stress Inputs'!R64="","",LET(d,Rulebook!$L64,x,'Stress Inputs'!R64*d,ta,Rulebook!$G64*d,tb,Rulebook!$H64*d,tc,Rulebook!$I64*d,te,Rulebook!$J64*d,tf,Rulebook!$K64*d,IFS(x&lt;=ta,0,x&lt;=tb,25*(x-ta)/(tb-ta),x&lt;=tc,25+25*(x-tb)/(tc-tb),x&lt;=te,50+25*(x-tc)/(te-tc),x&lt;tf,75+25*(x-te)/(tf-te),TRUE,100)))</f>
        <v/>
      </c>
      <c r="S64" s="35" t="str">
        <f>IF('Stress Inputs'!S64="","",LET(d,Rulebook!$L64,x,'Stress Inputs'!S64*d,ta,Rulebook!$G64*d,tb,Rulebook!$H64*d,tc,Rulebook!$I64*d,te,Rulebook!$J64*d,tf,Rulebook!$K64*d,IFS(x&lt;=ta,0,x&lt;=tb,25*(x-ta)/(tb-ta),x&lt;=tc,25+25*(x-tb)/(tc-tb),x&lt;=te,50+25*(x-tc)/(te-tc),x&lt;tf,75+25*(x-te)/(tf-te),TRUE,100)))</f>
        <v/>
      </c>
      <c r="T64" s="35" t="str">
        <f>IF('Stress Inputs'!T64="","",LET(d,Rulebook!$L64,x,'Stress Inputs'!T64*d,ta,Rulebook!$G64*d,tb,Rulebook!$H64*d,tc,Rulebook!$I64*d,te,Rulebook!$J64*d,tf,Rulebook!$K64*d,IFS(x&lt;=ta,0,x&lt;=tb,25*(x-ta)/(tb-ta),x&lt;=tc,25+25*(x-tb)/(tc-tb),x&lt;=te,50+25*(x-tc)/(te-tc),x&lt;tf,75+25*(x-te)/(tf-te),TRUE,100)))</f>
        <v/>
      </c>
      <c r="U64" s="35" t="str">
        <f>IF('Stress Inputs'!U64="","",LET(d,Rulebook!$L64,x,'Stress Inputs'!U64*d,ta,Rulebook!$G64*d,tb,Rulebook!$H64*d,tc,Rulebook!$I64*d,te,Rulebook!$J64*d,tf,Rulebook!$K64*d,IFS(x&lt;=ta,0,x&lt;=tb,25*(x-ta)/(tb-ta),x&lt;=tc,25+25*(x-tb)/(tc-tb),x&lt;=te,50+25*(x-tc)/(te-tc),x&lt;tf,75+25*(x-te)/(tf-te),TRUE,100)))</f>
        <v/>
      </c>
      <c r="V64" s="35" t="str">
        <f>IF('Stress Inputs'!V64="","",LET(d,Rulebook!$L64,x,'Stress Inputs'!V64*d,ta,Rulebook!$G64*d,tb,Rulebook!$H64*d,tc,Rulebook!$I64*d,te,Rulebook!$J64*d,tf,Rulebook!$K64*d,IFS(x&lt;=ta,0,x&lt;=tb,25*(x-ta)/(tb-ta),x&lt;=tc,25+25*(x-tb)/(tc-tb),x&lt;=te,50+25*(x-tc)/(te-tc),x&lt;tf,75+25*(x-te)/(tf-te),TRUE,100)))</f>
        <v/>
      </c>
    </row>
    <row r="65">
      <c r="A65" s="26" t="s">
        <v>726</v>
      </c>
      <c r="B65" s="26">
        <v>6.0</v>
      </c>
      <c r="C65" s="26" t="s">
        <v>727</v>
      </c>
      <c r="D65" s="26" t="s">
        <v>254</v>
      </c>
      <c r="E65" s="35" t="str">
        <f>IF('Stress Inputs'!E65="","",LET(d,Rulebook!$L65,x,'Stress Inputs'!E65*d,ta,Rulebook!$G65*d,tb,Rulebook!$H65*d,tc,Rulebook!$I65*d,te,Rulebook!$J65*d,tf,Rulebook!$K65*d,IFS(x&lt;=ta,0,x&lt;=tb,25*(x-ta)/(tb-ta),x&lt;=tc,25+25*(x-tb)/(tc-tb),x&lt;=te,50+25*(x-tc)/(te-tc),x&lt;tf,75+25*(x-te)/(tf-te),TRUE,100)))</f>
        <v/>
      </c>
      <c r="F65" s="35" t="str">
        <f>IF('Stress Inputs'!F65="","",LET(d,Rulebook!$L65,x,'Stress Inputs'!F65*d,ta,Rulebook!$G65*d,tb,Rulebook!$H65*d,tc,Rulebook!$I65*d,te,Rulebook!$J65*d,tf,Rulebook!$K65*d,IFS(x&lt;=ta,0,x&lt;=tb,25*(x-ta)/(tb-ta),x&lt;=tc,25+25*(x-tb)/(tc-tb),x&lt;=te,50+25*(x-tc)/(te-tc),x&lt;tf,75+25*(x-te)/(tf-te),TRUE,100)))</f>
        <v/>
      </c>
      <c r="G65" s="35" t="str">
        <f>IF('Stress Inputs'!G65="","",LET(d,Rulebook!$L65,x,'Stress Inputs'!G65*d,ta,Rulebook!$G65*d,tb,Rulebook!$H65*d,tc,Rulebook!$I65*d,te,Rulebook!$J65*d,tf,Rulebook!$K65*d,IFS(x&lt;=ta,0,x&lt;=tb,25*(x-ta)/(tb-ta),x&lt;=tc,25+25*(x-tb)/(tc-tb),x&lt;=te,50+25*(x-tc)/(te-tc),x&lt;tf,75+25*(x-te)/(tf-te),TRUE,100)))</f>
        <v/>
      </c>
      <c r="H65" s="35" t="str">
        <f>IF('Stress Inputs'!H65="","",LET(d,Rulebook!$L65,x,'Stress Inputs'!H65*d,ta,Rulebook!$G65*d,tb,Rulebook!$H65*d,tc,Rulebook!$I65*d,te,Rulebook!$J65*d,tf,Rulebook!$K65*d,IFS(x&lt;=ta,0,x&lt;=tb,25*(x-ta)/(tb-ta),x&lt;=tc,25+25*(x-tb)/(tc-tb),x&lt;=te,50+25*(x-tc)/(te-tc),x&lt;tf,75+25*(x-te)/(tf-te),TRUE,100)))</f>
        <v/>
      </c>
      <c r="I65" s="35" t="str">
        <f>IF('Stress Inputs'!I65="","",LET(d,Rulebook!$L65,x,'Stress Inputs'!I65*d,ta,Rulebook!$G65*d,tb,Rulebook!$H65*d,tc,Rulebook!$I65*d,te,Rulebook!$J65*d,tf,Rulebook!$K65*d,IFS(x&lt;=ta,0,x&lt;=tb,25*(x-ta)/(tb-ta),x&lt;=tc,25+25*(x-tb)/(tc-tb),x&lt;=te,50+25*(x-tc)/(te-tc),x&lt;tf,75+25*(x-te)/(tf-te),TRUE,100)))</f>
        <v/>
      </c>
      <c r="J65" s="35" t="str">
        <f>IF('Stress Inputs'!J65="","",LET(d,Rulebook!$L65,x,'Stress Inputs'!J65*d,ta,Rulebook!$G65*d,tb,Rulebook!$H65*d,tc,Rulebook!$I65*d,te,Rulebook!$J65*d,tf,Rulebook!$K65*d,IFS(x&lt;=ta,0,x&lt;=tb,25*(x-ta)/(tb-ta),x&lt;=tc,25+25*(x-tb)/(tc-tb),x&lt;=te,50+25*(x-tc)/(te-tc),x&lt;tf,75+25*(x-te)/(tf-te),TRUE,100)))</f>
        <v/>
      </c>
      <c r="K65" s="35" t="str">
        <f>IF('Stress Inputs'!K65="","",LET(d,Rulebook!$L65,x,'Stress Inputs'!K65*d,ta,Rulebook!$G65*d,tb,Rulebook!$H65*d,tc,Rulebook!$I65*d,te,Rulebook!$J65*d,tf,Rulebook!$K65*d,IFS(x&lt;=ta,0,x&lt;=tb,25*(x-ta)/(tb-ta),x&lt;=tc,25+25*(x-tb)/(tc-tb),x&lt;=te,50+25*(x-tc)/(te-tc),x&lt;tf,75+25*(x-te)/(tf-te),TRUE,100)))</f>
        <v/>
      </c>
      <c r="L65" s="35" t="str">
        <f>IF('Stress Inputs'!L65="","",LET(d,Rulebook!$L65,x,'Stress Inputs'!L65*d,ta,Rulebook!$G65*d,tb,Rulebook!$H65*d,tc,Rulebook!$I65*d,te,Rulebook!$J65*d,tf,Rulebook!$K65*d,IFS(x&lt;=ta,0,x&lt;=tb,25*(x-ta)/(tb-ta),x&lt;=tc,25+25*(x-tb)/(tc-tb),x&lt;=te,50+25*(x-tc)/(te-tc),x&lt;tf,75+25*(x-te)/(tf-te),TRUE,100)))</f>
        <v/>
      </c>
      <c r="M65" s="35" t="str">
        <f>IF('Stress Inputs'!M65="","",LET(d,Rulebook!$L65,x,'Stress Inputs'!M65*d,ta,Rulebook!$G65*d,tb,Rulebook!$H65*d,tc,Rulebook!$I65*d,te,Rulebook!$J65*d,tf,Rulebook!$K65*d,IFS(x&lt;=ta,0,x&lt;=tb,25*(x-ta)/(tb-ta),x&lt;=tc,25+25*(x-tb)/(tc-tb),x&lt;=te,50+25*(x-tc)/(te-tc),x&lt;tf,75+25*(x-te)/(tf-te),TRUE,100)))</f>
        <v/>
      </c>
      <c r="N65" s="35" t="str">
        <f>IF('Stress Inputs'!N65="","",LET(d,Rulebook!$L65,x,'Stress Inputs'!N65*d,ta,Rulebook!$G65*d,tb,Rulebook!$H65*d,tc,Rulebook!$I65*d,te,Rulebook!$J65*d,tf,Rulebook!$K65*d,IFS(x&lt;=ta,0,x&lt;=tb,25*(x-ta)/(tb-ta),x&lt;=tc,25+25*(x-tb)/(tc-tb),x&lt;=te,50+25*(x-tc)/(te-tc),x&lt;tf,75+25*(x-te)/(tf-te),TRUE,100)))</f>
        <v/>
      </c>
      <c r="O65" s="35" t="str">
        <f>IF('Stress Inputs'!O65="","",LET(d,Rulebook!$L65,x,'Stress Inputs'!O65*d,ta,Rulebook!$G65*d,tb,Rulebook!$H65*d,tc,Rulebook!$I65*d,te,Rulebook!$J65*d,tf,Rulebook!$K65*d,IFS(x&lt;=ta,0,x&lt;=tb,25*(x-ta)/(tb-ta),x&lt;=tc,25+25*(x-tb)/(tc-tb),x&lt;=te,50+25*(x-tc)/(te-tc),x&lt;tf,75+25*(x-te)/(tf-te),TRUE,100)))</f>
        <v/>
      </c>
      <c r="P65" s="35" t="str">
        <f>IF('Stress Inputs'!P65="","",LET(d,Rulebook!$L65,x,'Stress Inputs'!P65*d,ta,Rulebook!$G65*d,tb,Rulebook!$H65*d,tc,Rulebook!$I65*d,te,Rulebook!$J65*d,tf,Rulebook!$K65*d,IFS(x&lt;=ta,0,x&lt;=tb,25*(x-ta)/(tb-ta),x&lt;=tc,25+25*(x-tb)/(tc-tb),x&lt;=te,50+25*(x-tc)/(te-tc),x&lt;tf,75+25*(x-te)/(tf-te),TRUE,100)))</f>
        <v/>
      </c>
      <c r="Q65" s="35" t="str">
        <f>IF('Stress Inputs'!Q65="","",LET(d,Rulebook!$L65,x,'Stress Inputs'!Q65*d,ta,Rulebook!$G65*d,tb,Rulebook!$H65*d,tc,Rulebook!$I65*d,te,Rulebook!$J65*d,tf,Rulebook!$K65*d,IFS(x&lt;=ta,0,x&lt;=tb,25*(x-ta)/(tb-ta),x&lt;=tc,25+25*(x-tb)/(tc-tb),x&lt;=te,50+25*(x-tc)/(te-tc),x&lt;tf,75+25*(x-te)/(tf-te),TRUE,100)))</f>
        <v/>
      </c>
      <c r="R65" s="35" t="str">
        <f>IF('Stress Inputs'!R65="","",LET(d,Rulebook!$L65,x,'Stress Inputs'!R65*d,ta,Rulebook!$G65*d,tb,Rulebook!$H65*d,tc,Rulebook!$I65*d,te,Rulebook!$J65*d,tf,Rulebook!$K65*d,IFS(x&lt;=ta,0,x&lt;=tb,25*(x-ta)/(tb-ta),x&lt;=tc,25+25*(x-tb)/(tc-tb),x&lt;=te,50+25*(x-tc)/(te-tc),x&lt;tf,75+25*(x-te)/(tf-te),TRUE,100)))</f>
        <v/>
      </c>
      <c r="S65" s="35" t="str">
        <f>IF('Stress Inputs'!S65="","",LET(d,Rulebook!$L65,x,'Stress Inputs'!S65*d,ta,Rulebook!$G65*d,tb,Rulebook!$H65*d,tc,Rulebook!$I65*d,te,Rulebook!$J65*d,tf,Rulebook!$K65*d,IFS(x&lt;=ta,0,x&lt;=tb,25*(x-ta)/(tb-ta),x&lt;=tc,25+25*(x-tb)/(tc-tb),x&lt;=te,50+25*(x-tc)/(te-tc),x&lt;tf,75+25*(x-te)/(tf-te),TRUE,100)))</f>
        <v/>
      </c>
      <c r="T65" s="35" t="str">
        <f>IF('Stress Inputs'!T65="","",LET(d,Rulebook!$L65,x,'Stress Inputs'!T65*d,ta,Rulebook!$G65*d,tb,Rulebook!$H65*d,tc,Rulebook!$I65*d,te,Rulebook!$J65*d,tf,Rulebook!$K65*d,IFS(x&lt;=ta,0,x&lt;=tb,25*(x-ta)/(tb-ta),x&lt;=tc,25+25*(x-tb)/(tc-tb),x&lt;=te,50+25*(x-tc)/(te-tc),x&lt;tf,75+25*(x-te)/(tf-te),TRUE,100)))</f>
        <v/>
      </c>
      <c r="U65" s="35" t="str">
        <f>IF('Stress Inputs'!U65="","",LET(d,Rulebook!$L65,x,'Stress Inputs'!U65*d,ta,Rulebook!$G65*d,tb,Rulebook!$H65*d,tc,Rulebook!$I65*d,te,Rulebook!$J65*d,tf,Rulebook!$K65*d,IFS(x&lt;=ta,0,x&lt;=tb,25*(x-ta)/(tb-ta),x&lt;=tc,25+25*(x-tb)/(tc-tb),x&lt;=te,50+25*(x-tc)/(te-tc),x&lt;tf,75+25*(x-te)/(tf-te),TRUE,100)))</f>
        <v/>
      </c>
      <c r="V65" s="35" t="str">
        <f>IF('Stress Inputs'!V65="","",LET(d,Rulebook!$L65,x,'Stress Inputs'!V65*d,ta,Rulebook!$G65*d,tb,Rulebook!$H65*d,tc,Rulebook!$I65*d,te,Rulebook!$J65*d,tf,Rulebook!$K65*d,IFS(x&lt;=ta,0,x&lt;=tb,25*(x-ta)/(tb-ta),x&lt;=tc,25+25*(x-tb)/(tc-tb),x&lt;=te,50+25*(x-tc)/(te-tc),x&lt;tf,75+25*(x-te)/(tf-te),TRUE,100)))</f>
        <v/>
      </c>
    </row>
    <row r="66">
      <c r="A66" s="26" t="s">
        <v>730</v>
      </c>
      <c r="B66" s="26">
        <v>6.0</v>
      </c>
      <c r="C66" s="26" t="s">
        <v>731</v>
      </c>
      <c r="D66" s="26" t="s">
        <v>112</v>
      </c>
      <c r="E66" s="35" t="str">
        <f>IF('Stress Inputs'!E66="","",LET(d,Rulebook!$L66,x,'Stress Inputs'!E66*d,ta,Rulebook!$G66*d,tb,Rulebook!$H66*d,tc,Rulebook!$I66*d,te,Rulebook!$J66*d,tf,Rulebook!$K66*d,IFS(x&lt;=ta,0,x&lt;=tb,25*(x-ta)/(tb-ta),x&lt;=tc,25+25*(x-tb)/(tc-tb),x&lt;=te,50+25*(x-tc)/(te-tc),x&lt;tf,75+25*(x-te)/(tf-te),TRUE,100)))</f>
        <v/>
      </c>
      <c r="F66" s="35" t="str">
        <f>IF('Stress Inputs'!F66="","",LET(d,Rulebook!$L66,x,'Stress Inputs'!F66*d,ta,Rulebook!$G66*d,tb,Rulebook!$H66*d,tc,Rulebook!$I66*d,te,Rulebook!$J66*d,tf,Rulebook!$K66*d,IFS(x&lt;=ta,0,x&lt;=tb,25*(x-ta)/(tb-ta),x&lt;=tc,25+25*(x-tb)/(tc-tb),x&lt;=te,50+25*(x-tc)/(te-tc),x&lt;tf,75+25*(x-te)/(tf-te),TRUE,100)))</f>
        <v/>
      </c>
      <c r="G66" s="35" t="str">
        <f>IF('Stress Inputs'!G66="","",LET(d,Rulebook!$L66,x,'Stress Inputs'!G66*d,ta,Rulebook!$G66*d,tb,Rulebook!$H66*d,tc,Rulebook!$I66*d,te,Rulebook!$J66*d,tf,Rulebook!$K66*d,IFS(x&lt;=ta,0,x&lt;=tb,25*(x-ta)/(tb-ta),x&lt;=tc,25+25*(x-tb)/(tc-tb),x&lt;=te,50+25*(x-tc)/(te-tc),x&lt;tf,75+25*(x-te)/(tf-te),TRUE,100)))</f>
        <v/>
      </c>
      <c r="H66" s="35" t="str">
        <f>IF('Stress Inputs'!H66="","",LET(d,Rulebook!$L66,x,'Stress Inputs'!H66*d,ta,Rulebook!$G66*d,tb,Rulebook!$H66*d,tc,Rulebook!$I66*d,te,Rulebook!$J66*d,tf,Rulebook!$K66*d,IFS(x&lt;=ta,0,x&lt;=tb,25*(x-ta)/(tb-ta),x&lt;=tc,25+25*(x-tb)/(tc-tb),x&lt;=te,50+25*(x-tc)/(te-tc),x&lt;tf,75+25*(x-te)/(tf-te),TRUE,100)))</f>
        <v/>
      </c>
      <c r="I66" s="35" t="str">
        <f>IF('Stress Inputs'!I66="","",LET(d,Rulebook!$L66,x,'Stress Inputs'!I66*d,ta,Rulebook!$G66*d,tb,Rulebook!$H66*d,tc,Rulebook!$I66*d,te,Rulebook!$J66*d,tf,Rulebook!$K66*d,IFS(x&lt;=ta,0,x&lt;=tb,25*(x-ta)/(tb-ta),x&lt;=tc,25+25*(x-tb)/(tc-tb),x&lt;=te,50+25*(x-tc)/(te-tc),x&lt;tf,75+25*(x-te)/(tf-te),TRUE,100)))</f>
        <v/>
      </c>
      <c r="J66" s="35" t="str">
        <f>IF('Stress Inputs'!J66="","",LET(d,Rulebook!$L66,x,'Stress Inputs'!J66*d,ta,Rulebook!$G66*d,tb,Rulebook!$H66*d,tc,Rulebook!$I66*d,te,Rulebook!$J66*d,tf,Rulebook!$K66*d,IFS(x&lt;=ta,0,x&lt;=tb,25*(x-ta)/(tb-ta),x&lt;=tc,25+25*(x-tb)/(tc-tb),x&lt;=te,50+25*(x-tc)/(te-tc),x&lt;tf,75+25*(x-te)/(tf-te),TRUE,100)))</f>
        <v/>
      </c>
      <c r="K66" s="35" t="str">
        <f>IF('Stress Inputs'!K66="","",LET(d,Rulebook!$L66,x,'Stress Inputs'!K66*d,ta,Rulebook!$G66*d,tb,Rulebook!$H66*d,tc,Rulebook!$I66*d,te,Rulebook!$J66*d,tf,Rulebook!$K66*d,IFS(x&lt;=ta,0,x&lt;=tb,25*(x-ta)/(tb-ta),x&lt;=tc,25+25*(x-tb)/(tc-tb),x&lt;=te,50+25*(x-tc)/(te-tc),x&lt;tf,75+25*(x-te)/(tf-te),TRUE,100)))</f>
        <v/>
      </c>
      <c r="L66" s="35" t="str">
        <f>IF('Stress Inputs'!L66="","",LET(d,Rulebook!$L66,x,'Stress Inputs'!L66*d,ta,Rulebook!$G66*d,tb,Rulebook!$H66*d,tc,Rulebook!$I66*d,te,Rulebook!$J66*d,tf,Rulebook!$K66*d,IFS(x&lt;=ta,0,x&lt;=tb,25*(x-ta)/(tb-ta),x&lt;=tc,25+25*(x-tb)/(tc-tb),x&lt;=te,50+25*(x-tc)/(te-tc),x&lt;tf,75+25*(x-te)/(tf-te),TRUE,100)))</f>
        <v/>
      </c>
      <c r="M66" s="35" t="str">
        <f>IF('Stress Inputs'!M66="","",LET(d,Rulebook!$L66,x,'Stress Inputs'!M66*d,ta,Rulebook!$G66*d,tb,Rulebook!$H66*d,tc,Rulebook!$I66*d,te,Rulebook!$J66*d,tf,Rulebook!$K66*d,IFS(x&lt;=ta,0,x&lt;=tb,25*(x-ta)/(tb-ta),x&lt;=tc,25+25*(x-tb)/(tc-tb),x&lt;=te,50+25*(x-tc)/(te-tc),x&lt;tf,75+25*(x-te)/(tf-te),TRUE,100)))</f>
        <v/>
      </c>
      <c r="N66" s="35" t="str">
        <f>IF('Stress Inputs'!N66="","",LET(d,Rulebook!$L66,x,'Stress Inputs'!N66*d,ta,Rulebook!$G66*d,tb,Rulebook!$H66*d,tc,Rulebook!$I66*d,te,Rulebook!$J66*d,tf,Rulebook!$K66*d,IFS(x&lt;=ta,0,x&lt;=tb,25*(x-ta)/(tb-ta),x&lt;=tc,25+25*(x-tb)/(tc-tb),x&lt;=te,50+25*(x-tc)/(te-tc),x&lt;tf,75+25*(x-te)/(tf-te),TRUE,100)))</f>
        <v/>
      </c>
      <c r="O66" s="35" t="str">
        <f>IF('Stress Inputs'!O66="","",LET(d,Rulebook!$L66,x,'Stress Inputs'!O66*d,ta,Rulebook!$G66*d,tb,Rulebook!$H66*d,tc,Rulebook!$I66*d,te,Rulebook!$J66*d,tf,Rulebook!$K66*d,IFS(x&lt;=ta,0,x&lt;=tb,25*(x-ta)/(tb-ta),x&lt;=tc,25+25*(x-tb)/(tc-tb),x&lt;=te,50+25*(x-tc)/(te-tc),x&lt;tf,75+25*(x-te)/(tf-te),TRUE,100)))</f>
        <v/>
      </c>
      <c r="P66" s="35" t="str">
        <f>IF('Stress Inputs'!P66="","",LET(d,Rulebook!$L66,x,'Stress Inputs'!P66*d,ta,Rulebook!$G66*d,tb,Rulebook!$H66*d,tc,Rulebook!$I66*d,te,Rulebook!$J66*d,tf,Rulebook!$K66*d,IFS(x&lt;=ta,0,x&lt;=tb,25*(x-ta)/(tb-ta),x&lt;=tc,25+25*(x-tb)/(tc-tb),x&lt;=te,50+25*(x-tc)/(te-tc),x&lt;tf,75+25*(x-te)/(tf-te),TRUE,100)))</f>
        <v/>
      </c>
      <c r="Q66" s="35" t="str">
        <f>IF('Stress Inputs'!Q66="","",LET(d,Rulebook!$L66,x,'Stress Inputs'!Q66*d,ta,Rulebook!$G66*d,tb,Rulebook!$H66*d,tc,Rulebook!$I66*d,te,Rulebook!$J66*d,tf,Rulebook!$K66*d,IFS(x&lt;=ta,0,x&lt;=tb,25*(x-ta)/(tb-ta),x&lt;=tc,25+25*(x-tb)/(tc-tb),x&lt;=te,50+25*(x-tc)/(te-tc),x&lt;tf,75+25*(x-te)/(tf-te),TRUE,100)))</f>
        <v/>
      </c>
      <c r="R66" s="35" t="str">
        <f>IF('Stress Inputs'!R66="","",LET(d,Rulebook!$L66,x,'Stress Inputs'!R66*d,ta,Rulebook!$G66*d,tb,Rulebook!$H66*d,tc,Rulebook!$I66*d,te,Rulebook!$J66*d,tf,Rulebook!$K66*d,IFS(x&lt;=ta,0,x&lt;=tb,25*(x-ta)/(tb-ta),x&lt;=tc,25+25*(x-tb)/(tc-tb),x&lt;=te,50+25*(x-tc)/(te-tc),x&lt;tf,75+25*(x-te)/(tf-te),TRUE,100)))</f>
        <v/>
      </c>
      <c r="S66" s="35" t="str">
        <f>IF('Stress Inputs'!S66="","",LET(d,Rulebook!$L66,x,'Stress Inputs'!S66*d,ta,Rulebook!$G66*d,tb,Rulebook!$H66*d,tc,Rulebook!$I66*d,te,Rulebook!$J66*d,tf,Rulebook!$K66*d,IFS(x&lt;=ta,0,x&lt;=tb,25*(x-ta)/(tb-ta),x&lt;=tc,25+25*(x-tb)/(tc-tb),x&lt;=te,50+25*(x-tc)/(te-tc),x&lt;tf,75+25*(x-te)/(tf-te),TRUE,100)))</f>
        <v/>
      </c>
      <c r="T66" s="35" t="str">
        <f>IF('Stress Inputs'!T66="","",LET(d,Rulebook!$L66,x,'Stress Inputs'!T66*d,ta,Rulebook!$G66*d,tb,Rulebook!$H66*d,tc,Rulebook!$I66*d,te,Rulebook!$J66*d,tf,Rulebook!$K66*d,IFS(x&lt;=ta,0,x&lt;=tb,25*(x-ta)/(tb-ta),x&lt;=tc,25+25*(x-tb)/(tc-tb),x&lt;=te,50+25*(x-tc)/(te-tc),x&lt;tf,75+25*(x-te)/(tf-te),TRUE,100)))</f>
        <v/>
      </c>
      <c r="U66" s="35" t="str">
        <f>IF('Stress Inputs'!U66="","",LET(d,Rulebook!$L66,x,'Stress Inputs'!U66*d,ta,Rulebook!$G66*d,tb,Rulebook!$H66*d,tc,Rulebook!$I66*d,te,Rulebook!$J66*d,tf,Rulebook!$K66*d,IFS(x&lt;=ta,0,x&lt;=tb,25*(x-ta)/(tb-ta),x&lt;=tc,25+25*(x-tb)/(tc-tb),x&lt;=te,50+25*(x-tc)/(te-tc),x&lt;tf,75+25*(x-te)/(tf-te),TRUE,100)))</f>
        <v/>
      </c>
      <c r="V66" s="35" t="str">
        <f>IF('Stress Inputs'!V66="","",LET(d,Rulebook!$L66,x,'Stress Inputs'!V66*d,ta,Rulebook!$G66*d,tb,Rulebook!$H66*d,tc,Rulebook!$I66*d,te,Rulebook!$J66*d,tf,Rulebook!$K66*d,IFS(x&lt;=ta,0,x&lt;=tb,25*(x-ta)/(tb-ta),x&lt;=tc,25+25*(x-tb)/(tc-tb),x&lt;=te,50+25*(x-tc)/(te-tc),x&lt;tf,75+25*(x-te)/(tf-te),TRUE,100)))</f>
        <v/>
      </c>
    </row>
    <row r="67">
      <c r="A67" s="26" t="s">
        <v>734</v>
      </c>
      <c r="B67" s="26">
        <v>6.0</v>
      </c>
      <c r="C67" s="26" t="s">
        <v>735</v>
      </c>
      <c r="D67" s="26" t="s">
        <v>736</v>
      </c>
      <c r="E67" s="35" t="str">
        <f>IF('Stress Inputs'!E67="","",LET(d,Rulebook!$L67,x,'Stress Inputs'!E67*d,ta,Rulebook!$G67*d,tb,Rulebook!$H67*d,tc,Rulebook!$I67*d,te,Rulebook!$J67*d,tf,Rulebook!$K67*d,IFS(x&lt;=ta,0,x&lt;=tb,25*(x-ta)/(tb-ta),x&lt;=tc,25+25*(x-tb)/(tc-tb),x&lt;=te,50+25*(x-tc)/(te-tc),x&lt;tf,75+25*(x-te)/(tf-te),TRUE,100)))</f>
        <v/>
      </c>
      <c r="F67" s="35" t="str">
        <f>IF('Stress Inputs'!F67="","",LET(d,Rulebook!$L67,x,'Stress Inputs'!F67*d,ta,Rulebook!$G67*d,tb,Rulebook!$H67*d,tc,Rulebook!$I67*d,te,Rulebook!$J67*d,tf,Rulebook!$K67*d,IFS(x&lt;=ta,0,x&lt;=tb,25*(x-ta)/(tb-ta),x&lt;=tc,25+25*(x-tb)/(tc-tb),x&lt;=te,50+25*(x-tc)/(te-tc),x&lt;tf,75+25*(x-te)/(tf-te),TRUE,100)))</f>
        <v/>
      </c>
      <c r="G67" s="35" t="str">
        <f>IF('Stress Inputs'!G67="","",LET(d,Rulebook!$L67,x,'Stress Inputs'!G67*d,ta,Rulebook!$G67*d,tb,Rulebook!$H67*d,tc,Rulebook!$I67*d,te,Rulebook!$J67*d,tf,Rulebook!$K67*d,IFS(x&lt;=ta,0,x&lt;=tb,25*(x-ta)/(tb-ta),x&lt;=tc,25+25*(x-tb)/(tc-tb),x&lt;=te,50+25*(x-tc)/(te-tc),x&lt;tf,75+25*(x-te)/(tf-te),TRUE,100)))</f>
        <v/>
      </c>
      <c r="H67" s="35" t="str">
        <f>IF('Stress Inputs'!H67="","",LET(d,Rulebook!$L67,x,'Stress Inputs'!H67*d,ta,Rulebook!$G67*d,tb,Rulebook!$H67*d,tc,Rulebook!$I67*d,te,Rulebook!$J67*d,tf,Rulebook!$K67*d,IFS(x&lt;=ta,0,x&lt;=tb,25*(x-ta)/(tb-ta),x&lt;=tc,25+25*(x-tb)/(tc-tb),x&lt;=te,50+25*(x-tc)/(te-tc),x&lt;tf,75+25*(x-te)/(tf-te),TRUE,100)))</f>
        <v/>
      </c>
      <c r="I67" s="35" t="str">
        <f>IF('Stress Inputs'!I67="","",LET(d,Rulebook!$L67,x,'Stress Inputs'!I67*d,ta,Rulebook!$G67*d,tb,Rulebook!$H67*d,tc,Rulebook!$I67*d,te,Rulebook!$J67*d,tf,Rulebook!$K67*d,IFS(x&lt;=ta,0,x&lt;=tb,25*(x-ta)/(tb-ta),x&lt;=tc,25+25*(x-tb)/(tc-tb),x&lt;=te,50+25*(x-tc)/(te-tc),x&lt;tf,75+25*(x-te)/(tf-te),TRUE,100)))</f>
        <v/>
      </c>
      <c r="J67" s="35" t="str">
        <f>IF('Stress Inputs'!J67="","",LET(d,Rulebook!$L67,x,'Stress Inputs'!J67*d,ta,Rulebook!$G67*d,tb,Rulebook!$H67*d,tc,Rulebook!$I67*d,te,Rulebook!$J67*d,tf,Rulebook!$K67*d,IFS(x&lt;=ta,0,x&lt;=tb,25*(x-ta)/(tb-ta),x&lt;=tc,25+25*(x-tb)/(tc-tb),x&lt;=te,50+25*(x-tc)/(te-tc),x&lt;tf,75+25*(x-te)/(tf-te),TRUE,100)))</f>
        <v/>
      </c>
      <c r="K67" s="35" t="str">
        <f>IF('Stress Inputs'!K67="","",LET(d,Rulebook!$L67,x,'Stress Inputs'!K67*d,ta,Rulebook!$G67*d,tb,Rulebook!$H67*d,tc,Rulebook!$I67*d,te,Rulebook!$J67*d,tf,Rulebook!$K67*d,IFS(x&lt;=ta,0,x&lt;=tb,25*(x-ta)/(tb-ta),x&lt;=tc,25+25*(x-tb)/(tc-tb),x&lt;=te,50+25*(x-tc)/(te-tc),x&lt;tf,75+25*(x-te)/(tf-te),TRUE,100)))</f>
        <v/>
      </c>
      <c r="L67" s="35" t="str">
        <f>IF('Stress Inputs'!L67="","",LET(d,Rulebook!$L67,x,'Stress Inputs'!L67*d,ta,Rulebook!$G67*d,tb,Rulebook!$H67*d,tc,Rulebook!$I67*d,te,Rulebook!$J67*d,tf,Rulebook!$K67*d,IFS(x&lt;=ta,0,x&lt;=tb,25*(x-ta)/(tb-ta),x&lt;=tc,25+25*(x-tb)/(tc-tb),x&lt;=te,50+25*(x-tc)/(te-tc),x&lt;tf,75+25*(x-te)/(tf-te),TRUE,100)))</f>
        <v/>
      </c>
      <c r="M67" s="35" t="str">
        <f>IF('Stress Inputs'!M67="","",LET(d,Rulebook!$L67,x,'Stress Inputs'!M67*d,ta,Rulebook!$G67*d,tb,Rulebook!$H67*d,tc,Rulebook!$I67*d,te,Rulebook!$J67*d,tf,Rulebook!$K67*d,IFS(x&lt;=ta,0,x&lt;=tb,25*(x-ta)/(tb-ta),x&lt;=tc,25+25*(x-tb)/(tc-tb),x&lt;=te,50+25*(x-tc)/(te-tc),x&lt;tf,75+25*(x-te)/(tf-te),TRUE,100)))</f>
        <v/>
      </c>
      <c r="N67" s="35" t="str">
        <f>IF('Stress Inputs'!N67="","",LET(d,Rulebook!$L67,x,'Stress Inputs'!N67*d,ta,Rulebook!$G67*d,tb,Rulebook!$H67*d,tc,Rulebook!$I67*d,te,Rulebook!$J67*d,tf,Rulebook!$K67*d,IFS(x&lt;=ta,0,x&lt;=tb,25*(x-ta)/(tb-ta),x&lt;=tc,25+25*(x-tb)/(tc-tb),x&lt;=te,50+25*(x-tc)/(te-tc),x&lt;tf,75+25*(x-te)/(tf-te),TRUE,100)))</f>
        <v/>
      </c>
      <c r="O67" s="35" t="str">
        <f>IF('Stress Inputs'!O67="","",LET(d,Rulebook!$L67,x,'Stress Inputs'!O67*d,ta,Rulebook!$G67*d,tb,Rulebook!$H67*d,tc,Rulebook!$I67*d,te,Rulebook!$J67*d,tf,Rulebook!$K67*d,IFS(x&lt;=ta,0,x&lt;=tb,25*(x-ta)/(tb-ta),x&lt;=tc,25+25*(x-tb)/(tc-tb),x&lt;=te,50+25*(x-tc)/(te-tc),x&lt;tf,75+25*(x-te)/(tf-te),TRUE,100)))</f>
        <v/>
      </c>
      <c r="P67" s="35" t="str">
        <f>IF('Stress Inputs'!P67="","",LET(d,Rulebook!$L67,x,'Stress Inputs'!P67*d,ta,Rulebook!$G67*d,tb,Rulebook!$H67*d,tc,Rulebook!$I67*d,te,Rulebook!$J67*d,tf,Rulebook!$K67*d,IFS(x&lt;=ta,0,x&lt;=tb,25*(x-ta)/(tb-ta),x&lt;=tc,25+25*(x-tb)/(tc-tb),x&lt;=te,50+25*(x-tc)/(te-tc),x&lt;tf,75+25*(x-te)/(tf-te),TRUE,100)))</f>
        <v/>
      </c>
      <c r="Q67" s="35" t="str">
        <f>IF('Stress Inputs'!Q67="","",LET(d,Rulebook!$L67,x,'Stress Inputs'!Q67*d,ta,Rulebook!$G67*d,tb,Rulebook!$H67*d,tc,Rulebook!$I67*d,te,Rulebook!$J67*d,tf,Rulebook!$K67*d,IFS(x&lt;=ta,0,x&lt;=tb,25*(x-ta)/(tb-ta),x&lt;=tc,25+25*(x-tb)/(tc-tb),x&lt;=te,50+25*(x-tc)/(te-tc),x&lt;tf,75+25*(x-te)/(tf-te),TRUE,100)))</f>
        <v/>
      </c>
      <c r="R67" s="35" t="str">
        <f>IF('Stress Inputs'!R67="","",LET(d,Rulebook!$L67,x,'Stress Inputs'!R67*d,ta,Rulebook!$G67*d,tb,Rulebook!$H67*d,tc,Rulebook!$I67*d,te,Rulebook!$J67*d,tf,Rulebook!$K67*d,IFS(x&lt;=ta,0,x&lt;=tb,25*(x-ta)/(tb-ta),x&lt;=tc,25+25*(x-tb)/(tc-tb),x&lt;=te,50+25*(x-tc)/(te-tc),x&lt;tf,75+25*(x-te)/(tf-te),TRUE,100)))</f>
        <v/>
      </c>
      <c r="S67" s="35" t="str">
        <f>IF('Stress Inputs'!S67="","",LET(d,Rulebook!$L67,x,'Stress Inputs'!S67*d,ta,Rulebook!$G67*d,tb,Rulebook!$H67*d,tc,Rulebook!$I67*d,te,Rulebook!$J67*d,tf,Rulebook!$K67*d,IFS(x&lt;=ta,0,x&lt;=tb,25*(x-ta)/(tb-ta),x&lt;=tc,25+25*(x-tb)/(tc-tb),x&lt;=te,50+25*(x-tc)/(te-tc),x&lt;tf,75+25*(x-te)/(tf-te),TRUE,100)))</f>
        <v/>
      </c>
      <c r="T67" s="35" t="str">
        <f>IF('Stress Inputs'!T67="","",LET(d,Rulebook!$L67,x,'Stress Inputs'!T67*d,ta,Rulebook!$G67*d,tb,Rulebook!$H67*d,tc,Rulebook!$I67*d,te,Rulebook!$J67*d,tf,Rulebook!$K67*d,IFS(x&lt;=ta,0,x&lt;=tb,25*(x-ta)/(tb-ta),x&lt;=tc,25+25*(x-tb)/(tc-tb),x&lt;=te,50+25*(x-tc)/(te-tc),x&lt;tf,75+25*(x-te)/(tf-te),TRUE,100)))</f>
        <v/>
      </c>
      <c r="U67" s="35" t="str">
        <f>IF('Stress Inputs'!U67="","",LET(d,Rulebook!$L67,x,'Stress Inputs'!U67*d,ta,Rulebook!$G67*d,tb,Rulebook!$H67*d,tc,Rulebook!$I67*d,te,Rulebook!$J67*d,tf,Rulebook!$K67*d,IFS(x&lt;=ta,0,x&lt;=tb,25*(x-ta)/(tb-ta),x&lt;=tc,25+25*(x-tb)/(tc-tb),x&lt;=te,50+25*(x-tc)/(te-tc),x&lt;tf,75+25*(x-te)/(tf-te),TRUE,100)))</f>
        <v/>
      </c>
      <c r="V67" s="35" t="str">
        <f>IF('Stress Inputs'!V67="","",LET(d,Rulebook!$L67,x,'Stress Inputs'!V67*d,ta,Rulebook!$G67*d,tb,Rulebook!$H67*d,tc,Rulebook!$I67*d,te,Rulebook!$J67*d,tf,Rulebook!$K67*d,IFS(x&lt;=ta,0,x&lt;=tb,25*(x-ta)/(tb-ta),x&lt;=tc,25+25*(x-tb)/(tc-tb),x&lt;=te,50+25*(x-tc)/(te-tc),x&lt;tf,75+25*(x-te)/(tf-te),TRUE,100)))</f>
        <v/>
      </c>
    </row>
    <row r="68">
      <c r="A68" s="26" t="s">
        <v>739</v>
      </c>
      <c r="B68" s="26">
        <v>6.0</v>
      </c>
      <c r="C68" s="26" t="s">
        <v>740</v>
      </c>
      <c r="D68" s="26" t="s">
        <v>254</v>
      </c>
      <c r="E68" s="35" t="str">
        <f>IF('Stress Inputs'!E68="","",LET(d,Rulebook!$L68,x,'Stress Inputs'!E68*d,ta,Rulebook!$G68*d,tb,Rulebook!$H68*d,tc,Rulebook!$I68*d,te,Rulebook!$J68*d,tf,Rulebook!$K68*d,IFS(x&lt;=ta,0,x&lt;=tb,25*(x-ta)/(tb-ta),x&lt;=tc,25+25*(x-tb)/(tc-tb),x&lt;=te,50+25*(x-tc)/(te-tc),x&lt;tf,75+25*(x-te)/(tf-te),TRUE,100)))</f>
        <v/>
      </c>
      <c r="F68" s="35" t="str">
        <f>IF('Stress Inputs'!F68="","",LET(d,Rulebook!$L68,x,'Stress Inputs'!F68*d,ta,Rulebook!$G68*d,tb,Rulebook!$H68*d,tc,Rulebook!$I68*d,te,Rulebook!$J68*d,tf,Rulebook!$K68*d,IFS(x&lt;=ta,0,x&lt;=tb,25*(x-ta)/(tb-ta),x&lt;=tc,25+25*(x-tb)/(tc-tb),x&lt;=te,50+25*(x-tc)/(te-tc),x&lt;tf,75+25*(x-te)/(tf-te),TRUE,100)))</f>
        <v/>
      </c>
      <c r="G68" s="35" t="str">
        <f>IF('Stress Inputs'!G68="","",LET(d,Rulebook!$L68,x,'Stress Inputs'!G68*d,ta,Rulebook!$G68*d,tb,Rulebook!$H68*d,tc,Rulebook!$I68*d,te,Rulebook!$J68*d,tf,Rulebook!$K68*d,IFS(x&lt;=ta,0,x&lt;=tb,25*(x-ta)/(tb-ta),x&lt;=tc,25+25*(x-tb)/(tc-tb),x&lt;=te,50+25*(x-tc)/(te-tc),x&lt;tf,75+25*(x-te)/(tf-te),TRUE,100)))</f>
        <v/>
      </c>
      <c r="H68" s="35" t="str">
        <f>IF('Stress Inputs'!H68="","",LET(d,Rulebook!$L68,x,'Stress Inputs'!H68*d,ta,Rulebook!$G68*d,tb,Rulebook!$H68*d,tc,Rulebook!$I68*d,te,Rulebook!$J68*d,tf,Rulebook!$K68*d,IFS(x&lt;=ta,0,x&lt;=tb,25*(x-ta)/(tb-ta),x&lt;=tc,25+25*(x-tb)/(tc-tb),x&lt;=te,50+25*(x-tc)/(te-tc),x&lt;tf,75+25*(x-te)/(tf-te),TRUE,100)))</f>
        <v/>
      </c>
      <c r="I68" s="35" t="str">
        <f>IF('Stress Inputs'!I68="","",LET(d,Rulebook!$L68,x,'Stress Inputs'!I68*d,ta,Rulebook!$G68*d,tb,Rulebook!$H68*d,tc,Rulebook!$I68*d,te,Rulebook!$J68*d,tf,Rulebook!$K68*d,IFS(x&lt;=ta,0,x&lt;=tb,25*(x-ta)/(tb-ta),x&lt;=tc,25+25*(x-tb)/(tc-tb),x&lt;=te,50+25*(x-tc)/(te-tc),x&lt;tf,75+25*(x-te)/(tf-te),TRUE,100)))</f>
        <v/>
      </c>
      <c r="J68" s="35" t="str">
        <f>IF('Stress Inputs'!J68="","",LET(d,Rulebook!$L68,x,'Stress Inputs'!J68*d,ta,Rulebook!$G68*d,tb,Rulebook!$H68*d,tc,Rulebook!$I68*d,te,Rulebook!$J68*d,tf,Rulebook!$K68*d,IFS(x&lt;=ta,0,x&lt;=tb,25*(x-ta)/(tb-ta),x&lt;=tc,25+25*(x-tb)/(tc-tb),x&lt;=te,50+25*(x-tc)/(te-tc),x&lt;tf,75+25*(x-te)/(tf-te),TRUE,100)))</f>
        <v/>
      </c>
      <c r="K68" s="35" t="str">
        <f>IF('Stress Inputs'!K68="","",LET(d,Rulebook!$L68,x,'Stress Inputs'!K68*d,ta,Rulebook!$G68*d,tb,Rulebook!$H68*d,tc,Rulebook!$I68*d,te,Rulebook!$J68*d,tf,Rulebook!$K68*d,IFS(x&lt;=ta,0,x&lt;=tb,25*(x-ta)/(tb-ta),x&lt;=tc,25+25*(x-tb)/(tc-tb),x&lt;=te,50+25*(x-tc)/(te-tc),x&lt;tf,75+25*(x-te)/(tf-te),TRUE,100)))</f>
        <v/>
      </c>
      <c r="L68" s="35" t="str">
        <f>IF('Stress Inputs'!L68="","",LET(d,Rulebook!$L68,x,'Stress Inputs'!L68*d,ta,Rulebook!$G68*d,tb,Rulebook!$H68*d,tc,Rulebook!$I68*d,te,Rulebook!$J68*d,tf,Rulebook!$K68*d,IFS(x&lt;=ta,0,x&lt;=tb,25*(x-ta)/(tb-ta),x&lt;=tc,25+25*(x-tb)/(tc-tb),x&lt;=te,50+25*(x-tc)/(te-tc),x&lt;tf,75+25*(x-te)/(tf-te),TRUE,100)))</f>
        <v/>
      </c>
      <c r="M68" s="35" t="str">
        <f>IF('Stress Inputs'!M68="","",LET(d,Rulebook!$L68,x,'Stress Inputs'!M68*d,ta,Rulebook!$G68*d,tb,Rulebook!$H68*d,tc,Rulebook!$I68*d,te,Rulebook!$J68*d,tf,Rulebook!$K68*d,IFS(x&lt;=ta,0,x&lt;=tb,25*(x-ta)/(tb-ta),x&lt;=tc,25+25*(x-tb)/(tc-tb),x&lt;=te,50+25*(x-tc)/(te-tc),x&lt;tf,75+25*(x-te)/(tf-te),TRUE,100)))</f>
        <v/>
      </c>
      <c r="N68" s="35" t="str">
        <f>IF('Stress Inputs'!N68="","",LET(d,Rulebook!$L68,x,'Stress Inputs'!N68*d,ta,Rulebook!$G68*d,tb,Rulebook!$H68*d,tc,Rulebook!$I68*d,te,Rulebook!$J68*d,tf,Rulebook!$K68*d,IFS(x&lt;=ta,0,x&lt;=tb,25*(x-ta)/(tb-ta),x&lt;=tc,25+25*(x-tb)/(tc-tb),x&lt;=te,50+25*(x-tc)/(te-tc),x&lt;tf,75+25*(x-te)/(tf-te),TRUE,100)))</f>
        <v/>
      </c>
      <c r="O68" s="35" t="str">
        <f>IF('Stress Inputs'!O68="","",LET(d,Rulebook!$L68,x,'Stress Inputs'!O68*d,ta,Rulebook!$G68*d,tb,Rulebook!$H68*d,tc,Rulebook!$I68*d,te,Rulebook!$J68*d,tf,Rulebook!$K68*d,IFS(x&lt;=ta,0,x&lt;=tb,25*(x-ta)/(tb-ta),x&lt;=tc,25+25*(x-tb)/(tc-tb),x&lt;=te,50+25*(x-tc)/(te-tc),x&lt;tf,75+25*(x-te)/(tf-te),TRUE,100)))</f>
        <v/>
      </c>
      <c r="P68" s="35" t="str">
        <f>IF('Stress Inputs'!P68="","",LET(d,Rulebook!$L68,x,'Stress Inputs'!P68*d,ta,Rulebook!$G68*d,tb,Rulebook!$H68*d,tc,Rulebook!$I68*d,te,Rulebook!$J68*d,tf,Rulebook!$K68*d,IFS(x&lt;=ta,0,x&lt;=tb,25*(x-ta)/(tb-ta),x&lt;=tc,25+25*(x-tb)/(tc-tb),x&lt;=te,50+25*(x-tc)/(te-tc),x&lt;tf,75+25*(x-te)/(tf-te),TRUE,100)))</f>
        <v/>
      </c>
      <c r="Q68" s="35" t="str">
        <f>IF('Stress Inputs'!Q68="","",LET(d,Rulebook!$L68,x,'Stress Inputs'!Q68*d,ta,Rulebook!$G68*d,tb,Rulebook!$H68*d,tc,Rulebook!$I68*d,te,Rulebook!$J68*d,tf,Rulebook!$K68*d,IFS(x&lt;=ta,0,x&lt;=tb,25*(x-ta)/(tb-ta),x&lt;=tc,25+25*(x-tb)/(tc-tb),x&lt;=te,50+25*(x-tc)/(te-tc),x&lt;tf,75+25*(x-te)/(tf-te),TRUE,100)))</f>
        <v/>
      </c>
      <c r="R68" s="35" t="str">
        <f>IF('Stress Inputs'!R68="","",LET(d,Rulebook!$L68,x,'Stress Inputs'!R68*d,ta,Rulebook!$G68*d,tb,Rulebook!$H68*d,tc,Rulebook!$I68*d,te,Rulebook!$J68*d,tf,Rulebook!$K68*d,IFS(x&lt;=ta,0,x&lt;=tb,25*(x-ta)/(tb-ta),x&lt;=tc,25+25*(x-tb)/(tc-tb),x&lt;=te,50+25*(x-tc)/(te-tc),x&lt;tf,75+25*(x-te)/(tf-te),TRUE,100)))</f>
        <v/>
      </c>
      <c r="S68" s="35" t="str">
        <f>IF('Stress Inputs'!S68="","",LET(d,Rulebook!$L68,x,'Stress Inputs'!S68*d,ta,Rulebook!$G68*d,tb,Rulebook!$H68*d,tc,Rulebook!$I68*d,te,Rulebook!$J68*d,tf,Rulebook!$K68*d,IFS(x&lt;=ta,0,x&lt;=tb,25*(x-ta)/(tb-ta),x&lt;=tc,25+25*(x-tb)/(tc-tb),x&lt;=te,50+25*(x-tc)/(te-tc),x&lt;tf,75+25*(x-te)/(tf-te),TRUE,100)))</f>
        <v/>
      </c>
      <c r="T68" s="35" t="str">
        <f>IF('Stress Inputs'!T68="","",LET(d,Rulebook!$L68,x,'Stress Inputs'!T68*d,ta,Rulebook!$G68*d,tb,Rulebook!$H68*d,tc,Rulebook!$I68*d,te,Rulebook!$J68*d,tf,Rulebook!$K68*d,IFS(x&lt;=ta,0,x&lt;=tb,25*(x-ta)/(tb-ta),x&lt;=tc,25+25*(x-tb)/(tc-tb),x&lt;=te,50+25*(x-tc)/(te-tc),x&lt;tf,75+25*(x-te)/(tf-te),TRUE,100)))</f>
        <v/>
      </c>
      <c r="U68" s="35" t="str">
        <f>IF('Stress Inputs'!U68="","",LET(d,Rulebook!$L68,x,'Stress Inputs'!U68*d,ta,Rulebook!$G68*d,tb,Rulebook!$H68*d,tc,Rulebook!$I68*d,te,Rulebook!$J68*d,tf,Rulebook!$K68*d,IFS(x&lt;=ta,0,x&lt;=tb,25*(x-ta)/(tb-ta),x&lt;=tc,25+25*(x-tb)/(tc-tb),x&lt;=te,50+25*(x-tc)/(te-tc),x&lt;tf,75+25*(x-te)/(tf-te),TRUE,100)))</f>
        <v/>
      </c>
      <c r="V68" s="35" t="str">
        <f>IF('Stress Inputs'!V68="","",LET(d,Rulebook!$L68,x,'Stress Inputs'!V68*d,ta,Rulebook!$G68*d,tb,Rulebook!$H68*d,tc,Rulebook!$I68*d,te,Rulebook!$J68*d,tf,Rulebook!$K68*d,IFS(x&lt;=ta,0,x&lt;=tb,25*(x-ta)/(tb-ta),x&lt;=tc,25+25*(x-tb)/(tc-tb),x&lt;=te,50+25*(x-tc)/(te-tc),x&lt;tf,75+25*(x-te)/(tf-te),TRUE,100)))</f>
        <v/>
      </c>
    </row>
    <row r="69">
      <c r="A69" s="26" t="s">
        <v>743</v>
      </c>
      <c r="B69" s="26">
        <v>6.0</v>
      </c>
      <c r="C69" s="26" t="s">
        <v>744</v>
      </c>
      <c r="D69" s="26" t="s">
        <v>745</v>
      </c>
      <c r="E69" s="35" t="str">
        <f>IF('Stress Inputs'!E69="","",LET(d,Rulebook!$L69,x,'Stress Inputs'!E69*d,ta,Rulebook!$G69*d,tb,Rulebook!$H69*d,tc,Rulebook!$I69*d,te,Rulebook!$J69*d,tf,Rulebook!$K69*d,IFS(x&lt;=ta,0,x&lt;=tb,25*(x-ta)/(tb-ta),x&lt;=tc,25+25*(x-tb)/(tc-tb),x&lt;=te,50+25*(x-tc)/(te-tc),x&lt;tf,75+25*(x-te)/(tf-te),TRUE,100)))</f>
        <v/>
      </c>
      <c r="F69" s="35" t="str">
        <f>IF('Stress Inputs'!F69="","",LET(d,Rulebook!$L69,x,'Stress Inputs'!F69*d,ta,Rulebook!$G69*d,tb,Rulebook!$H69*d,tc,Rulebook!$I69*d,te,Rulebook!$J69*d,tf,Rulebook!$K69*d,IFS(x&lt;=ta,0,x&lt;=tb,25*(x-ta)/(tb-ta),x&lt;=tc,25+25*(x-tb)/(tc-tb),x&lt;=te,50+25*(x-tc)/(te-tc),x&lt;tf,75+25*(x-te)/(tf-te),TRUE,100)))</f>
        <v/>
      </c>
      <c r="G69" s="35" t="str">
        <f>IF('Stress Inputs'!G69="","",LET(d,Rulebook!$L69,x,'Stress Inputs'!G69*d,ta,Rulebook!$G69*d,tb,Rulebook!$H69*d,tc,Rulebook!$I69*d,te,Rulebook!$J69*d,tf,Rulebook!$K69*d,IFS(x&lt;=ta,0,x&lt;=tb,25*(x-ta)/(tb-ta),x&lt;=tc,25+25*(x-tb)/(tc-tb),x&lt;=te,50+25*(x-tc)/(te-tc),x&lt;tf,75+25*(x-te)/(tf-te),TRUE,100)))</f>
        <v/>
      </c>
      <c r="H69" s="35" t="str">
        <f>IF('Stress Inputs'!H69="","",LET(d,Rulebook!$L69,x,'Stress Inputs'!H69*d,ta,Rulebook!$G69*d,tb,Rulebook!$H69*d,tc,Rulebook!$I69*d,te,Rulebook!$J69*d,tf,Rulebook!$K69*d,IFS(x&lt;=ta,0,x&lt;=tb,25*(x-ta)/(tb-ta),x&lt;=tc,25+25*(x-tb)/(tc-tb),x&lt;=te,50+25*(x-tc)/(te-tc),x&lt;tf,75+25*(x-te)/(tf-te),TRUE,100)))</f>
        <v/>
      </c>
      <c r="I69" s="35" t="str">
        <f>IF('Stress Inputs'!I69="","",LET(d,Rulebook!$L69,x,'Stress Inputs'!I69*d,ta,Rulebook!$G69*d,tb,Rulebook!$H69*d,tc,Rulebook!$I69*d,te,Rulebook!$J69*d,tf,Rulebook!$K69*d,IFS(x&lt;=ta,0,x&lt;=tb,25*(x-ta)/(tb-ta),x&lt;=tc,25+25*(x-tb)/(tc-tb),x&lt;=te,50+25*(x-tc)/(te-tc),x&lt;tf,75+25*(x-te)/(tf-te),TRUE,100)))</f>
        <v/>
      </c>
      <c r="J69" s="35" t="str">
        <f>IF('Stress Inputs'!J69="","",LET(d,Rulebook!$L69,x,'Stress Inputs'!J69*d,ta,Rulebook!$G69*d,tb,Rulebook!$H69*d,tc,Rulebook!$I69*d,te,Rulebook!$J69*d,tf,Rulebook!$K69*d,IFS(x&lt;=ta,0,x&lt;=tb,25*(x-ta)/(tb-ta),x&lt;=tc,25+25*(x-tb)/(tc-tb),x&lt;=te,50+25*(x-tc)/(te-tc),x&lt;tf,75+25*(x-te)/(tf-te),TRUE,100)))</f>
        <v/>
      </c>
      <c r="K69" s="35" t="str">
        <f>IF('Stress Inputs'!K69="","",LET(d,Rulebook!$L69,x,'Stress Inputs'!K69*d,ta,Rulebook!$G69*d,tb,Rulebook!$H69*d,tc,Rulebook!$I69*d,te,Rulebook!$J69*d,tf,Rulebook!$K69*d,IFS(x&lt;=ta,0,x&lt;=tb,25*(x-ta)/(tb-ta),x&lt;=tc,25+25*(x-tb)/(tc-tb),x&lt;=te,50+25*(x-tc)/(te-tc),x&lt;tf,75+25*(x-te)/(tf-te),TRUE,100)))</f>
        <v/>
      </c>
      <c r="L69" s="35" t="str">
        <f>IF('Stress Inputs'!L69="","",LET(d,Rulebook!$L69,x,'Stress Inputs'!L69*d,ta,Rulebook!$G69*d,tb,Rulebook!$H69*d,tc,Rulebook!$I69*d,te,Rulebook!$J69*d,tf,Rulebook!$K69*d,IFS(x&lt;=ta,0,x&lt;=tb,25*(x-ta)/(tb-ta),x&lt;=tc,25+25*(x-tb)/(tc-tb),x&lt;=te,50+25*(x-tc)/(te-tc),x&lt;tf,75+25*(x-te)/(tf-te),TRUE,100)))</f>
        <v/>
      </c>
      <c r="M69" s="35" t="str">
        <f>IF('Stress Inputs'!M69="","",LET(d,Rulebook!$L69,x,'Stress Inputs'!M69*d,ta,Rulebook!$G69*d,tb,Rulebook!$H69*d,tc,Rulebook!$I69*d,te,Rulebook!$J69*d,tf,Rulebook!$K69*d,IFS(x&lt;=ta,0,x&lt;=tb,25*(x-ta)/(tb-ta),x&lt;=tc,25+25*(x-tb)/(tc-tb),x&lt;=te,50+25*(x-tc)/(te-tc),x&lt;tf,75+25*(x-te)/(tf-te),TRUE,100)))</f>
        <v/>
      </c>
      <c r="N69" s="35" t="str">
        <f>IF('Stress Inputs'!N69="","",LET(d,Rulebook!$L69,x,'Stress Inputs'!N69*d,ta,Rulebook!$G69*d,tb,Rulebook!$H69*d,tc,Rulebook!$I69*d,te,Rulebook!$J69*d,tf,Rulebook!$K69*d,IFS(x&lt;=ta,0,x&lt;=tb,25*(x-ta)/(tb-ta),x&lt;=tc,25+25*(x-tb)/(tc-tb),x&lt;=te,50+25*(x-tc)/(te-tc),x&lt;tf,75+25*(x-te)/(tf-te),TRUE,100)))</f>
        <v/>
      </c>
      <c r="O69" s="35" t="str">
        <f>IF('Stress Inputs'!O69="","",LET(d,Rulebook!$L69,x,'Stress Inputs'!O69*d,ta,Rulebook!$G69*d,tb,Rulebook!$H69*d,tc,Rulebook!$I69*d,te,Rulebook!$J69*d,tf,Rulebook!$K69*d,IFS(x&lt;=ta,0,x&lt;=tb,25*(x-ta)/(tb-ta),x&lt;=tc,25+25*(x-tb)/(tc-tb),x&lt;=te,50+25*(x-tc)/(te-tc),x&lt;tf,75+25*(x-te)/(tf-te),TRUE,100)))</f>
        <v/>
      </c>
      <c r="P69" s="35" t="str">
        <f>IF('Stress Inputs'!P69="","",LET(d,Rulebook!$L69,x,'Stress Inputs'!P69*d,ta,Rulebook!$G69*d,tb,Rulebook!$H69*d,tc,Rulebook!$I69*d,te,Rulebook!$J69*d,tf,Rulebook!$K69*d,IFS(x&lt;=ta,0,x&lt;=tb,25*(x-ta)/(tb-ta),x&lt;=tc,25+25*(x-tb)/(tc-tb),x&lt;=te,50+25*(x-tc)/(te-tc),x&lt;tf,75+25*(x-te)/(tf-te),TRUE,100)))</f>
        <v/>
      </c>
      <c r="Q69" s="35" t="str">
        <f>IF('Stress Inputs'!Q69="","",LET(d,Rulebook!$L69,x,'Stress Inputs'!Q69*d,ta,Rulebook!$G69*d,tb,Rulebook!$H69*d,tc,Rulebook!$I69*d,te,Rulebook!$J69*d,tf,Rulebook!$K69*d,IFS(x&lt;=ta,0,x&lt;=tb,25*(x-ta)/(tb-ta),x&lt;=tc,25+25*(x-tb)/(tc-tb),x&lt;=te,50+25*(x-tc)/(te-tc),x&lt;tf,75+25*(x-te)/(tf-te),TRUE,100)))</f>
        <v/>
      </c>
      <c r="R69" s="35" t="str">
        <f>IF('Stress Inputs'!R69="","",LET(d,Rulebook!$L69,x,'Stress Inputs'!R69*d,ta,Rulebook!$G69*d,tb,Rulebook!$H69*d,tc,Rulebook!$I69*d,te,Rulebook!$J69*d,tf,Rulebook!$K69*d,IFS(x&lt;=ta,0,x&lt;=tb,25*(x-ta)/(tb-ta),x&lt;=tc,25+25*(x-tb)/(tc-tb),x&lt;=te,50+25*(x-tc)/(te-tc),x&lt;tf,75+25*(x-te)/(tf-te),TRUE,100)))</f>
        <v/>
      </c>
      <c r="S69" s="35" t="str">
        <f>IF('Stress Inputs'!S69="","",LET(d,Rulebook!$L69,x,'Stress Inputs'!S69*d,ta,Rulebook!$G69*d,tb,Rulebook!$H69*d,tc,Rulebook!$I69*d,te,Rulebook!$J69*d,tf,Rulebook!$K69*d,IFS(x&lt;=ta,0,x&lt;=tb,25*(x-ta)/(tb-ta),x&lt;=tc,25+25*(x-tb)/(tc-tb),x&lt;=te,50+25*(x-tc)/(te-tc),x&lt;tf,75+25*(x-te)/(tf-te),TRUE,100)))</f>
        <v/>
      </c>
      <c r="T69" s="35" t="str">
        <f>IF('Stress Inputs'!T69="","",LET(d,Rulebook!$L69,x,'Stress Inputs'!T69*d,ta,Rulebook!$G69*d,tb,Rulebook!$H69*d,tc,Rulebook!$I69*d,te,Rulebook!$J69*d,tf,Rulebook!$K69*d,IFS(x&lt;=ta,0,x&lt;=tb,25*(x-ta)/(tb-ta),x&lt;=tc,25+25*(x-tb)/(tc-tb),x&lt;=te,50+25*(x-tc)/(te-tc),x&lt;tf,75+25*(x-te)/(tf-te),TRUE,100)))</f>
        <v/>
      </c>
      <c r="U69" s="35" t="str">
        <f>IF('Stress Inputs'!U69="","",LET(d,Rulebook!$L69,x,'Stress Inputs'!U69*d,ta,Rulebook!$G69*d,tb,Rulebook!$H69*d,tc,Rulebook!$I69*d,te,Rulebook!$J69*d,tf,Rulebook!$K69*d,IFS(x&lt;=ta,0,x&lt;=tb,25*(x-ta)/(tb-ta),x&lt;=tc,25+25*(x-tb)/(tc-tb),x&lt;=te,50+25*(x-tc)/(te-tc),x&lt;tf,75+25*(x-te)/(tf-te),TRUE,100)))</f>
        <v/>
      </c>
      <c r="V69" s="35" t="str">
        <f>IF('Stress Inputs'!V69="","",LET(d,Rulebook!$L69,x,'Stress Inputs'!V69*d,ta,Rulebook!$G69*d,tb,Rulebook!$H69*d,tc,Rulebook!$I69*d,te,Rulebook!$J69*d,tf,Rulebook!$K69*d,IFS(x&lt;=ta,0,x&lt;=tb,25*(x-ta)/(tb-ta),x&lt;=tc,25+25*(x-tb)/(tc-tb),x&lt;=te,50+25*(x-tc)/(te-tc),x&lt;tf,75+25*(x-te)/(tf-te),TRUE,100)))</f>
        <v/>
      </c>
    </row>
    <row r="70">
      <c r="A70" s="26" t="s">
        <v>748</v>
      </c>
      <c r="B70" s="26">
        <v>6.0</v>
      </c>
      <c r="C70" s="26" t="s">
        <v>749</v>
      </c>
      <c r="D70" s="26" t="s">
        <v>254</v>
      </c>
      <c r="E70" s="35" t="str">
        <f>IF('Stress Inputs'!E70="","",LET(d,Rulebook!$L70,x,'Stress Inputs'!E70*d,ta,Rulebook!$G70*d,tb,Rulebook!$H70*d,tc,Rulebook!$I70*d,te,Rulebook!$J70*d,tf,Rulebook!$K70*d,IFS(x&lt;=ta,0,x&lt;=tb,25*(x-ta)/(tb-ta),x&lt;=tc,25+25*(x-tb)/(tc-tb),x&lt;=te,50+25*(x-tc)/(te-tc),x&lt;tf,75+25*(x-te)/(tf-te),TRUE,100)))</f>
        <v/>
      </c>
      <c r="F70" s="35" t="str">
        <f>IF('Stress Inputs'!F70="","",LET(d,Rulebook!$L70,x,'Stress Inputs'!F70*d,ta,Rulebook!$G70*d,tb,Rulebook!$H70*d,tc,Rulebook!$I70*d,te,Rulebook!$J70*d,tf,Rulebook!$K70*d,IFS(x&lt;=ta,0,x&lt;=tb,25*(x-ta)/(tb-ta),x&lt;=tc,25+25*(x-tb)/(tc-tb),x&lt;=te,50+25*(x-tc)/(te-tc),x&lt;tf,75+25*(x-te)/(tf-te),TRUE,100)))</f>
        <v/>
      </c>
      <c r="G70" s="35" t="str">
        <f>IF('Stress Inputs'!G70="","",LET(d,Rulebook!$L70,x,'Stress Inputs'!G70*d,ta,Rulebook!$G70*d,tb,Rulebook!$H70*d,tc,Rulebook!$I70*d,te,Rulebook!$J70*d,tf,Rulebook!$K70*d,IFS(x&lt;=ta,0,x&lt;=tb,25*(x-ta)/(tb-ta),x&lt;=tc,25+25*(x-tb)/(tc-tb),x&lt;=te,50+25*(x-tc)/(te-tc),x&lt;tf,75+25*(x-te)/(tf-te),TRUE,100)))</f>
        <v/>
      </c>
      <c r="H70" s="35" t="str">
        <f>IF('Stress Inputs'!H70="","",LET(d,Rulebook!$L70,x,'Stress Inputs'!H70*d,ta,Rulebook!$G70*d,tb,Rulebook!$H70*d,tc,Rulebook!$I70*d,te,Rulebook!$J70*d,tf,Rulebook!$K70*d,IFS(x&lt;=ta,0,x&lt;=tb,25*(x-ta)/(tb-ta),x&lt;=tc,25+25*(x-tb)/(tc-tb),x&lt;=te,50+25*(x-tc)/(te-tc),x&lt;tf,75+25*(x-te)/(tf-te),TRUE,100)))</f>
        <v/>
      </c>
      <c r="I70" s="35" t="str">
        <f>IF('Stress Inputs'!I70="","",LET(d,Rulebook!$L70,x,'Stress Inputs'!I70*d,ta,Rulebook!$G70*d,tb,Rulebook!$H70*d,tc,Rulebook!$I70*d,te,Rulebook!$J70*d,tf,Rulebook!$K70*d,IFS(x&lt;=ta,0,x&lt;=tb,25*(x-ta)/(tb-ta),x&lt;=tc,25+25*(x-tb)/(tc-tb),x&lt;=te,50+25*(x-tc)/(te-tc),x&lt;tf,75+25*(x-te)/(tf-te),TRUE,100)))</f>
        <v/>
      </c>
      <c r="J70" s="35" t="str">
        <f>IF('Stress Inputs'!J70="","",LET(d,Rulebook!$L70,x,'Stress Inputs'!J70*d,ta,Rulebook!$G70*d,tb,Rulebook!$H70*d,tc,Rulebook!$I70*d,te,Rulebook!$J70*d,tf,Rulebook!$K70*d,IFS(x&lt;=ta,0,x&lt;=tb,25*(x-ta)/(tb-ta),x&lt;=tc,25+25*(x-tb)/(tc-tb),x&lt;=te,50+25*(x-tc)/(te-tc),x&lt;tf,75+25*(x-te)/(tf-te),TRUE,100)))</f>
        <v/>
      </c>
      <c r="K70" s="35" t="str">
        <f>IF('Stress Inputs'!K70="","",LET(d,Rulebook!$L70,x,'Stress Inputs'!K70*d,ta,Rulebook!$G70*d,tb,Rulebook!$H70*d,tc,Rulebook!$I70*d,te,Rulebook!$J70*d,tf,Rulebook!$K70*d,IFS(x&lt;=ta,0,x&lt;=tb,25*(x-ta)/(tb-ta),x&lt;=tc,25+25*(x-tb)/(tc-tb),x&lt;=te,50+25*(x-tc)/(te-tc),x&lt;tf,75+25*(x-te)/(tf-te),TRUE,100)))</f>
        <v/>
      </c>
      <c r="L70" s="35" t="str">
        <f>IF('Stress Inputs'!L70="","",LET(d,Rulebook!$L70,x,'Stress Inputs'!L70*d,ta,Rulebook!$G70*d,tb,Rulebook!$H70*d,tc,Rulebook!$I70*d,te,Rulebook!$J70*d,tf,Rulebook!$K70*d,IFS(x&lt;=ta,0,x&lt;=tb,25*(x-ta)/(tb-ta),x&lt;=tc,25+25*(x-tb)/(tc-tb),x&lt;=te,50+25*(x-tc)/(te-tc),x&lt;tf,75+25*(x-te)/(tf-te),TRUE,100)))</f>
        <v/>
      </c>
      <c r="M70" s="35" t="str">
        <f>IF('Stress Inputs'!M70="","",LET(d,Rulebook!$L70,x,'Stress Inputs'!M70*d,ta,Rulebook!$G70*d,tb,Rulebook!$H70*d,tc,Rulebook!$I70*d,te,Rulebook!$J70*d,tf,Rulebook!$K70*d,IFS(x&lt;=ta,0,x&lt;=tb,25*(x-ta)/(tb-ta),x&lt;=tc,25+25*(x-tb)/(tc-tb),x&lt;=te,50+25*(x-tc)/(te-tc),x&lt;tf,75+25*(x-te)/(tf-te),TRUE,100)))</f>
        <v/>
      </c>
      <c r="N70" s="35" t="str">
        <f>IF('Stress Inputs'!N70="","",LET(d,Rulebook!$L70,x,'Stress Inputs'!N70*d,ta,Rulebook!$G70*d,tb,Rulebook!$H70*d,tc,Rulebook!$I70*d,te,Rulebook!$J70*d,tf,Rulebook!$K70*d,IFS(x&lt;=ta,0,x&lt;=tb,25*(x-ta)/(tb-ta),x&lt;=tc,25+25*(x-tb)/(tc-tb),x&lt;=te,50+25*(x-tc)/(te-tc),x&lt;tf,75+25*(x-te)/(tf-te),TRUE,100)))</f>
        <v/>
      </c>
      <c r="O70" s="35" t="str">
        <f>IF('Stress Inputs'!O70="","",LET(d,Rulebook!$L70,x,'Stress Inputs'!O70*d,ta,Rulebook!$G70*d,tb,Rulebook!$H70*d,tc,Rulebook!$I70*d,te,Rulebook!$J70*d,tf,Rulebook!$K70*d,IFS(x&lt;=ta,0,x&lt;=tb,25*(x-ta)/(tb-ta),x&lt;=tc,25+25*(x-tb)/(tc-tb),x&lt;=te,50+25*(x-tc)/(te-tc),x&lt;tf,75+25*(x-te)/(tf-te),TRUE,100)))</f>
        <v/>
      </c>
      <c r="P70" s="35" t="str">
        <f>IF('Stress Inputs'!P70="","",LET(d,Rulebook!$L70,x,'Stress Inputs'!P70*d,ta,Rulebook!$G70*d,tb,Rulebook!$H70*d,tc,Rulebook!$I70*d,te,Rulebook!$J70*d,tf,Rulebook!$K70*d,IFS(x&lt;=ta,0,x&lt;=tb,25*(x-ta)/(tb-ta),x&lt;=tc,25+25*(x-tb)/(tc-tb),x&lt;=te,50+25*(x-tc)/(te-tc),x&lt;tf,75+25*(x-te)/(tf-te),TRUE,100)))</f>
        <v/>
      </c>
      <c r="Q70" s="35" t="str">
        <f>IF('Stress Inputs'!Q70="","",LET(d,Rulebook!$L70,x,'Stress Inputs'!Q70*d,ta,Rulebook!$G70*d,tb,Rulebook!$H70*d,tc,Rulebook!$I70*d,te,Rulebook!$J70*d,tf,Rulebook!$K70*d,IFS(x&lt;=ta,0,x&lt;=tb,25*(x-ta)/(tb-ta),x&lt;=tc,25+25*(x-tb)/(tc-tb),x&lt;=te,50+25*(x-tc)/(te-tc),x&lt;tf,75+25*(x-te)/(tf-te),TRUE,100)))</f>
        <v/>
      </c>
      <c r="R70" s="35" t="str">
        <f>IF('Stress Inputs'!R70="","",LET(d,Rulebook!$L70,x,'Stress Inputs'!R70*d,ta,Rulebook!$G70*d,tb,Rulebook!$H70*d,tc,Rulebook!$I70*d,te,Rulebook!$J70*d,tf,Rulebook!$K70*d,IFS(x&lt;=ta,0,x&lt;=tb,25*(x-ta)/(tb-ta),x&lt;=tc,25+25*(x-tb)/(tc-tb),x&lt;=te,50+25*(x-tc)/(te-tc),x&lt;tf,75+25*(x-te)/(tf-te),TRUE,100)))</f>
        <v/>
      </c>
      <c r="S70" s="35" t="str">
        <f>IF('Stress Inputs'!S70="","",LET(d,Rulebook!$L70,x,'Stress Inputs'!S70*d,ta,Rulebook!$G70*d,tb,Rulebook!$H70*d,tc,Rulebook!$I70*d,te,Rulebook!$J70*d,tf,Rulebook!$K70*d,IFS(x&lt;=ta,0,x&lt;=tb,25*(x-ta)/(tb-ta),x&lt;=tc,25+25*(x-tb)/(tc-tb),x&lt;=te,50+25*(x-tc)/(te-tc),x&lt;tf,75+25*(x-te)/(tf-te),TRUE,100)))</f>
        <v/>
      </c>
      <c r="T70" s="35" t="str">
        <f>IF('Stress Inputs'!T70="","",LET(d,Rulebook!$L70,x,'Stress Inputs'!T70*d,ta,Rulebook!$G70*d,tb,Rulebook!$H70*d,tc,Rulebook!$I70*d,te,Rulebook!$J70*d,tf,Rulebook!$K70*d,IFS(x&lt;=ta,0,x&lt;=tb,25*(x-ta)/(tb-ta),x&lt;=tc,25+25*(x-tb)/(tc-tb),x&lt;=te,50+25*(x-tc)/(te-tc),x&lt;tf,75+25*(x-te)/(tf-te),TRUE,100)))</f>
        <v/>
      </c>
      <c r="U70" s="35" t="str">
        <f>IF('Stress Inputs'!U70="","",LET(d,Rulebook!$L70,x,'Stress Inputs'!U70*d,ta,Rulebook!$G70*d,tb,Rulebook!$H70*d,tc,Rulebook!$I70*d,te,Rulebook!$J70*d,tf,Rulebook!$K70*d,IFS(x&lt;=ta,0,x&lt;=tb,25*(x-ta)/(tb-ta),x&lt;=tc,25+25*(x-tb)/(tc-tb),x&lt;=te,50+25*(x-tc)/(te-tc),x&lt;tf,75+25*(x-te)/(tf-te),TRUE,100)))</f>
        <v/>
      </c>
      <c r="V70" s="35" t="str">
        <f>IF('Stress Inputs'!V70="","",LET(d,Rulebook!$L70,x,'Stress Inputs'!V70*d,ta,Rulebook!$G70*d,tb,Rulebook!$H70*d,tc,Rulebook!$I70*d,te,Rulebook!$J70*d,tf,Rulebook!$K70*d,IFS(x&lt;=ta,0,x&lt;=tb,25*(x-ta)/(tb-ta),x&lt;=tc,25+25*(x-tb)/(tc-tb),x&lt;=te,50+25*(x-tc)/(te-tc),x&lt;tf,75+25*(x-te)/(tf-te),TRUE,100)))</f>
        <v/>
      </c>
    </row>
    <row r="71">
      <c r="A71" s="26" t="s">
        <v>753</v>
      </c>
      <c r="B71" s="26">
        <v>6.0</v>
      </c>
      <c r="C71" s="26" t="s">
        <v>754</v>
      </c>
      <c r="D71" s="26" t="s">
        <v>112</v>
      </c>
      <c r="E71" s="35" t="str">
        <f>IF('Stress Inputs'!E71="","",LET(d,Rulebook!$L71,x,'Stress Inputs'!E71*d,ta,Rulebook!$G71*d,tb,Rulebook!$H71*d,tc,Rulebook!$I71*d,te,Rulebook!$J71*d,tf,Rulebook!$K71*d,IFS(x&lt;=ta,0,x&lt;=tb,25*(x-ta)/(tb-ta),x&lt;=tc,25+25*(x-tb)/(tc-tb),x&lt;=te,50+25*(x-tc)/(te-tc),x&lt;tf,75+25*(x-te)/(tf-te),TRUE,100)))</f>
        <v/>
      </c>
      <c r="F71" s="35" t="str">
        <f>IF('Stress Inputs'!F71="","",LET(d,Rulebook!$L71,x,'Stress Inputs'!F71*d,ta,Rulebook!$G71*d,tb,Rulebook!$H71*d,tc,Rulebook!$I71*d,te,Rulebook!$J71*d,tf,Rulebook!$K71*d,IFS(x&lt;=ta,0,x&lt;=tb,25*(x-ta)/(tb-ta),x&lt;=tc,25+25*(x-tb)/(tc-tb),x&lt;=te,50+25*(x-tc)/(te-tc),x&lt;tf,75+25*(x-te)/(tf-te),TRUE,100)))</f>
        <v/>
      </c>
      <c r="G71" s="35" t="str">
        <f>IF('Stress Inputs'!G71="","",LET(d,Rulebook!$L71,x,'Stress Inputs'!G71*d,ta,Rulebook!$G71*d,tb,Rulebook!$H71*d,tc,Rulebook!$I71*d,te,Rulebook!$J71*d,tf,Rulebook!$K71*d,IFS(x&lt;=ta,0,x&lt;=tb,25*(x-ta)/(tb-ta),x&lt;=tc,25+25*(x-tb)/(tc-tb),x&lt;=te,50+25*(x-tc)/(te-tc),x&lt;tf,75+25*(x-te)/(tf-te),TRUE,100)))</f>
        <v/>
      </c>
      <c r="H71" s="35" t="str">
        <f>IF('Stress Inputs'!H71="","",LET(d,Rulebook!$L71,x,'Stress Inputs'!H71*d,ta,Rulebook!$G71*d,tb,Rulebook!$H71*d,tc,Rulebook!$I71*d,te,Rulebook!$J71*d,tf,Rulebook!$K71*d,IFS(x&lt;=ta,0,x&lt;=tb,25*(x-ta)/(tb-ta),x&lt;=tc,25+25*(x-tb)/(tc-tb),x&lt;=te,50+25*(x-tc)/(te-tc),x&lt;tf,75+25*(x-te)/(tf-te),TRUE,100)))</f>
        <v/>
      </c>
      <c r="I71" s="35" t="str">
        <f>IF('Stress Inputs'!I71="","",LET(d,Rulebook!$L71,x,'Stress Inputs'!I71*d,ta,Rulebook!$G71*d,tb,Rulebook!$H71*d,tc,Rulebook!$I71*d,te,Rulebook!$J71*d,tf,Rulebook!$K71*d,IFS(x&lt;=ta,0,x&lt;=tb,25*(x-ta)/(tb-ta),x&lt;=tc,25+25*(x-tb)/(tc-tb),x&lt;=te,50+25*(x-tc)/(te-tc),x&lt;tf,75+25*(x-te)/(tf-te),TRUE,100)))</f>
        <v/>
      </c>
      <c r="J71" s="35" t="str">
        <f>IF('Stress Inputs'!J71="","",LET(d,Rulebook!$L71,x,'Stress Inputs'!J71*d,ta,Rulebook!$G71*d,tb,Rulebook!$H71*d,tc,Rulebook!$I71*d,te,Rulebook!$J71*d,tf,Rulebook!$K71*d,IFS(x&lt;=ta,0,x&lt;=tb,25*(x-ta)/(tb-ta),x&lt;=tc,25+25*(x-tb)/(tc-tb),x&lt;=te,50+25*(x-tc)/(te-tc),x&lt;tf,75+25*(x-te)/(tf-te),TRUE,100)))</f>
        <v/>
      </c>
      <c r="K71" s="35" t="str">
        <f>IF('Stress Inputs'!K71="","",LET(d,Rulebook!$L71,x,'Stress Inputs'!K71*d,ta,Rulebook!$G71*d,tb,Rulebook!$H71*d,tc,Rulebook!$I71*d,te,Rulebook!$J71*d,tf,Rulebook!$K71*d,IFS(x&lt;=ta,0,x&lt;=tb,25*(x-ta)/(tb-ta),x&lt;=tc,25+25*(x-tb)/(tc-tb),x&lt;=te,50+25*(x-tc)/(te-tc),x&lt;tf,75+25*(x-te)/(tf-te),TRUE,100)))</f>
        <v/>
      </c>
      <c r="L71" s="35" t="str">
        <f>IF('Stress Inputs'!L71="","",LET(d,Rulebook!$L71,x,'Stress Inputs'!L71*d,ta,Rulebook!$G71*d,tb,Rulebook!$H71*d,tc,Rulebook!$I71*d,te,Rulebook!$J71*d,tf,Rulebook!$K71*d,IFS(x&lt;=ta,0,x&lt;=tb,25*(x-ta)/(tb-ta),x&lt;=tc,25+25*(x-tb)/(tc-tb),x&lt;=te,50+25*(x-tc)/(te-tc),x&lt;tf,75+25*(x-te)/(tf-te),TRUE,100)))</f>
        <v/>
      </c>
      <c r="M71" s="35" t="str">
        <f>IF('Stress Inputs'!M71="","",LET(d,Rulebook!$L71,x,'Stress Inputs'!M71*d,ta,Rulebook!$G71*d,tb,Rulebook!$H71*d,tc,Rulebook!$I71*d,te,Rulebook!$J71*d,tf,Rulebook!$K71*d,IFS(x&lt;=ta,0,x&lt;=tb,25*(x-ta)/(tb-ta),x&lt;=tc,25+25*(x-tb)/(tc-tb),x&lt;=te,50+25*(x-tc)/(te-tc),x&lt;tf,75+25*(x-te)/(tf-te),TRUE,100)))</f>
        <v/>
      </c>
      <c r="N71" s="35" t="str">
        <f>IF('Stress Inputs'!N71="","",LET(d,Rulebook!$L71,x,'Stress Inputs'!N71*d,ta,Rulebook!$G71*d,tb,Rulebook!$H71*d,tc,Rulebook!$I71*d,te,Rulebook!$J71*d,tf,Rulebook!$K71*d,IFS(x&lt;=ta,0,x&lt;=tb,25*(x-ta)/(tb-ta),x&lt;=tc,25+25*(x-tb)/(tc-tb),x&lt;=te,50+25*(x-tc)/(te-tc),x&lt;tf,75+25*(x-te)/(tf-te),TRUE,100)))</f>
        <v/>
      </c>
      <c r="O71" s="35" t="str">
        <f>IF('Stress Inputs'!O71="","",LET(d,Rulebook!$L71,x,'Stress Inputs'!O71*d,ta,Rulebook!$G71*d,tb,Rulebook!$H71*d,tc,Rulebook!$I71*d,te,Rulebook!$J71*d,tf,Rulebook!$K71*d,IFS(x&lt;=ta,0,x&lt;=tb,25*(x-ta)/(tb-ta),x&lt;=tc,25+25*(x-tb)/(tc-tb),x&lt;=te,50+25*(x-tc)/(te-tc),x&lt;tf,75+25*(x-te)/(tf-te),TRUE,100)))</f>
        <v/>
      </c>
      <c r="P71" s="35" t="str">
        <f>IF('Stress Inputs'!P71="","",LET(d,Rulebook!$L71,x,'Stress Inputs'!P71*d,ta,Rulebook!$G71*d,tb,Rulebook!$H71*d,tc,Rulebook!$I71*d,te,Rulebook!$J71*d,tf,Rulebook!$K71*d,IFS(x&lt;=ta,0,x&lt;=tb,25*(x-ta)/(tb-ta),x&lt;=tc,25+25*(x-tb)/(tc-tb),x&lt;=te,50+25*(x-tc)/(te-tc),x&lt;tf,75+25*(x-te)/(tf-te),TRUE,100)))</f>
        <v/>
      </c>
      <c r="Q71" s="35" t="str">
        <f>IF('Stress Inputs'!Q71="","",LET(d,Rulebook!$L71,x,'Stress Inputs'!Q71*d,ta,Rulebook!$G71*d,tb,Rulebook!$H71*d,tc,Rulebook!$I71*d,te,Rulebook!$J71*d,tf,Rulebook!$K71*d,IFS(x&lt;=ta,0,x&lt;=tb,25*(x-ta)/(tb-ta),x&lt;=tc,25+25*(x-tb)/(tc-tb),x&lt;=te,50+25*(x-tc)/(te-tc),x&lt;tf,75+25*(x-te)/(tf-te),TRUE,100)))</f>
        <v/>
      </c>
      <c r="R71" s="35" t="str">
        <f>IF('Stress Inputs'!R71="","",LET(d,Rulebook!$L71,x,'Stress Inputs'!R71*d,ta,Rulebook!$G71*d,tb,Rulebook!$H71*d,tc,Rulebook!$I71*d,te,Rulebook!$J71*d,tf,Rulebook!$K71*d,IFS(x&lt;=ta,0,x&lt;=tb,25*(x-ta)/(tb-ta),x&lt;=tc,25+25*(x-tb)/(tc-tb),x&lt;=te,50+25*(x-tc)/(te-tc),x&lt;tf,75+25*(x-te)/(tf-te),TRUE,100)))</f>
        <v/>
      </c>
      <c r="S71" s="35" t="str">
        <f>IF('Stress Inputs'!S71="","",LET(d,Rulebook!$L71,x,'Stress Inputs'!S71*d,ta,Rulebook!$G71*d,tb,Rulebook!$H71*d,tc,Rulebook!$I71*d,te,Rulebook!$J71*d,tf,Rulebook!$K71*d,IFS(x&lt;=ta,0,x&lt;=tb,25*(x-ta)/(tb-ta),x&lt;=tc,25+25*(x-tb)/(tc-tb),x&lt;=te,50+25*(x-tc)/(te-tc),x&lt;tf,75+25*(x-te)/(tf-te),TRUE,100)))</f>
        <v/>
      </c>
      <c r="T71" s="35" t="str">
        <f>IF('Stress Inputs'!T71="","",LET(d,Rulebook!$L71,x,'Stress Inputs'!T71*d,ta,Rulebook!$G71*d,tb,Rulebook!$H71*d,tc,Rulebook!$I71*d,te,Rulebook!$J71*d,tf,Rulebook!$K71*d,IFS(x&lt;=ta,0,x&lt;=tb,25*(x-ta)/(tb-ta),x&lt;=tc,25+25*(x-tb)/(tc-tb),x&lt;=te,50+25*(x-tc)/(te-tc),x&lt;tf,75+25*(x-te)/(tf-te),TRUE,100)))</f>
        <v/>
      </c>
      <c r="U71" s="35" t="str">
        <f>IF('Stress Inputs'!U71="","",LET(d,Rulebook!$L71,x,'Stress Inputs'!U71*d,ta,Rulebook!$G71*d,tb,Rulebook!$H71*d,tc,Rulebook!$I71*d,te,Rulebook!$J71*d,tf,Rulebook!$K71*d,IFS(x&lt;=ta,0,x&lt;=tb,25*(x-ta)/(tb-ta),x&lt;=tc,25+25*(x-tb)/(tc-tb),x&lt;=te,50+25*(x-tc)/(te-tc),x&lt;tf,75+25*(x-te)/(tf-te),TRUE,100)))</f>
        <v/>
      </c>
      <c r="V71" s="35" t="str">
        <f>IF('Stress Inputs'!V71="","",LET(d,Rulebook!$L71,x,'Stress Inputs'!V71*d,ta,Rulebook!$G71*d,tb,Rulebook!$H71*d,tc,Rulebook!$I71*d,te,Rulebook!$J71*d,tf,Rulebook!$K71*d,IFS(x&lt;=ta,0,x&lt;=tb,25*(x-ta)/(tb-ta),x&lt;=tc,25+25*(x-tb)/(tc-tb),x&lt;=te,50+25*(x-tc)/(te-tc),x&lt;tf,75+25*(x-te)/(tf-te),TRUE,100)))</f>
        <v/>
      </c>
    </row>
    <row r="72">
      <c r="A72" s="26" t="s">
        <v>757</v>
      </c>
      <c r="B72" s="26">
        <v>6.0</v>
      </c>
      <c r="C72" s="26" t="s">
        <v>758</v>
      </c>
      <c r="D72" s="26" t="s">
        <v>254</v>
      </c>
      <c r="E72" s="35" t="str">
        <f>IF('Stress Inputs'!E72="","",LET(d,Rulebook!$L72,x,'Stress Inputs'!E72*d,ta,Rulebook!$G72*d,tb,Rulebook!$H72*d,tc,Rulebook!$I72*d,te,Rulebook!$J72*d,tf,Rulebook!$K72*d,IFS(x&lt;=ta,0,x&lt;=tb,25*(x-ta)/(tb-ta),x&lt;=tc,25+25*(x-tb)/(tc-tb),x&lt;=te,50+25*(x-tc)/(te-tc),x&lt;tf,75+25*(x-te)/(tf-te),TRUE,100)))</f>
        <v/>
      </c>
      <c r="F72" s="35" t="str">
        <f>IF('Stress Inputs'!F72="","",LET(d,Rulebook!$L72,x,'Stress Inputs'!F72*d,ta,Rulebook!$G72*d,tb,Rulebook!$H72*d,tc,Rulebook!$I72*d,te,Rulebook!$J72*d,tf,Rulebook!$K72*d,IFS(x&lt;=ta,0,x&lt;=tb,25*(x-ta)/(tb-ta),x&lt;=tc,25+25*(x-tb)/(tc-tb),x&lt;=te,50+25*(x-tc)/(te-tc),x&lt;tf,75+25*(x-te)/(tf-te),TRUE,100)))</f>
        <v/>
      </c>
      <c r="G72" s="35" t="str">
        <f>IF('Stress Inputs'!G72="","",LET(d,Rulebook!$L72,x,'Stress Inputs'!G72*d,ta,Rulebook!$G72*d,tb,Rulebook!$H72*d,tc,Rulebook!$I72*d,te,Rulebook!$J72*d,tf,Rulebook!$K72*d,IFS(x&lt;=ta,0,x&lt;=tb,25*(x-ta)/(tb-ta),x&lt;=tc,25+25*(x-tb)/(tc-tb),x&lt;=te,50+25*(x-tc)/(te-tc),x&lt;tf,75+25*(x-te)/(tf-te),TRUE,100)))</f>
        <v/>
      </c>
      <c r="H72" s="35" t="str">
        <f>IF('Stress Inputs'!H72="","",LET(d,Rulebook!$L72,x,'Stress Inputs'!H72*d,ta,Rulebook!$G72*d,tb,Rulebook!$H72*d,tc,Rulebook!$I72*d,te,Rulebook!$J72*d,tf,Rulebook!$K72*d,IFS(x&lt;=ta,0,x&lt;=tb,25*(x-ta)/(tb-ta),x&lt;=tc,25+25*(x-tb)/(tc-tb),x&lt;=te,50+25*(x-tc)/(te-tc),x&lt;tf,75+25*(x-te)/(tf-te),TRUE,100)))</f>
        <v/>
      </c>
      <c r="I72" s="35" t="str">
        <f>IF('Stress Inputs'!I72="","",LET(d,Rulebook!$L72,x,'Stress Inputs'!I72*d,ta,Rulebook!$G72*d,tb,Rulebook!$H72*d,tc,Rulebook!$I72*d,te,Rulebook!$J72*d,tf,Rulebook!$K72*d,IFS(x&lt;=ta,0,x&lt;=tb,25*(x-ta)/(tb-ta),x&lt;=tc,25+25*(x-tb)/(tc-tb),x&lt;=te,50+25*(x-tc)/(te-tc),x&lt;tf,75+25*(x-te)/(tf-te),TRUE,100)))</f>
        <v/>
      </c>
      <c r="J72" s="35" t="str">
        <f>IF('Stress Inputs'!J72="","",LET(d,Rulebook!$L72,x,'Stress Inputs'!J72*d,ta,Rulebook!$G72*d,tb,Rulebook!$H72*d,tc,Rulebook!$I72*d,te,Rulebook!$J72*d,tf,Rulebook!$K72*d,IFS(x&lt;=ta,0,x&lt;=tb,25*(x-ta)/(tb-ta),x&lt;=tc,25+25*(x-tb)/(tc-tb),x&lt;=te,50+25*(x-tc)/(te-tc),x&lt;tf,75+25*(x-te)/(tf-te),TRUE,100)))</f>
        <v/>
      </c>
      <c r="K72" s="35" t="str">
        <f>IF('Stress Inputs'!K72="","",LET(d,Rulebook!$L72,x,'Stress Inputs'!K72*d,ta,Rulebook!$G72*d,tb,Rulebook!$H72*d,tc,Rulebook!$I72*d,te,Rulebook!$J72*d,tf,Rulebook!$K72*d,IFS(x&lt;=ta,0,x&lt;=tb,25*(x-ta)/(tb-ta),x&lt;=tc,25+25*(x-tb)/(tc-tb),x&lt;=te,50+25*(x-tc)/(te-tc),x&lt;tf,75+25*(x-te)/(tf-te),TRUE,100)))</f>
        <v/>
      </c>
      <c r="L72" s="35" t="str">
        <f>IF('Stress Inputs'!L72="","",LET(d,Rulebook!$L72,x,'Stress Inputs'!L72*d,ta,Rulebook!$G72*d,tb,Rulebook!$H72*d,tc,Rulebook!$I72*d,te,Rulebook!$J72*d,tf,Rulebook!$K72*d,IFS(x&lt;=ta,0,x&lt;=tb,25*(x-ta)/(tb-ta),x&lt;=tc,25+25*(x-tb)/(tc-tb),x&lt;=te,50+25*(x-tc)/(te-tc),x&lt;tf,75+25*(x-te)/(tf-te),TRUE,100)))</f>
        <v/>
      </c>
      <c r="M72" s="35" t="str">
        <f>IF('Stress Inputs'!M72="","",LET(d,Rulebook!$L72,x,'Stress Inputs'!M72*d,ta,Rulebook!$G72*d,tb,Rulebook!$H72*d,tc,Rulebook!$I72*d,te,Rulebook!$J72*d,tf,Rulebook!$K72*d,IFS(x&lt;=ta,0,x&lt;=tb,25*(x-ta)/(tb-ta),x&lt;=tc,25+25*(x-tb)/(tc-tb),x&lt;=te,50+25*(x-tc)/(te-tc),x&lt;tf,75+25*(x-te)/(tf-te),TRUE,100)))</f>
        <v/>
      </c>
      <c r="N72" s="35" t="str">
        <f>IF('Stress Inputs'!N72="","",LET(d,Rulebook!$L72,x,'Stress Inputs'!N72*d,ta,Rulebook!$G72*d,tb,Rulebook!$H72*d,tc,Rulebook!$I72*d,te,Rulebook!$J72*d,tf,Rulebook!$K72*d,IFS(x&lt;=ta,0,x&lt;=tb,25*(x-ta)/(tb-ta),x&lt;=tc,25+25*(x-tb)/(tc-tb),x&lt;=te,50+25*(x-tc)/(te-tc),x&lt;tf,75+25*(x-te)/(tf-te),TRUE,100)))</f>
        <v/>
      </c>
      <c r="O72" s="35" t="str">
        <f>IF('Stress Inputs'!O72="","",LET(d,Rulebook!$L72,x,'Stress Inputs'!O72*d,ta,Rulebook!$G72*d,tb,Rulebook!$H72*d,tc,Rulebook!$I72*d,te,Rulebook!$J72*d,tf,Rulebook!$K72*d,IFS(x&lt;=ta,0,x&lt;=tb,25*(x-ta)/(tb-ta),x&lt;=tc,25+25*(x-tb)/(tc-tb),x&lt;=te,50+25*(x-tc)/(te-tc),x&lt;tf,75+25*(x-te)/(tf-te),TRUE,100)))</f>
        <v/>
      </c>
      <c r="P72" s="35" t="str">
        <f>IF('Stress Inputs'!P72="","",LET(d,Rulebook!$L72,x,'Stress Inputs'!P72*d,ta,Rulebook!$G72*d,tb,Rulebook!$H72*d,tc,Rulebook!$I72*d,te,Rulebook!$J72*d,tf,Rulebook!$K72*d,IFS(x&lt;=ta,0,x&lt;=tb,25*(x-ta)/(tb-ta),x&lt;=tc,25+25*(x-tb)/(tc-tb),x&lt;=te,50+25*(x-tc)/(te-tc),x&lt;tf,75+25*(x-te)/(tf-te),TRUE,100)))</f>
        <v/>
      </c>
      <c r="Q72" s="35" t="str">
        <f>IF('Stress Inputs'!Q72="","",LET(d,Rulebook!$L72,x,'Stress Inputs'!Q72*d,ta,Rulebook!$G72*d,tb,Rulebook!$H72*d,tc,Rulebook!$I72*d,te,Rulebook!$J72*d,tf,Rulebook!$K72*d,IFS(x&lt;=ta,0,x&lt;=tb,25*(x-ta)/(tb-ta),x&lt;=tc,25+25*(x-tb)/(tc-tb),x&lt;=te,50+25*(x-tc)/(te-tc),x&lt;tf,75+25*(x-te)/(tf-te),TRUE,100)))</f>
        <v/>
      </c>
      <c r="R72" s="35" t="str">
        <f>IF('Stress Inputs'!R72="","",LET(d,Rulebook!$L72,x,'Stress Inputs'!R72*d,ta,Rulebook!$G72*d,tb,Rulebook!$H72*d,tc,Rulebook!$I72*d,te,Rulebook!$J72*d,tf,Rulebook!$K72*d,IFS(x&lt;=ta,0,x&lt;=tb,25*(x-ta)/(tb-ta),x&lt;=tc,25+25*(x-tb)/(tc-tb),x&lt;=te,50+25*(x-tc)/(te-tc),x&lt;tf,75+25*(x-te)/(tf-te),TRUE,100)))</f>
        <v/>
      </c>
      <c r="S72" s="35" t="str">
        <f>IF('Stress Inputs'!S72="","",LET(d,Rulebook!$L72,x,'Stress Inputs'!S72*d,ta,Rulebook!$G72*d,tb,Rulebook!$H72*d,tc,Rulebook!$I72*d,te,Rulebook!$J72*d,tf,Rulebook!$K72*d,IFS(x&lt;=ta,0,x&lt;=tb,25*(x-ta)/(tb-ta),x&lt;=tc,25+25*(x-tb)/(tc-tb),x&lt;=te,50+25*(x-tc)/(te-tc),x&lt;tf,75+25*(x-te)/(tf-te),TRUE,100)))</f>
        <v/>
      </c>
      <c r="T72" s="35" t="str">
        <f>IF('Stress Inputs'!T72="","",LET(d,Rulebook!$L72,x,'Stress Inputs'!T72*d,ta,Rulebook!$G72*d,tb,Rulebook!$H72*d,tc,Rulebook!$I72*d,te,Rulebook!$J72*d,tf,Rulebook!$K72*d,IFS(x&lt;=ta,0,x&lt;=tb,25*(x-ta)/(tb-ta),x&lt;=tc,25+25*(x-tb)/(tc-tb),x&lt;=te,50+25*(x-tc)/(te-tc),x&lt;tf,75+25*(x-te)/(tf-te),TRUE,100)))</f>
        <v/>
      </c>
      <c r="U72" s="35" t="str">
        <f>IF('Stress Inputs'!U72="","",LET(d,Rulebook!$L72,x,'Stress Inputs'!U72*d,ta,Rulebook!$G72*d,tb,Rulebook!$H72*d,tc,Rulebook!$I72*d,te,Rulebook!$J72*d,tf,Rulebook!$K72*d,IFS(x&lt;=ta,0,x&lt;=tb,25*(x-ta)/(tb-ta),x&lt;=tc,25+25*(x-tb)/(tc-tb),x&lt;=te,50+25*(x-tc)/(te-tc),x&lt;tf,75+25*(x-te)/(tf-te),TRUE,100)))</f>
        <v/>
      </c>
      <c r="V72" s="35" t="str">
        <f>IF('Stress Inputs'!V72="","",LET(d,Rulebook!$L72,x,'Stress Inputs'!V72*d,ta,Rulebook!$G72*d,tb,Rulebook!$H72*d,tc,Rulebook!$I72*d,te,Rulebook!$J72*d,tf,Rulebook!$K72*d,IFS(x&lt;=ta,0,x&lt;=tb,25*(x-ta)/(tb-ta),x&lt;=tc,25+25*(x-tb)/(tc-tb),x&lt;=te,50+25*(x-tc)/(te-tc),x&lt;tf,75+25*(x-te)/(tf-te),TRUE,100)))</f>
        <v/>
      </c>
    </row>
    <row r="73">
      <c r="A73" s="26" t="s">
        <v>762</v>
      </c>
      <c r="B73" s="26">
        <v>6.0</v>
      </c>
      <c r="C73" s="26" t="s">
        <v>763</v>
      </c>
      <c r="D73" s="26" t="s">
        <v>764</v>
      </c>
      <c r="E73" s="35" t="str">
        <f>IF('Stress Inputs'!E73="","",LET(d,Rulebook!$L73,x,'Stress Inputs'!E73*d,ta,Rulebook!$G73*d,tb,Rulebook!$H73*d,tc,Rulebook!$I73*d,te,Rulebook!$J73*d,tf,Rulebook!$K73*d,IFS(x&lt;=ta,0,x&lt;=tb,25*(x-ta)/(tb-ta),x&lt;=tc,25+25*(x-tb)/(tc-tb),x&lt;=te,50+25*(x-tc)/(te-tc),x&lt;tf,75+25*(x-te)/(tf-te),TRUE,100)))</f>
        <v/>
      </c>
      <c r="F73" s="35" t="str">
        <f>IF('Stress Inputs'!F73="","",LET(d,Rulebook!$L73,x,'Stress Inputs'!F73*d,ta,Rulebook!$G73*d,tb,Rulebook!$H73*d,tc,Rulebook!$I73*d,te,Rulebook!$J73*d,tf,Rulebook!$K73*d,IFS(x&lt;=ta,0,x&lt;=tb,25*(x-ta)/(tb-ta),x&lt;=tc,25+25*(x-tb)/(tc-tb),x&lt;=te,50+25*(x-tc)/(te-tc),x&lt;tf,75+25*(x-te)/(tf-te),TRUE,100)))</f>
        <v/>
      </c>
      <c r="G73" s="35" t="str">
        <f>IF('Stress Inputs'!G73="","",LET(d,Rulebook!$L73,x,'Stress Inputs'!G73*d,ta,Rulebook!$G73*d,tb,Rulebook!$H73*d,tc,Rulebook!$I73*d,te,Rulebook!$J73*d,tf,Rulebook!$K73*d,IFS(x&lt;=ta,0,x&lt;=tb,25*(x-ta)/(tb-ta),x&lt;=tc,25+25*(x-tb)/(tc-tb),x&lt;=te,50+25*(x-tc)/(te-tc),x&lt;tf,75+25*(x-te)/(tf-te),TRUE,100)))</f>
        <v/>
      </c>
      <c r="H73" s="35" t="str">
        <f>IF('Stress Inputs'!H73="","",LET(d,Rulebook!$L73,x,'Stress Inputs'!H73*d,ta,Rulebook!$G73*d,tb,Rulebook!$H73*d,tc,Rulebook!$I73*d,te,Rulebook!$J73*d,tf,Rulebook!$K73*d,IFS(x&lt;=ta,0,x&lt;=tb,25*(x-ta)/(tb-ta),x&lt;=tc,25+25*(x-tb)/(tc-tb),x&lt;=te,50+25*(x-tc)/(te-tc),x&lt;tf,75+25*(x-te)/(tf-te),TRUE,100)))</f>
        <v/>
      </c>
      <c r="I73" s="35" t="str">
        <f>IF('Stress Inputs'!I73="","",LET(d,Rulebook!$L73,x,'Stress Inputs'!I73*d,ta,Rulebook!$G73*d,tb,Rulebook!$H73*d,tc,Rulebook!$I73*d,te,Rulebook!$J73*d,tf,Rulebook!$K73*d,IFS(x&lt;=ta,0,x&lt;=tb,25*(x-ta)/(tb-ta),x&lt;=tc,25+25*(x-tb)/(tc-tb),x&lt;=te,50+25*(x-tc)/(te-tc),x&lt;tf,75+25*(x-te)/(tf-te),TRUE,100)))</f>
        <v/>
      </c>
      <c r="J73" s="35" t="str">
        <f>IF('Stress Inputs'!J73="","",LET(d,Rulebook!$L73,x,'Stress Inputs'!J73*d,ta,Rulebook!$G73*d,tb,Rulebook!$H73*d,tc,Rulebook!$I73*d,te,Rulebook!$J73*d,tf,Rulebook!$K73*d,IFS(x&lt;=ta,0,x&lt;=tb,25*(x-ta)/(tb-ta),x&lt;=tc,25+25*(x-tb)/(tc-tb),x&lt;=te,50+25*(x-tc)/(te-tc),x&lt;tf,75+25*(x-te)/(tf-te),TRUE,100)))</f>
        <v/>
      </c>
      <c r="K73" s="35" t="str">
        <f>IF('Stress Inputs'!K73="","",LET(d,Rulebook!$L73,x,'Stress Inputs'!K73*d,ta,Rulebook!$G73*d,tb,Rulebook!$H73*d,tc,Rulebook!$I73*d,te,Rulebook!$J73*d,tf,Rulebook!$K73*d,IFS(x&lt;=ta,0,x&lt;=tb,25*(x-ta)/(tb-ta),x&lt;=tc,25+25*(x-tb)/(tc-tb),x&lt;=te,50+25*(x-tc)/(te-tc),x&lt;tf,75+25*(x-te)/(tf-te),TRUE,100)))</f>
        <v/>
      </c>
      <c r="L73" s="35" t="str">
        <f>IF('Stress Inputs'!L73="","",LET(d,Rulebook!$L73,x,'Stress Inputs'!L73*d,ta,Rulebook!$G73*d,tb,Rulebook!$H73*d,tc,Rulebook!$I73*d,te,Rulebook!$J73*d,tf,Rulebook!$K73*d,IFS(x&lt;=ta,0,x&lt;=tb,25*(x-ta)/(tb-ta),x&lt;=tc,25+25*(x-tb)/(tc-tb),x&lt;=te,50+25*(x-tc)/(te-tc),x&lt;tf,75+25*(x-te)/(tf-te),TRUE,100)))</f>
        <v/>
      </c>
      <c r="M73" s="35" t="str">
        <f>IF('Stress Inputs'!M73="","",LET(d,Rulebook!$L73,x,'Stress Inputs'!M73*d,ta,Rulebook!$G73*d,tb,Rulebook!$H73*d,tc,Rulebook!$I73*d,te,Rulebook!$J73*d,tf,Rulebook!$K73*d,IFS(x&lt;=ta,0,x&lt;=tb,25*(x-ta)/(tb-ta),x&lt;=tc,25+25*(x-tb)/(tc-tb),x&lt;=te,50+25*(x-tc)/(te-tc),x&lt;tf,75+25*(x-te)/(tf-te),TRUE,100)))</f>
        <v/>
      </c>
      <c r="N73" s="35" t="str">
        <f>IF('Stress Inputs'!N73="","",LET(d,Rulebook!$L73,x,'Stress Inputs'!N73*d,ta,Rulebook!$G73*d,tb,Rulebook!$H73*d,tc,Rulebook!$I73*d,te,Rulebook!$J73*d,tf,Rulebook!$K73*d,IFS(x&lt;=ta,0,x&lt;=tb,25*(x-ta)/(tb-ta),x&lt;=tc,25+25*(x-tb)/(tc-tb),x&lt;=te,50+25*(x-tc)/(te-tc),x&lt;tf,75+25*(x-te)/(tf-te),TRUE,100)))</f>
        <v/>
      </c>
      <c r="O73" s="35" t="str">
        <f>IF('Stress Inputs'!O73="","",LET(d,Rulebook!$L73,x,'Stress Inputs'!O73*d,ta,Rulebook!$G73*d,tb,Rulebook!$H73*d,tc,Rulebook!$I73*d,te,Rulebook!$J73*d,tf,Rulebook!$K73*d,IFS(x&lt;=ta,0,x&lt;=tb,25*(x-ta)/(tb-ta),x&lt;=tc,25+25*(x-tb)/(tc-tb),x&lt;=te,50+25*(x-tc)/(te-tc),x&lt;tf,75+25*(x-te)/(tf-te),TRUE,100)))</f>
        <v/>
      </c>
      <c r="P73" s="35" t="str">
        <f>IF('Stress Inputs'!P73="","",LET(d,Rulebook!$L73,x,'Stress Inputs'!P73*d,ta,Rulebook!$G73*d,tb,Rulebook!$H73*d,tc,Rulebook!$I73*d,te,Rulebook!$J73*d,tf,Rulebook!$K73*d,IFS(x&lt;=ta,0,x&lt;=tb,25*(x-ta)/(tb-ta),x&lt;=tc,25+25*(x-tb)/(tc-tb),x&lt;=te,50+25*(x-tc)/(te-tc),x&lt;tf,75+25*(x-te)/(tf-te),TRUE,100)))</f>
        <v/>
      </c>
      <c r="Q73" s="35" t="str">
        <f>IF('Stress Inputs'!Q73="","",LET(d,Rulebook!$L73,x,'Stress Inputs'!Q73*d,ta,Rulebook!$G73*d,tb,Rulebook!$H73*d,tc,Rulebook!$I73*d,te,Rulebook!$J73*d,tf,Rulebook!$K73*d,IFS(x&lt;=ta,0,x&lt;=tb,25*(x-ta)/(tb-ta),x&lt;=tc,25+25*(x-tb)/(tc-tb),x&lt;=te,50+25*(x-tc)/(te-tc),x&lt;tf,75+25*(x-te)/(tf-te),TRUE,100)))</f>
        <v/>
      </c>
      <c r="R73" s="35" t="str">
        <f>IF('Stress Inputs'!R73="","",LET(d,Rulebook!$L73,x,'Stress Inputs'!R73*d,ta,Rulebook!$G73*d,tb,Rulebook!$H73*d,tc,Rulebook!$I73*d,te,Rulebook!$J73*d,tf,Rulebook!$K73*d,IFS(x&lt;=ta,0,x&lt;=tb,25*(x-ta)/(tb-ta),x&lt;=tc,25+25*(x-tb)/(tc-tb),x&lt;=te,50+25*(x-tc)/(te-tc),x&lt;tf,75+25*(x-te)/(tf-te),TRUE,100)))</f>
        <v/>
      </c>
      <c r="S73" s="35" t="str">
        <f>IF('Stress Inputs'!S73="","",LET(d,Rulebook!$L73,x,'Stress Inputs'!S73*d,ta,Rulebook!$G73*d,tb,Rulebook!$H73*d,tc,Rulebook!$I73*d,te,Rulebook!$J73*d,tf,Rulebook!$K73*d,IFS(x&lt;=ta,0,x&lt;=tb,25*(x-ta)/(tb-ta),x&lt;=tc,25+25*(x-tb)/(tc-tb),x&lt;=te,50+25*(x-tc)/(te-tc),x&lt;tf,75+25*(x-te)/(tf-te),TRUE,100)))</f>
        <v/>
      </c>
      <c r="T73" s="35" t="str">
        <f>IF('Stress Inputs'!T73="","",LET(d,Rulebook!$L73,x,'Stress Inputs'!T73*d,ta,Rulebook!$G73*d,tb,Rulebook!$H73*d,tc,Rulebook!$I73*d,te,Rulebook!$J73*d,tf,Rulebook!$K73*d,IFS(x&lt;=ta,0,x&lt;=tb,25*(x-ta)/(tb-ta),x&lt;=tc,25+25*(x-tb)/(tc-tb),x&lt;=te,50+25*(x-tc)/(te-tc),x&lt;tf,75+25*(x-te)/(tf-te),TRUE,100)))</f>
        <v/>
      </c>
      <c r="U73" s="35" t="str">
        <f>IF('Stress Inputs'!U73="","",LET(d,Rulebook!$L73,x,'Stress Inputs'!U73*d,ta,Rulebook!$G73*d,tb,Rulebook!$H73*d,tc,Rulebook!$I73*d,te,Rulebook!$J73*d,tf,Rulebook!$K73*d,IFS(x&lt;=ta,0,x&lt;=tb,25*(x-ta)/(tb-ta),x&lt;=tc,25+25*(x-tb)/(tc-tb),x&lt;=te,50+25*(x-tc)/(te-tc),x&lt;tf,75+25*(x-te)/(tf-te),TRUE,100)))</f>
        <v/>
      </c>
      <c r="V73" s="35" t="str">
        <f>IF('Stress Inputs'!V73="","",LET(d,Rulebook!$L73,x,'Stress Inputs'!V73*d,ta,Rulebook!$G73*d,tb,Rulebook!$H73*d,tc,Rulebook!$I73*d,te,Rulebook!$J73*d,tf,Rulebook!$K73*d,IFS(x&lt;=ta,0,x&lt;=tb,25*(x-ta)/(tb-ta),x&lt;=tc,25+25*(x-tb)/(tc-tb),x&lt;=te,50+25*(x-tc)/(te-tc),x&lt;tf,75+25*(x-te)/(tf-te),TRUE,100)))</f>
        <v/>
      </c>
    </row>
    <row r="74">
      <c r="A74" s="26" t="s">
        <v>767</v>
      </c>
      <c r="B74" s="26">
        <v>6.0</v>
      </c>
      <c r="C74" s="26" t="s">
        <v>768</v>
      </c>
      <c r="D74" s="26" t="s">
        <v>254</v>
      </c>
      <c r="E74" s="35" t="str">
        <f>IF('Stress Inputs'!E74="","",LET(d,Rulebook!$L74,x,'Stress Inputs'!E74*d,ta,Rulebook!$G74*d,tb,Rulebook!$H74*d,tc,Rulebook!$I74*d,te,Rulebook!$J74*d,tf,Rulebook!$K74*d,IFS(x&lt;=ta,0,x&lt;=tb,25*(x-ta)/(tb-ta),x&lt;=tc,25+25*(x-tb)/(tc-tb),x&lt;=te,50+25*(x-tc)/(te-tc),x&lt;tf,75+25*(x-te)/(tf-te),TRUE,100)))</f>
        <v/>
      </c>
      <c r="F74" s="35" t="str">
        <f>IF('Stress Inputs'!F74="","",LET(d,Rulebook!$L74,x,'Stress Inputs'!F74*d,ta,Rulebook!$G74*d,tb,Rulebook!$H74*d,tc,Rulebook!$I74*d,te,Rulebook!$J74*d,tf,Rulebook!$K74*d,IFS(x&lt;=ta,0,x&lt;=tb,25*(x-ta)/(tb-ta),x&lt;=tc,25+25*(x-tb)/(tc-tb),x&lt;=te,50+25*(x-tc)/(te-tc),x&lt;tf,75+25*(x-te)/(tf-te),TRUE,100)))</f>
        <v/>
      </c>
      <c r="G74" s="35" t="str">
        <f>IF('Stress Inputs'!G74="","",LET(d,Rulebook!$L74,x,'Stress Inputs'!G74*d,ta,Rulebook!$G74*d,tb,Rulebook!$H74*d,tc,Rulebook!$I74*d,te,Rulebook!$J74*d,tf,Rulebook!$K74*d,IFS(x&lt;=ta,0,x&lt;=tb,25*(x-ta)/(tb-ta),x&lt;=tc,25+25*(x-tb)/(tc-tb),x&lt;=te,50+25*(x-tc)/(te-tc),x&lt;tf,75+25*(x-te)/(tf-te),TRUE,100)))</f>
        <v/>
      </c>
      <c r="H74" s="35" t="str">
        <f>IF('Stress Inputs'!H74="","",LET(d,Rulebook!$L74,x,'Stress Inputs'!H74*d,ta,Rulebook!$G74*d,tb,Rulebook!$H74*d,tc,Rulebook!$I74*d,te,Rulebook!$J74*d,tf,Rulebook!$K74*d,IFS(x&lt;=ta,0,x&lt;=tb,25*(x-ta)/(tb-ta),x&lt;=tc,25+25*(x-tb)/(tc-tb),x&lt;=te,50+25*(x-tc)/(te-tc),x&lt;tf,75+25*(x-te)/(tf-te),TRUE,100)))</f>
        <v/>
      </c>
      <c r="I74" s="35" t="str">
        <f>IF('Stress Inputs'!I74="","",LET(d,Rulebook!$L74,x,'Stress Inputs'!I74*d,ta,Rulebook!$G74*d,tb,Rulebook!$H74*d,tc,Rulebook!$I74*d,te,Rulebook!$J74*d,tf,Rulebook!$K74*d,IFS(x&lt;=ta,0,x&lt;=tb,25*(x-ta)/(tb-ta),x&lt;=tc,25+25*(x-tb)/(tc-tb),x&lt;=te,50+25*(x-tc)/(te-tc),x&lt;tf,75+25*(x-te)/(tf-te),TRUE,100)))</f>
        <v/>
      </c>
      <c r="J74" s="35" t="str">
        <f>IF('Stress Inputs'!J74="","",LET(d,Rulebook!$L74,x,'Stress Inputs'!J74*d,ta,Rulebook!$G74*d,tb,Rulebook!$H74*d,tc,Rulebook!$I74*d,te,Rulebook!$J74*d,tf,Rulebook!$K74*d,IFS(x&lt;=ta,0,x&lt;=tb,25*(x-ta)/(tb-ta),x&lt;=tc,25+25*(x-tb)/(tc-tb),x&lt;=te,50+25*(x-tc)/(te-tc),x&lt;tf,75+25*(x-te)/(tf-te),TRUE,100)))</f>
        <v/>
      </c>
      <c r="K74" s="35" t="str">
        <f>IF('Stress Inputs'!K74="","",LET(d,Rulebook!$L74,x,'Stress Inputs'!K74*d,ta,Rulebook!$G74*d,tb,Rulebook!$H74*d,tc,Rulebook!$I74*d,te,Rulebook!$J74*d,tf,Rulebook!$K74*d,IFS(x&lt;=ta,0,x&lt;=tb,25*(x-ta)/(tb-ta),x&lt;=tc,25+25*(x-tb)/(tc-tb),x&lt;=te,50+25*(x-tc)/(te-tc),x&lt;tf,75+25*(x-te)/(tf-te),TRUE,100)))</f>
        <v/>
      </c>
      <c r="L74" s="35" t="str">
        <f>IF('Stress Inputs'!L74="","",LET(d,Rulebook!$L74,x,'Stress Inputs'!L74*d,ta,Rulebook!$G74*d,tb,Rulebook!$H74*d,tc,Rulebook!$I74*d,te,Rulebook!$J74*d,tf,Rulebook!$K74*d,IFS(x&lt;=ta,0,x&lt;=tb,25*(x-ta)/(tb-ta),x&lt;=tc,25+25*(x-tb)/(tc-tb),x&lt;=te,50+25*(x-tc)/(te-tc),x&lt;tf,75+25*(x-te)/(tf-te),TRUE,100)))</f>
        <v/>
      </c>
      <c r="M74" s="35" t="str">
        <f>IF('Stress Inputs'!M74="","",LET(d,Rulebook!$L74,x,'Stress Inputs'!M74*d,ta,Rulebook!$G74*d,tb,Rulebook!$H74*d,tc,Rulebook!$I74*d,te,Rulebook!$J74*d,tf,Rulebook!$K74*d,IFS(x&lt;=ta,0,x&lt;=tb,25*(x-ta)/(tb-ta),x&lt;=tc,25+25*(x-tb)/(tc-tb),x&lt;=te,50+25*(x-tc)/(te-tc),x&lt;tf,75+25*(x-te)/(tf-te),TRUE,100)))</f>
        <v/>
      </c>
      <c r="N74" s="35" t="str">
        <f>IF('Stress Inputs'!N74="","",LET(d,Rulebook!$L74,x,'Stress Inputs'!N74*d,ta,Rulebook!$G74*d,tb,Rulebook!$H74*d,tc,Rulebook!$I74*d,te,Rulebook!$J74*d,tf,Rulebook!$K74*d,IFS(x&lt;=ta,0,x&lt;=tb,25*(x-ta)/(tb-ta),x&lt;=tc,25+25*(x-tb)/(tc-tb),x&lt;=te,50+25*(x-tc)/(te-tc),x&lt;tf,75+25*(x-te)/(tf-te),TRUE,100)))</f>
        <v/>
      </c>
      <c r="O74" s="35" t="str">
        <f>IF('Stress Inputs'!O74="","",LET(d,Rulebook!$L74,x,'Stress Inputs'!O74*d,ta,Rulebook!$G74*d,tb,Rulebook!$H74*d,tc,Rulebook!$I74*d,te,Rulebook!$J74*d,tf,Rulebook!$K74*d,IFS(x&lt;=ta,0,x&lt;=tb,25*(x-ta)/(tb-ta),x&lt;=tc,25+25*(x-tb)/(tc-tb),x&lt;=te,50+25*(x-tc)/(te-tc),x&lt;tf,75+25*(x-te)/(tf-te),TRUE,100)))</f>
        <v/>
      </c>
      <c r="P74" s="35" t="str">
        <f>IF('Stress Inputs'!P74="","",LET(d,Rulebook!$L74,x,'Stress Inputs'!P74*d,ta,Rulebook!$G74*d,tb,Rulebook!$H74*d,tc,Rulebook!$I74*d,te,Rulebook!$J74*d,tf,Rulebook!$K74*d,IFS(x&lt;=ta,0,x&lt;=tb,25*(x-ta)/(tb-ta),x&lt;=tc,25+25*(x-tb)/(tc-tb),x&lt;=te,50+25*(x-tc)/(te-tc),x&lt;tf,75+25*(x-te)/(tf-te),TRUE,100)))</f>
        <v/>
      </c>
      <c r="Q74" s="35" t="str">
        <f>IF('Stress Inputs'!Q74="","",LET(d,Rulebook!$L74,x,'Stress Inputs'!Q74*d,ta,Rulebook!$G74*d,tb,Rulebook!$H74*d,tc,Rulebook!$I74*d,te,Rulebook!$J74*d,tf,Rulebook!$K74*d,IFS(x&lt;=ta,0,x&lt;=tb,25*(x-ta)/(tb-ta),x&lt;=tc,25+25*(x-tb)/(tc-tb),x&lt;=te,50+25*(x-tc)/(te-tc),x&lt;tf,75+25*(x-te)/(tf-te),TRUE,100)))</f>
        <v/>
      </c>
      <c r="R74" s="35" t="str">
        <f>IF('Stress Inputs'!R74="","",LET(d,Rulebook!$L74,x,'Stress Inputs'!R74*d,ta,Rulebook!$G74*d,tb,Rulebook!$H74*d,tc,Rulebook!$I74*d,te,Rulebook!$J74*d,tf,Rulebook!$K74*d,IFS(x&lt;=ta,0,x&lt;=tb,25*(x-ta)/(tb-ta),x&lt;=tc,25+25*(x-tb)/(tc-tb),x&lt;=te,50+25*(x-tc)/(te-tc),x&lt;tf,75+25*(x-te)/(tf-te),TRUE,100)))</f>
        <v/>
      </c>
      <c r="S74" s="35" t="str">
        <f>IF('Stress Inputs'!S74="","",LET(d,Rulebook!$L74,x,'Stress Inputs'!S74*d,ta,Rulebook!$G74*d,tb,Rulebook!$H74*d,tc,Rulebook!$I74*d,te,Rulebook!$J74*d,tf,Rulebook!$K74*d,IFS(x&lt;=ta,0,x&lt;=tb,25*(x-ta)/(tb-ta),x&lt;=tc,25+25*(x-tb)/(tc-tb),x&lt;=te,50+25*(x-tc)/(te-tc),x&lt;tf,75+25*(x-te)/(tf-te),TRUE,100)))</f>
        <v/>
      </c>
      <c r="T74" s="35" t="str">
        <f>IF('Stress Inputs'!T74="","",LET(d,Rulebook!$L74,x,'Stress Inputs'!T74*d,ta,Rulebook!$G74*d,tb,Rulebook!$H74*d,tc,Rulebook!$I74*d,te,Rulebook!$J74*d,tf,Rulebook!$K74*d,IFS(x&lt;=ta,0,x&lt;=tb,25*(x-ta)/(tb-ta),x&lt;=tc,25+25*(x-tb)/(tc-tb),x&lt;=te,50+25*(x-tc)/(te-tc),x&lt;tf,75+25*(x-te)/(tf-te),TRUE,100)))</f>
        <v/>
      </c>
      <c r="U74" s="35" t="str">
        <f>IF('Stress Inputs'!U74="","",LET(d,Rulebook!$L74,x,'Stress Inputs'!U74*d,ta,Rulebook!$G74*d,tb,Rulebook!$H74*d,tc,Rulebook!$I74*d,te,Rulebook!$J74*d,tf,Rulebook!$K74*d,IFS(x&lt;=ta,0,x&lt;=tb,25*(x-ta)/(tb-ta),x&lt;=tc,25+25*(x-tb)/(tc-tb),x&lt;=te,50+25*(x-tc)/(te-tc),x&lt;tf,75+25*(x-te)/(tf-te),TRUE,100)))</f>
        <v/>
      </c>
      <c r="V74" s="35" t="str">
        <f>IF('Stress Inputs'!V74="","",LET(d,Rulebook!$L74,x,'Stress Inputs'!V74*d,ta,Rulebook!$G74*d,tb,Rulebook!$H74*d,tc,Rulebook!$I74*d,te,Rulebook!$J74*d,tf,Rulebook!$K74*d,IFS(x&lt;=ta,0,x&lt;=tb,25*(x-ta)/(tb-ta),x&lt;=tc,25+25*(x-tb)/(tc-tb),x&lt;=te,50+25*(x-tc)/(te-tc),x&lt;tf,75+25*(x-te)/(tf-te),TRUE,100)))</f>
        <v/>
      </c>
    </row>
    <row r="75">
      <c r="A75" s="26" t="s">
        <v>771</v>
      </c>
      <c r="B75" s="26">
        <v>7.0</v>
      </c>
      <c r="C75" s="26" t="s">
        <v>772</v>
      </c>
      <c r="D75" s="26" t="s">
        <v>37</v>
      </c>
      <c r="E75" s="35" t="str">
        <f>IF('Stress Inputs'!E75="","",LET(d,Rulebook!$L75,x,'Stress Inputs'!E75*d,ta,Rulebook!$G75*d,tb,Rulebook!$H75*d,tc,Rulebook!$I75*d,te,Rulebook!$J75*d,tf,Rulebook!$K75*d,IFS(x&lt;=ta,0,x&lt;=tb,25*(x-ta)/(tb-ta),x&lt;=tc,25+25*(x-tb)/(tc-tb),x&lt;=te,50+25*(x-tc)/(te-tc),x&lt;tf,75+25*(x-te)/(tf-te),TRUE,100)))</f>
        <v/>
      </c>
      <c r="F75" s="35" t="str">
        <f>IF('Stress Inputs'!F75="","",LET(d,Rulebook!$L75,x,'Stress Inputs'!F75*d,ta,Rulebook!$G75*d,tb,Rulebook!$H75*d,tc,Rulebook!$I75*d,te,Rulebook!$J75*d,tf,Rulebook!$K75*d,IFS(x&lt;=ta,0,x&lt;=tb,25*(x-ta)/(tb-ta),x&lt;=tc,25+25*(x-tb)/(tc-tb),x&lt;=te,50+25*(x-tc)/(te-tc),x&lt;tf,75+25*(x-te)/(tf-te),TRUE,100)))</f>
        <v/>
      </c>
      <c r="G75" s="35" t="str">
        <f>IF('Stress Inputs'!G75="","",LET(d,Rulebook!$L75,x,'Stress Inputs'!G75*d,ta,Rulebook!$G75*d,tb,Rulebook!$H75*d,tc,Rulebook!$I75*d,te,Rulebook!$J75*d,tf,Rulebook!$K75*d,IFS(x&lt;=ta,0,x&lt;=tb,25*(x-ta)/(tb-ta),x&lt;=tc,25+25*(x-tb)/(tc-tb),x&lt;=te,50+25*(x-tc)/(te-tc),x&lt;tf,75+25*(x-te)/(tf-te),TRUE,100)))</f>
        <v/>
      </c>
      <c r="H75" s="35" t="str">
        <f>IF('Stress Inputs'!H75="","",LET(d,Rulebook!$L75,x,'Stress Inputs'!H75*d,ta,Rulebook!$G75*d,tb,Rulebook!$H75*d,tc,Rulebook!$I75*d,te,Rulebook!$J75*d,tf,Rulebook!$K75*d,IFS(x&lt;=ta,0,x&lt;=tb,25*(x-ta)/(tb-ta),x&lt;=tc,25+25*(x-tb)/(tc-tb),x&lt;=te,50+25*(x-tc)/(te-tc),x&lt;tf,75+25*(x-te)/(tf-te),TRUE,100)))</f>
        <v/>
      </c>
      <c r="I75" s="35" t="str">
        <f>IF('Stress Inputs'!I75="","",LET(d,Rulebook!$L75,x,'Stress Inputs'!I75*d,ta,Rulebook!$G75*d,tb,Rulebook!$H75*d,tc,Rulebook!$I75*d,te,Rulebook!$J75*d,tf,Rulebook!$K75*d,IFS(x&lt;=ta,0,x&lt;=tb,25*(x-ta)/(tb-ta),x&lt;=tc,25+25*(x-tb)/(tc-tb),x&lt;=te,50+25*(x-tc)/(te-tc),x&lt;tf,75+25*(x-te)/(tf-te),TRUE,100)))</f>
        <v/>
      </c>
      <c r="J75" s="35" t="str">
        <f>IF('Stress Inputs'!J75="","",LET(d,Rulebook!$L75,x,'Stress Inputs'!J75*d,ta,Rulebook!$G75*d,tb,Rulebook!$H75*d,tc,Rulebook!$I75*d,te,Rulebook!$J75*d,tf,Rulebook!$K75*d,IFS(x&lt;=ta,0,x&lt;=tb,25*(x-ta)/(tb-ta),x&lt;=tc,25+25*(x-tb)/(tc-tb),x&lt;=te,50+25*(x-tc)/(te-tc),x&lt;tf,75+25*(x-te)/(tf-te),TRUE,100)))</f>
        <v/>
      </c>
      <c r="K75" s="35" t="str">
        <f>IF('Stress Inputs'!K75="","",LET(d,Rulebook!$L75,x,'Stress Inputs'!K75*d,ta,Rulebook!$G75*d,tb,Rulebook!$H75*d,tc,Rulebook!$I75*d,te,Rulebook!$J75*d,tf,Rulebook!$K75*d,IFS(x&lt;=ta,0,x&lt;=tb,25*(x-ta)/(tb-ta),x&lt;=tc,25+25*(x-tb)/(tc-tb),x&lt;=te,50+25*(x-tc)/(te-tc),x&lt;tf,75+25*(x-te)/(tf-te),TRUE,100)))</f>
        <v/>
      </c>
      <c r="L75" s="35" t="str">
        <f>IF('Stress Inputs'!L75="","",LET(d,Rulebook!$L75,x,'Stress Inputs'!L75*d,ta,Rulebook!$G75*d,tb,Rulebook!$H75*d,tc,Rulebook!$I75*d,te,Rulebook!$J75*d,tf,Rulebook!$K75*d,IFS(x&lt;=ta,0,x&lt;=tb,25*(x-ta)/(tb-ta),x&lt;=tc,25+25*(x-tb)/(tc-tb),x&lt;=te,50+25*(x-tc)/(te-tc),x&lt;tf,75+25*(x-te)/(tf-te),TRUE,100)))</f>
        <v/>
      </c>
      <c r="M75" s="35" t="str">
        <f>IF('Stress Inputs'!M75="","",LET(d,Rulebook!$L75,x,'Stress Inputs'!M75*d,ta,Rulebook!$G75*d,tb,Rulebook!$H75*d,tc,Rulebook!$I75*d,te,Rulebook!$J75*d,tf,Rulebook!$K75*d,IFS(x&lt;=ta,0,x&lt;=tb,25*(x-ta)/(tb-ta),x&lt;=tc,25+25*(x-tb)/(tc-tb),x&lt;=te,50+25*(x-tc)/(te-tc),x&lt;tf,75+25*(x-te)/(tf-te),TRUE,100)))</f>
        <v/>
      </c>
      <c r="N75" s="35" t="str">
        <f>IF('Stress Inputs'!N75="","",LET(d,Rulebook!$L75,x,'Stress Inputs'!N75*d,ta,Rulebook!$G75*d,tb,Rulebook!$H75*d,tc,Rulebook!$I75*d,te,Rulebook!$J75*d,tf,Rulebook!$K75*d,IFS(x&lt;=ta,0,x&lt;=tb,25*(x-ta)/(tb-ta),x&lt;=tc,25+25*(x-tb)/(tc-tb),x&lt;=te,50+25*(x-tc)/(te-tc),x&lt;tf,75+25*(x-te)/(tf-te),TRUE,100)))</f>
        <v/>
      </c>
      <c r="O75" s="35" t="str">
        <f>IF('Stress Inputs'!O75="","",LET(d,Rulebook!$L75,x,'Stress Inputs'!O75*d,ta,Rulebook!$G75*d,tb,Rulebook!$H75*d,tc,Rulebook!$I75*d,te,Rulebook!$J75*d,tf,Rulebook!$K75*d,IFS(x&lt;=ta,0,x&lt;=tb,25*(x-ta)/(tb-ta),x&lt;=tc,25+25*(x-tb)/(tc-tb),x&lt;=te,50+25*(x-tc)/(te-tc),x&lt;tf,75+25*(x-te)/(tf-te),TRUE,100)))</f>
        <v/>
      </c>
      <c r="P75" s="35" t="str">
        <f>IF('Stress Inputs'!P75="","",LET(d,Rulebook!$L75,x,'Stress Inputs'!P75*d,ta,Rulebook!$G75*d,tb,Rulebook!$H75*d,tc,Rulebook!$I75*d,te,Rulebook!$J75*d,tf,Rulebook!$K75*d,IFS(x&lt;=ta,0,x&lt;=tb,25*(x-ta)/(tb-ta),x&lt;=tc,25+25*(x-tb)/(tc-tb),x&lt;=te,50+25*(x-tc)/(te-tc),x&lt;tf,75+25*(x-te)/(tf-te),TRUE,100)))</f>
        <v/>
      </c>
      <c r="Q75" s="35" t="str">
        <f>IF('Stress Inputs'!Q75="","",LET(d,Rulebook!$L75,x,'Stress Inputs'!Q75*d,ta,Rulebook!$G75*d,tb,Rulebook!$H75*d,tc,Rulebook!$I75*d,te,Rulebook!$J75*d,tf,Rulebook!$K75*d,IFS(x&lt;=ta,0,x&lt;=tb,25*(x-ta)/(tb-ta),x&lt;=tc,25+25*(x-tb)/(tc-tb),x&lt;=te,50+25*(x-tc)/(te-tc),x&lt;tf,75+25*(x-te)/(tf-te),TRUE,100)))</f>
        <v/>
      </c>
      <c r="R75" s="35" t="str">
        <f>IF('Stress Inputs'!R75="","",LET(d,Rulebook!$L75,x,'Stress Inputs'!R75*d,ta,Rulebook!$G75*d,tb,Rulebook!$H75*d,tc,Rulebook!$I75*d,te,Rulebook!$J75*d,tf,Rulebook!$K75*d,IFS(x&lt;=ta,0,x&lt;=tb,25*(x-ta)/(tb-ta),x&lt;=tc,25+25*(x-tb)/(tc-tb),x&lt;=te,50+25*(x-tc)/(te-tc),x&lt;tf,75+25*(x-te)/(tf-te),TRUE,100)))</f>
        <v/>
      </c>
      <c r="S75" s="35" t="str">
        <f>IF('Stress Inputs'!S75="","",LET(d,Rulebook!$L75,x,'Stress Inputs'!S75*d,ta,Rulebook!$G75*d,tb,Rulebook!$H75*d,tc,Rulebook!$I75*d,te,Rulebook!$J75*d,tf,Rulebook!$K75*d,IFS(x&lt;=ta,0,x&lt;=tb,25*(x-ta)/(tb-ta),x&lt;=tc,25+25*(x-tb)/(tc-tb),x&lt;=te,50+25*(x-tc)/(te-tc),x&lt;tf,75+25*(x-te)/(tf-te),TRUE,100)))</f>
        <v/>
      </c>
      <c r="T75" s="35" t="str">
        <f>IF('Stress Inputs'!T75="","",LET(d,Rulebook!$L75,x,'Stress Inputs'!T75*d,ta,Rulebook!$G75*d,tb,Rulebook!$H75*d,tc,Rulebook!$I75*d,te,Rulebook!$J75*d,tf,Rulebook!$K75*d,IFS(x&lt;=ta,0,x&lt;=tb,25*(x-ta)/(tb-ta),x&lt;=tc,25+25*(x-tb)/(tc-tb),x&lt;=te,50+25*(x-tc)/(te-tc),x&lt;tf,75+25*(x-te)/(tf-te),TRUE,100)))</f>
        <v/>
      </c>
      <c r="U75" s="35" t="str">
        <f>IF('Stress Inputs'!U75="","",LET(d,Rulebook!$L75,x,'Stress Inputs'!U75*d,ta,Rulebook!$G75*d,tb,Rulebook!$H75*d,tc,Rulebook!$I75*d,te,Rulebook!$J75*d,tf,Rulebook!$K75*d,IFS(x&lt;=ta,0,x&lt;=tb,25*(x-ta)/(tb-ta),x&lt;=tc,25+25*(x-tb)/(tc-tb),x&lt;=te,50+25*(x-tc)/(te-tc),x&lt;tf,75+25*(x-te)/(tf-te),TRUE,100)))</f>
        <v/>
      </c>
      <c r="V75" s="35" t="str">
        <f>IF('Stress Inputs'!V75="","",LET(d,Rulebook!$L75,x,'Stress Inputs'!V75*d,ta,Rulebook!$G75*d,tb,Rulebook!$H75*d,tc,Rulebook!$I75*d,te,Rulebook!$J75*d,tf,Rulebook!$K75*d,IFS(x&lt;=ta,0,x&lt;=tb,25*(x-ta)/(tb-ta),x&lt;=tc,25+25*(x-tb)/(tc-tb),x&lt;=te,50+25*(x-tc)/(te-tc),x&lt;tf,75+25*(x-te)/(tf-te),TRUE,100)))</f>
        <v/>
      </c>
    </row>
    <row r="76">
      <c r="A76" s="26" t="s">
        <v>775</v>
      </c>
      <c r="B76" s="26">
        <v>7.0</v>
      </c>
      <c r="C76" s="26" t="s">
        <v>776</v>
      </c>
      <c r="D76" s="26" t="s">
        <v>37</v>
      </c>
      <c r="E76" s="35" t="str">
        <f>IF('Stress Inputs'!E76="","",LET(d,Rulebook!$L76,x,'Stress Inputs'!E76*d,ta,Rulebook!$G76*d,tb,Rulebook!$H76*d,tc,Rulebook!$I76*d,te,Rulebook!$J76*d,tf,Rulebook!$K76*d,IFS(x&lt;=ta,0,x&lt;=tb,25*(x-ta)/(tb-ta),x&lt;=tc,25+25*(x-tb)/(tc-tb),x&lt;=te,50+25*(x-tc)/(te-tc),x&lt;tf,75+25*(x-te)/(tf-te),TRUE,100)))</f>
        <v/>
      </c>
      <c r="F76" s="35" t="str">
        <f>IF('Stress Inputs'!F76="","",LET(d,Rulebook!$L76,x,'Stress Inputs'!F76*d,ta,Rulebook!$G76*d,tb,Rulebook!$H76*d,tc,Rulebook!$I76*d,te,Rulebook!$J76*d,tf,Rulebook!$K76*d,IFS(x&lt;=ta,0,x&lt;=tb,25*(x-ta)/(tb-ta),x&lt;=tc,25+25*(x-tb)/(tc-tb),x&lt;=te,50+25*(x-tc)/(te-tc),x&lt;tf,75+25*(x-te)/(tf-te),TRUE,100)))</f>
        <v/>
      </c>
      <c r="G76" s="35" t="str">
        <f>IF('Stress Inputs'!G76="","",LET(d,Rulebook!$L76,x,'Stress Inputs'!G76*d,ta,Rulebook!$G76*d,tb,Rulebook!$H76*d,tc,Rulebook!$I76*d,te,Rulebook!$J76*d,tf,Rulebook!$K76*d,IFS(x&lt;=ta,0,x&lt;=tb,25*(x-ta)/(tb-ta),x&lt;=tc,25+25*(x-tb)/(tc-tb),x&lt;=te,50+25*(x-tc)/(te-tc),x&lt;tf,75+25*(x-te)/(tf-te),TRUE,100)))</f>
        <v/>
      </c>
      <c r="H76" s="35" t="str">
        <f>IF('Stress Inputs'!H76="","",LET(d,Rulebook!$L76,x,'Stress Inputs'!H76*d,ta,Rulebook!$G76*d,tb,Rulebook!$H76*d,tc,Rulebook!$I76*d,te,Rulebook!$J76*d,tf,Rulebook!$K76*d,IFS(x&lt;=ta,0,x&lt;=tb,25*(x-ta)/(tb-ta),x&lt;=tc,25+25*(x-tb)/(tc-tb),x&lt;=te,50+25*(x-tc)/(te-tc),x&lt;tf,75+25*(x-te)/(tf-te),TRUE,100)))</f>
        <v/>
      </c>
      <c r="I76" s="35" t="str">
        <f>IF('Stress Inputs'!I76="","",LET(d,Rulebook!$L76,x,'Stress Inputs'!I76*d,ta,Rulebook!$G76*d,tb,Rulebook!$H76*d,tc,Rulebook!$I76*d,te,Rulebook!$J76*d,tf,Rulebook!$K76*d,IFS(x&lt;=ta,0,x&lt;=tb,25*(x-ta)/(tb-ta),x&lt;=tc,25+25*(x-tb)/(tc-tb),x&lt;=te,50+25*(x-tc)/(te-tc),x&lt;tf,75+25*(x-te)/(tf-te),TRUE,100)))</f>
        <v/>
      </c>
      <c r="J76" s="35" t="str">
        <f>IF('Stress Inputs'!J76="","",LET(d,Rulebook!$L76,x,'Stress Inputs'!J76*d,ta,Rulebook!$G76*d,tb,Rulebook!$H76*d,tc,Rulebook!$I76*d,te,Rulebook!$J76*d,tf,Rulebook!$K76*d,IFS(x&lt;=ta,0,x&lt;=tb,25*(x-ta)/(tb-ta),x&lt;=tc,25+25*(x-tb)/(tc-tb),x&lt;=te,50+25*(x-tc)/(te-tc),x&lt;tf,75+25*(x-te)/(tf-te),TRUE,100)))</f>
        <v/>
      </c>
      <c r="K76" s="35" t="str">
        <f>IF('Stress Inputs'!K76="","",LET(d,Rulebook!$L76,x,'Stress Inputs'!K76*d,ta,Rulebook!$G76*d,tb,Rulebook!$H76*d,tc,Rulebook!$I76*d,te,Rulebook!$J76*d,tf,Rulebook!$K76*d,IFS(x&lt;=ta,0,x&lt;=tb,25*(x-ta)/(tb-ta),x&lt;=tc,25+25*(x-tb)/(tc-tb),x&lt;=te,50+25*(x-tc)/(te-tc),x&lt;tf,75+25*(x-te)/(tf-te),TRUE,100)))</f>
        <v/>
      </c>
      <c r="L76" s="35" t="str">
        <f>IF('Stress Inputs'!L76="","",LET(d,Rulebook!$L76,x,'Stress Inputs'!L76*d,ta,Rulebook!$G76*d,tb,Rulebook!$H76*d,tc,Rulebook!$I76*d,te,Rulebook!$J76*d,tf,Rulebook!$K76*d,IFS(x&lt;=ta,0,x&lt;=tb,25*(x-ta)/(tb-ta),x&lt;=tc,25+25*(x-tb)/(tc-tb),x&lt;=te,50+25*(x-tc)/(te-tc),x&lt;tf,75+25*(x-te)/(tf-te),TRUE,100)))</f>
        <v/>
      </c>
      <c r="M76" s="35" t="str">
        <f>IF('Stress Inputs'!M76="","",LET(d,Rulebook!$L76,x,'Stress Inputs'!M76*d,ta,Rulebook!$G76*d,tb,Rulebook!$H76*d,tc,Rulebook!$I76*d,te,Rulebook!$J76*d,tf,Rulebook!$K76*d,IFS(x&lt;=ta,0,x&lt;=tb,25*(x-ta)/(tb-ta),x&lt;=tc,25+25*(x-tb)/(tc-tb),x&lt;=te,50+25*(x-tc)/(te-tc),x&lt;tf,75+25*(x-te)/(tf-te),TRUE,100)))</f>
        <v/>
      </c>
      <c r="N76" s="35" t="str">
        <f>IF('Stress Inputs'!N76="","",LET(d,Rulebook!$L76,x,'Stress Inputs'!N76*d,ta,Rulebook!$G76*d,tb,Rulebook!$H76*d,tc,Rulebook!$I76*d,te,Rulebook!$J76*d,tf,Rulebook!$K76*d,IFS(x&lt;=ta,0,x&lt;=tb,25*(x-ta)/(tb-ta),x&lt;=tc,25+25*(x-tb)/(tc-tb),x&lt;=te,50+25*(x-tc)/(te-tc),x&lt;tf,75+25*(x-te)/(tf-te),TRUE,100)))</f>
        <v/>
      </c>
      <c r="O76" s="35" t="str">
        <f>IF('Stress Inputs'!O76="","",LET(d,Rulebook!$L76,x,'Stress Inputs'!O76*d,ta,Rulebook!$G76*d,tb,Rulebook!$H76*d,tc,Rulebook!$I76*d,te,Rulebook!$J76*d,tf,Rulebook!$K76*d,IFS(x&lt;=ta,0,x&lt;=tb,25*(x-ta)/(tb-ta),x&lt;=tc,25+25*(x-tb)/(tc-tb),x&lt;=te,50+25*(x-tc)/(te-tc),x&lt;tf,75+25*(x-te)/(tf-te),TRUE,100)))</f>
        <v/>
      </c>
      <c r="P76" s="35" t="str">
        <f>IF('Stress Inputs'!P76="","",LET(d,Rulebook!$L76,x,'Stress Inputs'!P76*d,ta,Rulebook!$G76*d,tb,Rulebook!$H76*d,tc,Rulebook!$I76*d,te,Rulebook!$J76*d,tf,Rulebook!$K76*d,IFS(x&lt;=ta,0,x&lt;=tb,25*(x-ta)/(tb-ta),x&lt;=tc,25+25*(x-tb)/(tc-tb),x&lt;=te,50+25*(x-tc)/(te-tc),x&lt;tf,75+25*(x-te)/(tf-te),TRUE,100)))</f>
        <v/>
      </c>
      <c r="Q76" s="35" t="str">
        <f>IF('Stress Inputs'!Q76="","",LET(d,Rulebook!$L76,x,'Stress Inputs'!Q76*d,ta,Rulebook!$G76*d,tb,Rulebook!$H76*d,tc,Rulebook!$I76*d,te,Rulebook!$J76*d,tf,Rulebook!$K76*d,IFS(x&lt;=ta,0,x&lt;=tb,25*(x-ta)/(tb-ta),x&lt;=tc,25+25*(x-tb)/(tc-tb),x&lt;=te,50+25*(x-tc)/(te-tc),x&lt;tf,75+25*(x-te)/(tf-te),TRUE,100)))</f>
        <v/>
      </c>
      <c r="R76" s="35" t="str">
        <f>IF('Stress Inputs'!R76="","",LET(d,Rulebook!$L76,x,'Stress Inputs'!R76*d,ta,Rulebook!$G76*d,tb,Rulebook!$H76*d,tc,Rulebook!$I76*d,te,Rulebook!$J76*d,tf,Rulebook!$K76*d,IFS(x&lt;=ta,0,x&lt;=tb,25*(x-ta)/(tb-ta),x&lt;=tc,25+25*(x-tb)/(tc-tb),x&lt;=te,50+25*(x-tc)/(te-tc),x&lt;tf,75+25*(x-te)/(tf-te),TRUE,100)))</f>
        <v/>
      </c>
      <c r="S76" s="35" t="str">
        <f>IF('Stress Inputs'!S76="","",LET(d,Rulebook!$L76,x,'Stress Inputs'!S76*d,ta,Rulebook!$G76*d,tb,Rulebook!$H76*d,tc,Rulebook!$I76*d,te,Rulebook!$J76*d,tf,Rulebook!$K76*d,IFS(x&lt;=ta,0,x&lt;=tb,25*(x-ta)/(tb-ta),x&lt;=tc,25+25*(x-tb)/(tc-tb),x&lt;=te,50+25*(x-tc)/(te-tc),x&lt;tf,75+25*(x-te)/(tf-te),TRUE,100)))</f>
        <v/>
      </c>
      <c r="T76" s="35" t="str">
        <f>IF('Stress Inputs'!T76="","",LET(d,Rulebook!$L76,x,'Stress Inputs'!T76*d,ta,Rulebook!$G76*d,tb,Rulebook!$H76*d,tc,Rulebook!$I76*d,te,Rulebook!$J76*d,tf,Rulebook!$K76*d,IFS(x&lt;=ta,0,x&lt;=tb,25*(x-ta)/(tb-ta),x&lt;=tc,25+25*(x-tb)/(tc-tb),x&lt;=te,50+25*(x-tc)/(te-tc),x&lt;tf,75+25*(x-te)/(tf-te),TRUE,100)))</f>
        <v/>
      </c>
      <c r="U76" s="35" t="str">
        <f>IF('Stress Inputs'!U76="","",LET(d,Rulebook!$L76,x,'Stress Inputs'!U76*d,ta,Rulebook!$G76*d,tb,Rulebook!$H76*d,tc,Rulebook!$I76*d,te,Rulebook!$J76*d,tf,Rulebook!$K76*d,IFS(x&lt;=ta,0,x&lt;=tb,25*(x-ta)/(tb-ta),x&lt;=tc,25+25*(x-tb)/(tc-tb),x&lt;=te,50+25*(x-tc)/(te-tc),x&lt;tf,75+25*(x-te)/(tf-te),TRUE,100)))</f>
        <v/>
      </c>
      <c r="V76" s="35" t="str">
        <f>IF('Stress Inputs'!V76="","",LET(d,Rulebook!$L76,x,'Stress Inputs'!V76*d,ta,Rulebook!$G76*d,tb,Rulebook!$H76*d,tc,Rulebook!$I76*d,te,Rulebook!$J76*d,tf,Rulebook!$K76*d,IFS(x&lt;=ta,0,x&lt;=tb,25*(x-ta)/(tb-ta),x&lt;=tc,25+25*(x-tb)/(tc-tb),x&lt;=te,50+25*(x-tc)/(te-tc),x&lt;tf,75+25*(x-te)/(tf-te),TRUE,100)))</f>
        <v/>
      </c>
    </row>
    <row r="77">
      <c r="A77" s="26" t="s">
        <v>779</v>
      </c>
      <c r="B77" s="26">
        <v>7.0</v>
      </c>
      <c r="C77" s="26" t="s">
        <v>780</v>
      </c>
      <c r="D77" s="26" t="s">
        <v>112</v>
      </c>
      <c r="E77" s="35" t="str">
        <f>IF('Stress Inputs'!E77="","",LET(d,Rulebook!$L77,x,'Stress Inputs'!E77*d,ta,Rulebook!$G77*d,tb,Rulebook!$H77*d,tc,Rulebook!$I77*d,te,Rulebook!$J77*d,tf,Rulebook!$K77*d,IFS(x&lt;=ta,0,x&lt;=tb,25*(x-ta)/(tb-ta),x&lt;=tc,25+25*(x-tb)/(tc-tb),x&lt;=te,50+25*(x-tc)/(te-tc),x&lt;tf,75+25*(x-te)/(tf-te),TRUE,100)))</f>
        <v/>
      </c>
      <c r="F77" s="35" t="str">
        <f>IF('Stress Inputs'!F77="","",LET(d,Rulebook!$L77,x,'Stress Inputs'!F77*d,ta,Rulebook!$G77*d,tb,Rulebook!$H77*d,tc,Rulebook!$I77*d,te,Rulebook!$J77*d,tf,Rulebook!$K77*d,IFS(x&lt;=ta,0,x&lt;=tb,25*(x-ta)/(tb-ta),x&lt;=tc,25+25*(x-tb)/(tc-tb),x&lt;=te,50+25*(x-tc)/(te-tc),x&lt;tf,75+25*(x-te)/(tf-te),TRUE,100)))</f>
        <v/>
      </c>
      <c r="G77" s="35" t="str">
        <f>IF('Stress Inputs'!G77="","",LET(d,Rulebook!$L77,x,'Stress Inputs'!G77*d,ta,Rulebook!$G77*d,tb,Rulebook!$H77*d,tc,Rulebook!$I77*d,te,Rulebook!$J77*d,tf,Rulebook!$K77*d,IFS(x&lt;=ta,0,x&lt;=tb,25*(x-ta)/(tb-ta),x&lt;=tc,25+25*(x-tb)/(tc-tb),x&lt;=te,50+25*(x-tc)/(te-tc),x&lt;tf,75+25*(x-te)/(tf-te),TRUE,100)))</f>
        <v/>
      </c>
      <c r="H77" s="35" t="str">
        <f>IF('Stress Inputs'!H77="","",LET(d,Rulebook!$L77,x,'Stress Inputs'!H77*d,ta,Rulebook!$G77*d,tb,Rulebook!$H77*d,tc,Rulebook!$I77*d,te,Rulebook!$J77*d,tf,Rulebook!$K77*d,IFS(x&lt;=ta,0,x&lt;=tb,25*(x-ta)/(tb-ta),x&lt;=tc,25+25*(x-tb)/(tc-tb),x&lt;=te,50+25*(x-tc)/(te-tc),x&lt;tf,75+25*(x-te)/(tf-te),TRUE,100)))</f>
        <v/>
      </c>
      <c r="I77" s="35" t="str">
        <f>IF('Stress Inputs'!I77="","",LET(d,Rulebook!$L77,x,'Stress Inputs'!I77*d,ta,Rulebook!$G77*d,tb,Rulebook!$H77*d,tc,Rulebook!$I77*d,te,Rulebook!$J77*d,tf,Rulebook!$K77*d,IFS(x&lt;=ta,0,x&lt;=tb,25*(x-ta)/(tb-ta),x&lt;=tc,25+25*(x-tb)/(tc-tb),x&lt;=te,50+25*(x-tc)/(te-tc),x&lt;tf,75+25*(x-te)/(tf-te),TRUE,100)))</f>
        <v/>
      </c>
      <c r="J77" s="35" t="str">
        <f>IF('Stress Inputs'!J77="","",LET(d,Rulebook!$L77,x,'Stress Inputs'!J77*d,ta,Rulebook!$G77*d,tb,Rulebook!$H77*d,tc,Rulebook!$I77*d,te,Rulebook!$J77*d,tf,Rulebook!$K77*d,IFS(x&lt;=ta,0,x&lt;=tb,25*(x-ta)/(tb-ta),x&lt;=tc,25+25*(x-tb)/(tc-tb),x&lt;=te,50+25*(x-tc)/(te-tc),x&lt;tf,75+25*(x-te)/(tf-te),TRUE,100)))</f>
        <v/>
      </c>
      <c r="K77" s="35" t="str">
        <f>IF('Stress Inputs'!K77="","",LET(d,Rulebook!$L77,x,'Stress Inputs'!K77*d,ta,Rulebook!$G77*d,tb,Rulebook!$H77*d,tc,Rulebook!$I77*d,te,Rulebook!$J77*d,tf,Rulebook!$K77*d,IFS(x&lt;=ta,0,x&lt;=tb,25*(x-ta)/(tb-ta),x&lt;=tc,25+25*(x-tb)/(tc-tb),x&lt;=te,50+25*(x-tc)/(te-tc),x&lt;tf,75+25*(x-te)/(tf-te),TRUE,100)))</f>
        <v/>
      </c>
      <c r="L77" s="35" t="str">
        <f>IF('Stress Inputs'!L77="","",LET(d,Rulebook!$L77,x,'Stress Inputs'!L77*d,ta,Rulebook!$G77*d,tb,Rulebook!$H77*d,tc,Rulebook!$I77*d,te,Rulebook!$J77*d,tf,Rulebook!$K77*d,IFS(x&lt;=ta,0,x&lt;=tb,25*(x-ta)/(tb-ta),x&lt;=tc,25+25*(x-tb)/(tc-tb),x&lt;=te,50+25*(x-tc)/(te-tc),x&lt;tf,75+25*(x-te)/(tf-te),TRUE,100)))</f>
        <v/>
      </c>
      <c r="M77" s="35" t="str">
        <f>IF('Stress Inputs'!M77="","",LET(d,Rulebook!$L77,x,'Stress Inputs'!M77*d,ta,Rulebook!$G77*d,tb,Rulebook!$H77*d,tc,Rulebook!$I77*d,te,Rulebook!$J77*d,tf,Rulebook!$K77*d,IFS(x&lt;=ta,0,x&lt;=tb,25*(x-ta)/(tb-ta),x&lt;=tc,25+25*(x-tb)/(tc-tb),x&lt;=te,50+25*(x-tc)/(te-tc),x&lt;tf,75+25*(x-te)/(tf-te),TRUE,100)))</f>
        <v/>
      </c>
      <c r="N77" s="35" t="str">
        <f>IF('Stress Inputs'!N77="","",LET(d,Rulebook!$L77,x,'Stress Inputs'!N77*d,ta,Rulebook!$G77*d,tb,Rulebook!$H77*d,tc,Rulebook!$I77*d,te,Rulebook!$J77*d,tf,Rulebook!$K77*d,IFS(x&lt;=ta,0,x&lt;=tb,25*(x-ta)/(tb-ta),x&lt;=tc,25+25*(x-tb)/(tc-tb),x&lt;=te,50+25*(x-tc)/(te-tc),x&lt;tf,75+25*(x-te)/(tf-te),TRUE,100)))</f>
        <v/>
      </c>
      <c r="O77" s="35" t="str">
        <f>IF('Stress Inputs'!O77="","",LET(d,Rulebook!$L77,x,'Stress Inputs'!O77*d,ta,Rulebook!$G77*d,tb,Rulebook!$H77*d,tc,Rulebook!$I77*d,te,Rulebook!$J77*d,tf,Rulebook!$K77*d,IFS(x&lt;=ta,0,x&lt;=tb,25*(x-ta)/(tb-ta),x&lt;=tc,25+25*(x-tb)/(tc-tb),x&lt;=te,50+25*(x-tc)/(te-tc),x&lt;tf,75+25*(x-te)/(tf-te),TRUE,100)))</f>
        <v/>
      </c>
      <c r="P77" s="35" t="str">
        <f>IF('Stress Inputs'!P77="","",LET(d,Rulebook!$L77,x,'Stress Inputs'!P77*d,ta,Rulebook!$G77*d,tb,Rulebook!$H77*d,tc,Rulebook!$I77*d,te,Rulebook!$J77*d,tf,Rulebook!$K77*d,IFS(x&lt;=ta,0,x&lt;=tb,25*(x-ta)/(tb-ta),x&lt;=tc,25+25*(x-tb)/(tc-tb),x&lt;=te,50+25*(x-tc)/(te-tc),x&lt;tf,75+25*(x-te)/(tf-te),TRUE,100)))</f>
        <v/>
      </c>
      <c r="Q77" s="35" t="str">
        <f>IF('Stress Inputs'!Q77="","",LET(d,Rulebook!$L77,x,'Stress Inputs'!Q77*d,ta,Rulebook!$G77*d,tb,Rulebook!$H77*d,tc,Rulebook!$I77*d,te,Rulebook!$J77*d,tf,Rulebook!$K77*d,IFS(x&lt;=ta,0,x&lt;=tb,25*(x-ta)/(tb-ta),x&lt;=tc,25+25*(x-tb)/(tc-tb),x&lt;=te,50+25*(x-tc)/(te-tc),x&lt;tf,75+25*(x-te)/(tf-te),TRUE,100)))</f>
        <v/>
      </c>
      <c r="R77" s="35" t="str">
        <f>IF('Stress Inputs'!R77="","",LET(d,Rulebook!$L77,x,'Stress Inputs'!R77*d,ta,Rulebook!$G77*d,tb,Rulebook!$H77*d,tc,Rulebook!$I77*d,te,Rulebook!$J77*d,tf,Rulebook!$K77*d,IFS(x&lt;=ta,0,x&lt;=tb,25*(x-ta)/(tb-ta),x&lt;=tc,25+25*(x-tb)/(tc-tb),x&lt;=te,50+25*(x-tc)/(te-tc),x&lt;tf,75+25*(x-te)/(tf-te),TRUE,100)))</f>
        <v/>
      </c>
      <c r="S77" s="35" t="str">
        <f>IF('Stress Inputs'!S77="","",LET(d,Rulebook!$L77,x,'Stress Inputs'!S77*d,ta,Rulebook!$G77*d,tb,Rulebook!$H77*d,tc,Rulebook!$I77*d,te,Rulebook!$J77*d,tf,Rulebook!$K77*d,IFS(x&lt;=ta,0,x&lt;=tb,25*(x-ta)/(tb-ta),x&lt;=tc,25+25*(x-tb)/(tc-tb),x&lt;=te,50+25*(x-tc)/(te-tc),x&lt;tf,75+25*(x-te)/(tf-te),TRUE,100)))</f>
        <v/>
      </c>
      <c r="T77" s="35" t="str">
        <f>IF('Stress Inputs'!T77="","",LET(d,Rulebook!$L77,x,'Stress Inputs'!T77*d,ta,Rulebook!$G77*d,tb,Rulebook!$H77*d,tc,Rulebook!$I77*d,te,Rulebook!$J77*d,tf,Rulebook!$K77*d,IFS(x&lt;=ta,0,x&lt;=tb,25*(x-ta)/(tb-ta),x&lt;=tc,25+25*(x-tb)/(tc-tb),x&lt;=te,50+25*(x-tc)/(te-tc),x&lt;tf,75+25*(x-te)/(tf-te),TRUE,100)))</f>
        <v/>
      </c>
      <c r="U77" s="35" t="str">
        <f>IF('Stress Inputs'!U77="","",LET(d,Rulebook!$L77,x,'Stress Inputs'!U77*d,ta,Rulebook!$G77*d,tb,Rulebook!$H77*d,tc,Rulebook!$I77*d,te,Rulebook!$J77*d,tf,Rulebook!$K77*d,IFS(x&lt;=ta,0,x&lt;=tb,25*(x-ta)/(tb-ta),x&lt;=tc,25+25*(x-tb)/(tc-tb),x&lt;=te,50+25*(x-tc)/(te-tc),x&lt;tf,75+25*(x-te)/(tf-te),TRUE,100)))</f>
        <v/>
      </c>
      <c r="V77" s="35" t="str">
        <f>IF('Stress Inputs'!V77="","",LET(d,Rulebook!$L77,x,'Stress Inputs'!V77*d,ta,Rulebook!$G77*d,tb,Rulebook!$H77*d,tc,Rulebook!$I77*d,te,Rulebook!$J77*d,tf,Rulebook!$K77*d,IFS(x&lt;=ta,0,x&lt;=tb,25*(x-ta)/(tb-ta),x&lt;=tc,25+25*(x-tb)/(tc-tb),x&lt;=te,50+25*(x-tc)/(te-tc),x&lt;tf,75+25*(x-te)/(tf-te),TRUE,100)))</f>
        <v/>
      </c>
    </row>
    <row r="78">
      <c r="A78" s="26" t="s">
        <v>783</v>
      </c>
      <c r="B78" s="26">
        <v>7.0</v>
      </c>
      <c r="C78" s="26" t="s">
        <v>784</v>
      </c>
      <c r="D78" s="26" t="s">
        <v>112</v>
      </c>
      <c r="E78" s="35" t="str">
        <f>IF('Stress Inputs'!E78="","",LET(d,Rulebook!$L78,x,'Stress Inputs'!E78*d,ta,Rulebook!$G78*d,tb,Rulebook!$H78*d,tc,Rulebook!$I78*d,te,Rulebook!$J78*d,tf,Rulebook!$K78*d,IFS(x&lt;=ta,0,x&lt;=tb,25*(x-ta)/(tb-ta),x&lt;=tc,25+25*(x-tb)/(tc-tb),x&lt;=te,50+25*(x-tc)/(te-tc),x&lt;tf,75+25*(x-te)/(tf-te),TRUE,100)))</f>
        <v/>
      </c>
      <c r="F78" s="35" t="str">
        <f>IF('Stress Inputs'!F78="","",LET(d,Rulebook!$L78,x,'Stress Inputs'!F78*d,ta,Rulebook!$G78*d,tb,Rulebook!$H78*d,tc,Rulebook!$I78*d,te,Rulebook!$J78*d,tf,Rulebook!$K78*d,IFS(x&lt;=ta,0,x&lt;=tb,25*(x-ta)/(tb-ta),x&lt;=tc,25+25*(x-tb)/(tc-tb),x&lt;=te,50+25*(x-tc)/(te-tc),x&lt;tf,75+25*(x-te)/(tf-te),TRUE,100)))</f>
        <v/>
      </c>
      <c r="G78" s="35" t="str">
        <f>IF('Stress Inputs'!G78="","",LET(d,Rulebook!$L78,x,'Stress Inputs'!G78*d,ta,Rulebook!$G78*d,tb,Rulebook!$H78*d,tc,Rulebook!$I78*d,te,Rulebook!$J78*d,tf,Rulebook!$K78*d,IFS(x&lt;=ta,0,x&lt;=tb,25*(x-ta)/(tb-ta),x&lt;=tc,25+25*(x-tb)/(tc-tb),x&lt;=te,50+25*(x-tc)/(te-tc),x&lt;tf,75+25*(x-te)/(tf-te),TRUE,100)))</f>
        <v/>
      </c>
      <c r="H78" s="35" t="str">
        <f>IF('Stress Inputs'!H78="","",LET(d,Rulebook!$L78,x,'Stress Inputs'!H78*d,ta,Rulebook!$G78*d,tb,Rulebook!$H78*d,tc,Rulebook!$I78*d,te,Rulebook!$J78*d,tf,Rulebook!$K78*d,IFS(x&lt;=ta,0,x&lt;=tb,25*(x-ta)/(tb-ta),x&lt;=tc,25+25*(x-tb)/(tc-tb),x&lt;=te,50+25*(x-tc)/(te-tc),x&lt;tf,75+25*(x-te)/(tf-te),TRUE,100)))</f>
        <v/>
      </c>
      <c r="I78" s="35" t="str">
        <f>IF('Stress Inputs'!I78="","",LET(d,Rulebook!$L78,x,'Stress Inputs'!I78*d,ta,Rulebook!$G78*d,tb,Rulebook!$H78*d,tc,Rulebook!$I78*d,te,Rulebook!$J78*d,tf,Rulebook!$K78*d,IFS(x&lt;=ta,0,x&lt;=tb,25*(x-ta)/(tb-ta),x&lt;=tc,25+25*(x-tb)/(tc-tb),x&lt;=te,50+25*(x-tc)/(te-tc),x&lt;tf,75+25*(x-te)/(tf-te),TRUE,100)))</f>
        <v/>
      </c>
      <c r="J78" s="35" t="str">
        <f>IF('Stress Inputs'!J78="","",LET(d,Rulebook!$L78,x,'Stress Inputs'!J78*d,ta,Rulebook!$G78*d,tb,Rulebook!$H78*d,tc,Rulebook!$I78*d,te,Rulebook!$J78*d,tf,Rulebook!$K78*d,IFS(x&lt;=ta,0,x&lt;=tb,25*(x-ta)/(tb-ta),x&lt;=tc,25+25*(x-tb)/(tc-tb),x&lt;=te,50+25*(x-tc)/(te-tc),x&lt;tf,75+25*(x-te)/(tf-te),TRUE,100)))</f>
        <v/>
      </c>
      <c r="K78" s="35" t="str">
        <f>IF('Stress Inputs'!K78="","",LET(d,Rulebook!$L78,x,'Stress Inputs'!K78*d,ta,Rulebook!$G78*d,tb,Rulebook!$H78*d,tc,Rulebook!$I78*d,te,Rulebook!$J78*d,tf,Rulebook!$K78*d,IFS(x&lt;=ta,0,x&lt;=tb,25*(x-ta)/(tb-ta),x&lt;=tc,25+25*(x-tb)/(tc-tb),x&lt;=te,50+25*(x-tc)/(te-tc),x&lt;tf,75+25*(x-te)/(tf-te),TRUE,100)))</f>
        <v/>
      </c>
      <c r="L78" s="35" t="str">
        <f>IF('Stress Inputs'!L78="","",LET(d,Rulebook!$L78,x,'Stress Inputs'!L78*d,ta,Rulebook!$G78*d,tb,Rulebook!$H78*d,tc,Rulebook!$I78*d,te,Rulebook!$J78*d,tf,Rulebook!$K78*d,IFS(x&lt;=ta,0,x&lt;=tb,25*(x-ta)/(tb-ta),x&lt;=tc,25+25*(x-tb)/(tc-tb),x&lt;=te,50+25*(x-tc)/(te-tc),x&lt;tf,75+25*(x-te)/(tf-te),TRUE,100)))</f>
        <v/>
      </c>
      <c r="M78" s="35" t="str">
        <f>IF('Stress Inputs'!M78="","",LET(d,Rulebook!$L78,x,'Stress Inputs'!M78*d,ta,Rulebook!$G78*d,tb,Rulebook!$H78*d,tc,Rulebook!$I78*d,te,Rulebook!$J78*d,tf,Rulebook!$K78*d,IFS(x&lt;=ta,0,x&lt;=tb,25*(x-ta)/(tb-ta),x&lt;=tc,25+25*(x-tb)/(tc-tb),x&lt;=te,50+25*(x-tc)/(te-tc),x&lt;tf,75+25*(x-te)/(tf-te),TRUE,100)))</f>
        <v/>
      </c>
      <c r="N78" s="35" t="str">
        <f>IF('Stress Inputs'!N78="","",LET(d,Rulebook!$L78,x,'Stress Inputs'!N78*d,ta,Rulebook!$G78*d,tb,Rulebook!$H78*d,tc,Rulebook!$I78*d,te,Rulebook!$J78*d,tf,Rulebook!$K78*d,IFS(x&lt;=ta,0,x&lt;=tb,25*(x-ta)/(tb-ta),x&lt;=tc,25+25*(x-tb)/(tc-tb),x&lt;=te,50+25*(x-tc)/(te-tc),x&lt;tf,75+25*(x-te)/(tf-te),TRUE,100)))</f>
        <v/>
      </c>
      <c r="O78" s="35" t="str">
        <f>IF('Stress Inputs'!O78="","",LET(d,Rulebook!$L78,x,'Stress Inputs'!O78*d,ta,Rulebook!$G78*d,tb,Rulebook!$H78*d,tc,Rulebook!$I78*d,te,Rulebook!$J78*d,tf,Rulebook!$K78*d,IFS(x&lt;=ta,0,x&lt;=tb,25*(x-ta)/(tb-ta),x&lt;=tc,25+25*(x-tb)/(tc-tb),x&lt;=te,50+25*(x-tc)/(te-tc),x&lt;tf,75+25*(x-te)/(tf-te),TRUE,100)))</f>
        <v/>
      </c>
      <c r="P78" s="35" t="str">
        <f>IF('Stress Inputs'!P78="","",LET(d,Rulebook!$L78,x,'Stress Inputs'!P78*d,ta,Rulebook!$G78*d,tb,Rulebook!$H78*d,tc,Rulebook!$I78*d,te,Rulebook!$J78*d,tf,Rulebook!$K78*d,IFS(x&lt;=ta,0,x&lt;=tb,25*(x-ta)/(tb-ta),x&lt;=tc,25+25*(x-tb)/(tc-tb),x&lt;=te,50+25*(x-tc)/(te-tc),x&lt;tf,75+25*(x-te)/(tf-te),TRUE,100)))</f>
        <v/>
      </c>
      <c r="Q78" s="35" t="str">
        <f>IF('Stress Inputs'!Q78="","",LET(d,Rulebook!$L78,x,'Stress Inputs'!Q78*d,ta,Rulebook!$G78*d,tb,Rulebook!$H78*d,tc,Rulebook!$I78*d,te,Rulebook!$J78*d,tf,Rulebook!$K78*d,IFS(x&lt;=ta,0,x&lt;=tb,25*(x-ta)/(tb-ta),x&lt;=tc,25+25*(x-tb)/(tc-tb),x&lt;=te,50+25*(x-tc)/(te-tc),x&lt;tf,75+25*(x-te)/(tf-te),TRUE,100)))</f>
        <v/>
      </c>
      <c r="R78" s="35" t="str">
        <f>IF('Stress Inputs'!R78="","",LET(d,Rulebook!$L78,x,'Stress Inputs'!R78*d,ta,Rulebook!$G78*d,tb,Rulebook!$H78*d,tc,Rulebook!$I78*d,te,Rulebook!$J78*d,tf,Rulebook!$K78*d,IFS(x&lt;=ta,0,x&lt;=tb,25*(x-ta)/(tb-ta),x&lt;=tc,25+25*(x-tb)/(tc-tb),x&lt;=te,50+25*(x-tc)/(te-tc),x&lt;tf,75+25*(x-te)/(tf-te),TRUE,100)))</f>
        <v/>
      </c>
      <c r="S78" s="35" t="str">
        <f>IF('Stress Inputs'!S78="","",LET(d,Rulebook!$L78,x,'Stress Inputs'!S78*d,ta,Rulebook!$G78*d,tb,Rulebook!$H78*d,tc,Rulebook!$I78*d,te,Rulebook!$J78*d,tf,Rulebook!$K78*d,IFS(x&lt;=ta,0,x&lt;=tb,25*(x-ta)/(tb-ta),x&lt;=tc,25+25*(x-tb)/(tc-tb),x&lt;=te,50+25*(x-tc)/(te-tc),x&lt;tf,75+25*(x-te)/(tf-te),TRUE,100)))</f>
        <v/>
      </c>
      <c r="T78" s="35" t="str">
        <f>IF('Stress Inputs'!T78="","",LET(d,Rulebook!$L78,x,'Stress Inputs'!T78*d,ta,Rulebook!$G78*d,tb,Rulebook!$H78*d,tc,Rulebook!$I78*d,te,Rulebook!$J78*d,tf,Rulebook!$K78*d,IFS(x&lt;=ta,0,x&lt;=tb,25*(x-ta)/(tb-ta),x&lt;=tc,25+25*(x-tb)/(tc-tb),x&lt;=te,50+25*(x-tc)/(te-tc),x&lt;tf,75+25*(x-te)/(tf-te),TRUE,100)))</f>
        <v/>
      </c>
      <c r="U78" s="35" t="str">
        <f>IF('Stress Inputs'!U78="","",LET(d,Rulebook!$L78,x,'Stress Inputs'!U78*d,ta,Rulebook!$G78*d,tb,Rulebook!$H78*d,tc,Rulebook!$I78*d,te,Rulebook!$J78*d,tf,Rulebook!$K78*d,IFS(x&lt;=ta,0,x&lt;=tb,25*(x-ta)/(tb-ta),x&lt;=tc,25+25*(x-tb)/(tc-tb),x&lt;=te,50+25*(x-tc)/(te-tc),x&lt;tf,75+25*(x-te)/(tf-te),TRUE,100)))</f>
        <v/>
      </c>
      <c r="V78" s="35" t="str">
        <f>IF('Stress Inputs'!V78="","",LET(d,Rulebook!$L78,x,'Stress Inputs'!V78*d,ta,Rulebook!$G78*d,tb,Rulebook!$H78*d,tc,Rulebook!$I78*d,te,Rulebook!$J78*d,tf,Rulebook!$K78*d,IFS(x&lt;=ta,0,x&lt;=tb,25*(x-ta)/(tb-ta),x&lt;=tc,25+25*(x-tb)/(tc-tb),x&lt;=te,50+25*(x-tc)/(te-tc),x&lt;tf,75+25*(x-te)/(tf-te),TRUE,100)))</f>
        <v/>
      </c>
    </row>
    <row r="79">
      <c r="A79" s="26" t="s">
        <v>786</v>
      </c>
      <c r="B79" s="26">
        <v>7.0</v>
      </c>
      <c r="C79" s="26" t="s">
        <v>787</v>
      </c>
      <c r="D79" s="26" t="s">
        <v>112</v>
      </c>
      <c r="E79" s="35" t="str">
        <f>IF('Stress Inputs'!E79="","",LET(d,Rulebook!$L79,x,'Stress Inputs'!E79*d,ta,Rulebook!$G79*d,tb,Rulebook!$H79*d,tc,Rulebook!$I79*d,te,Rulebook!$J79*d,tf,Rulebook!$K79*d,IFS(x&lt;=ta,0,x&lt;=tb,25*(x-ta)/(tb-ta),x&lt;=tc,25+25*(x-tb)/(tc-tb),x&lt;=te,50+25*(x-tc)/(te-tc),x&lt;tf,75+25*(x-te)/(tf-te),TRUE,100)))</f>
        <v/>
      </c>
      <c r="F79" s="35" t="str">
        <f>IF('Stress Inputs'!F79="","",LET(d,Rulebook!$L79,x,'Stress Inputs'!F79*d,ta,Rulebook!$G79*d,tb,Rulebook!$H79*d,tc,Rulebook!$I79*d,te,Rulebook!$J79*d,tf,Rulebook!$K79*d,IFS(x&lt;=ta,0,x&lt;=tb,25*(x-ta)/(tb-ta),x&lt;=tc,25+25*(x-tb)/(tc-tb),x&lt;=te,50+25*(x-tc)/(te-tc),x&lt;tf,75+25*(x-te)/(tf-te),TRUE,100)))</f>
        <v/>
      </c>
      <c r="G79" s="35" t="str">
        <f>IF('Stress Inputs'!G79="","",LET(d,Rulebook!$L79,x,'Stress Inputs'!G79*d,ta,Rulebook!$G79*d,tb,Rulebook!$H79*d,tc,Rulebook!$I79*d,te,Rulebook!$J79*d,tf,Rulebook!$K79*d,IFS(x&lt;=ta,0,x&lt;=tb,25*(x-ta)/(tb-ta),x&lt;=tc,25+25*(x-tb)/(tc-tb),x&lt;=te,50+25*(x-tc)/(te-tc),x&lt;tf,75+25*(x-te)/(tf-te),TRUE,100)))</f>
        <v/>
      </c>
      <c r="H79" s="35" t="str">
        <f>IF('Stress Inputs'!H79="","",LET(d,Rulebook!$L79,x,'Stress Inputs'!H79*d,ta,Rulebook!$G79*d,tb,Rulebook!$H79*d,tc,Rulebook!$I79*d,te,Rulebook!$J79*d,tf,Rulebook!$K79*d,IFS(x&lt;=ta,0,x&lt;=tb,25*(x-ta)/(tb-ta),x&lt;=tc,25+25*(x-tb)/(tc-tb),x&lt;=te,50+25*(x-tc)/(te-tc),x&lt;tf,75+25*(x-te)/(tf-te),TRUE,100)))</f>
        <v/>
      </c>
      <c r="I79" s="35" t="str">
        <f>IF('Stress Inputs'!I79="","",LET(d,Rulebook!$L79,x,'Stress Inputs'!I79*d,ta,Rulebook!$G79*d,tb,Rulebook!$H79*d,tc,Rulebook!$I79*d,te,Rulebook!$J79*d,tf,Rulebook!$K79*d,IFS(x&lt;=ta,0,x&lt;=tb,25*(x-ta)/(tb-ta),x&lt;=tc,25+25*(x-tb)/(tc-tb),x&lt;=te,50+25*(x-tc)/(te-tc),x&lt;tf,75+25*(x-te)/(tf-te),TRUE,100)))</f>
        <v/>
      </c>
      <c r="J79" s="35" t="str">
        <f>IF('Stress Inputs'!J79="","",LET(d,Rulebook!$L79,x,'Stress Inputs'!J79*d,ta,Rulebook!$G79*d,tb,Rulebook!$H79*d,tc,Rulebook!$I79*d,te,Rulebook!$J79*d,tf,Rulebook!$K79*d,IFS(x&lt;=ta,0,x&lt;=tb,25*(x-ta)/(tb-ta),x&lt;=tc,25+25*(x-tb)/(tc-tb),x&lt;=te,50+25*(x-tc)/(te-tc),x&lt;tf,75+25*(x-te)/(tf-te),TRUE,100)))</f>
        <v/>
      </c>
      <c r="K79" s="35" t="str">
        <f>IF('Stress Inputs'!K79="","",LET(d,Rulebook!$L79,x,'Stress Inputs'!K79*d,ta,Rulebook!$G79*d,tb,Rulebook!$H79*d,tc,Rulebook!$I79*d,te,Rulebook!$J79*d,tf,Rulebook!$K79*d,IFS(x&lt;=ta,0,x&lt;=tb,25*(x-ta)/(tb-ta),x&lt;=tc,25+25*(x-tb)/(tc-tb),x&lt;=te,50+25*(x-tc)/(te-tc),x&lt;tf,75+25*(x-te)/(tf-te),TRUE,100)))</f>
        <v/>
      </c>
      <c r="L79" s="35" t="str">
        <f>IF('Stress Inputs'!L79="","",LET(d,Rulebook!$L79,x,'Stress Inputs'!L79*d,ta,Rulebook!$G79*d,tb,Rulebook!$H79*d,tc,Rulebook!$I79*d,te,Rulebook!$J79*d,tf,Rulebook!$K79*d,IFS(x&lt;=ta,0,x&lt;=tb,25*(x-ta)/(tb-ta),x&lt;=tc,25+25*(x-tb)/(tc-tb),x&lt;=te,50+25*(x-tc)/(te-tc),x&lt;tf,75+25*(x-te)/(tf-te),TRUE,100)))</f>
        <v/>
      </c>
      <c r="M79" s="35" t="str">
        <f>IF('Stress Inputs'!M79="","",LET(d,Rulebook!$L79,x,'Stress Inputs'!M79*d,ta,Rulebook!$G79*d,tb,Rulebook!$H79*d,tc,Rulebook!$I79*d,te,Rulebook!$J79*d,tf,Rulebook!$K79*d,IFS(x&lt;=ta,0,x&lt;=tb,25*(x-ta)/(tb-ta),x&lt;=tc,25+25*(x-tb)/(tc-tb),x&lt;=te,50+25*(x-tc)/(te-tc),x&lt;tf,75+25*(x-te)/(tf-te),TRUE,100)))</f>
        <v/>
      </c>
      <c r="N79" s="35" t="str">
        <f>IF('Stress Inputs'!N79="","",LET(d,Rulebook!$L79,x,'Stress Inputs'!N79*d,ta,Rulebook!$G79*d,tb,Rulebook!$H79*d,tc,Rulebook!$I79*d,te,Rulebook!$J79*d,tf,Rulebook!$K79*d,IFS(x&lt;=ta,0,x&lt;=tb,25*(x-ta)/(tb-ta),x&lt;=tc,25+25*(x-tb)/(tc-tb),x&lt;=te,50+25*(x-tc)/(te-tc),x&lt;tf,75+25*(x-te)/(tf-te),TRUE,100)))</f>
        <v/>
      </c>
      <c r="O79" s="35" t="str">
        <f>IF('Stress Inputs'!O79="","",LET(d,Rulebook!$L79,x,'Stress Inputs'!O79*d,ta,Rulebook!$G79*d,tb,Rulebook!$H79*d,tc,Rulebook!$I79*d,te,Rulebook!$J79*d,tf,Rulebook!$K79*d,IFS(x&lt;=ta,0,x&lt;=tb,25*(x-ta)/(tb-ta),x&lt;=tc,25+25*(x-tb)/(tc-tb),x&lt;=te,50+25*(x-tc)/(te-tc),x&lt;tf,75+25*(x-te)/(tf-te),TRUE,100)))</f>
        <v/>
      </c>
      <c r="P79" s="35" t="str">
        <f>IF('Stress Inputs'!P79="","",LET(d,Rulebook!$L79,x,'Stress Inputs'!P79*d,ta,Rulebook!$G79*d,tb,Rulebook!$H79*d,tc,Rulebook!$I79*d,te,Rulebook!$J79*d,tf,Rulebook!$K79*d,IFS(x&lt;=ta,0,x&lt;=tb,25*(x-ta)/(tb-ta),x&lt;=tc,25+25*(x-tb)/(tc-tb),x&lt;=te,50+25*(x-tc)/(te-tc),x&lt;tf,75+25*(x-te)/(tf-te),TRUE,100)))</f>
        <v/>
      </c>
      <c r="Q79" s="35" t="str">
        <f>IF('Stress Inputs'!Q79="","",LET(d,Rulebook!$L79,x,'Stress Inputs'!Q79*d,ta,Rulebook!$G79*d,tb,Rulebook!$H79*d,tc,Rulebook!$I79*d,te,Rulebook!$J79*d,tf,Rulebook!$K79*d,IFS(x&lt;=ta,0,x&lt;=tb,25*(x-ta)/(tb-ta),x&lt;=tc,25+25*(x-tb)/(tc-tb),x&lt;=te,50+25*(x-tc)/(te-tc),x&lt;tf,75+25*(x-te)/(tf-te),TRUE,100)))</f>
        <v/>
      </c>
      <c r="R79" s="35" t="str">
        <f>IF('Stress Inputs'!R79="","",LET(d,Rulebook!$L79,x,'Stress Inputs'!R79*d,ta,Rulebook!$G79*d,tb,Rulebook!$H79*d,tc,Rulebook!$I79*d,te,Rulebook!$J79*d,tf,Rulebook!$K79*d,IFS(x&lt;=ta,0,x&lt;=tb,25*(x-ta)/(tb-ta),x&lt;=tc,25+25*(x-tb)/(tc-tb),x&lt;=te,50+25*(x-tc)/(te-tc),x&lt;tf,75+25*(x-te)/(tf-te),TRUE,100)))</f>
        <v/>
      </c>
      <c r="S79" s="35" t="str">
        <f>IF('Stress Inputs'!S79="","",LET(d,Rulebook!$L79,x,'Stress Inputs'!S79*d,ta,Rulebook!$G79*d,tb,Rulebook!$H79*d,tc,Rulebook!$I79*d,te,Rulebook!$J79*d,tf,Rulebook!$K79*d,IFS(x&lt;=ta,0,x&lt;=tb,25*(x-ta)/(tb-ta),x&lt;=tc,25+25*(x-tb)/(tc-tb),x&lt;=te,50+25*(x-tc)/(te-tc),x&lt;tf,75+25*(x-te)/(tf-te),TRUE,100)))</f>
        <v/>
      </c>
      <c r="T79" s="35" t="str">
        <f>IF('Stress Inputs'!T79="","",LET(d,Rulebook!$L79,x,'Stress Inputs'!T79*d,ta,Rulebook!$G79*d,tb,Rulebook!$H79*d,tc,Rulebook!$I79*d,te,Rulebook!$J79*d,tf,Rulebook!$K79*d,IFS(x&lt;=ta,0,x&lt;=tb,25*(x-ta)/(tb-ta),x&lt;=tc,25+25*(x-tb)/(tc-tb),x&lt;=te,50+25*(x-tc)/(te-tc),x&lt;tf,75+25*(x-te)/(tf-te),TRUE,100)))</f>
        <v/>
      </c>
      <c r="U79" s="35" t="str">
        <f>IF('Stress Inputs'!U79="","",LET(d,Rulebook!$L79,x,'Stress Inputs'!U79*d,ta,Rulebook!$G79*d,tb,Rulebook!$H79*d,tc,Rulebook!$I79*d,te,Rulebook!$J79*d,tf,Rulebook!$K79*d,IFS(x&lt;=ta,0,x&lt;=tb,25*(x-ta)/(tb-ta),x&lt;=tc,25+25*(x-tb)/(tc-tb),x&lt;=te,50+25*(x-tc)/(te-tc),x&lt;tf,75+25*(x-te)/(tf-te),TRUE,100)))</f>
        <v/>
      </c>
      <c r="V79" s="35" t="str">
        <f>IF('Stress Inputs'!V79="","",LET(d,Rulebook!$L79,x,'Stress Inputs'!V79*d,ta,Rulebook!$G79*d,tb,Rulebook!$H79*d,tc,Rulebook!$I79*d,te,Rulebook!$J79*d,tf,Rulebook!$K79*d,IFS(x&lt;=ta,0,x&lt;=tb,25*(x-ta)/(tb-ta),x&lt;=tc,25+25*(x-tb)/(tc-tb),x&lt;=te,50+25*(x-tc)/(te-tc),x&lt;tf,75+25*(x-te)/(tf-te),TRUE,100)))</f>
        <v/>
      </c>
    </row>
    <row r="80">
      <c r="A80" s="26" t="s">
        <v>790</v>
      </c>
      <c r="B80" s="26">
        <v>7.0</v>
      </c>
      <c r="C80" s="26" t="s">
        <v>791</v>
      </c>
      <c r="D80" s="26" t="s">
        <v>254</v>
      </c>
      <c r="E80" s="35" t="str">
        <f>IF('Stress Inputs'!E80="","",LET(d,Rulebook!$L80,x,'Stress Inputs'!E80*d,ta,Rulebook!$G80*d,tb,Rulebook!$H80*d,tc,Rulebook!$I80*d,te,Rulebook!$J80*d,tf,Rulebook!$K80*d,IFS(x&lt;=ta,0,x&lt;=tb,25*(x-ta)/(tb-ta),x&lt;=tc,25+25*(x-tb)/(tc-tb),x&lt;=te,50+25*(x-tc)/(te-tc),x&lt;tf,75+25*(x-te)/(tf-te),TRUE,100)))</f>
        <v/>
      </c>
      <c r="F80" s="35" t="str">
        <f>IF('Stress Inputs'!F80="","",LET(d,Rulebook!$L80,x,'Stress Inputs'!F80*d,ta,Rulebook!$G80*d,tb,Rulebook!$H80*d,tc,Rulebook!$I80*d,te,Rulebook!$J80*d,tf,Rulebook!$K80*d,IFS(x&lt;=ta,0,x&lt;=tb,25*(x-ta)/(tb-ta),x&lt;=tc,25+25*(x-tb)/(tc-tb),x&lt;=te,50+25*(x-tc)/(te-tc),x&lt;tf,75+25*(x-te)/(tf-te),TRUE,100)))</f>
        <v/>
      </c>
      <c r="G80" s="35" t="str">
        <f>IF('Stress Inputs'!G80="","",LET(d,Rulebook!$L80,x,'Stress Inputs'!G80*d,ta,Rulebook!$G80*d,tb,Rulebook!$H80*d,tc,Rulebook!$I80*d,te,Rulebook!$J80*d,tf,Rulebook!$K80*d,IFS(x&lt;=ta,0,x&lt;=tb,25*(x-ta)/(tb-ta),x&lt;=tc,25+25*(x-tb)/(tc-tb),x&lt;=te,50+25*(x-tc)/(te-tc),x&lt;tf,75+25*(x-te)/(tf-te),TRUE,100)))</f>
        <v/>
      </c>
      <c r="H80" s="35" t="str">
        <f>IF('Stress Inputs'!H80="","",LET(d,Rulebook!$L80,x,'Stress Inputs'!H80*d,ta,Rulebook!$G80*d,tb,Rulebook!$H80*d,tc,Rulebook!$I80*d,te,Rulebook!$J80*d,tf,Rulebook!$K80*d,IFS(x&lt;=ta,0,x&lt;=tb,25*(x-ta)/(tb-ta),x&lt;=tc,25+25*(x-tb)/(tc-tb),x&lt;=te,50+25*(x-tc)/(te-tc),x&lt;tf,75+25*(x-te)/(tf-te),TRUE,100)))</f>
        <v/>
      </c>
      <c r="I80" s="35" t="str">
        <f>IF('Stress Inputs'!I80="","",LET(d,Rulebook!$L80,x,'Stress Inputs'!I80*d,ta,Rulebook!$G80*d,tb,Rulebook!$H80*d,tc,Rulebook!$I80*d,te,Rulebook!$J80*d,tf,Rulebook!$K80*d,IFS(x&lt;=ta,0,x&lt;=tb,25*(x-ta)/(tb-ta),x&lt;=tc,25+25*(x-tb)/(tc-tb),x&lt;=te,50+25*(x-tc)/(te-tc),x&lt;tf,75+25*(x-te)/(tf-te),TRUE,100)))</f>
        <v/>
      </c>
      <c r="J80" s="35" t="str">
        <f>IF('Stress Inputs'!J80="","",LET(d,Rulebook!$L80,x,'Stress Inputs'!J80*d,ta,Rulebook!$G80*d,tb,Rulebook!$H80*d,tc,Rulebook!$I80*d,te,Rulebook!$J80*d,tf,Rulebook!$K80*d,IFS(x&lt;=ta,0,x&lt;=tb,25*(x-ta)/(tb-ta),x&lt;=tc,25+25*(x-tb)/(tc-tb),x&lt;=te,50+25*(x-tc)/(te-tc),x&lt;tf,75+25*(x-te)/(tf-te),TRUE,100)))</f>
        <v/>
      </c>
      <c r="K80" s="35" t="str">
        <f>IF('Stress Inputs'!K80="","",LET(d,Rulebook!$L80,x,'Stress Inputs'!K80*d,ta,Rulebook!$G80*d,tb,Rulebook!$H80*d,tc,Rulebook!$I80*d,te,Rulebook!$J80*d,tf,Rulebook!$K80*d,IFS(x&lt;=ta,0,x&lt;=tb,25*(x-ta)/(tb-ta),x&lt;=tc,25+25*(x-tb)/(tc-tb),x&lt;=te,50+25*(x-tc)/(te-tc),x&lt;tf,75+25*(x-te)/(tf-te),TRUE,100)))</f>
        <v/>
      </c>
      <c r="L80" s="35" t="str">
        <f>IF('Stress Inputs'!L80="","",LET(d,Rulebook!$L80,x,'Stress Inputs'!L80*d,ta,Rulebook!$G80*d,tb,Rulebook!$H80*d,tc,Rulebook!$I80*d,te,Rulebook!$J80*d,tf,Rulebook!$K80*d,IFS(x&lt;=ta,0,x&lt;=tb,25*(x-ta)/(tb-ta),x&lt;=tc,25+25*(x-tb)/(tc-tb),x&lt;=te,50+25*(x-tc)/(te-tc),x&lt;tf,75+25*(x-te)/(tf-te),TRUE,100)))</f>
        <v/>
      </c>
      <c r="M80" s="35" t="str">
        <f>IF('Stress Inputs'!M80="","",LET(d,Rulebook!$L80,x,'Stress Inputs'!M80*d,ta,Rulebook!$G80*d,tb,Rulebook!$H80*d,tc,Rulebook!$I80*d,te,Rulebook!$J80*d,tf,Rulebook!$K80*d,IFS(x&lt;=ta,0,x&lt;=tb,25*(x-ta)/(tb-ta),x&lt;=tc,25+25*(x-tb)/(tc-tb),x&lt;=te,50+25*(x-tc)/(te-tc),x&lt;tf,75+25*(x-te)/(tf-te),TRUE,100)))</f>
        <v/>
      </c>
      <c r="N80" s="35" t="str">
        <f>IF('Stress Inputs'!N80="","",LET(d,Rulebook!$L80,x,'Stress Inputs'!N80*d,ta,Rulebook!$G80*d,tb,Rulebook!$H80*d,tc,Rulebook!$I80*d,te,Rulebook!$J80*d,tf,Rulebook!$K80*d,IFS(x&lt;=ta,0,x&lt;=tb,25*(x-ta)/(tb-ta),x&lt;=tc,25+25*(x-tb)/(tc-tb),x&lt;=te,50+25*(x-tc)/(te-tc),x&lt;tf,75+25*(x-te)/(tf-te),TRUE,100)))</f>
        <v/>
      </c>
      <c r="O80" s="35" t="str">
        <f>IF('Stress Inputs'!O80="","",LET(d,Rulebook!$L80,x,'Stress Inputs'!O80*d,ta,Rulebook!$G80*d,tb,Rulebook!$H80*d,tc,Rulebook!$I80*d,te,Rulebook!$J80*d,tf,Rulebook!$K80*d,IFS(x&lt;=ta,0,x&lt;=tb,25*(x-ta)/(tb-ta),x&lt;=tc,25+25*(x-tb)/(tc-tb),x&lt;=te,50+25*(x-tc)/(te-tc),x&lt;tf,75+25*(x-te)/(tf-te),TRUE,100)))</f>
        <v/>
      </c>
      <c r="P80" s="35" t="str">
        <f>IF('Stress Inputs'!P80="","",LET(d,Rulebook!$L80,x,'Stress Inputs'!P80*d,ta,Rulebook!$G80*d,tb,Rulebook!$H80*d,tc,Rulebook!$I80*d,te,Rulebook!$J80*d,tf,Rulebook!$K80*d,IFS(x&lt;=ta,0,x&lt;=tb,25*(x-ta)/(tb-ta),x&lt;=tc,25+25*(x-tb)/(tc-tb),x&lt;=te,50+25*(x-tc)/(te-tc),x&lt;tf,75+25*(x-te)/(tf-te),TRUE,100)))</f>
        <v/>
      </c>
      <c r="Q80" s="35" t="str">
        <f>IF('Stress Inputs'!Q80="","",LET(d,Rulebook!$L80,x,'Stress Inputs'!Q80*d,ta,Rulebook!$G80*d,tb,Rulebook!$H80*d,tc,Rulebook!$I80*d,te,Rulebook!$J80*d,tf,Rulebook!$K80*d,IFS(x&lt;=ta,0,x&lt;=tb,25*(x-ta)/(tb-ta),x&lt;=tc,25+25*(x-tb)/(tc-tb),x&lt;=te,50+25*(x-tc)/(te-tc),x&lt;tf,75+25*(x-te)/(tf-te),TRUE,100)))</f>
        <v/>
      </c>
      <c r="R80" s="35" t="str">
        <f>IF('Stress Inputs'!R80="","",LET(d,Rulebook!$L80,x,'Stress Inputs'!R80*d,ta,Rulebook!$G80*d,tb,Rulebook!$H80*d,tc,Rulebook!$I80*d,te,Rulebook!$J80*d,tf,Rulebook!$K80*d,IFS(x&lt;=ta,0,x&lt;=tb,25*(x-ta)/(tb-ta),x&lt;=tc,25+25*(x-tb)/(tc-tb),x&lt;=te,50+25*(x-tc)/(te-tc),x&lt;tf,75+25*(x-te)/(tf-te),TRUE,100)))</f>
        <v/>
      </c>
      <c r="S80" s="35" t="str">
        <f>IF('Stress Inputs'!S80="","",LET(d,Rulebook!$L80,x,'Stress Inputs'!S80*d,ta,Rulebook!$G80*d,tb,Rulebook!$H80*d,tc,Rulebook!$I80*d,te,Rulebook!$J80*d,tf,Rulebook!$K80*d,IFS(x&lt;=ta,0,x&lt;=tb,25*(x-ta)/(tb-ta),x&lt;=tc,25+25*(x-tb)/(tc-tb),x&lt;=te,50+25*(x-tc)/(te-tc),x&lt;tf,75+25*(x-te)/(tf-te),TRUE,100)))</f>
        <v/>
      </c>
      <c r="T80" s="35" t="str">
        <f>IF('Stress Inputs'!T80="","",LET(d,Rulebook!$L80,x,'Stress Inputs'!T80*d,ta,Rulebook!$G80*d,tb,Rulebook!$H80*d,tc,Rulebook!$I80*d,te,Rulebook!$J80*d,tf,Rulebook!$K80*d,IFS(x&lt;=ta,0,x&lt;=tb,25*(x-ta)/(tb-ta),x&lt;=tc,25+25*(x-tb)/(tc-tb),x&lt;=te,50+25*(x-tc)/(te-tc),x&lt;tf,75+25*(x-te)/(tf-te),TRUE,100)))</f>
        <v/>
      </c>
      <c r="U80" s="35" t="str">
        <f>IF('Stress Inputs'!U80="","",LET(d,Rulebook!$L80,x,'Stress Inputs'!U80*d,ta,Rulebook!$G80*d,tb,Rulebook!$H80*d,tc,Rulebook!$I80*d,te,Rulebook!$J80*d,tf,Rulebook!$K80*d,IFS(x&lt;=ta,0,x&lt;=tb,25*(x-ta)/(tb-ta),x&lt;=tc,25+25*(x-tb)/(tc-tb),x&lt;=te,50+25*(x-tc)/(te-tc),x&lt;tf,75+25*(x-te)/(tf-te),TRUE,100)))</f>
        <v/>
      </c>
      <c r="V80" s="35" t="str">
        <f>IF('Stress Inputs'!V80="","",LET(d,Rulebook!$L80,x,'Stress Inputs'!V80*d,ta,Rulebook!$G80*d,tb,Rulebook!$H80*d,tc,Rulebook!$I80*d,te,Rulebook!$J80*d,tf,Rulebook!$K80*d,IFS(x&lt;=ta,0,x&lt;=tb,25*(x-ta)/(tb-ta),x&lt;=tc,25+25*(x-tb)/(tc-tb),x&lt;=te,50+25*(x-tc)/(te-tc),x&lt;tf,75+25*(x-te)/(tf-te),TRUE,100)))</f>
        <v/>
      </c>
    </row>
    <row r="81">
      <c r="A81" s="26" t="s">
        <v>794</v>
      </c>
      <c r="B81" s="26">
        <v>7.0</v>
      </c>
      <c r="C81" s="26" t="s">
        <v>795</v>
      </c>
      <c r="D81" s="26" t="s">
        <v>254</v>
      </c>
      <c r="E81" s="35" t="str">
        <f>IF('Stress Inputs'!E81="","",LET(d,Rulebook!$L81,x,'Stress Inputs'!E81*d,ta,Rulebook!$G81*d,tb,Rulebook!$H81*d,tc,Rulebook!$I81*d,te,Rulebook!$J81*d,tf,Rulebook!$K81*d,IFS(x&lt;=ta,0,x&lt;=tb,25*(x-ta)/(tb-ta),x&lt;=tc,25+25*(x-tb)/(tc-tb),x&lt;=te,50+25*(x-tc)/(te-tc),x&lt;tf,75+25*(x-te)/(tf-te),TRUE,100)))</f>
        <v/>
      </c>
      <c r="F81" s="35" t="str">
        <f>IF('Stress Inputs'!F81="","",LET(d,Rulebook!$L81,x,'Stress Inputs'!F81*d,ta,Rulebook!$G81*d,tb,Rulebook!$H81*d,tc,Rulebook!$I81*d,te,Rulebook!$J81*d,tf,Rulebook!$K81*d,IFS(x&lt;=ta,0,x&lt;=tb,25*(x-ta)/(tb-ta),x&lt;=tc,25+25*(x-tb)/(tc-tb),x&lt;=te,50+25*(x-tc)/(te-tc),x&lt;tf,75+25*(x-te)/(tf-te),TRUE,100)))</f>
        <v/>
      </c>
      <c r="G81" s="35" t="str">
        <f>IF('Stress Inputs'!G81="","",LET(d,Rulebook!$L81,x,'Stress Inputs'!G81*d,ta,Rulebook!$G81*d,tb,Rulebook!$H81*d,tc,Rulebook!$I81*d,te,Rulebook!$J81*d,tf,Rulebook!$K81*d,IFS(x&lt;=ta,0,x&lt;=tb,25*(x-ta)/(tb-ta),x&lt;=tc,25+25*(x-tb)/(tc-tb),x&lt;=te,50+25*(x-tc)/(te-tc),x&lt;tf,75+25*(x-te)/(tf-te),TRUE,100)))</f>
        <v/>
      </c>
      <c r="H81" s="35" t="str">
        <f>IF('Stress Inputs'!H81="","",LET(d,Rulebook!$L81,x,'Stress Inputs'!H81*d,ta,Rulebook!$G81*d,tb,Rulebook!$H81*d,tc,Rulebook!$I81*d,te,Rulebook!$J81*d,tf,Rulebook!$K81*d,IFS(x&lt;=ta,0,x&lt;=tb,25*(x-ta)/(tb-ta),x&lt;=tc,25+25*(x-tb)/(tc-tb),x&lt;=te,50+25*(x-tc)/(te-tc),x&lt;tf,75+25*(x-te)/(tf-te),TRUE,100)))</f>
        <v/>
      </c>
      <c r="I81" s="35" t="str">
        <f>IF('Stress Inputs'!I81="","",LET(d,Rulebook!$L81,x,'Stress Inputs'!I81*d,ta,Rulebook!$G81*d,tb,Rulebook!$H81*d,tc,Rulebook!$I81*d,te,Rulebook!$J81*d,tf,Rulebook!$K81*d,IFS(x&lt;=ta,0,x&lt;=tb,25*(x-ta)/(tb-ta),x&lt;=tc,25+25*(x-tb)/(tc-tb),x&lt;=te,50+25*(x-tc)/(te-tc),x&lt;tf,75+25*(x-te)/(tf-te),TRUE,100)))</f>
        <v/>
      </c>
      <c r="J81" s="35" t="str">
        <f>IF('Stress Inputs'!J81="","",LET(d,Rulebook!$L81,x,'Stress Inputs'!J81*d,ta,Rulebook!$G81*d,tb,Rulebook!$H81*d,tc,Rulebook!$I81*d,te,Rulebook!$J81*d,tf,Rulebook!$K81*d,IFS(x&lt;=ta,0,x&lt;=tb,25*(x-ta)/(tb-ta),x&lt;=tc,25+25*(x-tb)/(tc-tb),x&lt;=te,50+25*(x-tc)/(te-tc),x&lt;tf,75+25*(x-te)/(tf-te),TRUE,100)))</f>
        <v/>
      </c>
      <c r="K81" s="35" t="str">
        <f>IF('Stress Inputs'!K81="","",LET(d,Rulebook!$L81,x,'Stress Inputs'!K81*d,ta,Rulebook!$G81*d,tb,Rulebook!$H81*d,tc,Rulebook!$I81*d,te,Rulebook!$J81*d,tf,Rulebook!$K81*d,IFS(x&lt;=ta,0,x&lt;=tb,25*(x-ta)/(tb-ta),x&lt;=tc,25+25*(x-tb)/(tc-tb),x&lt;=te,50+25*(x-tc)/(te-tc),x&lt;tf,75+25*(x-te)/(tf-te),TRUE,100)))</f>
        <v/>
      </c>
      <c r="L81" s="35" t="str">
        <f>IF('Stress Inputs'!L81="","",LET(d,Rulebook!$L81,x,'Stress Inputs'!L81*d,ta,Rulebook!$G81*d,tb,Rulebook!$H81*d,tc,Rulebook!$I81*d,te,Rulebook!$J81*d,tf,Rulebook!$K81*d,IFS(x&lt;=ta,0,x&lt;=tb,25*(x-ta)/(tb-ta),x&lt;=tc,25+25*(x-tb)/(tc-tb),x&lt;=te,50+25*(x-tc)/(te-tc),x&lt;tf,75+25*(x-te)/(tf-te),TRUE,100)))</f>
        <v/>
      </c>
      <c r="M81" s="35" t="str">
        <f>IF('Stress Inputs'!M81="","",LET(d,Rulebook!$L81,x,'Stress Inputs'!M81*d,ta,Rulebook!$G81*d,tb,Rulebook!$H81*d,tc,Rulebook!$I81*d,te,Rulebook!$J81*d,tf,Rulebook!$K81*d,IFS(x&lt;=ta,0,x&lt;=tb,25*(x-ta)/(tb-ta),x&lt;=tc,25+25*(x-tb)/(tc-tb),x&lt;=te,50+25*(x-tc)/(te-tc),x&lt;tf,75+25*(x-te)/(tf-te),TRUE,100)))</f>
        <v/>
      </c>
      <c r="N81" s="35" t="str">
        <f>IF('Stress Inputs'!N81="","",LET(d,Rulebook!$L81,x,'Stress Inputs'!N81*d,ta,Rulebook!$G81*d,tb,Rulebook!$H81*d,tc,Rulebook!$I81*d,te,Rulebook!$J81*d,tf,Rulebook!$K81*d,IFS(x&lt;=ta,0,x&lt;=tb,25*(x-ta)/(tb-ta),x&lt;=tc,25+25*(x-tb)/(tc-tb),x&lt;=te,50+25*(x-tc)/(te-tc),x&lt;tf,75+25*(x-te)/(tf-te),TRUE,100)))</f>
        <v/>
      </c>
      <c r="O81" s="35" t="str">
        <f>IF('Stress Inputs'!O81="","",LET(d,Rulebook!$L81,x,'Stress Inputs'!O81*d,ta,Rulebook!$G81*d,tb,Rulebook!$H81*d,tc,Rulebook!$I81*d,te,Rulebook!$J81*d,tf,Rulebook!$K81*d,IFS(x&lt;=ta,0,x&lt;=tb,25*(x-ta)/(tb-ta),x&lt;=tc,25+25*(x-tb)/(tc-tb),x&lt;=te,50+25*(x-tc)/(te-tc),x&lt;tf,75+25*(x-te)/(tf-te),TRUE,100)))</f>
        <v/>
      </c>
      <c r="P81" s="35" t="str">
        <f>IF('Stress Inputs'!P81="","",LET(d,Rulebook!$L81,x,'Stress Inputs'!P81*d,ta,Rulebook!$G81*d,tb,Rulebook!$H81*d,tc,Rulebook!$I81*d,te,Rulebook!$J81*d,tf,Rulebook!$K81*d,IFS(x&lt;=ta,0,x&lt;=tb,25*(x-ta)/(tb-ta),x&lt;=tc,25+25*(x-tb)/(tc-tb),x&lt;=te,50+25*(x-tc)/(te-tc),x&lt;tf,75+25*(x-te)/(tf-te),TRUE,100)))</f>
        <v/>
      </c>
      <c r="Q81" s="35" t="str">
        <f>IF('Stress Inputs'!Q81="","",LET(d,Rulebook!$L81,x,'Stress Inputs'!Q81*d,ta,Rulebook!$G81*d,tb,Rulebook!$H81*d,tc,Rulebook!$I81*d,te,Rulebook!$J81*d,tf,Rulebook!$K81*d,IFS(x&lt;=ta,0,x&lt;=tb,25*(x-ta)/(tb-ta),x&lt;=tc,25+25*(x-tb)/(tc-tb),x&lt;=te,50+25*(x-tc)/(te-tc),x&lt;tf,75+25*(x-te)/(tf-te),TRUE,100)))</f>
        <v/>
      </c>
      <c r="R81" s="35" t="str">
        <f>IF('Stress Inputs'!R81="","",LET(d,Rulebook!$L81,x,'Stress Inputs'!R81*d,ta,Rulebook!$G81*d,tb,Rulebook!$H81*d,tc,Rulebook!$I81*d,te,Rulebook!$J81*d,tf,Rulebook!$K81*d,IFS(x&lt;=ta,0,x&lt;=tb,25*(x-ta)/(tb-ta),x&lt;=tc,25+25*(x-tb)/(tc-tb),x&lt;=te,50+25*(x-tc)/(te-tc),x&lt;tf,75+25*(x-te)/(tf-te),TRUE,100)))</f>
        <v/>
      </c>
      <c r="S81" s="35" t="str">
        <f>IF('Stress Inputs'!S81="","",LET(d,Rulebook!$L81,x,'Stress Inputs'!S81*d,ta,Rulebook!$G81*d,tb,Rulebook!$H81*d,tc,Rulebook!$I81*d,te,Rulebook!$J81*d,tf,Rulebook!$K81*d,IFS(x&lt;=ta,0,x&lt;=tb,25*(x-ta)/(tb-ta),x&lt;=tc,25+25*(x-tb)/(tc-tb),x&lt;=te,50+25*(x-tc)/(te-tc),x&lt;tf,75+25*(x-te)/(tf-te),TRUE,100)))</f>
        <v/>
      </c>
      <c r="T81" s="35" t="str">
        <f>IF('Stress Inputs'!T81="","",LET(d,Rulebook!$L81,x,'Stress Inputs'!T81*d,ta,Rulebook!$G81*d,tb,Rulebook!$H81*d,tc,Rulebook!$I81*d,te,Rulebook!$J81*d,tf,Rulebook!$K81*d,IFS(x&lt;=ta,0,x&lt;=tb,25*(x-ta)/(tb-ta),x&lt;=tc,25+25*(x-tb)/(tc-tb),x&lt;=te,50+25*(x-tc)/(te-tc),x&lt;tf,75+25*(x-te)/(tf-te),TRUE,100)))</f>
        <v/>
      </c>
      <c r="U81" s="35" t="str">
        <f>IF('Stress Inputs'!U81="","",LET(d,Rulebook!$L81,x,'Stress Inputs'!U81*d,ta,Rulebook!$G81*d,tb,Rulebook!$H81*d,tc,Rulebook!$I81*d,te,Rulebook!$J81*d,tf,Rulebook!$K81*d,IFS(x&lt;=ta,0,x&lt;=tb,25*(x-ta)/(tb-ta),x&lt;=tc,25+25*(x-tb)/(tc-tb),x&lt;=te,50+25*(x-tc)/(te-tc),x&lt;tf,75+25*(x-te)/(tf-te),TRUE,100)))</f>
        <v/>
      </c>
      <c r="V81" s="35" t="str">
        <f>IF('Stress Inputs'!V81="","",LET(d,Rulebook!$L81,x,'Stress Inputs'!V81*d,ta,Rulebook!$G81*d,tb,Rulebook!$H81*d,tc,Rulebook!$I81*d,te,Rulebook!$J81*d,tf,Rulebook!$K81*d,IFS(x&lt;=ta,0,x&lt;=tb,25*(x-ta)/(tb-ta),x&lt;=tc,25+25*(x-tb)/(tc-tb),x&lt;=te,50+25*(x-tc)/(te-tc),x&lt;tf,75+25*(x-te)/(tf-te),TRUE,100)))</f>
        <v/>
      </c>
    </row>
    <row r="82">
      <c r="A82" s="26" t="s">
        <v>798</v>
      </c>
      <c r="B82" s="26">
        <v>7.0</v>
      </c>
      <c r="C82" s="26" t="s">
        <v>799</v>
      </c>
      <c r="D82" s="26" t="s">
        <v>112</v>
      </c>
      <c r="E82" s="35" t="str">
        <f>IF('Stress Inputs'!E82="","",LET(d,Rulebook!$L82,x,'Stress Inputs'!E82*d,ta,Rulebook!$G82*d,tb,Rulebook!$H82*d,tc,Rulebook!$I82*d,te,Rulebook!$J82*d,tf,Rulebook!$K82*d,IFS(x&lt;=ta,0,x&lt;=tb,25*(x-ta)/(tb-ta),x&lt;=tc,25+25*(x-tb)/(tc-tb),x&lt;=te,50+25*(x-tc)/(te-tc),x&lt;tf,75+25*(x-te)/(tf-te),TRUE,100)))</f>
        <v/>
      </c>
      <c r="F82" s="35" t="str">
        <f>IF('Stress Inputs'!F82="","",LET(d,Rulebook!$L82,x,'Stress Inputs'!F82*d,ta,Rulebook!$G82*d,tb,Rulebook!$H82*d,tc,Rulebook!$I82*d,te,Rulebook!$J82*d,tf,Rulebook!$K82*d,IFS(x&lt;=ta,0,x&lt;=tb,25*(x-ta)/(tb-ta),x&lt;=tc,25+25*(x-tb)/(tc-tb),x&lt;=te,50+25*(x-tc)/(te-tc),x&lt;tf,75+25*(x-te)/(tf-te),TRUE,100)))</f>
        <v/>
      </c>
      <c r="G82" s="35" t="str">
        <f>IF('Stress Inputs'!G82="","",LET(d,Rulebook!$L82,x,'Stress Inputs'!G82*d,ta,Rulebook!$G82*d,tb,Rulebook!$H82*d,tc,Rulebook!$I82*d,te,Rulebook!$J82*d,tf,Rulebook!$K82*d,IFS(x&lt;=ta,0,x&lt;=tb,25*(x-ta)/(tb-ta),x&lt;=tc,25+25*(x-tb)/(tc-tb),x&lt;=te,50+25*(x-tc)/(te-tc),x&lt;tf,75+25*(x-te)/(tf-te),TRUE,100)))</f>
        <v/>
      </c>
      <c r="H82" s="35" t="str">
        <f>IF('Stress Inputs'!H82="","",LET(d,Rulebook!$L82,x,'Stress Inputs'!H82*d,ta,Rulebook!$G82*d,tb,Rulebook!$H82*d,tc,Rulebook!$I82*d,te,Rulebook!$J82*d,tf,Rulebook!$K82*d,IFS(x&lt;=ta,0,x&lt;=tb,25*(x-ta)/(tb-ta),x&lt;=tc,25+25*(x-tb)/(tc-tb),x&lt;=te,50+25*(x-tc)/(te-tc),x&lt;tf,75+25*(x-te)/(tf-te),TRUE,100)))</f>
        <v/>
      </c>
      <c r="I82" s="35" t="str">
        <f>IF('Stress Inputs'!I82="","",LET(d,Rulebook!$L82,x,'Stress Inputs'!I82*d,ta,Rulebook!$G82*d,tb,Rulebook!$H82*d,tc,Rulebook!$I82*d,te,Rulebook!$J82*d,tf,Rulebook!$K82*d,IFS(x&lt;=ta,0,x&lt;=tb,25*(x-ta)/(tb-ta),x&lt;=tc,25+25*(x-tb)/(tc-tb),x&lt;=te,50+25*(x-tc)/(te-tc),x&lt;tf,75+25*(x-te)/(tf-te),TRUE,100)))</f>
        <v/>
      </c>
      <c r="J82" s="35" t="str">
        <f>IF('Stress Inputs'!J82="","",LET(d,Rulebook!$L82,x,'Stress Inputs'!J82*d,ta,Rulebook!$G82*d,tb,Rulebook!$H82*d,tc,Rulebook!$I82*d,te,Rulebook!$J82*d,tf,Rulebook!$K82*d,IFS(x&lt;=ta,0,x&lt;=tb,25*(x-ta)/(tb-ta),x&lt;=tc,25+25*(x-tb)/(tc-tb),x&lt;=te,50+25*(x-tc)/(te-tc),x&lt;tf,75+25*(x-te)/(tf-te),TRUE,100)))</f>
        <v/>
      </c>
      <c r="K82" s="35" t="str">
        <f>IF('Stress Inputs'!K82="","",LET(d,Rulebook!$L82,x,'Stress Inputs'!K82*d,ta,Rulebook!$G82*d,tb,Rulebook!$H82*d,tc,Rulebook!$I82*d,te,Rulebook!$J82*d,tf,Rulebook!$K82*d,IFS(x&lt;=ta,0,x&lt;=tb,25*(x-ta)/(tb-ta),x&lt;=tc,25+25*(x-tb)/(tc-tb),x&lt;=te,50+25*(x-tc)/(te-tc),x&lt;tf,75+25*(x-te)/(tf-te),TRUE,100)))</f>
        <v/>
      </c>
      <c r="L82" s="35" t="str">
        <f>IF('Stress Inputs'!L82="","",LET(d,Rulebook!$L82,x,'Stress Inputs'!L82*d,ta,Rulebook!$G82*d,tb,Rulebook!$H82*d,tc,Rulebook!$I82*d,te,Rulebook!$J82*d,tf,Rulebook!$K82*d,IFS(x&lt;=ta,0,x&lt;=tb,25*(x-ta)/(tb-ta),x&lt;=tc,25+25*(x-tb)/(tc-tb),x&lt;=te,50+25*(x-tc)/(te-tc),x&lt;tf,75+25*(x-te)/(tf-te),TRUE,100)))</f>
        <v/>
      </c>
      <c r="M82" s="35" t="str">
        <f>IF('Stress Inputs'!M82="","",LET(d,Rulebook!$L82,x,'Stress Inputs'!M82*d,ta,Rulebook!$G82*d,tb,Rulebook!$H82*d,tc,Rulebook!$I82*d,te,Rulebook!$J82*d,tf,Rulebook!$K82*d,IFS(x&lt;=ta,0,x&lt;=tb,25*(x-ta)/(tb-ta),x&lt;=tc,25+25*(x-tb)/(tc-tb),x&lt;=te,50+25*(x-tc)/(te-tc),x&lt;tf,75+25*(x-te)/(tf-te),TRUE,100)))</f>
        <v/>
      </c>
      <c r="N82" s="35" t="str">
        <f>IF('Stress Inputs'!N82="","",LET(d,Rulebook!$L82,x,'Stress Inputs'!N82*d,ta,Rulebook!$G82*d,tb,Rulebook!$H82*d,tc,Rulebook!$I82*d,te,Rulebook!$J82*d,tf,Rulebook!$K82*d,IFS(x&lt;=ta,0,x&lt;=tb,25*(x-ta)/(tb-ta),x&lt;=tc,25+25*(x-tb)/(tc-tb),x&lt;=te,50+25*(x-tc)/(te-tc),x&lt;tf,75+25*(x-te)/(tf-te),TRUE,100)))</f>
        <v/>
      </c>
      <c r="O82" s="35" t="str">
        <f>IF('Stress Inputs'!O82="","",LET(d,Rulebook!$L82,x,'Stress Inputs'!O82*d,ta,Rulebook!$G82*d,tb,Rulebook!$H82*d,tc,Rulebook!$I82*d,te,Rulebook!$J82*d,tf,Rulebook!$K82*d,IFS(x&lt;=ta,0,x&lt;=tb,25*(x-ta)/(tb-ta),x&lt;=tc,25+25*(x-tb)/(tc-tb),x&lt;=te,50+25*(x-tc)/(te-tc),x&lt;tf,75+25*(x-te)/(tf-te),TRUE,100)))</f>
        <v/>
      </c>
      <c r="P82" s="35" t="str">
        <f>IF('Stress Inputs'!P82="","",LET(d,Rulebook!$L82,x,'Stress Inputs'!P82*d,ta,Rulebook!$G82*d,tb,Rulebook!$H82*d,tc,Rulebook!$I82*d,te,Rulebook!$J82*d,tf,Rulebook!$K82*d,IFS(x&lt;=ta,0,x&lt;=tb,25*(x-ta)/(tb-ta),x&lt;=tc,25+25*(x-tb)/(tc-tb),x&lt;=te,50+25*(x-tc)/(te-tc),x&lt;tf,75+25*(x-te)/(tf-te),TRUE,100)))</f>
        <v/>
      </c>
      <c r="Q82" s="35" t="str">
        <f>IF('Stress Inputs'!Q82="","",LET(d,Rulebook!$L82,x,'Stress Inputs'!Q82*d,ta,Rulebook!$G82*d,tb,Rulebook!$H82*d,tc,Rulebook!$I82*d,te,Rulebook!$J82*d,tf,Rulebook!$K82*d,IFS(x&lt;=ta,0,x&lt;=tb,25*(x-ta)/(tb-ta),x&lt;=tc,25+25*(x-tb)/(tc-tb),x&lt;=te,50+25*(x-tc)/(te-tc),x&lt;tf,75+25*(x-te)/(tf-te),TRUE,100)))</f>
        <v/>
      </c>
      <c r="R82" s="35" t="str">
        <f>IF('Stress Inputs'!R82="","",LET(d,Rulebook!$L82,x,'Stress Inputs'!R82*d,ta,Rulebook!$G82*d,tb,Rulebook!$H82*d,tc,Rulebook!$I82*d,te,Rulebook!$J82*d,tf,Rulebook!$K82*d,IFS(x&lt;=ta,0,x&lt;=tb,25*(x-ta)/(tb-ta),x&lt;=tc,25+25*(x-tb)/(tc-tb),x&lt;=te,50+25*(x-tc)/(te-tc),x&lt;tf,75+25*(x-te)/(tf-te),TRUE,100)))</f>
        <v/>
      </c>
      <c r="S82" s="35" t="str">
        <f>IF('Stress Inputs'!S82="","",LET(d,Rulebook!$L82,x,'Stress Inputs'!S82*d,ta,Rulebook!$G82*d,tb,Rulebook!$H82*d,tc,Rulebook!$I82*d,te,Rulebook!$J82*d,tf,Rulebook!$K82*d,IFS(x&lt;=ta,0,x&lt;=tb,25*(x-ta)/(tb-ta),x&lt;=tc,25+25*(x-tb)/(tc-tb),x&lt;=te,50+25*(x-tc)/(te-tc),x&lt;tf,75+25*(x-te)/(tf-te),TRUE,100)))</f>
        <v/>
      </c>
      <c r="T82" s="35" t="str">
        <f>IF('Stress Inputs'!T82="","",LET(d,Rulebook!$L82,x,'Stress Inputs'!T82*d,ta,Rulebook!$G82*d,tb,Rulebook!$H82*d,tc,Rulebook!$I82*d,te,Rulebook!$J82*d,tf,Rulebook!$K82*d,IFS(x&lt;=ta,0,x&lt;=tb,25*(x-ta)/(tb-ta),x&lt;=tc,25+25*(x-tb)/(tc-tb),x&lt;=te,50+25*(x-tc)/(te-tc),x&lt;tf,75+25*(x-te)/(tf-te),TRUE,100)))</f>
        <v/>
      </c>
      <c r="U82" s="35" t="str">
        <f>IF('Stress Inputs'!U82="","",LET(d,Rulebook!$L82,x,'Stress Inputs'!U82*d,ta,Rulebook!$G82*d,tb,Rulebook!$H82*d,tc,Rulebook!$I82*d,te,Rulebook!$J82*d,tf,Rulebook!$K82*d,IFS(x&lt;=ta,0,x&lt;=tb,25*(x-ta)/(tb-ta),x&lt;=tc,25+25*(x-tb)/(tc-tb),x&lt;=te,50+25*(x-tc)/(te-tc),x&lt;tf,75+25*(x-te)/(tf-te),TRUE,100)))</f>
        <v/>
      </c>
      <c r="V82" s="35" t="str">
        <f>IF('Stress Inputs'!V82="","",LET(d,Rulebook!$L82,x,'Stress Inputs'!V82*d,ta,Rulebook!$G82*d,tb,Rulebook!$H82*d,tc,Rulebook!$I82*d,te,Rulebook!$J82*d,tf,Rulebook!$K82*d,IFS(x&lt;=ta,0,x&lt;=tb,25*(x-ta)/(tb-ta),x&lt;=tc,25+25*(x-tb)/(tc-tb),x&lt;=te,50+25*(x-tc)/(te-tc),x&lt;tf,75+25*(x-te)/(tf-te),TRUE,100)))</f>
        <v/>
      </c>
    </row>
    <row r="83">
      <c r="A83" s="26" t="s">
        <v>802</v>
      </c>
      <c r="B83" s="26">
        <v>7.0</v>
      </c>
      <c r="C83" s="26" t="s">
        <v>803</v>
      </c>
      <c r="D83" s="26" t="s">
        <v>254</v>
      </c>
      <c r="E83" s="35" t="str">
        <f>IF('Stress Inputs'!E83="","",LET(d,Rulebook!$L83,x,'Stress Inputs'!E83*d,ta,Rulebook!$G83*d,tb,Rulebook!$H83*d,tc,Rulebook!$I83*d,te,Rulebook!$J83*d,tf,Rulebook!$K83*d,IFS(x&lt;=ta,0,x&lt;=tb,25*(x-ta)/(tb-ta),x&lt;=tc,25+25*(x-tb)/(tc-tb),x&lt;=te,50+25*(x-tc)/(te-tc),x&lt;tf,75+25*(x-te)/(tf-te),TRUE,100)))</f>
        <v/>
      </c>
      <c r="F83" s="35" t="str">
        <f>IF('Stress Inputs'!F83="","",LET(d,Rulebook!$L83,x,'Stress Inputs'!F83*d,ta,Rulebook!$G83*d,tb,Rulebook!$H83*d,tc,Rulebook!$I83*d,te,Rulebook!$J83*d,tf,Rulebook!$K83*d,IFS(x&lt;=ta,0,x&lt;=tb,25*(x-ta)/(tb-ta),x&lt;=tc,25+25*(x-tb)/(tc-tb),x&lt;=te,50+25*(x-tc)/(te-tc),x&lt;tf,75+25*(x-te)/(tf-te),TRUE,100)))</f>
        <v/>
      </c>
      <c r="G83" s="35" t="str">
        <f>IF('Stress Inputs'!G83="","",LET(d,Rulebook!$L83,x,'Stress Inputs'!G83*d,ta,Rulebook!$G83*d,tb,Rulebook!$H83*d,tc,Rulebook!$I83*d,te,Rulebook!$J83*d,tf,Rulebook!$K83*d,IFS(x&lt;=ta,0,x&lt;=tb,25*(x-ta)/(tb-ta),x&lt;=tc,25+25*(x-tb)/(tc-tb),x&lt;=te,50+25*(x-tc)/(te-tc),x&lt;tf,75+25*(x-te)/(tf-te),TRUE,100)))</f>
        <v/>
      </c>
      <c r="H83" s="35" t="str">
        <f>IF('Stress Inputs'!H83="","",LET(d,Rulebook!$L83,x,'Stress Inputs'!H83*d,ta,Rulebook!$G83*d,tb,Rulebook!$H83*d,tc,Rulebook!$I83*d,te,Rulebook!$J83*d,tf,Rulebook!$K83*d,IFS(x&lt;=ta,0,x&lt;=tb,25*(x-ta)/(tb-ta),x&lt;=tc,25+25*(x-tb)/(tc-tb),x&lt;=te,50+25*(x-tc)/(te-tc),x&lt;tf,75+25*(x-te)/(tf-te),TRUE,100)))</f>
        <v/>
      </c>
      <c r="I83" s="35" t="str">
        <f>IF('Stress Inputs'!I83="","",LET(d,Rulebook!$L83,x,'Stress Inputs'!I83*d,ta,Rulebook!$G83*d,tb,Rulebook!$H83*d,tc,Rulebook!$I83*d,te,Rulebook!$J83*d,tf,Rulebook!$K83*d,IFS(x&lt;=ta,0,x&lt;=tb,25*(x-ta)/(tb-ta),x&lt;=tc,25+25*(x-tb)/(tc-tb),x&lt;=te,50+25*(x-tc)/(te-tc),x&lt;tf,75+25*(x-te)/(tf-te),TRUE,100)))</f>
        <v/>
      </c>
      <c r="J83" s="35" t="str">
        <f>IF('Stress Inputs'!J83="","",LET(d,Rulebook!$L83,x,'Stress Inputs'!J83*d,ta,Rulebook!$G83*d,tb,Rulebook!$H83*d,tc,Rulebook!$I83*d,te,Rulebook!$J83*d,tf,Rulebook!$K83*d,IFS(x&lt;=ta,0,x&lt;=tb,25*(x-ta)/(tb-ta),x&lt;=tc,25+25*(x-tb)/(tc-tb),x&lt;=te,50+25*(x-tc)/(te-tc),x&lt;tf,75+25*(x-te)/(tf-te),TRUE,100)))</f>
        <v/>
      </c>
      <c r="K83" s="35" t="str">
        <f>IF('Stress Inputs'!K83="","",LET(d,Rulebook!$L83,x,'Stress Inputs'!K83*d,ta,Rulebook!$G83*d,tb,Rulebook!$H83*d,tc,Rulebook!$I83*d,te,Rulebook!$J83*d,tf,Rulebook!$K83*d,IFS(x&lt;=ta,0,x&lt;=tb,25*(x-ta)/(tb-ta),x&lt;=tc,25+25*(x-tb)/(tc-tb),x&lt;=te,50+25*(x-tc)/(te-tc),x&lt;tf,75+25*(x-te)/(tf-te),TRUE,100)))</f>
        <v/>
      </c>
      <c r="L83" s="35" t="str">
        <f>IF('Stress Inputs'!L83="","",LET(d,Rulebook!$L83,x,'Stress Inputs'!L83*d,ta,Rulebook!$G83*d,tb,Rulebook!$H83*d,tc,Rulebook!$I83*d,te,Rulebook!$J83*d,tf,Rulebook!$K83*d,IFS(x&lt;=ta,0,x&lt;=tb,25*(x-ta)/(tb-ta),x&lt;=tc,25+25*(x-tb)/(tc-tb),x&lt;=te,50+25*(x-tc)/(te-tc),x&lt;tf,75+25*(x-te)/(tf-te),TRUE,100)))</f>
        <v/>
      </c>
      <c r="M83" s="35" t="str">
        <f>IF('Stress Inputs'!M83="","",LET(d,Rulebook!$L83,x,'Stress Inputs'!M83*d,ta,Rulebook!$G83*d,tb,Rulebook!$H83*d,tc,Rulebook!$I83*d,te,Rulebook!$J83*d,tf,Rulebook!$K83*d,IFS(x&lt;=ta,0,x&lt;=tb,25*(x-ta)/(tb-ta),x&lt;=tc,25+25*(x-tb)/(tc-tb),x&lt;=te,50+25*(x-tc)/(te-tc),x&lt;tf,75+25*(x-te)/(tf-te),TRUE,100)))</f>
        <v/>
      </c>
      <c r="N83" s="35" t="str">
        <f>IF('Stress Inputs'!N83="","",LET(d,Rulebook!$L83,x,'Stress Inputs'!N83*d,ta,Rulebook!$G83*d,tb,Rulebook!$H83*d,tc,Rulebook!$I83*d,te,Rulebook!$J83*d,tf,Rulebook!$K83*d,IFS(x&lt;=ta,0,x&lt;=tb,25*(x-ta)/(tb-ta),x&lt;=tc,25+25*(x-tb)/(tc-tb),x&lt;=te,50+25*(x-tc)/(te-tc),x&lt;tf,75+25*(x-te)/(tf-te),TRUE,100)))</f>
        <v/>
      </c>
      <c r="O83" s="35" t="str">
        <f>IF('Stress Inputs'!O83="","",LET(d,Rulebook!$L83,x,'Stress Inputs'!O83*d,ta,Rulebook!$G83*d,tb,Rulebook!$H83*d,tc,Rulebook!$I83*d,te,Rulebook!$J83*d,tf,Rulebook!$K83*d,IFS(x&lt;=ta,0,x&lt;=tb,25*(x-ta)/(tb-ta),x&lt;=tc,25+25*(x-tb)/(tc-tb),x&lt;=te,50+25*(x-tc)/(te-tc),x&lt;tf,75+25*(x-te)/(tf-te),TRUE,100)))</f>
        <v/>
      </c>
      <c r="P83" s="35" t="str">
        <f>IF('Stress Inputs'!P83="","",LET(d,Rulebook!$L83,x,'Stress Inputs'!P83*d,ta,Rulebook!$G83*d,tb,Rulebook!$H83*d,tc,Rulebook!$I83*d,te,Rulebook!$J83*d,tf,Rulebook!$K83*d,IFS(x&lt;=ta,0,x&lt;=tb,25*(x-ta)/(tb-ta),x&lt;=tc,25+25*(x-tb)/(tc-tb),x&lt;=te,50+25*(x-tc)/(te-tc),x&lt;tf,75+25*(x-te)/(tf-te),TRUE,100)))</f>
        <v/>
      </c>
      <c r="Q83" s="35" t="str">
        <f>IF('Stress Inputs'!Q83="","",LET(d,Rulebook!$L83,x,'Stress Inputs'!Q83*d,ta,Rulebook!$G83*d,tb,Rulebook!$H83*d,tc,Rulebook!$I83*d,te,Rulebook!$J83*d,tf,Rulebook!$K83*d,IFS(x&lt;=ta,0,x&lt;=tb,25*(x-ta)/(tb-ta),x&lt;=tc,25+25*(x-tb)/(tc-tb),x&lt;=te,50+25*(x-tc)/(te-tc),x&lt;tf,75+25*(x-te)/(tf-te),TRUE,100)))</f>
        <v/>
      </c>
      <c r="R83" s="35" t="str">
        <f>IF('Stress Inputs'!R83="","",LET(d,Rulebook!$L83,x,'Stress Inputs'!R83*d,ta,Rulebook!$G83*d,tb,Rulebook!$H83*d,tc,Rulebook!$I83*d,te,Rulebook!$J83*d,tf,Rulebook!$K83*d,IFS(x&lt;=ta,0,x&lt;=tb,25*(x-ta)/(tb-ta),x&lt;=tc,25+25*(x-tb)/(tc-tb),x&lt;=te,50+25*(x-tc)/(te-tc),x&lt;tf,75+25*(x-te)/(tf-te),TRUE,100)))</f>
        <v/>
      </c>
      <c r="S83" s="35" t="str">
        <f>IF('Stress Inputs'!S83="","",LET(d,Rulebook!$L83,x,'Stress Inputs'!S83*d,ta,Rulebook!$G83*d,tb,Rulebook!$H83*d,tc,Rulebook!$I83*d,te,Rulebook!$J83*d,tf,Rulebook!$K83*d,IFS(x&lt;=ta,0,x&lt;=tb,25*(x-ta)/(tb-ta),x&lt;=tc,25+25*(x-tb)/(tc-tb),x&lt;=te,50+25*(x-tc)/(te-tc),x&lt;tf,75+25*(x-te)/(tf-te),TRUE,100)))</f>
        <v/>
      </c>
      <c r="T83" s="35" t="str">
        <f>IF('Stress Inputs'!T83="","",LET(d,Rulebook!$L83,x,'Stress Inputs'!T83*d,ta,Rulebook!$G83*d,tb,Rulebook!$H83*d,tc,Rulebook!$I83*d,te,Rulebook!$J83*d,tf,Rulebook!$K83*d,IFS(x&lt;=ta,0,x&lt;=tb,25*(x-ta)/(tb-ta),x&lt;=tc,25+25*(x-tb)/(tc-tb),x&lt;=te,50+25*(x-tc)/(te-tc),x&lt;tf,75+25*(x-te)/(tf-te),TRUE,100)))</f>
        <v/>
      </c>
      <c r="U83" s="35" t="str">
        <f>IF('Stress Inputs'!U83="","",LET(d,Rulebook!$L83,x,'Stress Inputs'!U83*d,ta,Rulebook!$G83*d,tb,Rulebook!$H83*d,tc,Rulebook!$I83*d,te,Rulebook!$J83*d,tf,Rulebook!$K83*d,IFS(x&lt;=ta,0,x&lt;=tb,25*(x-ta)/(tb-ta),x&lt;=tc,25+25*(x-tb)/(tc-tb),x&lt;=te,50+25*(x-tc)/(te-tc),x&lt;tf,75+25*(x-te)/(tf-te),TRUE,100)))</f>
        <v/>
      </c>
      <c r="V83" s="35" t="str">
        <f>IF('Stress Inputs'!V83="","",LET(d,Rulebook!$L83,x,'Stress Inputs'!V83*d,ta,Rulebook!$G83*d,tb,Rulebook!$H83*d,tc,Rulebook!$I83*d,te,Rulebook!$J83*d,tf,Rulebook!$K83*d,IFS(x&lt;=ta,0,x&lt;=tb,25*(x-ta)/(tb-ta),x&lt;=tc,25+25*(x-tb)/(tc-tb),x&lt;=te,50+25*(x-tc)/(te-tc),x&lt;tf,75+25*(x-te)/(tf-te),TRUE,100)))</f>
        <v/>
      </c>
    </row>
    <row r="84">
      <c r="A84" s="26" t="s">
        <v>807</v>
      </c>
      <c r="B84" s="26">
        <v>7.0</v>
      </c>
      <c r="C84" s="26" t="s">
        <v>808</v>
      </c>
      <c r="D84" s="26" t="s">
        <v>112</v>
      </c>
      <c r="E84" s="35" t="str">
        <f>IF('Stress Inputs'!E84="","",LET(d,Rulebook!$L84,x,'Stress Inputs'!E84*d,ta,Rulebook!$G84*d,tb,Rulebook!$H84*d,tc,Rulebook!$I84*d,te,Rulebook!$J84*d,tf,Rulebook!$K84*d,IFS(x&lt;=ta,0,x&lt;=tb,25*(x-ta)/(tb-ta),x&lt;=tc,25+25*(x-tb)/(tc-tb),x&lt;=te,50+25*(x-tc)/(te-tc),x&lt;tf,75+25*(x-te)/(tf-te),TRUE,100)))</f>
        <v/>
      </c>
      <c r="F84" s="35" t="str">
        <f>IF('Stress Inputs'!F84="","",LET(d,Rulebook!$L84,x,'Stress Inputs'!F84*d,ta,Rulebook!$G84*d,tb,Rulebook!$H84*d,tc,Rulebook!$I84*d,te,Rulebook!$J84*d,tf,Rulebook!$K84*d,IFS(x&lt;=ta,0,x&lt;=tb,25*(x-ta)/(tb-ta),x&lt;=tc,25+25*(x-tb)/(tc-tb),x&lt;=te,50+25*(x-tc)/(te-tc),x&lt;tf,75+25*(x-te)/(tf-te),TRUE,100)))</f>
        <v/>
      </c>
      <c r="G84" s="35" t="str">
        <f>IF('Stress Inputs'!G84="","",LET(d,Rulebook!$L84,x,'Stress Inputs'!G84*d,ta,Rulebook!$G84*d,tb,Rulebook!$H84*d,tc,Rulebook!$I84*d,te,Rulebook!$J84*d,tf,Rulebook!$K84*d,IFS(x&lt;=ta,0,x&lt;=tb,25*(x-ta)/(tb-ta),x&lt;=tc,25+25*(x-tb)/(tc-tb),x&lt;=te,50+25*(x-tc)/(te-tc),x&lt;tf,75+25*(x-te)/(tf-te),TRUE,100)))</f>
        <v/>
      </c>
      <c r="H84" s="35" t="str">
        <f>IF('Stress Inputs'!H84="","",LET(d,Rulebook!$L84,x,'Stress Inputs'!H84*d,ta,Rulebook!$G84*d,tb,Rulebook!$H84*d,tc,Rulebook!$I84*d,te,Rulebook!$J84*d,tf,Rulebook!$K84*d,IFS(x&lt;=ta,0,x&lt;=tb,25*(x-ta)/(tb-ta),x&lt;=tc,25+25*(x-tb)/(tc-tb),x&lt;=te,50+25*(x-tc)/(te-tc),x&lt;tf,75+25*(x-te)/(tf-te),TRUE,100)))</f>
        <v/>
      </c>
      <c r="I84" s="35" t="str">
        <f>IF('Stress Inputs'!I84="","",LET(d,Rulebook!$L84,x,'Stress Inputs'!I84*d,ta,Rulebook!$G84*d,tb,Rulebook!$H84*d,tc,Rulebook!$I84*d,te,Rulebook!$J84*d,tf,Rulebook!$K84*d,IFS(x&lt;=ta,0,x&lt;=tb,25*(x-ta)/(tb-ta),x&lt;=tc,25+25*(x-tb)/(tc-tb),x&lt;=te,50+25*(x-tc)/(te-tc),x&lt;tf,75+25*(x-te)/(tf-te),TRUE,100)))</f>
        <v/>
      </c>
      <c r="J84" s="35" t="str">
        <f>IF('Stress Inputs'!J84="","",LET(d,Rulebook!$L84,x,'Stress Inputs'!J84*d,ta,Rulebook!$G84*d,tb,Rulebook!$H84*d,tc,Rulebook!$I84*d,te,Rulebook!$J84*d,tf,Rulebook!$K84*d,IFS(x&lt;=ta,0,x&lt;=tb,25*(x-ta)/(tb-ta),x&lt;=tc,25+25*(x-tb)/(tc-tb),x&lt;=te,50+25*(x-tc)/(te-tc),x&lt;tf,75+25*(x-te)/(tf-te),TRUE,100)))</f>
        <v/>
      </c>
      <c r="K84" s="35" t="str">
        <f>IF('Stress Inputs'!K84="","",LET(d,Rulebook!$L84,x,'Stress Inputs'!K84*d,ta,Rulebook!$G84*d,tb,Rulebook!$H84*d,tc,Rulebook!$I84*d,te,Rulebook!$J84*d,tf,Rulebook!$K84*d,IFS(x&lt;=ta,0,x&lt;=tb,25*(x-ta)/(tb-ta),x&lt;=tc,25+25*(x-tb)/(tc-tb),x&lt;=te,50+25*(x-tc)/(te-tc),x&lt;tf,75+25*(x-te)/(tf-te),TRUE,100)))</f>
        <v/>
      </c>
      <c r="L84" s="35" t="str">
        <f>IF('Stress Inputs'!L84="","",LET(d,Rulebook!$L84,x,'Stress Inputs'!L84*d,ta,Rulebook!$G84*d,tb,Rulebook!$H84*d,tc,Rulebook!$I84*d,te,Rulebook!$J84*d,tf,Rulebook!$K84*d,IFS(x&lt;=ta,0,x&lt;=tb,25*(x-ta)/(tb-ta),x&lt;=tc,25+25*(x-tb)/(tc-tb),x&lt;=te,50+25*(x-tc)/(te-tc),x&lt;tf,75+25*(x-te)/(tf-te),TRUE,100)))</f>
        <v/>
      </c>
      <c r="M84" s="35" t="str">
        <f>IF('Stress Inputs'!M84="","",LET(d,Rulebook!$L84,x,'Stress Inputs'!M84*d,ta,Rulebook!$G84*d,tb,Rulebook!$H84*d,tc,Rulebook!$I84*d,te,Rulebook!$J84*d,tf,Rulebook!$K84*d,IFS(x&lt;=ta,0,x&lt;=tb,25*(x-ta)/(tb-ta),x&lt;=tc,25+25*(x-tb)/(tc-tb),x&lt;=te,50+25*(x-tc)/(te-tc),x&lt;tf,75+25*(x-te)/(tf-te),TRUE,100)))</f>
        <v/>
      </c>
      <c r="N84" s="35" t="str">
        <f>IF('Stress Inputs'!N84="","",LET(d,Rulebook!$L84,x,'Stress Inputs'!N84*d,ta,Rulebook!$G84*d,tb,Rulebook!$H84*d,tc,Rulebook!$I84*d,te,Rulebook!$J84*d,tf,Rulebook!$K84*d,IFS(x&lt;=ta,0,x&lt;=tb,25*(x-ta)/(tb-ta),x&lt;=tc,25+25*(x-tb)/(tc-tb),x&lt;=te,50+25*(x-tc)/(te-tc),x&lt;tf,75+25*(x-te)/(tf-te),TRUE,100)))</f>
        <v/>
      </c>
      <c r="O84" s="35" t="str">
        <f>IF('Stress Inputs'!O84="","",LET(d,Rulebook!$L84,x,'Stress Inputs'!O84*d,ta,Rulebook!$G84*d,tb,Rulebook!$H84*d,tc,Rulebook!$I84*d,te,Rulebook!$J84*d,tf,Rulebook!$K84*d,IFS(x&lt;=ta,0,x&lt;=tb,25*(x-ta)/(tb-ta),x&lt;=tc,25+25*(x-tb)/(tc-tb),x&lt;=te,50+25*(x-tc)/(te-tc),x&lt;tf,75+25*(x-te)/(tf-te),TRUE,100)))</f>
        <v/>
      </c>
      <c r="P84" s="35" t="str">
        <f>IF('Stress Inputs'!P84="","",LET(d,Rulebook!$L84,x,'Stress Inputs'!P84*d,ta,Rulebook!$G84*d,tb,Rulebook!$H84*d,tc,Rulebook!$I84*d,te,Rulebook!$J84*d,tf,Rulebook!$K84*d,IFS(x&lt;=ta,0,x&lt;=tb,25*(x-ta)/(tb-ta),x&lt;=tc,25+25*(x-tb)/(tc-tb),x&lt;=te,50+25*(x-tc)/(te-tc),x&lt;tf,75+25*(x-te)/(tf-te),TRUE,100)))</f>
        <v/>
      </c>
      <c r="Q84" s="35" t="str">
        <f>IF('Stress Inputs'!Q84="","",LET(d,Rulebook!$L84,x,'Stress Inputs'!Q84*d,ta,Rulebook!$G84*d,tb,Rulebook!$H84*d,tc,Rulebook!$I84*d,te,Rulebook!$J84*d,tf,Rulebook!$K84*d,IFS(x&lt;=ta,0,x&lt;=tb,25*(x-ta)/(tb-ta),x&lt;=tc,25+25*(x-tb)/(tc-tb),x&lt;=te,50+25*(x-tc)/(te-tc),x&lt;tf,75+25*(x-te)/(tf-te),TRUE,100)))</f>
        <v/>
      </c>
      <c r="R84" s="35" t="str">
        <f>IF('Stress Inputs'!R84="","",LET(d,Rulebook!$L84,x,'Stress Inputs'!R84*d,ta,Rulebook!$G84*d,tb,Rulebook!$H84*d,tc,Rulebook!$I84*d,te,Rulebook!$J84*d,tf,Rulebook!$K84*d,IFS(x&lt;=ta,0,x&lt;=tb,25*(x-ta)/(tb-ta),x&lt;=tc,25+25*(x-tb)/(tc-tb),x&lt;=te,50+25*(x-tc)/(te-tc),x&lt;tf,75+25*(x-te)/(tf-te),TRUE,100)))</f>
        <v/>
      </c>
      <c r="S84" s="35" t="str">
        <f>IF('Stress Inputs'!S84="","",LET(d,Rulebook!$L84,x,'Stress Inputs'!S84*d,ta,Rulebook!$G84*d,tb,Rulebook!$H84*d,tc,Rulebook!$I84*d,te,Rulebook!$J84*d,tf,Rulebook!$K84*d,IFS(x&lt;=ta,0,x&lt;=tb,25*(x-ta)/(tb-ta),x&lt;=tc,25+25*(x-tb)/(tc-tb),x&lt;=te,50+25*(x-tc)/(te-tc),x&lt;tf,75+25*(x-te)/(tf-te),TRUE,100)))</f>
        <v/>
      </c>
      <c r="T84" s="35" t="str">
        <f>IF('Stress Inputs'!T84="","",LET(d,Rulebook!$L84,x,'Stress Inputs'!T84*d,ta,Rulebook!$G84*d,tb,Rulebook!$H84*d,tc,Rulebook!$I84*d,te,Rulebook!$J84*d,tf,Rulebook!$K84*d,IFS(x&lt;=ta,0,x&lt;=tb,25*(x-ta)/(tb-ta),x&lt;=tc,25+25*(x-tb)/(tc-tb),x&lt;=te,50+25*(x-tc)/(te-tc),x&lt;tf,75+25*(x-te)/(tf-te),TRUE,100)))</f>
        <v/>
      </c>
      <c r="U84" s="35" t="str">
        <f>IF('Stress Inputs'!U84="","",LET(d,Rulebook!$L84,x,'Stress Inputs'!U84*d,ta,Rulebook!$G84*d,tb,Rulebook!$H84*d,tc,Rulebook!$I84*d,te,Rulebook!$J84*d,tf,Rulebook!$K84*d,IFS(x&lt;=ta,0,x&lt;=tb,25*(x-ta)/(tb-ta),x&lt;=tc,25+25*(x-tb)/(tc-tb),x&lt;=te,50+25*(x-tc)/(te-tc),x&lt;tf,75+25*(x-te)/(tf-te),TRUE,100)))</f>
        <v/>
      </c>
      <c r="V84" s="35" t="str">
        <f>IF('Stress Inputs'!V84="","",LET(d,Rulebook!$L84,x,'Stress Inputs'!V84*d,ta,Rulebook!$G84*d,tb,Rulebook!$H84*d,tc,Rulebook!$I84*d,te,Rulebook!$J84*d,tf,Rulebook!$K84*d,IFS(x&lt;=ta,0,x&lt;=tb,25*(x-ta)/(tb-ta),x&lt;=tc,25+25*(x-tb)/(tc-tb),x&lt;=te,50+25*(x-tc)/(te-tc),x&lt;tf,75+25*(x-te)/(tf-te),TRUE,100)))</f>
        <v/>
      </c>
    </row>
    <row r="85">
      <c r="A85" s="26" t="s">
        <v>811</v>
      </c>
      <c r="B85" s="26">
        <v>7.0</v>
      </c>
      <c r="C85" s="26" t="s">
        <v>812</v>
      </c>
      <c r="D85" s="26" t="s">
        <v>813</v>
      </c>
      <c r="E85" s="35" t="str">
        <f>IF('Stress Inputs'!E85="","",LET(d,Rulebook!$L85,x,'Stress Inputs'!E85*d,ta,Rulebook!$G85*d,tb,Rulebook!$H85*d,tc,Rulebook!$I85*d,te,Rulebook!$J85*d,tf,Rulebook!$K85*d,IFS(x&lt;=ta,0,x&lt;=tb,25*(x-ta)/(tb-ta),x&lt;=tc,25+25*(x-tb)/(tc-tb),x&lt;=te,50+25*(x-tc)/(te-tc),x&lt;tf,75+25*(x-te)/(tf-te),TRUE,100)))</f>
        <v/>
      </c>
      <c r="F85" s="35" t="str">
        <f>IF('Stress Inputs'!F85="","",LET(d,Rulebook!$L85,x,'Stress Inputs'!F85*d,ta,Rulebook!$G85*d,tb,Rulebook!$H85*d,tc,Rulebook!$I85*d,te,Rulebook!$J85*d,tf,Rulebook!$K85*d,IFS(x&lt;=ta,0,x&lt;=tb,25*(x-ta)/(tb-ta),x&lt;=tc,25+25*(x-tb)/(tc-tb),x&lt;=te,50+25*(x-tc)/(te-tc),x&lt;tf,75+25*(x-te)/(tf-te),TRUE,100)))</f>
        <v/>
      </c>
      <c r="G85" s="35" t="str">
        <f>IF('Stress Inputs'!G85="","",LET(d,Rulebook!$L85,x,'Stress Inputs'!G85*d,ta,Rulebook!$G85*d,tb,Rulebook!$H85*d,tc,Rulebook!$I85*d,te,Rulebook!$J85*d,tf,Rulebook!$K85*d,IFS(x&lt;=ta,0,x&lt;=tb,25*(x-ta)/(tb-ta),x&lt;=tc,25+25*(x-tb)/(tc-tb),x&lt;=te,50+25*(x-tc)/(te-tc),x&lt;tf,75+25*(x-te)/(tf-te),TRUE,100)))</f>
        <v/>
      </c>
      <c r="H85" s="35" t="str">
        <f>IF('Stress Inputs'!H85="","",LET(d,Rulebook!$L85,x,'Stress Inputs'!H85*d,ta,Rulebook!$G85*d,tb,Rulebook!$H85*d,tc,Rulebook!$I85*d,te,Rulebook!$J85*d,tf,Rulebook!$K85*d,IFS(x&lt;=ta,0,x&lt;=tb,25*(x-ta)/(tb-ta),x&lt;=tc,25+25*(x-tb)/(tc-tb),x&lt;=te,50+25*(x-tc)/(te-tc),x&lt;tf,75+25*(x-te)/(tf-te),TRUE,100)))</f>
        <v/>
      </c>
      <c r="I85" s="35" t="str">
        <f>IF('Stress Inputs'!I85="","",LET(d,Rulebook!$L85,x,'Stress Inputs'!I85*d,ta,Rulebook!$G85*d,tb,Rulebook!$H85*d,tc,Rulebook!$I85*d,te,Rulebook!$J85*d,tf,Rulebook!$K85*d,IFS(x&lt;=ta,0,x&lt;=tb,25*(x-ta)/(tb-ta),x&lt;=tc,25+25*(x-tb)/(tc-tb),x&lt;=te,50+25*(x-tc)/(te-tc),x&lt;tf,75+25*(x-te)/(tf-te),TRUE,100)))</f>
        <v/>
      </c>
      <c r="J85" s="35" t="str">
        <f>IF('Stress Inputs'!J85="","",LET(d,Rulebook!$L85,x,'Stress Inputs'!J85*d,ta,Rulebook!$G85*d,tb,Rulebook!$H85*d,tc,Rulebook!$I85*d,te,Rulebook!$J85*d,tf,Rulebook!$K85*d,IFS(x&lt;=ta,0,x&lt;=tb,25*(x-ta)/(tb-ta),x&lt;=tc,25+25*(x-tb)/(tc-tb),x&lt;=te,50+25*(x-tc)/(te-tc),x&lt;tf,75+25*(x-te)/(tf-te),TRUE,100)))</f>
        <v/>
      </c>
      <c r="K85" s="35" t="str">
        <f>IF('Stress Inputs'!K85="","",LET(d,Rulebook!$L85,x,'Stress Inputs'!K85*d,ta,Rulebook!$G85*d,tb,Rulebook!$H85*d,tc,Rulebook!$I85*d,te,Rulebook!$J85*d,tf,Rulebook!$K85*d,IFS(x&lt;=ta,0,x&lt;=tb,25*(x-ta)/(tb-ta),x&lt;=tc,25+25*(x-tb)/(tc-tb),x&lt;=te,50+25*(x-tc)/(te-tc),x&lt;tf,75+25*(x-te)/(tf-te),TRUE,100)))</f>
        <v/>
      </c>
      <c r="L85" s="35" t="str">
        <f>IF('Stress Inputs'!L85="","",LET(d,Rulebook!$L85,x,'Stress Inputs'!L85*d,ta,Rulebook!$G85*d,tb,Rulebook!$H85*d,tc,Rulebook!$I85*d,te,Rulebook!$J85*d,tf,Rulebook!$K85*d,IFS(x&lt;=ta,0,x&lt;=tb,25*(x-ta)/(tb-ta),x&lt;=tc,25+25*(x-tb)/(tc-tb),x&lt;=te,50+25*(x-tc)/(te-tc),x&lt;tf,75+25*(x-te)/(tf-te),TRUE,100)))</f>
        <v/>
      </c>
      <c r="M85" s="35" t="str">
        <f>IF('Stress Inputs'!M85="","",LET(d,Rulebook!$L85,x,'Stress Inputs'!M85*d,ta,Rulebook!$G85*d,tb,Rulebook!$H85*d,tc,Rulebook!$I85*d,te,Rulebook!$J85*d,tf,Rulebook!$K85*d,IFS(x&lt;=ta,0,x&lt;=tb,25*(x-ta)/(tb-ta),x&lt;=tc,25+25*(x-tb)/(tc-tb),x&lt;=te,50+25*(x-tc)/(te-tc),x&lt;tf,75+25*(x-te)/(tf-te),TRUE,100)))</f>
        <v/>
      </c>
      <c r="N85" s="35" t="str">
        <f>IF('Stress Inputs'!N85="","",LET(d,Rulebook!$L85,x,'Stress Inputs'!N85*d,ta,Rulebook!$G85*d,tb,Rulebook!$H85*d,tc,Rulebook!$I85*d,te,Rulebook!$J85*d,tf,Rulebook!$K85*d,IFS(x&lt;=ta,0,x&lt;=tb,25*(x-ta)/(tb-ta),x&lt;=tc,25+25*(x-tb)/(tc-tb),x&lt;=te,50+25*(x-tc)/(te-tc),x&lt;tf,75+25*(x-te)/(tf-te),TRUE,100)))</f>
        <v/>
      </c>
      <c r="O85" s="35" t="str">
        <f>IF('Stress Inputs'!O85="","",LET(d,Rulebook!$L85,x,'Stress Inputs'!O85*d,ta,Rulebook!$G85*d,tb,Rulebook!$H85*d,tc,Rulebook!$I85*d,te,Rulebook!$J85*d,tf,Rulebook!$K85*d,IFS(x&lt;=ta,0,x&lt;=tb,25*(x-ta)/(tb-ta),x&lt;=tc,25+25*(x-tb)/(tc-tb),x&lt;=te,50+25*(x-tc)/(te-tc),x&lt;tf,75+25*(x-te)/(tf-te),TRUE,100)))</f>
        <v/>
      </c>
      <c r="P85" s="35" t="str">
        <f>IF('Stress Inputs'!P85="","",LET(d,Rulebook!$L85,x,'Stress Inputs'!P85*d,ta,Rulebook!$G85*d,tb,Rulebook!$H85*d,tc,Rulebook!$I85*d,te,Rulebook!$J85*d,tf,Rulebook!$K85*d,IFS(x&lt;=ta,0,x&lt;=tb,25*(x-ta)/(tb-ta),x&lt;=tc,25+25*(x-tb)/(tc-tb),x&lt;=te,50+25*(x-tc)/(te-tc),x&lt;tf,75+25*(x-te)/(tf-te),TRUE,100)))</f>
        <v/>
      </c>
      <c r="Q85" s="35" t="str">
        <f>IF('Stress Inputs'!Q85="","",LET(d,Rulebook!$L85,x,'Stress Inputs'!Q85*d,ta,Rulebook!$G85*d,tb,Rulebook!$H85*d,tc,Rulebook!$I85*d,te,Rulebook!$J85*d,tf,Rulebook!$K85*d,IFS(x&lt;=ta,0,x&lt;=tb,25*(x-ta)/(tb-ta),x&lt;=tc,25+25*(x-tb)/(tc-tb),x&lt;=te,50+25*(x-tc)/(te-tc),x&lt;tf,75+25*(x-te)/(tf-te),TRUE,100)))</f>
        <v/>
      </c>
      <c r="R85" s="35" t="str">
        <f>IF('Stress Inputs'!R85="","",LET(d,Rulebook!$L85,x,'Stress Inputs'!R85*d,ta,Rulebook!$G85*d,tb,Rulebook!$H85*d,tc,Rulebook!$I85*d,te,Rulebook!$J85*d,tf,Rulebook!$K85*d,IFS(x&lt;=ta,0,x&lt;=tb,25*(x-ta)/(tb-ta),x&lt;=tc,25+25*(x-tb)/(tc-tb),x&lt;=te,50+25*(x-tc)/(te-tc),x&lt;tf,75+25*(x-te)/(tf-te),TRUE,100)))</f>
        <v/>
      </c>
      <c r="S85" s="35" t="str">
        <f>IF('Stress Inputs'!S85="","",LET(d,Rulebook!$L85,x,'Stress Inputs'!S85*d,ta,Rulebook!$G85*d,tb,Rulebook!$H85*d,tc,Rulebook!$I85*d,te,Rulebook!$J85*d,tf,Rulebook!$K85*d,IFS(x&lt;=ta,0,x&lt;=tb,25*(x-ta)/(tb-ta),x&lt;=tc,25+25*(x-tb)/(tc-tb),x&lt;=te,50+25*(x-tc)/(te-tc),x&lt;tf,75+25*(x-te)/(tf-te),TRUE,100)))</f>
        <v/>
      </c>
      <c r="T85" s="35" t="str">
        <f>IF('Stress Inputs'!T85="","",LET(d,Rulebook!$L85,x,'Stress Inputs'!T85*d,ta,Rulebook!$G85*d,tb,Rulebook!$H85*d,tc,Rulebook!$I85*d,te,Rulebook!$J85*d,tf,Rulebook!$K85*d,IFS(x&lt;=ta,0,x&lt;=tb,25*(x-ta)/(tb-ta),x&lt;=tc,25+25*(x-tb)/(tc-tb),x&lt;=te,50+25*(x-tc)/(te-tc),x&lt;tf,75+25*(x-te)/(tf-te),TRUE,100)))</f>
        <v/>
      </c>
      <c r="U85" s="35" t="str">
        <f>IF('Stress Inputs'!U85="","",LET(d,Rulebook!$L85,x,'Stress Inputs'!U85*d,ta,Rulebook!$G85*d,tb,Rulebook!$H85*d,tc,Rulebook!$I85*d,te,Rulebook!$J85*d,tf,Rulebook!$K85*d,IFS(x&lt;=ta,0,x&lt;=tb,25*(x-ta)/(tb-ta),x&lt;=tc,25+25*(x-tb)/(tc-tb),x&lt;=te,50+25*(x-tc)/(te-tc),x&lt;tf,75+25*(x-te)/(tf-te),TRUE,100)))</f>
        <v/>
      </c>
      <c r="V85" s="35" t="str">
        <f>IF('Stress Inputs'!V85="","",LET(d,Rulebook!$L85,x,'Stress Inputs'!V85*d,ta,Rulebook!$G85*d,tb,Rulebook!$H85*d,tc,Rulebook!$I85*d,te,Rulebook!$J85*d,tf,Rulebook!$K85*d,IFS(x&lt;=ta,0,x&lt;=tb,25*(x-ta)/(tb-ta),x&lt;=tc,25+25*(x-tb)/(tc-tb),x&lt;=te,50+25*(x-tc)/(te-tc),x&lt;tf,75+25*(x-te)/(tf-te),TRUE,100)))</f>
        <v/>
      </c>
    </row>
    <row r="86">
      <c r="A86" s="26" t="s">
        <v>816</v>
      </c>
      <c r="B86" s="26">
        <v>7.0</v>
      </c>
      <c r="C86" s="26" t="s">
        <v>817</v>
      </c>
      <c r="D86" s="26" t="s">
        <v>254</v>
      </c>
      <c r="E86" s="35" t="str">
        <f>IF('Stress Inputs'!E86="","",LET(d,Rulebook!$L86,x,'Stress Inputs'!E86*d,ta,Rulebook!$G86*d,tb,Rulebook!$H86*d,tc,Rulebook!$I86*d,te,Rulebook!$J86*d,tf,Rulebook!$K86*d,IFS(x&lt;=ta,0,x&lt;=tb,25*(x-ta)/(tb-ta),x&lt;=tc,25+25*(x-tb)/(tc-tb),x&lt;=te,50+25*(x-tc)/(te-tc),x&lt;tf,75+25*(x-te)/(tf-te),TRUE,100)))</f>
        <v/>
      </c>
      <c r="F86" s="35" t="str">
        <f>IF('Stress Inputs'!F86="","",LET(d,Rulebook!$L86,x,'Stress Inputs'!F86*d,ta,Rulebook!$G86*d,tb,Rulebook!$H86*d,tc,Rulebook!$I86*d,te,Rulebook!$J86*d,tf,Rulebook!$K86*d,IFS(x&lt;=ta,0,x&lt;=tb,25*(x-ta)/(tb-ta),x&lt;=tc,25+25*(x-tb)/(tc-tb),x&lt;=te,50+25*(x-tc)/(te-tc),x&lt;tf,75+25*(x-te)/(tf-te),TRUE,100)))</f>
        <v/>
      </c>
      <c r="G86" s="35" t="str">
        <f>IF('Stress Inputs'!G86="","",LET(d,Rulebook!$L86,x,'Stress Inputs'!G86*d,ta,Rulebook!$G86*d,tb,Rulebook!$H86*d,tc,Rulebook!$I86*d,te,Rulebook!$J86*d,tf,Rulebook!$K86*d,IFS(x&lt;=ta,0,x&lt;=tb,25*(x-ta)/(tb-ta),x&lt;=tc,25+25*(x-tb)/(tc-tb),x&lt;=te,50+25*(x-tc)/(te-tc),x&lt;tf,75+25*(x-te)/(tf-te),TRUE,100)))</f>
        <v/>
      </c>
      <c r="H86" s="35" t="str">
        <f>IF('Stress Inputs'!H86="","",LET(d,Rulebook!$L86,x,'Stress Inputs'!H86*d,ta,Rulebook!$G86*d,tb,Rulebook!$H86*d,tc,Rulebook!$I86*d,te,Rulebook!$J86*d,tf,Rulebook!$K86*d,IFS(x&lt;=ta,0,x&lt;=tb,25*(x-ta)/(tb-ta),x&lt;=tc,25+25*(x-tb)/(tc-tb),x&lt;=te,50+25*(x-tc)/(te-tc),x&lt;tf,75+25*(x-te)/(tf-te),TRUE,100)))</f>
        <v/>
      </c>
      <c r="I86" s="35" t="str">
        <f>IF('Stress Inputs'!I86="","",LET(d,Rulebook!$L86,x,'Stress Inputs'!I86*d,ta,Rulebook!$G86*d,tb,Rulebook!$H86*d,tc,Rulebook!$I86*d,te,Rulebook!$J86*d,tf,Rulebook!$K86*d,IFS(x&lt;=ta,0,x&lt;=tb,25*(x-ta)/(tb-ta),x&lt;=tc,25+25*(x-tb)/(tc-tb),x&lt;=te,50+25*(x-tc)/(te-tc),x&lt;tf,75+25*(x-te)/(tf-te),TRUE,100)))</f>
        <v/>
      </c>
      <c r="J86" s="35" t="str">
        <f>IF('Stress Inputs'!J86="","",LET(d,Rulebook!$L86,x,'Stress Inputs'!J86*d,ta,Rulebook!$G86*d,tb,Rulebook!$H86*d,tc,Rulebook!$I86*d,te,Rulebook!$J86*d,tf,Rulebook!$K86*d,IFS(x&lt;=ta,0,x&lt;=tb,25*(x-ta)/(tb-ta),x&lt;=tc,25+25*(x-tb)/(tc-tb),x&lt;=te,50+25*(x-tc)/(te-tc),x&lt;tf,75+25*(x-te)/(tf-te),TRUE,100)))</f>
        <v/>
      </c>
      <c r="K86" s="35" t="str">
        <f>IF('Stress Inputs'!K86="","",LET(d,Rulebook!$L86,x,'Stress Inputs'!K86*d,ta,Rulebook!$G86*d,tb,Rulebook!$H86*d,tc,Rulebook!$I86*d,te,Rulebook!$J86*d,tf,Rulebook!$K86*d,IFS(x&lt;=ta,0,x&lt;=tb,25*(x-ta)/(tb-ta),x&lt;=tc,25+25*(x-tb)/(tc-tb),x&lt;=te,50+25*(x-tc)/(te-tc),x&lt;tf,75+25*(x-te)/(tf-te),TRUE,100)))</f>
        <v/>
      </c>
      <c r="L86" s="35" t="str">
        <f>IF('Stress Inputs'!L86="","",LET(d,Rulebook!$L86,x,'Stress Inputs'!L86*d,ta,Rulebook!$G86*d,tb,Rulebook!$H86*d,tc,Rulebook!$I86*d,te,Rulebook!$J86*d,tf,Rulebook!$K86*d,IFS(x&lt;=ta,0,x&lt;=tb,25*(x-ta)/(tb-ta),x&lt;=tc,25+25*(x-tb)/(tc-tb),x&lt;=te,50+25*(x-tc)/(te-tc),x&lt;tf,75+25*(x-te)/(tf-te),TRUE,100)))</f>
        <v/>
      </c>
      <c r="M86" s="35" t="str">
        <f>IF('Stress Inputs'!M86="","",LET(d,Rulebook!$L86,x,'Stress Inputs'!M86*d,ta,Rulebook!$G86*d,tb,Rulebook!$H86*d,tc,Rulebook!$I86*d,te,Rulebook!$J86*d,tf,Rulebook!$K86*d,IFS(x&lt;=ta,0,x&lt;=tb,25*(x-ta)/(tb-ta),x&lt;=tc,25+25*(x-tb)/(tc-tb),x&lt;=te,50+25*(x-tc)/(te-tc),x&lt;tf,75+25*(x-te)/(tf-te),TRUE,100)))</f>
        <v/>
      </c>
      <c r="N86" s="35" t="str">
        <f>IF('Stress Inputs'!N86="","",LET(d,Rulebook!$L86,x,'Stress Inputs'!N86*d,ta,Rulebook!$G86*d,tb,Rulebook!$H86*d,tc,Rulebook!$I86*d,te,Rulebook!$J86*d,tf,Rulebook!$K86*d,IFS(x&lt;=ta,0,x&lt;=tb,25*(x-ta)/(tb-ta),x&lt;=tc,25+25*(x-tb)/(tc-tb),x&lt;=te,50+25*(x-tc)/(te-tc),x&lt;tf,75+25*(x-te)/(tf-te),TRUE,100)))</f>
        <v/>
      </c>
      <c r="O86" s="35" t="str">
        <f>IF('Stress Inputs'!O86="","",LET(d,Rulebook!$L86,x,'Stress Inputs'!O86*d,ta,Rulebook!$G86*d,tb,Rulebook!$H86*d,tc,Rulebook!$I86*d,te,Rulebook!$J86*d,tf,Rulebook!$K86*d,IFS(x&lt;=ta,0,x&lt;=tb,25*(x-ta)/(tb-ta),x&lt;=tc,25+25*(x-tb)/(tc-tb),x&lt;=te,50+25*(x-tc)/(te-tc),x&lt;tf,75+25*(x-te)/(tf-te),TRUE,100)))</f>
        <v/>
      </c>
      <c r="P86" s="35" t="str">
        <f>IF('Stress Inputs'!P86="","",LET(d,Rulebook!$L86,x,'Stress Inputs'!P86*d,ta,Rulebook!$G86*d,tb,Rulebook!$H86*d,tc,Rulebook!$I86*d,te,Rulebook!$J86*d,tf,Rulebook!$K86*d,IFS(x&lt;=ta,0,x&lt;=tb,25*(x-ta)/(tb-ta),x&lt;=tc,25+25*(x-tb)/(tc-tb),x&lt;=te,50+25*(x-tc)/(te-tc),x&lt;tf,75+25*(x-te)/(tf-te),TRUE,100)))</f>
        <v/>
      </c>
      <c r="Q86" s="35" t="str">
        <f>IF('Stress Inputs'!Q86="","",LET(d,Rulebook!$L86,x,'Stress Inputs'!Q86*d,ta,Rulebook!$G86*d,tb,Rulebook!$H86*d,tc,Rulebook!$I86*d,te,Rulebook!$J86*d,tf,Rulebook!$K86*d,IFS(x&lt;=ta,0,x&lt;=tb,25*(x-ta)/(tb-ta),x&lt;=tc,25+25*(x-tb)/(tc-tb),x&lt;=te,50+25*(x-tc)/(te-tc),x&lt;tf,75+25*(x-te)/(tf-te),TRUE,100)))</f>
        <v/>
      </c>
      <c r="R86" s="35" t="str">
        <f>IF('Stress Inputs'!R86="","",LET(d,Rulebook!$L86,x,'Stress Inputs'!R86*d,ta,Rulebook!$G86*d,tb,Rulebook!$H86*d,tc,Rulebook!$I86*d,te,Rulebook!$J86*d,tf,Rulebook!$K86*d,IFS(x&lt;=ta,0,x&lt;=tb,25*(x-ta)/(tb-ta),x&lt;=tc,25+25*(x-tb)/(tc-tb),x&lt;=te,50+25*(x-tc)/(te-tc),x&lt;tf,75+25*(x-te)/(tf-te),TRUE,100)))</f>
        <v/>
      </c>
      <c r="S86" s="35" t="str">
        <f>IF('Stress Inputs'!S86="","",LET(d,Rulebook!$L86,x,'Stress Inputs'!S86*d,ta,Rulebook!$G86*d,tb,Rulebook!$H86*d,tc,Rulebook!$I86*d,te,Rulebook!$J86*d,tf,Rulebook!$K86*d,IFS(x&lt;=ta,0,x&lt;=tb,25*(x-ta)/(tb-ta),x&lt;=tc,25+25*(x-tb)/(tc-tb),x&lt;=te,50+25*(x-tc)/(te-tc),x&lt;tf,75+25*(x-te)/(tf-te),TRUE,100)))</f>
        <v/>
      </c>
      <c r="T86" s="35" t="str">
        <f>IF('Stress Inputs'!T86="","",LET(d,Rulebook!$L86,x,'Stress Inputs'!T86*d,ta,Rulebook!$G86*d,tb,Rulebook!$H86*d,tc,Rulebook!$I86*d,te,Rulebook!$J86*d,tf,Rulebook!$K86*d,IFS(x&lt;=ta,0,x&lt;=tb,25*(x-ta)/(tb-ta),x&lt;=tc,25+25*(x-tb)/(tc-tb),x&lt;=te,50+25*(x-tc)/(te-tc),x&lt;tf,75+25*(x-te)/(tf-te),TRUE,100)))</f>
        <v/>
      </c>
      <c r="U86" s="35" t="str">
        <f>IF('Stress Inputs'!U86="","",LET(d,Rulebook!$L86,x,'Stress Inputs'!U86*d,ta,Rulebook!$G86*d,tb,Rulebook!$H86*d,tc,Rulebook!$I86*d,te,Rulebook!$J86*d,tf,Rulebook!$K86*d,IFS(x&lt;=ta,0,x&lt;=tb,25*(x-ta)/(tb-ta),x&lt;=tc,25+25*(x-tb)/(tc-tb),x&lt;=te,50+25*(x-tc)/(te-tc),x&lt;tf,75+25*(x-te)/(tf-te),TRUE,100)))</f>
        <v/>
      </c>
      <c r="V86" s="35" t="str">
        <f>IF('Stress Inputs'!V86="","",LET(d,Rulebook!$L86,x,'Stress Inputs'!V86*d,ta,Rulebook!$G86*d,tb,Rulebook!$H86*d,tc,Rulebook!$I86*d,te,Rulebook!$J86*d,tf,Rulebook!$K86*d,IFS(x&lt;=ta,0,x&lt;=tb,25*(x-ta)/(tb-ta),x&lt;=tc,25+25*(x-tb)/(tc-tb),x&lt;=te,50+25*(x-tc)/(te-tc),x&lt;tf,75+25*(x-te)/(tf-te),TRUE,100)))</f>
        <v/>
      </c>
    </row>
    <row r="87">
      <c r="A87" s="26" t="s">
        <v>821</v>
      </c>
      <c r="B87" s="26">
        <v>7.0</v>
      </c>
      <c r="C87" s="26" t="s">
        <v>822</v>
      </c>
      <c r="D87" s="26" t="s">
        <v>823</v>
      </c>
      <c r="E87" s="35" t="str">
        <f>IF('Stress Inputs'!E87="","",LET(d,Rulebook!$L87,x,'Stress Inputs'!E87*d,ta,Rulebook!$G87*d,tb,Rulebook!$H87*d,tc,Rulebook!$I87*d,te,Rulebook!$J87*d,tf,Rulebook!$K87*d,IFS(x&lt;=ta,0,x&lt;=tb,25*(x-ta)/(tb-ta),x&lt;=tc,25+25*(x-tb)/(tc-tb),x&lt;=te,50+25*(x-tc)/(te-tc),x&lt;tf,75+25*(x-te)/(tf-te),TRUE,100)))</f>
        <v/>
      </c>
      <c r="F87" s="35" t="str">
        <f>IF('Stress Inputs'!F87="","",LET(d,Rulebook!$L87,x,'Stress Inputs'!F87*d,ta,Rulebook!$G87*d,tb,Rulebook!$H87*d,tc,Rulebook!$I87*d,te,Rulebook!$J87*d,tf,Rulebook!$K87*d,IFS(x&lt;=ta,0,x&lt;=tb,25*(x-ta)/(tb-ta),x&lt;=tc,25+25*(x-tb)/(tc-tb),x&lt;=te,50+25*(x-tc)/(te-tc),x&lt;tf,75+25*(x-te)/(tf-te),TRUE,100)))</f>
        <v/>
      </c>
      <c r="G87" s="35" t="str">
        <f>IF('Stress Inputs'!G87="","",LET(d,Rulebook!$L87,x,'Stress Inputs'!G87*d,ta,Rulebook!$G87*d,tb,Rulebook!$H87*d,tc,Rulebook!$I87*d,te,Rulebook!$J87*d,tf,Rulebook!$K87*d,IFS(x&lt;=ta,0,x&lt;=tb,25*(x-ta)/(tb-ta),x&lt;=tc,25+25*(x-tb)/(tc-tb),x&lt;=te,50+25*(x-tc)/(te-tc),x&lt;tf,75+25*(x-te)/(tf-te),TRUE,100)))</f>
        <v/>
      </c>
      <c r="H87" s="35" t="str">
        <f>IF('Stress Inputs'!H87="","",LET(d,Rulebook!$L87,x,'Stress Inputs'!H87*d,ta,Rulebook!$G87*d,tb,Rulebook!$H87*d,tc,Rulebook!$I87*d,te,Rulebook!$J87*d,tf,Rulebook!$K87*d,IFS(x&lt;=ta,0,x&lt;=tb,25*(x-ta)/(tb-ta),x&lt;=tc,25+25*(x-tb)/(tc-tb),x&lt;=te,50+25*(x-tc)/(te-tc),x&lt;tf,75+25*(x-te)/(tf-te),TRUE,100)))</f>
        <v/>
      </c>
      <c r="I87" s="35" t="str">
        <f>IF('Stress Inputs'!I87="","",LET(d,Rulebook!$L87,x,'Stress Inputs'!I87*d,ta,Rulebook!$G87*d,tb,Rulebook!$H87*d,tc,Rulebook!$I87*d,te,Rulebook!$J87*d,tf,Rulebook!$K87*d,IFS(x&lt;=ta,0,x&lt;=tb,25*(x-ta)/(tb-ta),x&lt;=tc,25+25*(x-tb)/(tc-tb),x&lt;=te,50+25*(x-tc)/(te-tc),x&lt;tf,75+25*(x-te)/(tf-te),TRUE,100)))</f>
        <v/>
      </c>
      <c r="J87" s="35" t="str">
        <f>IF('Stress Inputs'!J87="","",LET(d,Rulebook!$L87,x,'Stress Inputs'!J87*d,ta,Rulebook!$G87*d,tb,Rulebook!$H87*d,tc,Rulebook!$I87*d,te,Rulebook!$J87*d,tf,Rulebook!$K87*d,IFS(x&lt;=ta,0,x&lt;=tb,25*(x-ta)/(tb-ta),x&lt;=tc,25+25*(x-tb)/(tc-tb),x&lt;=te,50+25*(x-tc)/(te-tc),x&lt;tf,75+25*(x-te)/(tf-te),TRUE,100)))</f>
        <v/>
      </c>
      <c r="K87" s="35" t="str">
        <f>IF('Stress Inputs'!K87="","",LET(d,Rulebook!$L87,x,'Stress Inputs'!K87*d,ta,Rulebook!$G87*d,tb,Rulebook!$H87*d,tc,Rulebook!$I87*d,te,Rulebook!$J87*d,tf,Rulebook!$K87*d,IFS(x&lt;=ta,0,x&lt;=tb,25*(x-ta)/(tb-ta),x&lt;=tc,25+25*(x-tb)/(tc-tb),x&lt;=te,50+25*(x-tc)/(te-tc),x&lt;tf,75+25*(x-te)/(tf-te),TRUE,100)))</f>
        <v/>
      </c>
      <c r="L87" s="35" t="str">
        <f>IF('Stress Inputs'!L87="","",LET(d,Rulebook!$L87,x,'Stress Inputs'!L87*d,ta,Rulebook!$G87*d,tb,Rulebook!$H87*d,tc,Rulebook!$I87*d,te,Rulebook!$J87*d,tf,Rulebook!$K87*d,IFS(x&lt;=ta,0,x&lt;=tb,25*(x-ta)/(tb-ta),x&lt;=tc,25+25*(x-tb)/(tc-tb),x&lt;=te,50+25*(x-tc)/(te-tc),x&lt;tf,75+25*(x-te)/(tf-te),TRUE,100)))</f>
        <v/>
      </c>
      <c r="M87" s="35" t="str">
        <f>IF('Stress Inputs'!M87="","",LET(d,Rulebook!$L87,x,'Stress Inputs'!M87*d,ta,Rulebook!$G87*d,tb,Rulebook!$H87*d,tc,Rulebook!$I87*d,te,Rulebook!$J87*d,tf,Rulebook!$K87*d,IFS(x&lt;=ta,0,x&lt;=tb,25*(x-ta)/(tb-ta),x&lt;=tc,25+25*(x-tb)/(tc-tb),x&lt;=te,50+25*(x-tc)/(te-tc),x&lt;tf,75+25*(x-te)/(tf-te),TRUE,100)))</f>
        <v/>
      </c>
      <c r="N87" s="35" t="str">
        <f>IF('Stress Inputs'!N87="","",LET(d,Rulebook!$L87,x,'Stress Inputs'!N87*d,ta,Rulebook!$G87*d,tb,Rulebook!$H87*d,tc,Rulebook!$I87*d,te,Rulebook!$J87*d,tf,Rulebook!$K87*d,IFS(x&lt;=ta,0,x&lt;=tb,25*(x-ta)/(tb-ta),x&lt;=tc,25+25*(x-tb)/(tc-tb),x&lt;=te,50+25*(x-tc)/(te-tc),x&lt;tf,75+25*(x-te)/(tf-te),TRUE,100)))</f>
        <v/>
      </c>
      <c r="O87" s="35" t="str">
        <f>IF('Stress Inputs'!O87="","",LET(d,Rulebook!$L87,x,'Stress Inputs'!O87*d,ta,Rulebook!$G87*d,tb,Rulebook!$H87*d,tc,Rulebook!$I87*d,te,Rulebook!$J87*d,tf,Rulebook!$K87*d,IFS(x&lt;=ta,0,x&lt;=tb,25*(x-ta)/(tb-ta),x&lt;=tc,25+25*(x-tb)/(tc-tb),x&lt;=te,50+25*(x-tc)/(te-tc),x&lt;tf,75+25*(x-te)/(tf-te),TRUE,100)))</f>
        <v/>
      </c>
      <c r="P87" s="35" t="str">
        <f>IF('Stress Inputs'!P87="","",LET(d,Rulebook!$L87,x,'Stress Inputs'!P87*d,ta,Rulebook!$G87*d,tb,Rulebook!$H87*d,tc,Rulebook!$I87*d,te,Rulebook!$J87*d,tf,Rulebook!$K87*d,IFS(x&lt;=ta,0,x&lt;=tb,25*(x-ta)/(tb-ta),x&lt;=tc,25+25*(x-tb)/(tc-tb),x&lt;=te,50+25*(x-tc)/(te-tc),x&lt;tf,75+25*(x-te)/(tf-te),TRUE,100)))</f>
        <v/>
      </c>
      <c r="Q87" s="35" t="str">
        <f>IF('Stress Inputs'!Q87="","",LET(d,Rulebook!$L87,x,'Stress Inputs'!Q87*d,ta,Rulebook!$G87*d,tb,Rulebook!$H87*d,tc,Rulebook!$I87*d,te,Rulebook!$J87*d,tf,Rulebook!$K87*d,IFS(x&lt;=ta,0,x&lt;=tb,25*(x-ta)/(tb-ta),x&lt;=tc,25+25*(x-tb)/(tc-tb),x&lt;=te,50+25*(x-tc)/(te-tc),x&lt;tf,75+25*(x-te)/(tf-te),TRUE,100)))</f>
        <v/>
      </c>
      <c r="R87" s="35" t="str">
        <f>IF('Stress Inputs'!R87="","",LET(d,Rulebook!$L87,x,'Stress Inputs'!R87*d,ta,Rulebook!$G87*d,tb,Rulebook!$H87*d,tc,Rulebook!$I87*d,te,Rulebook!$J87*d,tf,Rulebook!$K87*d,IFS(x&lt;=ta,0,x&lt;=tb,25*(x-ta)/(tb-ta),x&lt;=tc,25+25*(x-tb)/(tc-tb),x&lt;=te,50+25*(x-tc)/(te-tc),x&lt;tf,75+25*(x-te)/(tf-te),TRUE,100)))</f>
        <v/>
      </c>
      <c r="S87" s="35" t="str">
        <f>IF('Stress Inputs'!S87="","",LET(d,Rulebook!$L87,x,'Stress Inputs'!S87*d,ta,Rulebook!$G87*d,tb,Rulebook!$H87*d,tc,Rulebook!$I87*d,te,Rulebook!$J87*d,tf,Rulebook!$K87*d,IFS(x&lt;=ta,0,x&lt;=tb,25*(x-ta)/(tb-ta),x&lt;=tc,25+25*(x-tb)/(tc-tb),x&lt;=te,50+25*(x-tc)/(te-tc),x&lt;tf,75+25*(x-te)/(tf-te),TRUE,100)))</f>
        <v/>
      </c>
      <c r="T87" s="35" t="str">
        <f>IF('Stress Inputs'!T87="","",LET(d,Rulebook!$L87,x,'Stress Inputs'!T87*d,ta,Rulebook!$G87*d,tb,Rulebook!$H87*d,tc,Rulebook!$I87*d,te,Rulebook!$J87*d,tf,Rulebook!$K87*d,IFS(x&lt;=ta,0,x&lt;=tb,25*(x-ta)/(tb-ta),x&lt;=tc,25+25*(x-tb)/(tc-tb),x&lt;=te,50+25*(x-tc)/(te-tc),x&lt;tf,75+25*(x-te)/(tf-te),TRUE,100)))</f>
        <v/>
      </c>
      <c r="U87" s="35" t="str">
        <f>IF('Stress Inputs'!U87="","",LET(d,Rulebook!$L87,x,'Stress Inputs'!U87*d,ta,Rulebook!$G87*d,tb,Rulebook!$H87*d,tc,Rulebook!$I87*d,te,Rulebook!$J87*d,tf,Rulebook!$K87*d,IFS(x&lt;=ta,0,x&lt;=tb,25*(x-ta)/(tb-ta),x&lt;=tc,25+25*(x-tb)/(tc-tb),x&lt;=te,50+25*(x-tc)/(te-tc),x&lt;tf,75+25*(x-te)/(tf-te),TRUE,100)))</f>
        <v/>
      </c>
      <c r="V87" s="35" t="str">
        <f>IF('Stress Inputs'!V87="","",LET(d,Rulebook!$L87,x,'Stress Inputs'!V87*d,ta,Rulebook!$G87*d,tb,Rulebook!$H87*d,tc,Rulebook!$I87*d,te,Rulebook!$J87*d,tf,Rulebook!$K87*d,IFS(x&lt;=ta,0,x&lt;=tb,25*(x-ta)/(tb-ta),x&lt;=tc,25+25*(x-tb)/(tc-tb),x&lt;=te,50+25*(x-tc)/(te-tc),x&lt;tf,75+25*(x-te)/(tf-te),TRUE,100)))</f>
        <v/>
      </c>
    </row>
  </sheetData>
  <conditionalFormatting sqref="E5:V87">
    <cfRule type="colorScale" priority="1">
      <colorScale>
        <cfvo type="formula" val="0"/>
        <cfvo type="formula" val="50"/>
        <cfvo type="formula" val="100"/>
        <color rgb="FF56BA89"/>
        <color rgb="FFFFD566"/>
        <color rgb="FFE67B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2" width="6.38"/>
    <col customWidth="1" min="3" max="3" width="41.38"/>
    <col customWidth="1" min="4" max="4" width="18.88"/>
    <col customWidth="1" min="5" max="22" width="11.63"/>
  </cols>
  <sheetData>
    <row r="1">
      <c r="A1" s="2" t="s">
        <v>849</v>
      </c>
    </row>
    <row r="2">
      <c r="A2" s="5" t="s">
        <v>850</v>
      </c>
    </row>
    <row r="4">
      <c r="A4" s="21" t="str">
        <f t="array" ref="A4:D87">Rulebook!A4:D87</f>
        <v>ID</v>
      </c>
      <c r="B4" s="21" t="s">
        <v>43</v>
      </c>
      <c r="C4" s="21" t="s">
        <v>68</v>
      </c>
      <c r="D4" s="21" t="s">
        <v>9</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26" t="s">
        <v>100</v>
      </c>
      <c r="B5" s="26">
        <v>1.0</v>
      </c>
      <c r="C5" s="26" t="s">
        <v>104</v>
      </c>
      <c r="D5" s="26" t="s">
        <v>105</v>
      </c>
      <c r="E5" s="35">
        <f>IF('Base Scores'!E5="","",MAX('Base Scores'!E5,'Stress Scores'!E5))</f>
        <v>12.5</v>
      </c>
      <c r="F5" s="35">
        <f>IF('Base Scores'!F5="","",MAX('Base Scores'!F5,'Stress Scores'!F5))</f>
        <v>66.66666667</v>
      </c>
      <c r="G5" s="35">
        <f>IF('Base Scores'!G5="","",MAX('Base Scores'!G5,'Stress Scores'!G5))</f>
        <v>5</v>
      </c>
      <c r="H5" s="35">
        <f>IF('Base Scores'!H5="","",MAX('Base Scores'!H5,'Stress Scores'!H5))</f>
        <v>50</v>
      </c>
      <c r="I5" s="35">
        <f>IF('Base Scores'!I5="","",MAX('Base Scores'!I5,'Stress Scores'!I5))</f>
        <v>0</v>
      </c>
      <c r="J5" s="35">
        <f>IF('Base Scores'!J5="","",MAX('Base Scores'!J5,'Stress Scores'!J5))</f>
        <v>50</v>
      </c>
      <c r="K5" s="35">
        <f>IF('Base Scores'!K5="","",MAX('Base Scores'!K5,'Stress Scores'!K5))</f>
        <v>0</v>
      </c>
      <c r="L5" s="35">
        <f>IF('Base Scores'!L5="","",MAX('Base Scores'!L5,'Stress Scores'!L5))</f>
        <v>75</v>
      </c>
      <c r="M5" s="35">
        <f>IF('Base Scores'!M5="","",MAX('Base Scores'!M5,'Stress Scores'!M5))</f>
        <v>100</v>
      </c>
      <c r="N5" s="35">
        <f>IF('Base Scores'!N5="","",MAX('Base Scores'!N5,'Stress Scores'!N5))</f>
        <v>25</v>
      </c>
      <c r="O5" s="35">
        <f>IF('Base Scores'!O5="","",MAX('Base Scores'!O5,'Stress Scores'!O5))</f>
        <v>66.66666667</v>
      </c>
      <c r="P5" s="35">
        <f>IF('Base Scores'!P5="","",MAX('Base Scores'!P5,'Stress Scores'!P5))</f>
        <v>50</v>
      </c>
      <c r="Q5" s="35">
        <f>IF('Base Scores'!Q5="","",MAX('Base Scores'!Q5,'Stress Scores'!Q5))</f>
        <v>58.33333333</v>
      </c>
      <c r="R5" s="35">
        <f>IF('Base Scores'!R5="","",MAX('Base Scores'!R5,'Stress Scores'!R5))</f>
        <v>100</v>
      </c>
      <c r="S5" s="35">
        <f>IF('Base Scores'!S5="","",MAX('Base Scores'!S5,'Stress Scores'!S5))</f>
        <v>100</v>
      </c>
      <c r="T5" s="35">
        <f>IF('Base Scores'!T5="","",MAX('Base Scores'!T5,'Stress Scores'!T5))</f>
        <v>75</v>
      </c>
      <c r="U5" s="35">
        <f>IF('Base Scores'!U5="","",MAX('Base Scores'!U5,'Stress Scores'!U5))</f>
        <v>66.66666667</v>
      </c>
      <c r="V5" s="35">
        <f>IF('Base Scores'!V5="","",MAX('Base Scores'!V5,'Stress Scores'!V5))</f>
        <v>58.33333333</v>
      </c>
    </row>
    <row r="6">
      <c r="A6" s="26" t="s">
        <v>129</v>
      </c>
      <c r="B6" s="26">
        <v>1.0</v>
      </c>
      <c r="C6" s="26" t="s">
        <v>133</v>
      </c>
      <c r="D6" s="26" t="s">
        <v>134</v>
      </c>
      <c r="E6" s="35">
        <f>IF('Base Scores'!E6="","",MAX('Base Scores'!E6,'Stress Scores'!E6))</f>
        <v>0</v>
      </c>
      <c r="F6" s="35">
        <f>IF('Base Scores'!F6="","",MAX('Base Scores'!F6,'Stress Scores'!F6))</f>
        <v>8.333333333</v>
      </c>
      <c r="G6" s="35">
        <f>IF('Base Scores'!G6="","",MAX('Base Scores'!G6,'Stress Scores'!G6))</f>
        <v>0</v>
      </c>
      <c r="H6" s="35">
        <f>IF('Base Scores'!H6="","",MAX('Base Scores'!H6,'Stress Scores'!H6))</f>
        <v>0</v>
      </c>
      <c r="I6" s="35">
        <f>IF('Base Scores'!I6="","",MAX('Base Scores'!I6,'Stress Scores'!I6))</f>
        <v>0</v>
      </c>
      <c r="J6" s="35">
        <f>IF('Base Scores'!J6="","",MAX('Base Scores'!J6,'Stress Scores'!J6))</f>
        <v>0</v>
      </c>
      <c r="K6" s="35">
        <f>IF('Base Scores'!K6="","",MAX('Base Scores'!K6,'Stress Scores'!K6))</f>
        <v>0</v>
      </c>
      <c r="L6" s="35">
        <f>IF('Base Scores'!L6="","",MAX('Base Scores'!L6,'Stress Scores'!L6))</f>
        <v>0</v>
      </c>
      <c r="M6" s="35">
        <f>IF('Base Scores'!M6="","",MAX('Base Scores'!M6,'Stress Scores'!M6))</f>
        <v>100</v>
      </c>
      <c r="N6" s="35">
        <f>IF('Base Scores'!N6="","",MAX('Base Scores'!N6,'Stress Scores'!N6))</f>
        <v>30</v>
      </c>
      <c r="O6" s="35">
        <f>IF('Base Scores'!O6="","",MAX('Base Scores'!O6,'Stress Scores'!O6))</f>
        <v>0</v>
      </c>
      <c r="P6" s="35">
        <f>IF('Base Scores'!P6="","",MAX('Base Scores'!P6,'Stress Scores'!P6))</f>
        <v>90</v>
      </c>
      <c r="Q6" s="35">
        <f>IF('Base Scores'!Q6="","",MAX('Base Scores'!Q6,'Stress Scores'!Q6))</f>
        <v>25</v>
      </c>
      <c r="R6" s="35">
        <f>IF('Base Scores'!R6="","",MAX('Base Scores'!R6,'Stress Scores'!R6))</f>
        <v>100</v>
      </c>
      <c r="S6" s="35">
        <f>IF('Base Scores'!S6="","",MAX('Base Scores'!S6,'Stress Scores'!S6))</f>
        <v>30</v>
      </c>
      <c r="T6" s="35">
        <f>IF('Base Scores'!T6="","",MAX('Base Scores'!T6,'Stress Scores'!T6))</f>
        <v>80</v>
      </c>
      <c r="U6" s="35">
        <f>IF('Base Scores'!U6="","",MAX('Base Scores'!U6,'Stress Scores'!U6))</f>
        <v>40</v>
      </c>
      <c r="V6" s="35">
        <f>IF('Base Scores'!V6="","",MAX('Base Scores'!V6,'Stress Scores'!V6))</f>
        <v>100</v>
      </c>
    </row>
    <row r="7">
      <c r="A7" s="26" t="s">
        <v>140</v>
      </c>
      <c r="B7" s="26">
        <v>1.0</v>
      </c>
      <c r="C7" s="26" t="s">
        <v>142</v>
      </c>
      <c r="D7" s="26" t="s">
        <v>37</v>
      </c>
      <c r="E7" s="35">
        <f>IF('Base Scores'!E7="","",MAX('Base Scores'!E7,'Stress Scores'!E7))</f>
        <v>10.06887755</v>
      </c>
      <c r="F7" s="35">
        <f>IF('Base Scores'!F7="","",MAX('Base Scores'!F7,'Stress Scores'!F7))</f>
        <v>57.0255102</v>
      </c>
      <c r="G7" s="35">
        <f>IF('Base Scores'!G7="","",MAX('Base Scores'!G7,'Stress Scores'!G7))</f>
        <v>100</v>
      </c>
      <c r="H7" s="35">
        <f>IF('Base Scores'!H7="","",MAX('Base Scores'!H7,'Stress Scores'!H7))</f>
        <v>64.54489796</v>
      </c>
      <c r="I7" s="35">
        <f>IF('Base Scores'!I7="","",MAX('Base Scores'!I7,'Stress Scores'!I7))</f>
        <v>100</v>
      </c>
      <c r="J7" s="35">
        <f>IF('Base Scores'!J7="","",MAX('Base Scores'!J7,'Stress Scores'!J7))</f>
        <v>100</v>
      </c>
      <c r="K7" s="35">
        <f>IF('Base Scores'!K7="","",MAX('Base Scores'!K7,'Stress Scores'!K7))</f>
        <v>31.92482993</v>
      </c>
      <c r="L7" s="35">
        <f>IF('Base Scores'!L7="","",MAX('Base Scores'!L7,'Stress Scores'!L7))</f>
        <v>82.53985969</v>
      </c>
      <c r="M7" s="35">
        <f>IF('Base Scores'!M7="","",MAX('Base Scores'!M7,'Stress Scores'!M7))</f>
        <v>72.82142857</v>
      </c>
      <c r="N7" s="35">
        <f>IF('Base Scores'!N7="","",MAX('Base Scores'!N7,'Stress Scores'!N7))</f>
        <v>58.14795918</v>
      </c>
      <c r="O7" s="35">
        <f>IF('Base Scores'!O7="","",MAX('Base Scores'!O7,'Stress Scores'!O7))</f>
        <v>100</v>
      </c>
      <c r="P7" s="35">
        <f>IF('Base Scores'!P7="","",MAX('Base Scores'!P7,'Stress Scores'!P7))</f>
        <v>72.09821429</v>
      </c>
      <c r="Q7" s="35">
        <f>IF('Base Scores'!Q7="","",MAX('Base Scores'!Q7,'Stress Scores'!Q7))</f>
        <v>56.95535714</v>
      </c>
      <c r="R7" s="35">
        <f>IF('Base Scores'!R7="","",MAX('Base Scores'!R7,'Stress Scores'!R7))</f>
        <v>100</v>
      </c>
      <c r="S7" s="35">
        <f>IF('Base Scores'!S7="","",MAX('Base Scores'!S7,'Stress Scores'!S7))</f>
        <v>47.39455782</v>
      </c>
      <c r="T7" s="35">
        <f>IF('Base Scores'!T7="","",MAX('Base Scores'!T7,'Stress Scores'!T7))</f>
        <v>100</v>
      </c>
      <c r="U7" s="35">
        <f>IF('Base Scores'!U7="","",MAX('Base Scores'!U7,'Stress Scores'!U7))</f>
        <v>100</v>
      </c>
      <c r="V7" s="35">
        <f>IF('Base Scores'!V7="","",MAX('Base Scores'!V7,'Stress Scores'!V7))</f>
        <v>82.89285714</v>
      </c>
    </row>
    <row r="8">
      <c r="A8" s="26" t="s">
        <v>149</v>
      </c>
      <c r="B8" s="26">
        <v>1.0</v>
      </c>
      <c r="C8" s="26" t="s">
        <v>151</v>
      </c>
      <c r="D8" s="26" t="s">
        <v>37</v>
      </c>
      <c r="E8" s="35">
        <f>IF('Base Scores'!E8="","",MAX('Base Scores'!E8,'Stress Scores'!E8))</f>
        <v>8.825</v>
      </c>
      <c r="F8" s="35">
        <f>IF('Base Scores'!F8="","",MAX('Base Scores'!F8,'Stress Scores'!F8))</f>
        <v>29.5</v>
      </c>
      <c r="G8" s="35">
        <f>IF('Base Scores'!G8="","",MAX('Base Scores'!G8,'Stress Scores'!G8))</f>
        <v>70.61</v>
      </c>
      <c r="H8" s="35">
        <f>IF('Base Scores'!H8="","",MAX('Base Scores'!H8,'Stress Scores'!H8))</f>
        <v>39.73</v>
      </c>
      <c r="I8" s="35">
        <f>IF('Base Scores'!I8="","",MAX('Base Scores'!I8,'Stress Scores'!I8))</f>
        <v>0</v>
      </c>
      <c r="J8" s="35">
        <f>IF('Base Scores'!J8="","",MAX('Base Scores'!J8,'Stress Scores'!J8))</f>
        <v>100</v>
      </c>
      <c r="K8" s="35">
        <f>IF('Base Scores'!K8="","",MAX('Base Scores'!K8,'Stress Scores'!K8))</f>
        <v>4.1825</v>
      </c>
      <c r="L8" s="35">
        <f>IF('Base Scores'!L8="","",MAX('Base Scores'!L8,'Stress Scores'!L8))</f>
        <v>50.0775</v>
      </c>
      <c r="M8" s="35">
        <f>IF('Base Scores'!M8="","",MAX('Base Scores'!M8,'Stress Scores'!M8))</f>
        <v>89.8</v>
      </c>
      <c r="N8" s="35">
        <f>IF('Base Scores'!N8="","",MAX('Base Scores'!N8,'Stress Scores'!N8))</f>
        <v>14.615</v>
      </c>
      <c r="O8" s="35">
        <f>IF('Base Scores'!O8="","",MAX('Base Scores'!O8,'Stress Scores'!O8))</f>
        <v>80.425</v>
      </c>
      <c r="P8" s="35">
        <f>IF('Base Scores'!P8="","",MAX('Base Scores'!P8,'Stress Scores'!P8))</f>
        <v>39.7325</v>
      </c>
      <c r="Q8" s="35">
        <f>IF('Base Scores'!Q8="","",MAX('Base Scores'!Q8,'Stress Scores'!Q8))</f>
        <v>24.4875</v>
      </c>
      <c r="R8" s="35">
        <f>IF('Base Scores'!R8="","",MAX('Base Scores'!R8,'Stress Scores'!R8))</f>
        <v>100</v>
      </c>
      <c r="S8" s="35">
        <f>IF('Base Scores'!S8="","",MAX('Base Scores'!S8,'Stress Scores'!S8))</f>
        <v>29.3</v>
      </c>
      <c r="T8" s="35">
        <f>IF('Base Scores'!T8="","",MAX('Base Scores'!T8,'Stress Scores'!T8))</f>
        <v>71</v>
      </c>
      <c r="U8" s="35">
        <f>IF('Base Scores'!U8="","",MAX('Base Scores'!U8,'Stress Scores'!U8))</f>
        <v>30.625</v>
      </c>
      <c r="V8" s="35">
        <f>IF('Base Scores'!V8="","",MAX('Base Scores'!V8,'Stress Scores'!V8))</f>
        <v>19.875</v>
      </c>
    </row>
    <row r="9">
      <c r="A9" s="26" t="s">
        <v>176</v>
      </c>
      <c r="B9" s="26">
        <v>1.0</v>
      </c>
      <c r="C9" s="26" t="s">
        <v>179</v>
      </c>
      <c r="D9" s="26" t="s">
        <v>182</v>
      </c>
      <c r="E9" s="35">
        <f>IF('Base Scores'!E9="","",MAX('Base Scores'!E9,'Stress Scores'!E9))</f>
        <v>25</v>
      </c>
      <c r="F9" s="35">
        <f>IF('Base Scores'!F9="","",MAX('Base Scores'!F9,'Stress Scores'!F9))</f>
        <v>18.33333333</v>
      </c>
      <c r="G9" s="35">
        <f>IF('Base Scores'!G9="","",MAX('Base Scores'!G9,'Stress Scores'!G9))</f>
        <v>0</v>
      </c>
      <c r="H9" s="35">
        <f>IF('Base Scores'!H9="","",MAX('Base Scores'!H9,'Stress Scores'!H9))</f>
        <v>0</v>
      </c>
      <c r="I9" s="35">
        <f>IF('Base Scores'!I9="","",MAX('Base Scores'!I9,'Stress Scores'!I9))</f>
        <v>0</v>
      </c>
      <c r="J9" s="35">
        <f>IF('Base Scores'!J9="","",MAX('Base Scores'!J9,'Stress Scores'!J9))</f>
        <v>0</v>
      </c>
      <c r="K9" s="35">
        <f>IF('Base Scores'!K9="","",MAX('Base Scores'!K9,'Stress Scores'!K9))</f>
        <v>0</v>
      </c>
      <c r="L9" s="35">
        <f>IF('Base Scores'!L9="","",MAX('Base Scores'!L9,'Stress Scores'!L9))</f>
        <v>0</v>
      </c>
      <c r="M9" s="35">
        <f>IF('Base Scores'!M9="","",MAX('Base Scores'!M9,'Stress Scores'!M9))</f>
        <v>30</v>
      </c>
      <c r="N9" s="35">
        <f>IF('Base Scores'!N9="","",MAX('Base Scores'!N9,'Stress Scores'!N9))</f>
        <v>73</v>
      </c>
      <c r="O9" s="35">
        <f>IF('Base Scores'!O9="","",MAX('Base Scores'!O9,'Stress Scores'!O9))</f>
        <v>0</v>
      </c>
      <c r="P9" s="35">
        <f>IF('Base Scores'!P9="","",MAX('Base Scores'!P9,'Stress Scores'!P9))</f>
        <v>66.66666667</v>
      </c>
      <c r="Q9" s="35">
        <f>IF('Base Scores'!Q9="","",MAX('Base Scores'!Q9,'Stress Scores'!Q9))</f>
        <v>25</v>
      </c>
      <c r="R9" s="35">
        <f>IF('Base Scores'!R9="","",MAX('Base Scores'!R9,'Stress Scores'!R9))</f>
        <v>100</v>
      </c>
      <c r="S9" s="35">
        <f>IF('Base Scores'!S9="","",MAX('Base Scores'!S9,'Stress Scores'!S9))</f>
        <v>41.66666667</v>
      </c>
      <c r="T9" s="35">
        <f>IF('Base Scores'!T9="","",MAX('Base Scores'!T9,'Stress Scores'!T9))</f>
        <v>83.33333333</v>
      </c>
      <c r="U9" s="35">
        <f>IF('Base Scores'!U9="","",MAX('Base Scores'!U9,'Stress Scores'!U9))</f>
        <v>66.66666667</v>
      </c>
      <c r="V9" s="35">
        <f>IF('Base Scores'!V9="","",MAX('Base Scores'!V9,'Stress Scores'!V9))</f>
        <v>100</v>
      </c>
    </row>
    <row r="10">
      <c r="A10" s="26" t="s">
        <v>202</v>
      </c>
      <c r="B10" s="26">
        <v>1.0</v>
      </c>
      <c r="C10" s="26" t="s">
        <v>205</v>
      </c>
      <c r="D10" s="26" t="s">
        <v>125</v>
      </c>
      <c r="E10" s="35">
        <f>IF('Base Scores'!E10="","",MAX('Base Scores'!E10,'Stress Scores'!E10))</f>
        <v>23.125</v>
      </c>
      <c r="F10" s="35">
        <f>IF('Base Scores'!F10="","",MAX('Base Scores'!F10,'Stress Scores'!F10))</f>
        <v>68.33333333</v>
      </c>
      <c r="G10" s="35">
        <f>IF('Base Scores'!G10="","",MAX('Base Scores'!G10,'Stress Scores'!G10))</f>
        <v>100</v>
      </c>
      <c r="H10" s="35">
        <f>IF('Base Scores'!H10="","",MAX('Base Scores'!H10,'Stress Scores'!H10))</f>
        <v>63.83333333</v>
      </c>
      <c r="I10" s="35">
        <f>IF('Base Scores'!I10="","",MAX('Base Scores'!I10,'Stress Scores'!I10))</f>
        <v>66.25</v>
      </c>
      <c r="J10" s="35">
        <f>IF('Base Scores'!J10="","",MAX('Base Scores'!J10,'Stress Scores'!J10))</f>
        <v>100</v>
      </c>
      <c r="K10" s="35">
        <f>IF('Base Scores'!K10="","",MAX('Base Scores'!K10,'Stress Scores'!K10))</f>
        <v>54.70833333</v>
      </c>
      <c r="L10" s="35">
        <f>IF('Base Scores'!L10="","",MAX('Base Scores'!L10,'Stress Scores'!L10))</f>
        <v>86.29166667</v>
      </c>
      <c r="M10" s="35">
        <f>IF('Base Scores'!M10="","",MAX('Base Scores'!M10,'Stress Scores'!M10))</f>
        <v>35</v>
      </c>
      <c r="N10" s="35">
        <f>IF('Base Scores'!N10="","",MAX('Base Scores'!N10,'Stress Scores'!N10))</f>
        <v>42.875</v>
      </c>
      <c r="O10" s="35">
        <f>IF('Base Scores'!O10="","",MAX('Base Scores'!O10,'Stress Scores'!O10))</f>
        <v>92.08333333</v>
      </c>
      <c r="P10" s="35">
        <f>IF('Base Scores'!P10="","",MAX('Base Scores'!P10,'Stress Scores'!P10))</f>
        <v>33.3125</v>
      </c>
      <c r="Q10" s="35">
        <f>IF('Base Scores'!Q10="","",MAX('Base Scores'!Q10,'Stress Scores'!Q10))</f>
        <v>93.125</v>
      </c>
      <c r="R10" s="35">
        <f>IF('Base Scores'!R10="","",MAX('Base Scores'!R10,'Stress Scores'!R10))</f>
        <v>100</v>
      </c>
      <c r="S10" s="35">
        <f>IF('Base Scores'!S10="","",MAX('Base Scores'!S10,'Stress Scores'!S10))</f>
        <v>81.66666667</v>
      </c>
      <c r="T10" s="35">
        <f>IF('Base Scores'!T10="","",MAX('Base Scores'!T10,'Stress Scores'!T10))</f>
        <v>100</v>
      </c>
      <c r="U10" s="35">
        <f>IF('Base Scores'!U10="","",MAX('Base Scores'!U10,'Stress Scores'!U10))</f>
        <v>62.08333333</v>
      </c>
      <c r="V10" s="35">
        <f>IF('Base Scores'!V10="","",MAX('Base Scores'!V10,'Stress Scores'!V10))</f>
        <v>74.58333333</v>
      </c>
    </row>
    <row r="11">
      <c r="A11" s="26" t="s">
        <v>220</v>
      </c>
      <c r="B11" s="26">
        <v>1.0</v>
      </c>
      <c r="C11" s="26" t="s">
        <v>221</v>
      </c>
      <c r="D11" s="26" t="s">
        <v>125</v>
      </c>
      <c r="E11" s="35">
        <f>IF('Base Scores'!E11="","",MAX('Base Scores'!E11,'Stress Scores'!E11))</f>
        <v>10.20663265</v>
      </c>
      <c r="F11" s="35">
        <f>IF('Base Scores'!F11="","",MAX('Base Scores'!F11,'Stress Scores'!F11))</f>
        <v>63.10204082</v>
      </c>
      <c r="G11" s="35">
        <f>IF('Base Scores'!G11="","",MAX('Base Scores'!G11,'Stress Scores'!G11))</f>
        <v>100</v>
      </c>
      <c r="H11" s="35">
        <f>IF('Base Scores'!H11="","",MAX('Base Scores'!H11,'Stress Scores'!H11))</f>
        <v>44.67959184</v>
      </c>
      <c r="I11" s="35">
        <f>IF('Base Scores'!I11="","",MAX('Base Scores'!I11,'Stress Scores'!I11))</f>
        <v>100</v>
      </c>
      <c r="J11" s="35">
        <f>IF('Base Scores'!J11="","",MAX('Base Scores'!J11,'Stress Scores'!J11))</f>
        <v>0</v>
      </c>
      <c r="K11" s="35">
        <f>IF('Base Scores'!K11="","",MAX('Base Scores'!K11,'Stress Scores'!K11))</f>
        <v>41.2744898</v>
      </c>
      <c r="L11" s="35">
        <f>IF('Base Scores'!L11="","",MAX('Base Scores'!L11,'Stress Scores'!L11))</f>
        <v>3.159438776</v>
      </c>
      <c r="M11" s="35">
        <f>IF('Base Scores'!M11="","",MAX('Base Scores'!M11,'Stress Scores'!M11))</f>
        <v>31.28571429</v>
      </c>
      <c r="N11" s="35">
        <f>IF('Base Scores'!N11="","",MAX('Base Scores'!N11,'Stress Scores'!N11))</f>
        <v>0</v>
      </c>
      <c r="O11" s="35">
        <f>IF('Base Scores'!O11="","",MAX('Base Scores'!O11,'Stress Scores'!O11))</f>
        <v>46.85714286</v>
      </c>
      <c r="P11" s="35">
        <f>IF('Base Scores'!P11="","",MAX('Base Scores'!P11,'Stress Scores'!P11))</f>
        <v>0</v>
      </c>
      <c r="Q11" s="35">
        <f>IF('Base Scores'!Q11="","",MAX('Base Scores'!Q11,'Stress Scores'!Q11))</f>
        <v>26.32142857</v>
      </c>
      <c r="R11" s="35">
        <f>IF('Base Scores'!R11="","",MAX('Base Scores'!R11,'Stress Scores'!R11))</f>
        <v>100</v>
      </c>
      <c r="S11" s="35">
        <f>IF('Base Scores'!S11="","",MAX('Base Scores'!S11,'Stress Scores'!S11))</f>
        <v>100</v>
      </c>
      <c r="T11" s="35">
        <f>IF('Base Scores'!T11="","",MAX('Base Scores'!T11,'Stress Scores'!T11))</f>
        <v>100</v>
      </c>
      <c r="U11" s="35">
        <f>IF('Base Scores'!U11="","",MAX('Base Scores'!U11,'Stress Scores'!U11))</f>
        <v>3</v>
      </c>
      <c r="V11" s="35">
        <f>IF('Base Scores'!V11="","",MAX('Base Scores'!V11,'Stress Scores'!V11))</f>
        <v>0</v>
      </c>
    </row>
    <row r="12">
      <c r="A12" s="26" t="s">
        <v>232</v>
      </c>
      <c r="B12" s="26">
        <v>1.0</v>
      </c>
      <c r="C12" s="26" t="s">
        <v>233</v>
      </c>
      <c r="D12" s="26" t="s">
        <v>235</v>
      </c>
      <c r="E12" s="35">
        <f>IF('Base Scores'!E12="","",MAX('Base Scores'!E12,'Stress Scores'!E12))</f>
        <v>0</v>
      </c>
      <c r="F12" s="35">
        <f>IF('Base Scores'!F12="","",MAX('Base Scores'!F12,'Stress Scores'!F12))</f>
        <v>0</v>
      </c>
      <c r="G12" s="35">
        <f>IF('Base Scores'!G12="","",MAX('Base Scores'!G12,'Stress Scores'!G12))</f>
        <v>0</v>
      </c>
      <c r="H12" s="35">
        <f>IF('Base Scores'!H12="","",MAX('Base Scores'!H12,'Stress Scores'!H12))</f>
        <v>0</v>
      </c>
      <c r="I12" s="35">
        <f>IF('Base Scores'!I12="","",MAX('Base Scores'!I12,'Stress Scores'!I12))</f>
        <v>0</v>
      </c>
      <c r="J12" s="35">
        <f>IF('Base Scores'!J12="","",MAX('Base Scores'!J12,'Stress Scores'!J12))</f>
        <v>0</v>
      </c>
      <c r="K12" s="35">
        <f>IF('Base Scores'!K12="","",MAX('Base Scores'!K12,'Stress Scores'!K12))</f>
        <v>0</v>
      </c>
      <c r="L12" s="35">
        <f>IF('Base Scores'!L12="","",MAX('Base Scores'!L12,'Stress Scores'!L12))</f>
        <v>0</v>
      </c>
      <c r="M12" s="35">
        <f>IF('Base Scores'!M12="","",MAX('Base Scores'!M12,'Stress Scores'!M12))</f>
        <v>0</v>
      </c>
      <c r="N12" s="35">
        <f>IF('Base Scores'!N12="","",MAX('Base Scores'!N12,'Stress Scores'!N12))</f>
        <v>100</v>
      </c>
      <c r="O12" s="35">
        <f>IF('Base Scores'!O12="","",MAX('Base Scores'!O12,'Stress Scores'!O12))</f>
        <v>0</v>
      </c>
      <c r="P12" s="35">
        <f>IF('Base Scores'!P12="","",MAX('Base Scores'!P12,'Stress Scores'!P12))</f>
        <v>100</v>
      </c>
      <c r="Q12" s="35">
        <f>IF('Base Scores'!Q12="","",MAX('Base Scores'!Q12,'Stress Scores'!Q12))</f>
        <v>0</v>
      </c>
      <c r="R12" s="35">
        <f>IF('Base Scores'!R12="","",MAX('Base Scores'!R12,'Stress Scores'!R12))</f>
        <v>50</v>
      </c>
      <c r="S12" s="35">
        <f>IF('Base Scores'!S12="","",MAX('Base Scores'!S12,'Stress Scores'!S12))</f>
        <v>0</v>
      </c>
      <c r="T12" s="35">
        <f>IF('Base Scores'!T12="","",MAX('Base Scores'!T12,'Stress Scores'!T12))</f>
        <v>0</v>
      </c>
      <c r="U12" s="35">
        <f>IF('Base Scores'!U12="","",MAX('Base Scores'!U12,'Stress Scores'!U12))</f>
        <v>50</v>
      </c>
      <c r="V12" s="35">
        <f>IF('Base Scores'!V12="","",MAX('Base Scores'!V12,'Stress Scores'!V12))</f>
        <v>50</v>
      </c>
    </row>
    <row r="13">
      <c r="A13" s="26" t="s">
        <v>250</v>
      </c>
      <c r="B13" s="26">
        <v>1.0</v>
      </c>
      <c r="C13" s="26" t="s">
        <v>253</v>
      </c>
      <c r="D13" s="26" t="s">
        <v>254</v>
      </c>
      <c r="E13" s="35">
        <f>IF('Base Scores'!E13="","",MAX('Base Scores'!E13,'Stress Scores'!E13))</f>
        <v>50</v>
      </c>
      <c r="F13" s="35">
        <f>IF('Base Scores'!F13="","",MAX('Base Scores'!F13,'Stress Scores'!F13))</f>
        <v>25</v>
      </c>
      <c r="G13" s="35">
        <f>IF('Base Scores'!G13="","",MAX('Base Scores'!G13,'Stress Scores'!G13))</f>
        <v>100</v>
      </c>
      <c r="H13" s="35">
        <f>IF('Base Scores'!H13="","",MAX('Base Scores'!H13,'Stress Scores'!H13))</f>
        <v>50</v>
      </c>
      <c r="I13" s="35">
        <f>IF('Base Scores'!I13="","",MAX('Base Scores'!I13,'Stress Scores'!I13))</f>
        <v>0</v>
      </c>
      <c r="J13" s="35">
        <f>IF('Base Scores'!J13="","",MAX('Base Scores'!J13,'Stress Scores'!J13))</f>
        <v>25</v>
      </c>
      <c r="K13" s="35">
        <f>IF('Base Scores'!K13="","",MAX('Base Scores'!K13,'Stress Scores'!K13))</f>
        <v>50</v>
      </c>
      <c r="L13" s="35">
        <f>IF('Base Scores'!L13="","",MAX('Base Scores'!L13,'Stress Scores'!L13))</f>
        <v>50</v>
      </c>
      <c r="M13" s="35">
        <f>IF('Base Scores'!M13="","",MAX('Base Scores'!M13,'Stress Scores'!M13))</f>
        <v>75</v>
      </c>
      <c r="N13" s="35">
        <f>IF('Base Scores'!N13="","",MAX('Base Scores'!N13,'Stress Scores'!N13))</f>
        <v>25</v>
      </c>
      <c r="O13" s="35">
        <f>IF('Base Scores'!O13="","",MAX('Base Scores'!O13,'Stress Scores'!O13))</f>
        <v>50</v>
      </c>
      <c r="P13" s="35">
        <f>IF('Base Scores'!P13="","",MAX('Base Scores'!P13,'Stress Scores'!P13))</f>
        <v>50</v>
      </c>
      <c r="Q13" s="35">
        <f>IF('Base Scores'!Q13="","",MAX('Base Scores'!Q13,'Stress Scores'!Q13))</f>
        <v>50</v>
      </c>
      <c r="R13" s="35">
        <f>IF('Base Scores'!R13="","",MAX('Base Scores'!R13,'Stress Scores'!R13))</f>
        <v>100</v>
      </c>
      <c r="S13" s="35">
        <f>IF('Base Scores'!S13="","",MAX('Base Scores'!S13,'Stress Scores'!S13))</f>
        <v>75</v>
      </c>
      <c r="T13" s="35">
        <f>IF('Base Scores'!T13="","",MAX('Base Scores'!T13,'Stress Scores'!T13))</f>
        <v>100</v>
      </c>
      <c r="U13" s="35">
        <f>IF('Base Scores'!U13="","",MAX('Base Scores'!U13,'Stress Scores'!U13))</f>
        <v>75</v>
      </c>
      <c r="V13" s="35">
        <f>IF('Base Scores'!V13="","",MAX('Base Scores'!V13,'Stress Scores'!V13))</f>
        <v>100</v>
      </c>
    </row>
    <row r="14">
      <c r="A14" s="26" t="s">
        <v>271</v>
      </c>
      <c r="B14" s="26">
        <v>2.0</v>
      </c>
      <c r="C14" s="26" t="s">
        <v>273</v>
      </c>
      <c r="D14" s="26" t="s">
        <v>277</v>
      </c>
      <c r="E14" s="35">
        <f>IF('Base Scores'!E14="","",MAX('Base Scores'!E14,'Stress Scores'!E14))</f>
        <v>75</v>
      </c>
      <c r="F14" s="35">
        <f>IF('Base Scores'!F14="","",MAX('Base Scores'!F14,'Stress Scores'!F14))</f>
        <v>0</v>
      </c>
      <c r="G14" s="35">
        <f>IF('Base Scores'!G14="","",MAX('Base Scores'!G14,'Stress Scores'!G14))</f>
        <v>30</v>
      </c>
      <c r="H14" s="35">
        <f>IF('Base Scores'!H14="","",MAX('Base Scores'!H14,'Stress Scores'!H14))</f>
        <v>40</v>
      </c>
      <c r="I14" s="35">
        <f>IF('Base Scores'!I14="","",MAX('Base Scores'!I14,'Stress Scores'!I14))</f>
        <v>0</v>
      </c>
      <c r="J14" s="35">
        <f>IF('Base Scores'!J14="","",MAX('Base Scores'!J14,'Stress Scores'!J14))</f>
        <v>0</v>
      </c>
      <c r="K14" s="35">
        <f>IF('Base Scores'!K14="","",MAX('Base Scores'!K14,'Stress Scores'!K14))</f>
        <v>50</v>
      </c>
      <c r="L14" s="35">
        <f>IF('Base Scores'!L14="","",MAX('Base Scores'!L14,'Stress Scores'!L14))</f>
        <v>0</v>
      </c>
      <c r="M14" s="35">
        <f>IF('Base Scores'!M14="","",MAX('Base Scores'!M14,'Stress Scores'!M14))</f>
        <v>100</v>
      </c>
      <c r="N14" s="35">
        <f>IF('Base Scores'!N14="","",MAX('Base Scores'!N14,'Stress Scores'!N14))</f>
        <v>100</v>
      </c>
      <c r="O14" s="35">
        <f>IF('Base Scores'!O14="","",MAX('Base Scores'!O14,'Stress Scores'!O14))</f>
        <v>10</v>
      </c>
      <c r="P14" s="35">
        <f>IF('Base Scores'!P14="","",MAX('Base Scores'!P14,'Stress Scores'!P14))</f>
        <v>100</v>
      </c>
      <c r="Q14" s="35">
        <f>IF('Base Scores'!Q14="","",MAX('Base Scores'!Q14,'Stress Scores'!Q14))</f>
        <v>30</v>
      </c>
      <c r="R14" s="35">
        <f>IF('Base Scores'!R14="","",MAX('Base Scores'!R14,'Stress Scores'!R14))</f>
        <v>100</v>
      </c>
      <c r="S14" s="35">
        <f>IF('Base Scores'!S14="","",MAX('Base Scores'!S14,'Stress Scores'!S14))</f>
        <v>60</v>
      </c>
      <c r="T14" s="35">
        <f>IF('Base Scores'!T14="","",MAX('Base Scores'!T14,'Stress Scores'!T14))</f>
        <v>99.375</v>
      </c>
      <c r="U14" s="35">
        <f>IF('Base Scores'!U14="","",MAX('Base Scores'!U14,'Stress Scores'!U14))</f>
        <v>80</v>
      </c>
      <c r="V14" s="35">
        <f>IF('Base Scores'!V14="","",MAX('Base Scores'!V14,'Stress Scores'!V14))</f>
        <v>100</v>
      </c>
    </row>
    <row r="15">
      <c r="A15" s="26" t="s">
        <v>301</v>
      </c>
      <c r="B15" s="26">
        <v>2.0</v>
      </c>
      <c r="C15" s="26" t="s">
        <v>305</v>
      </c>
      <c r="D15" s="26" t="s">
        <v>307</v>
      </c>
      <c r="E15" s="35">
        <f>IF('Base Scores'!E15="","",MAX('Base Scores'!E15,'Stress Scores'!E15))</f>
        <v>0</v>
      </c>
      <c r="F15" s="35">
        <f>IF('Base Scores'!F15="","",MAX('Base Scores'!F15,'Stress Scores'!F15))</f>
        <v>0</v>
      </c>
      <c r="G15" s="35">
        <f>IF('Base Scores'!G15="","",MAX('Base Scores'!G15,'Stress Scores'!G15))</f>
        <v>0</v>
      </c>
      <c r="H15" s="35">
        <f>IF('Base Scores'!H15="","",MAX('Base Scores'!H15,'Stress Scores'!H15))</f>
        <v>10</v>
      </c>
      <c r="I15" s="35">
        <f>IF('Base Scores'!I15="","",MAX('Base Scores'!I15,'Stress Scores'!I15))</f>
        <v>0</v>
      </c>
      <c r="J15" s="35">
        <f>IF('Base Scores'!J15="","",MAX('Base Scores'!J15,'Stress Scores'!J15))</f>
        <v>0</v>
      </c>
      <c r="K15" s="35">
        <f>IF('Base Scores'!K15="","",MAX('Base Scores'!K15,'Stress Scores'!K15))</f>
        <v>0</v>
      </c>
      <c r="L15" s="35">
        <f>IF('Base Scores'!L15="","",MAX('Base Scores'!L15,'Stress Scores'!L15))</f>
        <v>0</v>
      </c>
      <c r="M15" s="35">
        <f>IF('Base Scores'!M15="","",MAX('Base Scores'!M15,'Stress Scores'!M15))</f>
        <v>100</v>
      </c>
      <c r="N15" s="35">
        <f>IF('Base Scores'!N15="","",MAX('Base Scores'!N15,'Stress Scores'!N15))</f>
        <v>60</v>
      </c>
      <c r="O15" s="35">
        <f>IF('Base Scores'!O15="","",MAX('Base Scores'!O15,'Stress Scores'!O15))</f>
        <v>0</v>
      </c>
      <c r="P15" s="35">
        <f>IF('Base Scores'!P15="","",MAX('Base Scores'!P15,'Stress Scores'!P15))</f>
        <v>100</v>
      </c>
      <c r="Q15" s="35">
        <f>IF('Base Scores'!Q15="","",MAX('Base Scores'!Q15,'Stress Scores'!Q15))</f>
        <v>40</v>
      </c>
      <c r="R15" s="35">
        <f>IF('Base Scores'!R15="","",MAX('Base Scores'!R15,'Stress Scores'!R15))</f>
        <v>100</v>
      </c>
      <c r="S15" s="35">
        <f>IF('Base Scores'!S15="","",MAX('Base Scores'!S15,'Stress Scores'!S15))</f>
        <v>10</v>
      </c>
      <c r="T15" s="35">
        <f>IF('Base Scores'!T15="","",MAX('Base Scores'!T15,'Stress Scores'!T15))</f>
        <v>100</v>
      </c>
      <c r="U15" s="35">
        <f>IF('Base Scores'!U15="","",MAX('Base Scores'!U15,'Stress Scores'!U15))</f>
        <v>55</v>
      </c>
      <c r="V15" s="35">
        <f>IF('Base Scores'!V15="","",MAX('Base Scores'!V15,'Stress Scores'!V15))</f>
        <v>100</v>
      </c>
    </row>
    <row r="16">
      <c r="A16" s="26" t="s">
        <v>322</v>
      </c>
      <c r="B16" s="26">
        <v>2.0</v>
      </c>
      <c r="C16" s="26" t="s">
        <v>324</v>
      </c>
      <c r="D16" s="26" t="s">
        <v>307</v>
      </c>
      <c r="E16" s="35">
        <f>IF('Base Scores'!E16="","",MAX('Base Scores'!E16,'Stress Scores'!E16))</f>
        <v>0</v>
      </c>
      <c r="F16" s="35">
        <f>IF('Base Scores'!F16="","",MAX('Base Scores'!F16,'Stress Scores'!F16))</f>
        <v>8.333333333</v>
      </c>
      <c r="G16" s="35">
        <f>IF('Base Scores'!G16="","",MAX('Base Scores'!G16,'Stress Scores'!G16))</f>
        <v>0</v>
      </c>
      <c r="H16" s="35">
        <f>IF('Base Scores'!H16="","",MAX('Base Scores'!H16,'Stress Scores'!H16))</f>
        <v>60</v>
      </c>
      <c r="I16" s="35">
        <f>IF('Base Scores'!I16="","",MAX('Base Scores'!I16,'Stress Scores'!I16))</f>
        <v>0</v>
      </c>
      <c r="J16" s="35">
        <f>IF('Base Scores'!J16="","",MAX('Base Scores'!J16,'Stress Scores'!J16))</f>
        <v>8.333333333</v>
      </c>
      <c r="K16" s="35">
        <f>IF('Base Scores'!K16="","",MAX('Base Scores'!K16,'Stress Scores'!K16))</f>
        <v>40</v>
      </c>
      <c r="L16" s="35">
        <f>IF('Base Scores'!L16="","",MAX('Base Scores'!L16,'Stress Scores'!L16))</f>
        <v>16.66666667</v>
      </c>
      <c r="M16" s="35">
        <f>IF('Base Scores'!M16="","",MAX('Base Scores'!M16,'Stress Scores'!M16))</f>
        <v>16.66666667</v>
      </c>
      <c r="N16" s="35">
        <f>IF('Base Scores'!N16="","",MAX('Base Scores'!N16,'Stress Scores'!N16))</f>
        <v>0</v>
      </c>
      <c r="O16" s="35">
        <f>IF('Base Scores'!O16="","",MAX('Base Scores'!O16,'Stress Scores'!O16))</f>
        <v>60</v>
      </c>
      <c r="P16" s="35">
        <f>IF('Base Scores'!P16="","",MAX('Base Scores'!P16,'Stress Scores'!P16))</f>
        <v>80</v>
      </c>
      <c r="Q16" s="35">
        <f>IF('Base Scores'!Q16="","",MAX('Base Scores'!Q16,'Stress Scores'!Q16))</f>
        <v>50</v>
      </c>
      <c r="R16" s="35">
        <f>IF('Base Scores'!R16="","",MAX('Base Scores'!R16,'Stress Scores'!R16))</f>
        <v>0</v>
      </c>
      <c r="S16" s="35">
        <f>IF('Base Scores'!S16="","",MAX('Base Scores'!S16,'Stress Scores'!S16))</f>
        <v>60</v>
      </c>
      <c r="T16" s="35">
        <f>IF('Base Scores'!T16="","",MAX('Base Scores'!T16,'Stress Scores'!T16))</f>
        <v>16.66666667</v>
      </c>
      <c r="U16" s="35">
        <f>IF('Base Scores'!U16="","",MAX('Base Scores'!U16,'Stress Scores'!U16))</f>
        <v>25</v>
      </c>
      <c r="V16" s="35">
        <f>IF('Base Scores'!V16="","",MAX('Base Scores'!V16,'Stress Scores'!V16))</f>
        <v>0</v>
      </c>
    </row>
    <row r="17">
      <c r="A17" s="26" t="s">
        <v>340</v>
      </c>
      <c r="B17" s="26">
        <v>2.0</v>
      </c>
      <c r="C17" s="26" t="s">
        <v>342</v>
      </c>
      <c r="D17" s="26" t="s">
        <v>344</v>
      </c>
      <c r="E17" s="35">
        <f>IF('Base Scores'!E17="","",MAX('Base Scores'!E17,'Stress Scores'!E17))</f>
        <v>0</v>
      </c>
      <c r="F17" s="35">
        <f>IF('Base Scores'!F17="","",MAX('Base Scores'!F17,'Stress Scores'!F17))</f>
        <v>16.66666667</v>
      </c>
      <c r="G17" s="35">
        <f>IF('Base Scores'!G17="","",MAX('Base Scores'!G17,'Stress Scores'!G17))</f>
        <v>0</v>
      </c>
      <c r="H17" s="35">
        <f>IF('Base Scores'!H17="","",MAX('Base Scores'!H17,'Stress Scores'!H17))</f>
        <v>0</v>
      </c>
      <c r="I17" s="35">
        <f>IF('Base Scores'!I17="","",MAX('Base Scores'!I17,'Stress Scores'!I17))</f>
        <v>41.66666667</v>
      </c>
      <c r="J17" s="35">
        <f>IF('Base Scores'!J17="","",MAX('Base Scores'!J17,'Stress Scores'!J17))</f>
        <v>0</v>
      </c>
      <c r="K17" s="35">
        <f>IF('Base Scores'!K17="","",MAX('Base Scores'!K17,'Stress Scores'!K17))</f>
        <v>0</v>
      </c>
      <c r="L17" s="35">
        <f>IF('Base Scores'!L17="","",MAX('Base Scores'!L17,'Stress Scores'!L17))</f>
        <v>0</v>
      </c>
      <c r="M17" s="35">
        <f>IF('Base Scores'!M17="","",MAX('Base Scores'!M17,'Stress Scores'!M17))</f>
        <v>3.333333333</v>
      </c>
      <c r="N17" s="35">
        <f>IF('Base Scores'!N17="","",MAX('Base Scores'!N17,'Stress Scores'!N17))</f>
        <v>0</v>
      </c>
      <c r="O17" s="35">
        <f>IF('Base Scores'!O17="","",MAX('Base Scores'!O17,'Stress Scores'!O17))</f>
        <v>0</v>
      </c>
      <c r="P17" s="35">
        <f>IF('Base Scores'!P17="","",MAX('Base Scores'!P17,'Stress Scores'!P17))</f>
        <v>41.66666667</v>
      </c>
      <c r="Q17" s="35">
        <f>IF('Base Scores'!Q17="","",MAX('Base Scores'!Q17,'Stress Scores'!Q17))</f>
        <v>0</v>
      </c>
      <c r="R17" s="35">
        <f>IF('Base Scores'!R17="","",MAX('Base Scores'!R17,'Stress Scores'!R17))</f>
        <v>83.33333333</v>
      </c>
      <c r="S17" s="35">
        <f>IF('Base Scores'!S17="","",MAX('Base Scores'!S17,'Stress Scores'!S17))</f>
        <v>50</v>
      </c>
      <c r="T17" s="35">
        <f>IF('Base Scores'!T17="","",MAX('Base Scores'!T17,'Stress Scores'!T17))</f>
        <v>0</v>
      </c>
      <c r="U17" s="35">
        <f>IF('Base Scores'!U17="","",MAX('Base Scores'!U17,'Stress Scores'!U17))</f>
        <v>50</v>
      </c>
      <c r="V17" s="35">
        <f>IF('Base Scores'!V17="","",MAX('Base Scores'!V17,'Stress Scores'!V17))</f>
        <v>100</v>
      </c>
    </row>
    <row r="18">
      <c r="A18" s="26" t="s">
        <v>358</v>
      </c>
      <c r="B18" s="26">
        <v>2.0</v>
      </c>
      <c r="C18" s="26" t="s">
        <v>361</v>
      </c>
      <c r="D18" s="26" t="s">
        <v>254</v>
      </c>
      <c r="E18" s="35">
        <f>IF('Base Scores'!E18="","",MAX('Base Scores'!E18,'Stress Scores'!E18))</f>
        <v>50</v>
      </c>
      <c r="F18" s="35">
        <f>IF('Base Scores'!F18="","",MAX('Base Scores'!F18,'Stress Scores'!F18))</f>
        <v>25</v>
      </c>
      <c r="G18" s="35">
        <f>IF('Base Scores'!G18="","",MAX('Base Scores'!G18,'Stress Scores'!G18))</f>
        <v>75</v>
      </c>
      <c r="H18" s="35">
        <f>IF('Base Scores'!H18="","",MAX('Base Scores'!H18,'Stress Scores'!H18))</f>
        <v>25</v>
      </c>
      <c r="I18" s="35">
        <f>IF('Base Scores'!I18="","",MAX('Base Scores'!I18,'Stress Scores'!I18))</f>
        <v>25</v>
      </c>
      <c r="J18" s="35">
        <f>IF('Base Scores'!J18="","",MAX('Base Scores'!J18,'Stress Scores'!J18))</f>
        <v>0</v>
      </c>
      <c r="K18" s="35">
        <f>IF('Base Scores'!K18="","",MAX('Base Scores'!K18,'Stress Scores'!K18))</f>
        <v>0</v>
      </c>
      <c r="L18" s="35">
        <f>IF('Base Scores'!L18="","",MAX('Base Scores'!L18,'Stress Scores'!L18))</f>
        <v>25</v>
      </c>
      <c r="M18" s="35">
        <f>IF('Base Scores'!M18="","",MAX('Base Scores'!M18,'Stress Scores'!M18))</f>
        <v>50</v>
      </c>
      <c r="N18" s="35">
        <f>IF('Base Scores'!N18="","",MAX('Base Scores'!N18,'Stress Scores'!N18))</f>
        <v>75</v>
      </c>
      <c r="O18" s="35">
        <f>IF('Base Scores'!O18="","",MAX('Base Scores'!O18,'Stress Scores'!O18))</f>
        <v>0</v>
      </c>
      <c r="P18" s="35">
        <f>IF('Base Scores'!P18="","",MAX('Base Scores'!P18,'Stress Scores'!P18))</f>
        <v>75</v>
      </c>
      <c r="Q18" s="35">
        <f>IF('Base Scores'!Q18="","",MAX('Base Scores'!Q18,'Stress Scores'!Q18))</f>
        <v>0</v>
      </c>
      <c r="R18" s="35">
        <f>IF('Base Scores'!R18="","",MAX('Base Scores'!R18,'Stress Scores'!R18))</f>
        <v>100</v>
      </c>
      <c r="S18" s="35">
        <f>IF('Base Scores'!S18="","",MAX('Base Scores'!S18,'Stress Scores'!S18))</f>
        <v>50</v>
      </c>
      <c r="T18" s="35">
        <f>IF('Base Scores'!T18="","",MAX('Base Scores'!T18,'Stress Scores'!T18))</f>
        <v>50</v>
      </c>
      <c r="U18" s="35">
        <f>IF('Base Scores'!U18="","",MAX('Base Scores'!U18,'Stress Scores'!U18))</f>
        <v>0</v>
      </c>
      <c r="V18" s="35">
        <f>IF('Base Scores'!V18="","",MAX('Base Scores'!V18,'Stress Scores'!V18))</f>
        <v>100</v>
      </c>
    </row>
    <row r="19">
      <c r="A19" s="26" t="s">
        <v>377</v>
      </c>
      <c r="B19" s="26">
        <v>2.0</v>
      </c>
      <c r="C19" s="26" t="s">
        <v>380</v>
      </c>
      <c r="D19" s="26" t="s">
        <v>254</v>
      </c>
      <c r="E19" s="35">
        <f>IF('Base Scores'!E19="","",MAX('Base Scores'!E19,'Stress Scores'!E19))</f>
        <v>50</v>
      </c>
      <c r="F19" s="35">
        <f>IF('Base Scores'!F19="","",MAX('Base Scores'!F19,'Stress Scores'!F19))</f>
        <v>50</v>
      </c>
      <c r="G19" s="35">
        <f>IF('Base Scores'!G19="","",MAX('Base Scores'!G19,'Stress Scores'!G19))</f>
        <v>0</v>
      </c>
      <c r="H19" s="35">
        <f>IF('Base Scores'!H19="","",MAX('Base Scores'!H19,'Stress Scores'!H19))</f>
        <v>50</v>
      </c>
      <c r="I19" s="35">
        <f>IF('Base Scores'!I19="","",MAX('Base Scores'!I19,'Stress Scores'!I19))</f>
        <v>0</v>
      </c>
      <c r="J19" s="35">
        <f>IF('Base Scores'!J19="","",MAX('Base Scores'!J19,'Stress Scores'!J19))</f>
        <v>0</v>
      </c>
      <c r="K19" s="35">
        <f>IF('Base Scores'!K19="","",MAX('Base Scores'!K19,'Stress Scores'!K19))</f>
        <v>25</v>
      </c>
      <c r="L19" s="35">
        <f>IF('Base Scores'!L19="","",MAX('Base Scores'!L19,'Stress Scores'!L19))</f>
        <v>25</v>
      </c>
      <c r="M19" s="35">
        <f>IF('Base Scores'!M19="","",MAX('Base Scores'!M19,'Stress Scores'!M19))</f>
        <v>75</v>
      </c>
      <c r="N19" s="35">
        <f>IF('Base Scores'!N19="","",MAX('Base Scores'!N19,'Stress Scores'!N19))</f>
        <v>50</v>
      </c>
      <c r="O19" s="35">
        <f>IF('Base Scores'!O19="","",MAX('Base Scores'!O19,'Stress Scores'!O19))</f>
        <v>50</v>
      </c>
      <c r="P19" s="35">
        <f>IF('Base Scores'!P19="","",MAX('Base Scores'!P19,'Stress Scores'!P19))</f>
        <v>75</v>
      </c>
      <c r="Q19" s="35">
        <f>IF('Base Scores'!Q19="","",MAX('Base Scores'!Q19,'Stress Scores'!Q19))</f>
        <v>50</v>
      </c>
      <c r="R19" s="35">
        <f>IF('Base Scores'!R19="","",MAX('Base Scores'!R19,'Stress Scores'!R19))</f>
        <v>100</v>
      </c>
      <c r="S19" s="35">
        <f>IF('Base Scores'!S19="","",MAX('Base Scores'!S19,'Stress Scores'!S19))</f>
        <v>50</v>
      </c>
      <c r="T19" s="35">
        <f>IF('Base Scores'!T19="","",MAX('Base Scores'!T19,'Stress Scores'!T19))</f>
        <v>100</v>
      </c>
      <c r="U19" s="35">
        <f>IF('Base Scores'!U19="","",MAX('Base Scores'!U19,'Stress Scores'!U19))</f>
        <v>25</v>
      </c>
      <c r="V19" s="35">
        <f>IF('Base Scores'!V19="","",MAX('Base Scores'!V19,'Stress Scores'!V19))</f>
        <v>75</v>
      </c>
    </row>
    <row r="20">
      <c r="A20" s="26" t="s">
        <v>396</v>
      </c>
      <c r="B20" s="26">
        <v>2.0</v>
      </c>
      <c r="C20" s="26" t="s">
        <v>398</v>
      </c>
      <c r="D20" s="26" t="s">
        <v>254</v>
      </c>
      <c r="E20" s="35">
        <f>IF('Base Scores'!E20="","",MAX('Base Scores'!E20,'Stress Scores'!E20))</f>
        <v>50</v>
      </c>
      <c r="F20" s="35">
        <f>IF('Base Scores'!F20="","",MAX('Base Scores'!F20,'Stress Scores'!F20))</f>
        <v>0</v>
      </c>
      <c r="G20" s="35">
        <f>IF('Base Scores'!G20="","",MAX('Base Scores'!G20,'Stress Scores'!G20))</f>
        <v>25</v>
      </c>
      <c r="H20" s="35">
        <f>IF('Base Scores'!H20="","",MAX('Base Scores'!H20,'Stress Scores'!H20))</f>
        <v>0</v>
      </c>
      <c r="I20" s="35">
        <f>IF('Base Scores'!I20="","",MAX('Base Scores'!I20,'Stress Scores'!I20))</f>
        <v>0</v>
      </c>
      <c r="J20" s="35">
        <f>IF('Base Scores'!J20="","",MAX('Base Scores'!J20,'Stress Scores'!J20))</f>
        <v>0</v>
      </c>
      <c r="K20" s="35">
        <f>IF('Base Scores'!K20="","",MAX('Base Scores'!K20,'Stress Scores'!K20))</f>
        <v>0</v>
      </c>
      <c r="L20" s="35">
        <f>IF('Base Scores'!L20="","",MAX('Base Scores'!L20,'Stress Scores'!L20))</f>
        <v>0</v>
      </c>
      <c r="M20" s="35">
        <f>IF('Base Scores'!M20="","",MAX('Base Scores'!M20,'Stress Scores'!M20))</f>
        <v>25</v>
      </c>
      <c r="N20" s="35">
        <f>IF('Base Scores'!N20="","",MAX('Base Scores'!N20,'Stress Scores'!N20))</f>
        <v>25</v>
      </c>
      <c r="O20" s="35">
        <f>IF('Base Scores'!O20="","",MAX('Base Scores'!O20,'Stress Scores'!O20))</f>
        <v>0</v>
      </c>
      <c r="P20" s="35">
        <f>IF('Base Scores'!P20="","",MAX('Base Scores'!P20,'Stress Scores'!P20))</f>
        <v>0</v>
      </c>
      <c r="Q20" s="35">
        <f>IF('Base Scores'!Q20="","",MAX('Base Scores'!Q20,'Stress Scores'!Q20))</f>
        <v>0</v>
      </c>
      <c r="R20" s="35">
        <f>IF('Base Scores'!R20="","",MAX('Base Scores'!R20,'Stress Scores'!R20))</f>
        <v>100</v>
      </c>
      <c r="S20" s="35">
        <f>IF('Base Scores'!S20="","",MAX('Base Scores'!S20,'Stress Scores'!S20))</f>
        <v>25</v>
      </c>
      <c r="T20" s="35">
        <f>IF('Base Scores'!T20="","",MAX('Base Scores'!T20,'Stress Scores'!T20))</f>
        <v>0</v>
      </c>
      <c r="U20" s="35">
        <f>IF('Base Scores'!U20="","",MAX('Base Scores'!U20,'Stress Scores'!U20))</f>
        <v>25</v>
      </c>
      <c r="V20" s="35">
        <f>IF('Base Scores'!V20="","",MAX('Base Scores'!V20,'Stress Scores'!V20))</f>
        <v>75</v>
      </c>
    </row>
    <row r="21">
      <c r="A21" s="26" t="s">
        <v>407</v>
      </c>
      <c r="B21" s="26">
        <v>2.0</v>
      </c>
      <c r="C21" s="26" t="s">
        <v>409</v>
      </c>
      <c r="D21" s="26" t="s">
        <v>37</v>
      </c>
      <c r="E21" s="35">
        <f>IF('Base Scores'!E21="","",MAX('Base Scores'!E21,'Stress Scores'!E21))</f>
        <v>0</v>
      </c>
      <c r="F21" s="35">
        <f>IF('Base Scores'!F21="","",MAX('Base Scores'!F21,'Stress Scores'!F21))</f>
        <v>62.3125</v>
      </c>
      <c r="G21" s="35">
        <f>IF('Base Scores'!G21="","",MAX('Base Scores'!G21,'Stress Scores'!G21))</f>
        <v>0</v>
      </c>
      <c r="H21" s="35">
        <f>IF('Base Scores'!H21="","",MAX('Base Scores'!H21,'Stress Scores'!H21))</f>
        <v>15.25</v>
      </c>
      <c r="I21" s="35">
        <f>IF('Base Scores'!I21="","",MAX('Base Scores'!I21,'Stress Scores'!I21))</f>
        <v>0</v>
      </c>
      <c r="J21" s="35">
        <f>IF('Base Scores'!J21="","",MAX('Base Scores'!J21,'Stress Scores'!J21))</f>
        <v>0</v>
      </c>
      <c r="K21" s="35">
        <f>IF('Base Scores'!K21="","",MAX('Base Scores'!K21,'Stress Scores'!K21))</f>
        <v>0</v>
      </c>
      <c r="L21" s="35">
        <f>IF('Base Scores'!L21="","",MAX('Base Scores'!L21,'Stress Scores'!L21))</f>
        <v>17.75</v>
      </c>
      <c r="M21" s="35">
        <f>IF('Base Scores'!M21="","",MAX('Base Scores'!M21,'Stress Scores'!M21))</f>
        <v>13.125</v>
      </c>
      <c r="N21" s="35">
        <f>IF('Base Scores'!N21="","",MAX('Base Scores'!N21,'Stress Scores'!N21))</f>
        <v>100</v>
      </c>
      <c r="O21" s="35">
        <f>IF('Base Scores'!O21="","",MAX('Base Scores'!O21,'Stress Scores'!O21))</f>
        <v>39.5625</v>
      </c>
      <c r="P21" s="35">
        <f>IF('Base Scores'!P21="","",MAX('Base Scores'!P21,'Stress Scores'!P21))</f>
        <v>5.625</v>
      </c>
      <c r="Q21" s="35">
        <f>IF('Base Scores'!Q21="","",MAX('Base Scores'!Q21,'Stress Scores'!Q21))</f>
        <v>55</v>
      </c>
      <c r="R21" s="35">
        <f>IF('Base Scores'!R21="","",MAX('Base Scores'!R21,'Stress Scores'!R21))</f>
        <v>54.6875</v>
      </c>
      <c r="S21" s="35">
        <f>IF('Base Scores'!S21="","",MAX('Base Scores'!S21,'Stress Scores'!S21))</f>
        <v>10.3125</v>
      </c>
      <c r="T21" s="35">
        <f>IF('Base Scores'!T21="","",MAX('Base Scores'!T21,'Stress Scores'!T21))</f>
        <v>100</v>
      </c>
      <c r="U21" s="35">
        <f>IF('Base Scores'!U21="","",MAX('Base Scores'!U21,'Stress Scores'!U21))</f>
        <v>100</v>
      </c>
      <c r="V21" s="35">
        <f>IF('Base Scores'!V21="","",MAX('Base Scores'!V21,'Stress Scores'!V21))</f>
        <v>40.625</v>
      </c>
    </row>
    <row r="22">
      <c r="A22" s="26" t="s">
        <v>419</v>
      </c>
      <c r="B22" s="26">
        <v>2.0</v>
      </c>
      <c r="C22" s="26" t="s">
        <v>420</v>
      </c>
      <c r="D22" s="26" t="s">
        <v>307</v>
      </c>
      <c r="E22" s="35">
        <f>IF('Base Scores'!E22="","",MAX('Base Scores'!E22,'Stress Scores'!E22))</f>
        <v>45</v>
      </c>
      <c r="F22" s="35">
        <f>IF('Base Scores'!F22="","",MAX('Base Scores'!F22,'Stress Scores'!F22))</f>
        <v>16.66666667</v>
      </c>
      <c r="G22" s="35">
        <f>IF('Base Scores'!G22="","",MAX('Base Scores'!G22,'Stress Scores'!G22))</f>
        <v>36</v>
      </c>
      <c r="H22" s="35">
        <f>IF('Base Scores'!H22="","",MAX('Base Scores'!H22,'Stress Scores'!H22))</f>
        <v>90</v>
      </c>
      <c r="I22" s="35">
        <f>IF('Base Scores'!I22="","",MAX('Base Scores'!I22,'Stress Scores'!I22))</f>
        <v>50</v>
      </c>
      <c r="J22" s="35">
        <f>IF('Base Scores'!J22="","",MAX('Base Scores'!J22,'Stress Scores'!J22))</f>
        <v>30</v>
      </c>
      <c r="K22" s="35">
        <f>IF('Base Scores'!K22="","",MAX('Base Scores'!K22,'Stress Scores'!K22))</f>
        <v>35</v>
      </c>
      <c r="L22" s="35">
        <f>IF('Base Scores'!L22="","",MAX('Base Scores'!L22,'Stress Scores'!L22))</f>
        <v>16.66666667</v>
      </c>
      <c r="M22" s="35">
        <f>IF('Base Scores'!M22="","",MAX('Base Scores'!M22,'Stress Scores'!M22))</f>
        <v>80</v>
      </c>
      <c r="N22" s="35">
        <f>IF('Base Scores'!N22="","",MAX('Base Scores'!N22,'Stress Scores'!N22))</f>
        <v>16.66666667</v>
      </c>
      <c r="O22" s="35">
        <f>IF('Base Scores'!O22="","",MAX('Base Scores'!O22,'Stress Scores'!O22))</f>
        <v>16.66666667</v>
      </c>
      <c r="P22" s="35">
        <f>IF('Base Scores'!P22="","",MAX('Base Scores'!P22,'Stress Scores'!P22))</f>
        <v>100</v>
      </c>
      <c r="Q22" s="35">
        <f>IF('Base Scores'!Q22="","",MAX('Base Scores'!Q22,'Stress Scores'!Q22))</f>
        <v>30</v>
      </c>
      <c r="R22" s="35">
        <f>IF('Base Scores'!R22="","",MAX('Base Scores'!R22,'Stress Scores'!R22))</f>
        <v>100</v>
      </c>
      <c r="S22" s="35">
        <f>IF('Base Scores'!S22="","",MAX('Base Scores'!S22,'Stress Scores'!S22))</f>
        <v>25</v>
      </c>
      <c r="T22" s="35">
        <f>IF('Base Scores'!T22="","",MAX('Base Scores'!T22,'Stress Scores'!T22))</f>
        <v>50</v>
      </c>
      <c r="U22" s="35">
        <f>IF('Base Scores'!U22="","",MAX('Base Scores'!U22,'Stress Scores'!U22))</f>
        <v>40</v>
      </c>
      <c r="V22" s="35">
        <f>IF('Base Scores'!V22="","",MAX('Base Scores'!V22,'Stress Scores'!V22))</f>
        <v>100</v>
      </c>
    </row>
    <row r="23">
      <c r="A23" s="26" t="s">
        <v>430</v>
      </c>
      <c r="B23" s="26">
        <v>2.0</v>
      </c>
      <c r="C23" s="26" t="s">
        <v>432</v>
      </c>
      <c r="D23" s="26" t="s">
        <v>433</v>
      </c>
      <c r="E23" s="35">
        <f>IF('Base Scores'!E23="","",MAX('Base Scores'!E23,'Stress Scores'!E23))</f>
        <v>0</v>
      </c>
      <c r="F23" s="35">
        <f>IF('Base Scores'!F23="","",MAX('Base Scores'!F23,'Stress Scores'!F23))</f>
        <v>0</v>
      </c>
      <c r="G23" s="35">
        <f>IF('Base Scores'!G23="","",MAX('Base Scores'!G23,'Stress Scores'!G23))</f>
        <v>0</v>
      </c>
      <c r="H23" s="35">
        <f>IF('Base Scores'!H23="","",MAX('Base Scores'!H23,'Stress Scores'!H23))</f>
        <v>5</v>
      </c>
      <c r="I23" s="35">
        <f>IF('Base Scores'!I23="","",MAX('Base Scores'!I23,'Stress Scores'!I23))</f>
        <v>0</v>
      </c>
      <c r="J23" s="35">
        <f>IF('Base Scores'!J23="","",MAX('Base Scores'!J23,'Stress Scores'!J23))</f>
        <v>25</v>
      </c>
      <c r="K23" s="35">
        <f>IF('Base Scores'!K23="","",MAX('Base Scores'!K23,'Stress Scores'!K23))</f>
        <v>0</v>
      </c>
      <c r="L23" s="35">
        <f>IF('Base Scores'!L23="","",MAX('Base Scores'!L23,'Stress Scores'!L23))</f>
        <v>0</v>
      </c>
      <c r="M23" s="35">
        <f>IF('Base Scores'!M23="","",MAX('Base Scores'!M23,'Stress Scores'!M23))</f>
        <v>80</v>
      </c>
      <c r="N23" s="35">
        <f>IF('Base Scores'!N23="","",MAX('Base Scores'!N23,'Stress Scores'!N23))</f>
        <v>20</v>
      </c>
      <c r="O23" s="35">
        <f>IF('Base Scores'!O23="","",MAX('Base Scores'!O23,'Stress Scores'!O23))</f>
        <v>15</v>
      </c>
      <c r="P23" s="35">
        <f>IF('Base Scores'!P23="","",MAX('Base Scores'!P23,'Stress Scores'!P23))</f>
        <v>70</v>
      </c>
      <c r="Q23" s="35">
        <f>IF('Base Scores'!Q23="","",MAX('Base Scores'!Q23,'Stress Scores'!Q23))</f>
        <v>65</v>
      </c>
      <c r="R23" s="35">
        <f>IF('Base Scores'!R23="","",MAX('Base Scores'!R23,'Stress Scores'!R23))</f>
        <v>100</v>
      </c>
      <c r="S23" s="35">
        <f>IF('Base Scores'!S23="","",MAX('Base Scores'!S23,'Stress Scores'!S23))</f>
        <v>5</v>
      </c>
      <c r="T23" s="35">
        <f>IF('Base Scores'!T23="","",MAX('Base Scores'!T23,'Stress Scores'!T23))</f>
        <v>100</v>
      </c>
      <c r="U23" s="35">
        <f>IF('Base Scores'!U23="","",MAX('Base Scores'!U23,'Stress Scores'!U23))</f>
        <v>30</v>
      </c>
      <c r="V23" s="35">
        <f>IF('Base Scores'!V23="","",MAX('Base Scores'!V23,'Stress Scores'!V23))</f>
        <v>30</v>
      </c>
    </row>
    <row r="24">
      <c r="A24" s="26" t="s">
        <v>441</v>
      </c>
      <c r="B24" s="26">
        <v>2.0</v>
      </c>
      <c r="C24" s="26" t="s">
        <v>445</v>
      </c>
      <c r="D24" s="26" t="s">
        <v>447</v>
      </c>
      <c r="E24" s="35">
        <f>IF('Base Scores'!E24="","",MAX('Base Scores'!E24,'Stress Scores'!E24))</f>
        <v>25</v>
      </c>
      <c r="F24" s="35">
        <f>IF('Base Scores'!F24="","",MAX('Base Scores'!F24,'Stress Scores'!F24))</f>
        <v>58.33333333</v>
      </c>
      <c r="G24" s="35">
        <f>IF('Base Scores'!G24="","",MAX('Base Scores'!G24,'Stress Scores'!G24))</f>
        <v>8.333333333</v>
      </c>
      <c r="H24" s="35">
        <f>IF('Base Scores'!H24="","",MAX('Base Scores'!H24,'Stress Scores'!H24))</f>
        <v>33.33333333</v>
      </c>
      <c r="I24" s="35">
        <f>IF('Base Scores'!I24="","",MAX('Base Scores'!I24,'Stress Scores'!I24))</f>
        <v>16.66666667</v>
      </c>
      <c r="J24" s="35">
        <f>IF('Base Scores'!J24="","",MAX('Base Scores'!J24,'Stress Scores'!J24))</f>
        <v>0</v>
      </c>
      <c r="K24" s="35">
        <f>IF('Base Scores'!K24="","",MAX('Base Scores'!K24,'Stress Scores'!K24))</f>
        <v>8.333333333</v>
      </c>
      <c r="L24" s="35">
        <f>IF('Base Scores'!L24="","",MAX('Base Scores'!L24,'Stress Scores'!L24))</f>
        <v>0</v>
      </c>
      <c r="M24" s="35">
        <f>IF('Base Scores'!M24="","",MAX('Base Scores'!M24,'Stress Scores'!M24))</f>
        <v>58.33333333</v>
      </c>
      <c r="N24" s="35">
        <f>IF('Base Scores'!N24="","",MAX('Base Scores'!N24,'Stress Scores'!N24))</f>
        <v>50</v>
      </c>
      <c r="O24" s="35">
        <f>IF('Base Scores'!O24="","",MAX('Base Scores'!O24,'Stress Scores'!O24))</f>
        <v>0</v>
      </c>
      <c r="P24" s="35">
        <f>IF('Base Scores'!P24="","",MAX('Base Scores'!P24,'Stress Scores'!P24))</f>
        <v>8.333333333</v>
      </c>
      <c r="Q24" s="35">
        <f>IF('Base Scores'!Q24="","",MAX('Base Scores'!Q24,'Stress Scores'!Q24))</f>
        <v>33.33333333</v>
      </c>
      <c r="R24" s="35">
        <f>IF('Base Scores'!R24="","",MAX('Base Scores'!R24,'Stress Scores'!R24))</f>
        <v>100</v>
      </c>
      <c r="S24" s="35">
        <f>IF('Base Scores'!S24="","",MAX('Base Scores'!S24,'Stress Scores'!S24))</f>
        <v>100</v>
      </c>
      <c r="T24" s="35">
        <f>IF('Base Scores'!T24="","",MAX('Base Scores'!T24,'Stress Scores'!T24))</f>
        <v>8.333333333</v>
      </c>
      <c r="U24" s="35">
        <f>IF('Base Scores'!U24="","",MAX('Base Scores'!U24,'Stress Scores'!U24))</f>
        <v>91.66666667</v>
      </c>
      <c r="V24" s="35">
        <f>IF('Base Scores'!V24="","",MAX('Base Scores'!V24,'Stress Scores'!V24))</f>
        <v>50</v>
      </c>
    </row>
    <row r="25">
      <c r="A25" s="26" t="s">
        <v>463</v>
      </c>
      <c r="B25" s="26">
        <v>2.0</v>
      </c>
      <c r="C25" s="26" t="s">
        <v>468</v>
      </c>
      <c r="D25" s="26" t="s">
        <v>470</v>
      </c>
      <c r="E25" s="35">
        <f>IF('Base Scores'!E25="","",MAX('Base Scores'!E25,'Stress Scores'!E25))</f>
        <v>25</v>
      </c>
      <c r="F25" s="35">
        <f>IF('Base Scores'!F25="","",MAX('Base Scores'!F25,'Stress Scores'!F25))</f>
        <v>0</v>
      </c>
      <c r="G25" s="35">
        <f>IF('Base Scores'!G25="","",MAX('Base Scores'!G25,'Stress Scores'!G25))</f>
        <v>0</v>
      </c>
      <c r="H25" s="35">
        <f>IF('Base Scores'!H25="","",MAX('Base Scores'!H25,'Stress Scores'!H25))</f>
        <v>0</v>
      </c>
      <c r="I25" s="35">
        <f>IF('Base Scores'!I25="","",MAX('Base Scores'!I25,'Stress Scores'!I25))</f>
        <v>40</v>
      </c>
      <c r="J25" s="35">
        <f>IF('Base Scores'!J25="","",MAX('Base Scores'!J25,'Stress Scores'!J25))</f>
        <v>0</v>
      </c>
      <c r="K25" s="35">
        <f>IF('Base Scores'!K25="","",MAX('Base Scores'!K25,'Stress Scores'!K25))</f>
        <v>0</v>
      </c>
      <c r="L25" s="35">
        <f>IF('Base Scores'!L25="","",MAX('Base Scores'!L25,'Stress Scores'!L25))</f>
        <v>0</v>
      </c>
      <c r="M25" s="35">
        <f>IF('Base Scores'!M25="","",MAX('Base Scores'!M25,'Stress Scores'!M25))</f>
        <v>25</v>
      </c>
      <c r="N25" s="35">
        <f>IF('Base Scores'!N25="","",MAX('Base Scores'!N25,'Stress Scores'!N25))</f>
        <v>0</v>
      </c>
      <c r="O25" s="35">
        <f>IF('Base Scores'!O25="","",MAX('Base Scores'!O25,'Stress Scores'!O25))</f>
        <v>0</v>
      </c>
      <c r="P25" s="35">
        <f>IF('Base Scores'!P25="","",MAX('Base Scores'!P25,'Stress Scores'!P25))</f>
        <v>82.14285714</v>
      </c>
      <c r="Q25" s="35">
        <f>IF('Base Scores'!Q25="","",MAX('Base Scores'!Q25,'Stress Scores'!Q25))</f>
        <v>0</v>
      </c>
      <c r="R25" s="35">
        <f>IF('Base Scores'!R25="","",MAX('Base Scores'!R25,'Stress Scores'!R25))</f>
        <v>100</v>
      </c>
      <c r="S25" s="35">
        <f>IF('Base Scores'!S25="","",MAX('Base Scores'!S25,'Stress Scores'!S25))</f>
        <v>0</v>
      </c>
      <c r="T25" s="35">
        <f>IF('Base Scores'!T25="","",MAX('Base Scores'!T25,'Stress Scores'!T25))</f>
        <v>0</v>
      </c>
      <c r="U25" s="35">
        <f>IF('Base Scores'!U25="","",MAX('Base Scores'!U25,'Stress Scores'!U25))</f>
        <v>0</v>
      </c>
      <c r="V25" s="35">
        <f>IF('Base Scores'!V25="","",MAX('Base Scores'!V25,'Stress Scores'!V25))</f>
        <v>82.14285714</v>
      </c>
    </row>
    <row r="26">
      <c r="A26" s="26" t="s">
        <v>481</v>
      </c>
      <c r="B26" s="26">
        <v>3.0</v>
      </c>
      <c r="C26" s="26" t="s">
        <v>483</v>
      </c>
      <c r="D26" s="26" t="s">
        <v>254</v>
      </c>
      <c r="E26" s="35">
        <f>IF('Base Scores'!E26="","",MAX('Base Scores'!E26,'Stress Scores'!E26))</f>
        <v>25</v>
      </c>
      <c r="F26" s="35">
        <f>IF('Base Scores'!F26="","",MAX('Base Scores'!F26,'Stress Scores'!F26))</f>
        <v>25</v>
      </c>
      <c r="G26" s="35">
        <f>IF('Base Scores'!G26="","",MAX('Base Scores'!G26,'Stress Scores'!G26))</f>
        <v>50</v>
      </c>
      <c r="H26" s="35">
        <f>IF('Base Scores'!H26="","",MAX('Base Scores'!H26,'Stress Scores'!H26))</f>
        <v>25</v>
      </c>
      <c r="I26" s="35">
        <f>IF('Base Scores'!I26="","",MAX('Base Scores'!I26,'Stress Scores'!I26))</f>
        <v>0</v>
      </c>
      <c r="J26" s="35">
        <f>IF('Base Scores'!J26="","",MAX('Base Scores'!J26,'Stress Scores'!J26))</f>
        <v>0</v>
      </c>
      <c r="K26" s="35">
        <f>IF('Base Scores'!K26="","",MAX('Base Scores'!K26,'Stress Scores'!K26))</f>
        <v>25</v>
      </c>
      <c r="L26" s="35">
        <f>IF('Base Scores'!L26="","",MAX('Base Scores'!L26,'Stress Scores'!L26))</f>
        <v>50</v>
      </c>
      <c r="M26" s="35">
        <f>IF('Base Scores'!M26="","",MAX('Base Scores'!M26,'Stress Scores'!M26))</f>
        <v>75</v>
      </c>
      <c r="N26" s="35">
        <f>IF('Base Scores'!N26="","",MAX('Base Scores'!N26,'Stress Scores'!N26))</f>
        <v>75</v>
      </c>
      <c r="O26" s="35">
        <f>IF('Base Scores'!O26="","",MAX('Base Scores'!O26,'Stress Scores'!O26))</f>
        <v>25</v>
      </c>
      <c r="P26" s="35">
        <f>IF('Base Scores'!P26="","",MAX('Base Scores'!P26,'Stress Scores'!P26))</f>
        <v>75</v>
      </c>
      <c r="Q26" s="35">
        <f>IF('Base Scores'!Q26="","",MAX('Base Scores'!Q26,'Stress Scores'!Q26))</f>
        <v>25</v>
      </c>
      <c r="R26" s="35">
        <f>IF('Base Scores'!R26="","",MAX('Base Scores'!R26,'Stress Scores'!R26))</f>
        <v>100</v>
      </c>
      <c r="S26" s="35">
        <f>IF('Base Scores'!S26="","",MAX('Base Scores'!S26,'Stress Scores'!S26))</f>
        <v>50</v>
      </c>
      <c r="T26" s="35">
        <f>IF('Base Scores'!T26="","",MAX('Base Scores'!T26,'Stress Scores'!T26))</f>
        <v>50</v>
      </c>
      <c r="U26" s="35">
        <f>IF('Base Scores'!U26="","",MAX('Base Scores'!U26,'Stress Scores'!U26))</f>
        <v>75</v>
      </c>
      <c r="V26" s="35">
        <f>IF('Base Scores'!V26="","",MAX('Base Scores'!V26,'Stress Scores'!V26))</f>
        <v>100</v>
      </c>
    </row>
    <row r="27">
      <c r="A27" s="26" t="s">
        <v>493</v>
      </c>
      <c r="B27" s="26">
        <v>3.0</v>
      </c>
      <c r="C27" s="26" t="s">
        <v>494</v>
      </c>
      <c r="D27" s="26" t="s">
        <v>254</v>
      </c>
      <c r="E27" s="35">
        <f>IF('Base Scores'!E27="","",MAX('Base Scores'!E27,'Stress Scores'!E27))</f>
        <v>0</v>
      </c>
      <c r="F27" s="35">
        <f>IF('Base Scores'!F27="","",MAX('Base Scores'!F27,'Stress Scores'!F27))</f>
        <v>25</v>
      </c>
      <c r="G27" s="35">
        <f>IF('Base Scores'!G27="","",MAX('Base Scores'!G27,'Stress Scores'!G27))</f>
        <v>0</v>
      </c>
      <c r="H27" s="35">
        <f>IF('Base Scores'!H27="","",MAX('Base Scores'!H27,'Stress Scores'!H27))</f>
        <v>25</v>
      </c>
      <c r="I27" s="35">
        <f>IF('Base Scores'!I27="","",MAX('Base Scores'!I27,'Stress Scores'!I27))</f>
        <v>0</v>
      </c>
      <c r="J27" s="35">
        <f>IF('Base Scores'!J27="","",MAX('Base Scores'!J27,'Stress Scores'!J27))</f>
        <v>0</v>
      </c>
      <c r="K27" s="35">
        <f>IF('Base Scores'!K27="","",MAX('Base Scores'!K27,'Stress Scores'!K27))</f>
        <v>25</v>
      </c>
      <c r="L27" s="35">
        <f>IF('Base Scores'!L27="","",MAX('Base Scores'!L27,'Stress Scores'!L27))</f>
        <v>50</v>
      </c>
      <c r="M27" s="35">
        <f>IF('Base Scores'!M27="","",MAX('Base Scores'!M27,'Stress Scores'!M27))</f>
        <v>50</v>
      </c>
      <c r="N27" s="35">
        <f>IF('Base Scores'!N27="","",MAX('Base Scores'!N27,'Stress Scores'!N27))</f>
        <v>75</v>
      </c>
      <c r="O27" s="35">
        <f>IF('Base Scores'!O27="","",MAX('Base Scores'!O27,'Stress Scores'!O27))</f>
        <v>0</v>
      </c>
      <c r="P27" s="35">
        <f>IF('Base Scores'!P27="","",MAX('Base Scores'!P27,'Stress Scores'!P27))</f>
        <v>75</v>
      </c>
      <c r="Q27" s="35">
        <f>IF('Base Scores'!Q27="","",MAX('Base Scores'!Q27,'Stress Scores'!Q27))</f>
        <v>25</v>
      </c>
      <c r="R27" s="35">
        <f>IF('Base Scores'!R27="","",MAX('Base Scores'!R27,'Stress Scores'!R27))</f>
        <v>100</v>
      </c>
      <c r="S27" s="35">
        <f>IF('Base Scores'!S27="","",MAX('Base Scores'!S27,'Stress Scores'!S27))</f>
        <v>50</v>
      </c>
      <c r="T27" s="35">
        <f>IF('Base Scores'!T27="","",MAX('Base Scores'!T27,'Stress Scores'!T27))</f>
        <v>25</v>
      </c>
      <c r="U27" s="35">
        <f>IF('Base Scores'!U27="","",MAX('Base Scores'!U27,'Stress Scores'!U27))</f>
        <v>50</v>
      </c>
      <c r="V27" s="35">
        <f>IF('Base Scores'!V27="","",MAX('Base Scores'!V27,'Stress Scores'!V27))</f>
        <v>75</v>
      </c>
    </row>
    <row r="28">
      <c r="A28" s="26" t="s">
        <v>499</v>
      </c>
      <c r="B28" s="26">
        <v>3.0</v>
      </c>
      <c r="C28" s="26" t="s">
        <v>500</v>
      </c>
      <c r="D28" s="26" t="s">
        <v>254</v>
      </c>
      <c r="E28" s="35">
        <f>IF('Base Scores'!E28="","",MAX('Base Scores'!E28,'Stress Scores'!E28))</f>
        <v>50</v>
      </c>
      <c r="F28" s="35">
        <f>IF('Base Scores'!F28="","",MAX('Base Scores'!F28,'Stress Scores'!F28))</f>
        <v>0</v>
      </c>
      <c r="G28" s="35">
        <f>IF('Base Scores'!G28="","",MAX('Base Scores'!G28,'Stress Scores'!G28))</f>
        <v>0</v>
      </c>
      <c r="H28" s="35">
        <f>IF('Base Scores'!H28="","",MAX('Base Scores'!H28,'Stress Scores'!H28))</f>
        <v>0</v>
      </c>
      <c r="I28" s="35">
        <f>IF('Base Scores'!I28="","",MAX('Base Scores'!I28,'Stress Scores'!I28))</f>
        <v>0</v>
      </c>
      <c r="J28" s="35">
        <f>IF('Base Scores'!J28="","",MAX('Base Scores'!J28,'Stress Scores'!J28))</f>
        <v>0</v>
      </c>
      <c r="K28" s="35">
        <f>IF('Base Scores'!K28="","",MAX('Base Scores'!K28,'Stress Scores'!K28))</f>
        <v>0</v>
      </c>
      <c r="L28" s="35">
        <f>IF('Base Scores'!L28="","",MAX('Base Scores'!L28,'Stress Scores'!L28))</f>
        <v>75</v>
      </c>
      <c r="M28" s="35">
        <f>IF('Base Scores'!M28="","",MAX('Base Scores'!M28,'Stress Scores'!M28))</f>
        <v>25</v>
      </c>
      <c r="N28" s="35">
        <f>IF('Base Scores'!N28="","",MAX('Base Scores'!N28,'Stress Scores'!N28))</f>
        <v>50</v>
      </c>
      <c r="O28" s="35">
        <f>IF('Base Scores'!O28="","",MAX('Base Scores'!O28,'Stress Scores'!O28))</f>
        <v>50</v>
      </c>
      <c r="P28" s="35">
        <f>IF('Base Scores'!P28="","",MAX('Base Scores'!P28,'Stress Scores'!P28))</f>
        <v>25</v>
      </c>
      <c r="Q28" s="35">
        <f>IF('Base Scores'!Q28="","",MAX('Base Scores'!Q28,'Stress Scores'!Q28))</f>
        <v>25</v>
      </c>
      <c r="R28" s="35">
        <f>IF('Base Scores'!R28="","",MAX('Base Scores'!R28,'Stress Scores'!R28))</f>
        <v>100</v>
      </c>
      <c r="S28" s="35">
        <f>IF('Base Scores'!S28="","",MAX('Base Scores'!S28,'Stress Scores'!S28))</f>
        <v>25</v>
      </c>
      <c r="T28" s="35">
        <f>IF('Base Scores'!T28="","",MAX('Base Scores'!T28,'Stress Scores'!T28))</f>
        <v>0</v>
      </c>
      <c r="U28" s="35">
        <f>IF('Base Scores'!U28="","",MAX('Base Scores'!U28,'Stress Scores'!U28))</f>
        <v>25</v>
      </c>
      <c r="V28" s="35">
        <f>IF('Base Scores'!V28="","",MAX('Base Scores'!V28,'Stress Scores'!V28))</f>
        <v>25</v>
      </c>
    </row>
    <row r="29">
      <c r="A29" s="26" t="s">
        <v>508</v>
      </c>
      <c r="B29" s="26">
        <v>3.0</v>
      </c>
      <c r="C29" s="26" t="s">
        <v>509</v>
      </c>
      <c r="D29" s="26" t="s">
        <v>510</v>
      </c>
      <c r="E29" s="35">
        <f>IF('Base Scores'!E29="","",MAX('Base Scores'!E29,'Stress Scores'!E29))</f>
        <v>25</v>
      </c>
      <c r="F29" s="35">
        <f>IF('Base Scores'!F29="","",MAX('Base Scores'!F29,'Stress Scores'!F29))</f>
        <v>25</v>
      </c>
      <c r="G29" s="35">
        <f>IF('Base Scores'!G29="","",MAX('Base Scores'!G29,'Stress Scores'!G29))</f>
        <v>41.66666667</v>
      </c>
      <c r="H29" s="35">
        <f>IF('Base Scores'!H29="","",MAX('Base Scores'!H29,'Stress Scores'!H29))</f>
        <v>15</v>
      </c>
      <c r="I29" s="35">
        <f>IF('Base Scores'!I29="","",MAX('Base Scores'!I29,'Stress Scores'!I29))</f>
        <v>25</v>
      </c>
      <c r="J29" s="35">
        <f>IF('Base Scores'!J29="","",MAX('Base Scores'!J29,'Stress Scores'!J29))</f>
        <v>25</v>
      </c>
      <c r="K29" s="35">
        <f>IF('Base Scores'!K29="","",MAX('Base Scores'!K29,'Stress Scores'!K29))</f>
        <v>33.33333333</v>
      </c>
      <c r="L29" s="35">
        <f>IF('Base Scores'!L29="","",MAX('Base Scores'!L29,'Stress Scores'!L29))</f>
        <v>25</v>
      </c>
      <c r="M29" s="35">
        <f>IF('Base Scores'!M29="","",MAX('Base Scores'!M29,'Stress Scores'!M29))</f>
        <v>58.33333333</v>
      </c>
      <c r="N29" s="35">
        <f>IF('Base Scores'!N29="","",MAX('Base Scores'!N29,'Stress Scores'!N29))</f>
        <v>41.66666667</v>
      </c>
      <c r="O29" s="35">
        <f>IF('Base Scores'!O29="","",MAX('Base Scores'!O29,'Stress Scores'!O29))</f>
        <v>15</v>
      </c>
      <c r="P29" s="35">
        <f>IF('Base Scores'!P29="","",MAX('Base Scores'!P29,'Stress Scores'!P29))</f>
        <v>15</v>
      </c>
      <c r="Q29" s="35">
        <f>IF('Base Scores'!Q29="","",MAX('Base Scores'!Q29,'Stress Scores'!Q29))</f>
        <v>41.66666667</v>
      </c>
      <c r="R29" s="35">
        <f>IF('Base Scores'!R29="","",MAX('Base Scores'!R29,'Stress Scores'!R29))</f>
        <v>41.66666667</v>
      </c>
      <c r="S29" s="35">
        <f>IF('Base Scores'!S29="","",MAX('Base Scores'!S29,'Stress Scores'!S29))</f>
        <v>25</v>
      </c>
      <c r="T29" s="35">
        <f>IF('Base Scores'!T29="","",MAX('Base Scores'!T29,'Stress Scores'!T29))</f>
        <v>50</v>
      </c>
      <c r="U29" s="35">
        <f>IF('Base Scores'!U29="","",MAX('Base Scores'!U29,'Stress Scores'!U29))</f>
        <v>10</v>
      </c>
      <c r="V29" s="35">
        <f>IF('Base Scores'!V29="","",MAX('Base Scores'!V29,'Stress Scores'!V29))</f>
        <v>33.33333333</v>
      </c>
    </row>
    <row r="30">
      <c r="A30" s="26" t="s">
        <v>517</v>
      </c>
      <c r="B30" s="26">
        <v>3.0</v>
      </c>
      <c r="C30" s="26" t="s">
        <v>518</v>
      </c>
      <c r="D30" s="26" t="s">
        <v>520</v>
      </c>
      <c r="E30" s="35">
        <f>IF('Base Scores'!E30="","",MAX('Base Scores'!E30,'Stress Scores'!E30))</f>
        <v>47.5</v>
      </c>
      <c r="F30" s="35">
        <f>IF('Base Scores'!F30="","",MAX('Base Scores'!F30,'Stress Scores'!F30))</f>
        <v>43.75</v>
      </c>
      <c r="G30" s="35">
        <f>IF('Base Scores'!G30="","",MAX('Base Scores'!G30,'Stress Scores'!G30))</f>
        <v>47.5</v>
      </c>
      <c r="H30" s="35">
        <f>IF('Base Scores'!H30="","",MAX('Base Scores'!H30,'Stress Scores'!H30))</f>
        <v>18.75</v>
      </c>
      <c r="I30" s="35">
        <f>IF('Base Scores'!I30="","",MAX('Base Scores'!I30,'Stress Scores'!I30))</f>
        <v>0</v>
      </c>
      <c r="J30" s="35">
        <f>IF('Base Scores'!J30="","",MAX('Base Scores'!J30,'Stress Scores'!J30))</f>
        <v>0</v>
      </c>
      <c r="K30" s="35">
        <f>IF('Base Scores'!K30="","",MAX('Base Scores'!K30,'Stress Scores'!K30))</f>
        <v>0</v>
      </c>
      <c r="L30" s="35">
        <f>IF('Base Scores'!L30="","",MAX('Base Scores'!L30,'Stress Scores'!L30))</f>
        <v>40</v>
      </c>
      <c r="M30" s="35">
        <f>IF('Base Scores'!M30="","",MAX('Base Scores'!M30,'Stress Scores'!M30))</f>
        <v>80</v>
      </c>
      <c r="N30" s="35">
        <f>IF('Base Scores'!N30="","",MAX('Base Scores'!N30,'Stress Scores'!N30))</f>
        <v>66.66666667</v>
      </c>
      <c r="O30" s="35">
        <f>IF('Base Scores'!O30="","",MAX('Base Scores'!O30,'Stress Scores'!O30))</f>
        <v>47.5</v>
      </c>
      <c r="P30" s="35">
        <f>IF('Base Scores'!P30="","",MAX('Base Scores'!P30,'Stress Scores'!P30))</f>
        <v>53.33333333</v>
      </c>
      <c r="Q30" s="35">
        <f>IF('Base Scores'!Q30="","",MAX('Base Scores'!Q30,'Stress Scores'!Q30))</f>
        <v>43.75</v>
      </c>
      <c r="R30" s="35">
        <f>IF('Base Scores'!R30="","",MAX('Base Scores'!R30,'Stress Scores'!R30))</f>
        <v>100</v>
      </c>
      <c r="S30" s="35">
        <f>IF('Base Scores'!S30="","",MAX('Base Scores'!S30,'Stress Scores'!S30))</f>
        <v>91.66666667</v>
      </c>
      <c r="T30" s="35">
        <f>IF('Base Scores'!T30="","",MAX('Base Scores'!T30,'Stress Scores'!T30))</f>
        <v>40</v>
      </c>
      <c r="U30" s="35">
        <f>IF('Base Scores'!U30="","",MAX('Base Scores'!U30,'Stress Scores'!U30))</f>
        <v>58.33333333</v>
      </c>
      <c r="V30" s="35">
        <f>IF('Base Scores'!V30="","",MAX('Base Scores'!V30,'Stress Scores'!V30))</f>
        <v>100</v>
      </c>
    </row>
    <row r="31">
      <c r="A31" s="26" t="s">
        <v>524</v>
      </c>
      <c r="B31" s="26">
        <v>3.0</v>
      </c>
      <c r="C31" s="26" t="s">
        <v>525</v>
      </c>
      <c r="D31" s="26" t="s">
        <v>526</v>
      </c>
      <c r="E31" s="35">
        <f>IF('Base Scores'!E31="","",MAX('Base Scores'!E31,'Stress Scores'!E31))</f>
        <v>83.33333333</v>
      </c>
      <c r="F31" s="35">
        <f>IF('Base Scores'!F31="","",MAX('Base Scores'!F31,'Stress Scores'!F31))</f>
        <v>31.25</v>
      </c>
      <c r="G31" s="35">
        <f>IF('Base Scores'!G31="","",MAX('Base Scores'!G31,'Stress Scores'!G31))</f>
        <v>100</v>
      </c>
      <c r="H31" s="35">
        <f>IF('Base Scores'!H31="","",MAX('Base Scores'!H31,'Stress Scores'!H31))</f>
        <v>37.5</v>
      </c>
      <c r="I31" s="35">
        <f>IF('Base Scores'!I31="","",MAX('Base Scores'!I31,'Stress Scores'!I31))</f>
        <v>43.75</v>
      </c>
      <c r="J31" s="35">
        <f>IF('Base Scores'!J31="","",MAX('Base Scores'!J31,'Stress Scores'!J31))</f>
        <v>0</v>
      </c>
      <c r="K31" s="35">
        <f>IF('Base Scores'!K31="","",MAX('Base Scores'!K31,'Stress Scores'!K31))</f>
        <v>0</v>
      </c>
      <c r="L31" s="35">
        <f>IF('Base Scores'!L31="","",MAX('Base Scores'!L31,'Stress Scores'!L31))</f>
        <v>43.75</v>
      </c>
      <c r="M31" s="35">
        <f>IF('Base Scores'!M31="","",MAX('Base Scores'!M31,'Stress Scores'!M31))</f>
        <v>68.75</v>
      </c>
      <c r="N31" s="35">
        <f>IF('Base Scores'!N31="","",MAX('Base Scores'!N31,'Stress Scores'!N31))</f>
        <v>16.66666667</v>
      </c>
      <c r="O31" s="35">
        <f>IF('Base Scores'!O31="","",MAX('Base Scores'!O31,'Stress Scores'!O31))</f>
        <v>0</v>
      </c>
      <c r="P31" s="35">
        <f>IF('Base Scores'!P31="","",MAX('Base Scores'!P31,'Stress Scores'!P31))</f>
        <v>16.66666667</v>
      </c>
      <c r="Q31" s="35">
        <f>IF('Base Scores'!Q31="","",MAX('Base Scores'!Q31,'Stress Scores'!Q31))</f>
        <v>8.333333333</v>
      </c>
      <c r="R31" s="35">
        <f>IF('Base Scores'!R31="","",MAX('Base Scores'!R31,'Stress Scores'!R31))</f>
        <v>100</v>
      </c>
      <c r="S31" s="35">
        <f>IF('Base Scores'!S31="","",MAX('Base Scores'!S31,'Stress Scores'!S31))</f>
        <v>43.75</v>
      </c>
      <c r="T31" s="35">
        <f>IF('Base Scores'!T31="","",MAX('Base Scores'!T31,'Stress Scores'!T31))</f>
        <v>25</v>
      </c>
      <c r="U31" s="35">
        <f>IF('Base Scores'!U31="","",MAX('Base Scores'!U31,'Stress Scores'!U31))</f>
        <v>43.75</v>
      </c>
      <c r="V31" s="35">
        <f>IF('Base Scores'!V31="","",MAX('Base Scores'!V31,'Stress Scores'!V31))</f>
        <v>83.33333333</v>
      </c>
    </row>
    <row r="32">
      <c r="A32" s="26" t="s">
        <v>529</v>
      </c>
      <c r="B32" s="26">
        <v>3.0</v>
      </c>
      <c r="C32" s="26" t="s">
        <v>530</v>
      </c>
      <c r="D32" s="26" t="s">
        <v>526</v>
      </c>
      <c r="E32" s="35">
        <f>IF('Base Scores'!E32="","",MAX('Base Scores'!E32,'Stress Scores'!E32))</f>
        <v>55</v>
      </c>
      <c r="F32" s="35">
        <f>IF('Base Scores'!F32="","",MAX('Base Scores'!F32,'Stress Scores'!F32))</f>
        <v>62.5</v>
      </c>
      <c r="G32" s="35">
        <f>IF('Base Scores'!G32="","",MAX('Base Scores'!G32,'Stress Scores'!G32))</f>
        <v>55</v>
      </c>
      <c r="H32" s="35">
        <f>IF('Base Scores'!H32="","",MAX('Base Scores'!H32,'Stress Scores'!H32))</f>
        <v>25</v>
      </c>
      <c r="I32" s="35">
        <f>IF('Base Scores'!I32="","",MAX('Base Scores'!I32,'Stress Scores'!I32))</f>
        <v>0</v>
      </c>
      <c r="J32" s="35">
        <f>IF('Base Scores'!J32="","",MAX('Base Scores'!J32,'Stress Scores'!J32))</f>
        <v>0</v>
      </c>
      <c r="K32" s="35">
        <f>IF('Base Scores'!K32="","",MAX('Base Scores'!K32,'Stress Scores'!K32))</f>
        <v>0</v>
      </c>
      <c r="L32" s="35">
        <f>IF('Base Scores'!L32="","",MAX('Base Scores'!L32,'Stress Scores'!L32))</f>
        <v>62.5</v>
      </c>
      <c r="M32" s="35">
        <f>IF('Base Scores'!M32="","",MAX('Base Scores'!M32,'Stress Scores'!M32))</f>
        <v>80</v>
      </c>
      <c r="N32" s="35">
        <f>IF('Base Scores'!N32="","",MAX('Base Scores'!N32,'Stress Scores'!N32))</f>
        <v>62.5</v>
      </c>
      <c r="O32" s="35">
        <f>IF('Base Scores'!O32="","",MAX('Base Scores'!O32,'Stress Scores'!O32))</f>
        <v>55</v>
      </c>
      <c r="P32" s="35">
        <f>IF('Base Scores'!P32="","",MAX('Base Scores'!P32,'Stress Scores'!P32))</f>
        <v>37.5</v>
      </c>
      <c r="Q32" s="35">
        <f>IF('Base Scores'!Q32="","",MAX('Base Scores'!Q32,'Stress Scores'!Q32))</f>
        <v>55</v>
      </c>
      <c r="R32" s="35">
        <f>IF('Base Scores'!R32="","",MAX('Base Scores'!R32,'Stress Scores'!R32))</f>
        <v>100</v>
      </c>
      <c r="S32" s="35">
        <f>IF('Base Scores'!S32="","",MAX('Base Scores'!S32,'Stress Scores'!S32))</f>
        <v>75</v>
      </c>
      <c r="T32" s="35">
        <f>IF('Base Scores'!T32="","",MAX('Base Scores'!T32,'Stress Scores'!T32))</f>
        <v>45</v>
      </c>
      <c r="U32" s="35">
        <f>IF('Base Scores'!U32="","",MAX('Base Scores'!U32,'Stress Scores'!U32))</f>
        <v>55</v>
      </c>
      <c r="V32" s="35">
        <f>IF('Base Scores'!V32="","",MAX('Base Scores'!V32,'Stress Scores'!V32))</f>
        <v>80</v>
      </c>
    </row>
    <row r="33">
      <c r="A33" s="26" t="s">
        <v>536</v>
      </c>
      <c r="B33" s="26">
        <v>3.0</v>
      </c>
      <c r="C33" s="26" t="s">
        <v>537</v>
      </c>
      <c r="D33" s="26" t="s">
        <v>254</v>
      </c>
      <c r="E33" s="35">
        <f>IF('Base Scores'!E33="","",MAX('Base Scores'!E33,'Stress Scores'!E33))</f>
        <v>50</v>
      </c>
      <c r="F33" s="35">
        <f>IF('Base Scores'!F33="","",MAX('Base Scores'!F33,'Stress Scores'!F33))</f>
        <v>25</v>
      </c>
      <c r="G33" s="35">
        <f>IF('Base Scores'!G33="","",MAX('Base Scores'!G33,'Stress Scores'!G33))</f>
        <v>75</v>
      </c>
      <c r="H33" s="35">
        <f>IF('Base Scores'!H33="","",MAX('Base Scores'!H33,'Stress Scores'!H33))</f>
        <v>25</v>
      </c>
      <c r="I33" s="35">
        <f>IF('Base Scores'!I33="","",MAX('Base Scores'!I33,'Stress Scores'!I33))</f>
        <v>0</v>
      </c>
      <c r="J33" s="35">
        <f>IF('Base Scores'!J33="","",MAX('Base Scores'!J33,'Stress Scores'!J33))</f>
        <v>0</v>
      </c>
      <c r="K33" s="35">
        <f>IF('Base Scores'!K33="","",MAX('Base Scores'!K33,'Stress Scores'!K33))</f>
        <v>0</v>
      </c>
      <c r="L33" s="35">
        <f>IF('Base Scores'!L33="","",MAX('Base Scores'!L33,'Stress Scores'!L33))</f>
        <v>25</v>
      </c>
      <c r="M33" s="35">
        <f>IF('Base Scores'!M33="","",MAX('Base Scores'!M33,'Stress Scores'!M33))</f>
        <v>50</v>
      </c>
      <c r="N33" s="35">
        <f>IF('Base Scores'!N33="","",MAX('Base Scores'!N33,'Stress Scores'!N33))</f>
        <v>50</v>
      </c>
      <c r="O33" s="35">
        <f>IF('Base Scores'!O33="","",MAX('Base Scores'!O33,'Stress Scores'!O33))</f>
        <v>0</v>
      </c>
      <c r="P33" s="35">
        <f>IF('Base Scores'!P33="","",MAX('Base Scores'!P33,'Stress Scores'!P33))</f>
        <v>25</v>
      </c>
      <c r="Q33" s="35">
        <f>IF('Base Scores'!Q33="","",MAX('Base Scores'!Q33,'Stress Scores'!Q33))</f>
        <v>0</v>
      </c>
      <c r="R33" s="35">
        <f>IF('Base Scores'!R33="","",MAX('Base Scores'!R33,'Stress Scores'!R33))</f>
        <v>100</v>
      </c>
      <c r="S33" s="35">
        <f>IF('Base Scores'!S33="","",MAX('Base Scores'!S33,'Stress Scores'!S33))</f>
        <v>75</v>
      </c>
      <c r="T33" s="35">
        <f>IF('Base Scores'!T33="","",MAX('Base Scores'!T33,'Stress Scores'!T33))</f>
        <v>100</v>
      </c>
      <c r="U33" s="35">
        <f>IF('Base Scores'!U33="","",MAX('Base Scores'!U33,'Stress Scores'!U33))</f>
        <v>75</v>
      </c>
      <c r="V33" s="35">
        <f>IF('Base Scores'!V33="","",MAX('Base Scores'!V33,'Stress Scores'!V33))</f>
        <v>75</v>
      </c>
    </row>
    <row r="34">
      <c r="A34" s="26" t="s">
        <v>544</v>
      </c>
      <c r="B34" s="26">
        <v>3.0</v>
      </c>
      <c r="C34" s="26" t="s">
        <v>548</v>
      </c>
      <c r="D34" s="26" t="s">
        <v>254</v>
      </c>
      <c r="E34" s="35">
        <f>IF('Base Scores'!E34="","",MAX('Base Scores'!E34,'Stress Scores'!E34))</f>
        <v>25</v>
      </c>
      <c r="F34" s="35">
        <f>IF('Base Scores'!F34="","",MAX('Base Scores'!F34,'Stress Scores'!F34))</f>
        <v>25</v>
      </c>
      <c r="G34" s="35">
        <f>IF('Base Scores'!G34="","",MAX('Base Scores'!G34,'Stress Scores'!G34))</f>
        <v>50</v>
      </c>
      <c r="H34" s="35">
        <f>IF('Base Scores'!H34="","",MAX('Base Scores'!H34,'Stress Scores'!H34))</f>
        <v>25</v>
      </c>
      <c r="I34" s="35">
        <f>IF('Base Scores'!I34="","",MAX('Base Scores'!I34,'Stress Scores'!I34))</f>
        <v>25</v>
      </c>
      <c r="J34" s="35">
        <f>IF('Base Scores'!J34="","",MAX('Base Scores'!J34,'Stress Scores'!J34))</f>
        <v>0</v>
      </c>
      <c r="K34" s="35">
        <f>IF('Base Scores'!K34="","",MAX('Base Scores'!K34,'Stress Scores'!K34))</f>
        <v>25</v>
      </c>
      <c r="L34" s="35">
        <f>IF('Base Scores'!L34="","",MAX('Base Scores'!L34,'Stress Scores'!L34))</f>
        <v>25</v>
      </c>
      <c r="M34" s="35">
        <f>IF('Base Scores'!M34="","",MAX('Base Scores'!M34,'Stress Scores'!M34))</f>
        <v>25</v>
      </c>
      <c r="N34" s="35">
        <f>IF('Base Scores'!N34="","",MAX('Base Scores'!N34,'Stress Scores'!N34))</f>
        <v>50</v>
      </c>
      <c r="O34" s="35">
        <f>IF('Base Scores'!O34="","",MAX('Base Scores'!O34,'Stress Scores'!O34))</f>
        <v>25</v>
      </c>
      <c r="P34" s="35">
        <f>IF('Base Scores'!P34="","",MAX('Base Scores'!P34,'Stress Scores'!P34))</f>
        <v>0</v>
      </c>
      <c r="Q34" s="35">
        <f>IF('Base Scores'!Q34="","",MAX('Base Scores'!Q34,'Stress Scores'!Q34))</f>
        <v>50</v>
      </c>
      <c r="R34" s="35">
        <f>IF('Base Scores'!R34="","",MAX('Base Scores'!R34,'Stress Scores'!R34))</f>
        <v>100</v>
      </c>
      <c r="S34" s="35">
        <f>IF('Base Scores'!S34="","",MAX('Base Scores'!S34,'Stress Scores'!S34))</f>
        <v>25</v>
      </c>
      <c r="T34" s="35">
        <f>IF('Base Scores'!T34="","",MAX('Base Scores'!T34,'Stress Scores'!T34))</f>
        <v>50</v>
      </c>
      <c r="U34" s="35">
        <f>IF('Base Scores'!U34="","",MAX('Base Scores'!U34,'Stress Scores'!U34))</f>
        <v>25</v>
      </c>
      <c r="V34" s="35">
        <f>IF('Base Scores'!V34="","",MAX('Base Scores'!V34,'Stress Scores'!V34))</f>
        <v>75</v>
      </c>
    </row>
    <row r="35">
      <c r="A35" s="26" t="s">
        <v>554</v>
      </c>
      <c r="B35" s="26">
        <v>3.0</v>
      </c>
      <c r="C35" s="26" t="s">
        <v>555</v>
      </c>
      <c r="D35" s="26" t="s">
        <v>254</v>
      </c>
      <c r="E35" s="35">
        <f>IF('Base Scores'!E35="","",MAX('Base Scores'!E35,'Stress Scores'!E35))</f>
        <v>50</v>
      </c>
      <c r="F35" s="35">
        <f>IF('Base Scores'!F35="","",MAX('Base Scores'!F35,'Stress Scores'!F35))</f>
        <v>0</v>
      </c>
      <c r="G35" s="35">
        <f>IF('Base Scores'!G35="","",MAX('Base Scores'!G35,'Stress Scores'!G35))</f>
        <v>25</v>
      </c>
      <c r="H35" s="35">
        <f>IF('Base Scores'!H35="","",MAX('Base Scores'!H35,'Stress Scores'!H35))</f>
        <v>0</v>
      </c>
      <c r="I35" s="35">
        <f>IF('Base Scores'!I35="","",MAX('Base Scores'!I35,'Stress Scores'!I35))</f>
        <v>0</v>
      </c>
      <c r="J35" s="35">
        <f>IF('Base Scores'!J35="","",MAX('Base Scores'!J35,'Stress Scores'!J35))</f>
        <v>25</v>
      </c>
      <c r="K35" s="35">
        <f>IF('Base Scores'!K35="","",MAX('Base Scores'!K35,'Stress Scores'!K35))</f>
        <v>0</v>
      </c>
      <c r="L35" s="35">
        <f>IF('Base Scores'!L35="","",MAX('Base Scores'!L35,'Stress Scores'!L35))</f>
        <v>25</v>
      </c>
      <c r="M35" s="35">
        <f>IF('Base Scores'!M35="","",MAX('Base Scores'!M35,'Stress Scores'!M35))</f>
        <v>25</v>
      </c>
      <c r="N35" s="35">
        <f>IF('Base Scores'!N35="","",MAX('Base Scores'!N35,'Stress Scores'!N35))</f>
        <v>50</v>
      </c>
      <c r="O35" s="35">
        <f>IF('Base Scores'!O35="","",MAX('Base Scores'!O35,'Stress Scores'!O35))</f>
        <v>0</v>
      </c>
      <c r="P35" s="35">
        <f>IF('Base Scores'!P35="","",MAX('Base Scores'!P35,'Stress Scores'!P35))</f>
        <v>50</v>
      </c>
      <c r="Q35" s="35">
        <f>IF('Base Scores'!Q35="","",MAX('Base Scores'!Q35,'Stress Scores'!Q35))</f>
        <v>0</v>
      </c>
      <c r="R35" s="35">
        <f>IF('Base Scores'!R35="","",MAX('Base Scores'!R35,'Stress Scores'!R35))</f>
        <v>100</v>
      </c>
      <c r="S35" s="35">
        <f>IF('Base Scores'!S35="","",MAX('Base Scores'!S35,'Stress Scores'!S35))</f>
        <v>75</v>
      </c>
      <c r="T35" s="35">
        <f>IF('Base Scores'!T35="","",MAX('Base Scores'!T35,'Stress Scores'!T35))</f>
        <v>25</v>
      </c>
      <c r="U35" s="35">
        <f>IF('Base Scores'!U35="","",MAX('Base Scores'!U35,'Stress Scores'!U35))</f>
        <v>25</v>
      </c>
      <c r="V35" s="35">
        <f>IF('Base Scores'!V35="","",MAX('Base Scores'!V35,'Stress Scores'!V35))</f>
        <v>100</v>
      </c>
    </row>
    <row r="36">
      <c r="A36" s="26" t="s">
        <v>561</v>
      </c>
      <c r="B36" s="26">
        <v>4.0</v>
      </c>
      <c r="C36" s="26" t="s">
        <v>562</v>
      </c>
      <c r="D36" s="26" t="s">
        <v>254</v>
      </c>
      <c r="E36" s="35">
        <f>IF('Base Scores'!E36="","",MAX('Base Scores'!E36,'Stress Scores'!E36))</f>
        <v>0</v>
      </c>
      <c r="F36" s="35">
        <f>IF('Base Scores'!F36="","",MAX('Base Scores'!F36,'Stress Scores'!F36))</f>
        <v>25</v>
      </c>
      <c r="G36" s="35">
        <f>IF('Base Scores'!G36="","",MAX('Base Scores'!G36,'Stress Scores'!G36))</f>
        <v>0</v>
      </c>
      <c r="H36" s="35">
        <f>IF('Base Scores'!H36="","",MAX('Base Scores'!H36,'Stress Scores'!H36))</f>
        <v>25</v>
      </c>
      <c r="I36" s="35">
        <f>IF('Base Scores'!I36="","",MAX('Base Scores'!I36,'Stress Scores'!I36))</f>
        <v>0</v>
      </c>
      <c r="J36" s="35">
        <f>IF('Base Scores'!J36="","",MAX('Base Scores'!J36,'Stress Scores'!J36))</f>
        <v>0</v>
      </c>
      <c r="K36" s="35">
        <f>IF('Base Scores'!K36="","",MAX('Base Scores'!K36,'Stress Scores'!K36))</f>
        <v>25</v>
      </c>
      <c r="L36" s="35">
        <f>IF('Base Scores'!L36="","",MAX('Base Scores'!L36,'Stress Scores'!L36))</f>
        <v>25</v>
      </c>
      <c r="M36" s="35">
        <f>IF('Base Scores'!M36="","",MAX('Base Scores'!M36,'Stress Scores'!M36))</f>
        <v>50</v>
      </c>
      <c r="N36" s="35">
        <f>IF('Base Scores'!N36="","",MAX('Base Scores'!N36,'Stress Scores'!N36))</f>
        <v>0</v>
      </c>
      <c r="O36" s="35">
        <f>IF('Base Scores'!O36="","",MAX('Base Scores'!O36,'Stress Scores'!O36))</f>
        <v>25</v>
      </c>
      <c r="P36" s="35">
        <f>IF('Base Scores'!P36="","",MAX('Base Scores'!P36,'Stress Scores'!P36))</f>
        <v>50</v>
      </c>
      <c r="Q36" s="35">
        <f>IF('Base Scores'!Q36="","",MAX('Base Scores'!Q36,'Stress Scores'!Q36))</f>
        <v>25</v>
      </c>
      <c r="R36" s="35">
        <f>IF('Base Scores'!R36="","",MAX('Base Scores'!R36,'Stress Scores'!R36))</f>
        <v>50</v>
      </c>
      <c r="S36" s="35">
        <f>IF('Base Scores'!S36="","",MAX('Base Scores'!S36,'Stress Scores'!S36))</f>
        <v>75</v>
      </c>
      <c r="T36" s="35">
        <f>IF('Base Scores'!T36="","",MAX('Base Scores'!T36,'Stress Scores'!T36))</f>
        <v>50</v>
      </c>
      <c r="U36" s="35">
        <f>IF('Base Scores'!U36="","",MAX('Base Scores'!U36,'Stress Scores'!U36))</f>
        <v>25</v>
      </c>
      <c r="V36" s="35">
        <f>IF('Base Scores'!V36="","",MAX('Base Scores'!V36,'Stress Scores'!V36))</f>
        <v>25</v>
      </c>
    </row>
    <row r="37">
      <c r="A37" s="26" t="s">
        <v>569</v>
      </c>
      <c r="B37" s="26">
        <v>4.0</v>
      </c>
      <c r="C37" s="26" t="s">
        <v>570</v>
      </c>
      <c r="D37" s="26" t="s">
        <v>254</v>
      </c>
      <c r="E37" s="35">
        <f>IF('Base Scores'!E37="","",MAX('Base Scores'!E37,'Stress Scores'!E37))</f>
        <v>0</v>
      </c>
      <c r="F37" s="35">
        <f>IF('Base Scores'!F37="","",MAX('Base Scores'!F37,'Stress Scores'!F37))</f>
        <v>25</v>
      </c>
      <c r="G37" s="35">
        <f>IF('Base Scores'!G37="","",MAX('Base Scores'!G37,'Stress Scores'!G37))</f>
        <v>75</v>
      </c>
      <c r="H37" s="35">
        <f>IF('Base Scores'!H37="","",MAX('Base Scores'!H37,'Stress Scores'!H37))</f>
        <v>0</v>
      </c>
      <c r="I37" s="35">
        <f>IF('Base Scores'!I37="","",MAX('Base Scores'!I37,'Stress Scores'!I37))</f>
        <v>0</v>
      </c>
      <c r="J37" s="35">
        <f>IF('Base Scores'!J37="","",MAX('Base Scores'!J37,'Stress Scores'!J37))</f>
        <v>0</v>
      </c>
      <c r="K37" s="35">
        <f>IF('Base Scores'!K37="","",MAX('Base Scores'!K37,'Stress Scores'!K37))</f>
        <v>50</v>
      </c>
      <c r="L37" s="35">
        <f>IF('Base Scores'!L37="","",MAX('Base Scores'!L37,'Stress Scores'!L37))</f>
        <v>0</v>
      </c>
      <c r="M37" s="35">
        <f>IF('Base Scores'!M37="","",MAX('Base Scores'!M37,'Stress Scores'!M37))</f>
        <v>25</v>
      </c>
      <c r="N37" s="35">
        <f>IF('Base Scores'!N37="","",MAX('Base Scores'!N37,'Stress Scores'!N37))</f>
        <v>0</v>
      </c>
      <c r="O37" s="35">
        <f>IF('Base Scores'!O37="","",MAX('Base Scores'!O37,'Stress Scores'!O37))</f>
        <v>25</v>
      </c>
      <c r="P37" s="35">
        <f>IF('Base Scores'!P37="","",MAX('Base Scores'!P37,'Stress Scores'!P37))</f>
        <v>0</v>
      </c>
      <c r="Q37" s="35">
        <f>IF('Base Scores'!Q37="","",MAX('Base Scores'!Q37,'Stress Scores'!Q37))</f>
        <v>25</v>
      </c>
      <c r="R37" s="35">
        <f>IF('Base Scores'!R37="","",MAX('Base Scores'!R37,'Stress Scores'!R37))</f>
        <v>50</v>
      </c>
      <c r="S37" s="35">
        <f>IF('Base Scores'!S37="","",MAX('Base Scores'!S37,'Stress Scores'!S37))</f>
        <v>25</v>
      </c>
      <c r="T37" s="35">
        <f>IF('Base Scores'!T37="","",MAX('Base Scores'!T37,'Stress Scores'!T37))</f>
        <v>0</v>
      </c>
      <c r="U37" s="35">
        <f>IF('Base Scores'!U37="","",MAX('Base Scores'!U37,'Stress Scores'!U37))</f>
        <v>0</v>
      </c>
      <c r="V37" s="35">
        <f>IF('Base Scores'!V37="","",MAX('Base Scores'!V37,'Stress Scores'!V37))</f>
        <v>50</v>
      </c>
    </row>
    <row r="38">
      <c r="A38" s="26" t="s">
        <v>577</v>
      </c>
      <c r="B38" s="26">
        <v>4.0</v>
      </c>
      <c r="C38" s="26" t="s">
        <v>578</v>
      </c>
      <c r="D38" s="26" t="s">
        <v>254</v>
      </c>
      <c r="E38" s="35">
        <f>IF('Base Scores'!E38="","",MAX('Base Scores'!E38,'Stress Scores'!E38))</f>
        <v>25</v>
      </c>
      <c r="F38" s="35">
        <f>IF('Base Scores'!F38="","",MAX('Base Scores'!F38,'Stress Scores'!F38))</f>
        <v>100</v>
      </c>
      <c r="G38" s="35">
        <f>IF('Base Scores'!G38="","",MAX('Base Scores'!G38,'Stress Scores'!G38))</f>
        <v>25</v>
      </c>
      <c r="H38" s="35">
        <f>IF('Base Scores'!H38="","",MAX('Base Scores'!H38,'Stress Scores'!H38))</f>
        <v>75</v>
      </c>
      <c r="I38" s="35">
        <f>IF('Base Scores'!I38="","",MAX('Base Scores'!I38,'Stress Scores'!I38))</f>
        <v>50</v>
      </c>
      <c r="J38" s="35">
        <f>IF('Base Scores'!J38="","",MAX('Base Scores'!J38,'Stress Scores'!J38))</f>
        <v>0</v>
      </c>
      <c r="K38" s="35">
        <f>IF('Base Scores'!K38="","",MAX('Base Scores'!K38,'Stress Scores'!K38))</f>
        <v>0</v>
      </c>
      <c r="L38" s="35">
        <f>IF('Base Scores'!L38="","",MAX('Base Scores'!L38,'Stress Scores'!L38))</f>
        <v>75</v>
      </c>
      <c r="M38" s="35">
        <f>IF('Base Scores'!M38="","",MAX('Base Scores'!M38,'Stress Scores'!M38))</f>
        <v>100</v>
      </c>
      <c r="N38" s="35">
        <f>IF('Base Scores'!N38="","",MAX('Base Scores'!N38,'Stress Scores'!N38))</f>
        <v>0</v>
      </c>
      <c r="O38" s="35">
        <f>IF('Base Scores'!O38="","",MAX('Base Scores'!O38,'Stress Scores'!O38))</f>
        <v>100</v>
      </c>
      <c r="P38" s="35">
        <f>IF('Base Scores'!P38="","",MAX('Base Scores'!P38,'Stress Scores'!P38))</f>
        <v>75</v>
      </c>
      <c r="Q38" s="35">
        <f>IF('Base Scores'!Q38="","",MAX('Base Scores'!Q38,'Stress Scores'!Q38))</f>
        <v>75</v>
      </c>
      <c r="R38" s="35">
        <f>IF('Base Scores'!R38="","",MAX('Base Scores'!R38,'Stress Scores'!R38))</f>
        <v>50</v>
      </c>
      <c r="S38" s="35">
        <f>IF('Base Scores'!S38="","",MAX('Base Scores'!S38,'Stress Scores'!S38))</f>
        <v>75</v>
      </c>
      <c r="T38" s="35">
        <f>IF('Base Scores'!T38="","",MAX('Base Scores'!T38,'Stress Scores'!T38))</f>
        <v>75</v>
      </c>
      <c r="U38" s="35">
        <f>IF('Base Scores'!U38="","",MAX('Base Scores'!U38,'Stress Scores'!U38))</f>
        <v>75</v>
      </c>
      <c r="V38" s="35">
        <f>IF('Base Scores'!V38="","",MAX('Base Scores'!V38,'Stress Scores'!V38))</f>
        <v>50</v>
      </c>
    </row>
    <row r="39">
      <c r="A39" s="26" t="s">
        <v>585</v>
      </c>
      <c r="B39" s="26">
        <v>4.0</v>
      </c>
      <c r="C39" s="26" t="s">
        <v>586</v>
      </c>
      <c r="D39" s="26" t="s">
        <v>254</v>
      </c>
      <c r="E39" s="35">
        <f>IF('Base Scores'!E39="","",MAX('Base Scores'!E39,'Stress Scores'!E39))</f>
        <v>0</v>
      </c>
      <c r="F39" s="35">
        <f>IF('Base Scores'!F39="","",MAX('Base Scores'!F39,'Stress Scores'!F39))</f>
        <v>50</v>
      </c>
      <c r="G39" s="35">
        <f>IF('Base Scores'!G39="","",MAX('Base Scores'!G39,'Stress Scores'!G39))</f>
        <v>0</v>
      </c>
      <c r="H39" s="35">
        <f>IF('Base Scores'!H39="","",MAX('Base Scores'!H39,'Stress Scores'!H39))</f>
        <v>0</v>
      </c>
      <c r="I39" s="35">
        <f>IF('Base Scores'!I39="","",MAX('Base Scores'!I39,'Stress Scores'!I39))</f>
        <v>0</v>
      </c>
      <c r="J39" s="35">
        <f>IF('Base Scores'!J39="","",MAX('Base Scores'!J39,'Stress Scores'!J39))</f>
        <v>0</v>
      </c>
      <c r="K39" s="35">
        <f>IF('Base Scores'!K39="","",MAX('Base Scores'!K39,'Stress Scores'!K39))</f>
        <v>75</v>
      </c>
      <c r="L39" s="35">
        <f>IF('Base Scores'!L39="","",MAX('Base Scores'!L39,'Stress Scores'!L39))</f>
        <v>0</v>
      </c>
      <c r="M39" s="35">
        <f>IF('Base Scores'!M39="","",MAX('Base Scores'!M39,'Stress Scores'!M39))</f>
        <v>50</v>
      </c>
      <c r="N39" s="35">
        <f>IF('Base Scores'!N39="","",MAX('Base Scores'!N39,'Stress Scores'!N39))</f>
        <v>0</v>
      </c>
      <c r="O39" s="35">
        <f>IF('Base Scores'!O39="","",MAX('Base Scores'!O39,'Stress Scores'!O39))</f>
        <v>75</v>
      </c>
      <c r="P39" s="35">
        <f>IF('Base Scores'!P39="","",MAX('Base Scores'!P39,'Stress Scores'!P39))</f>
        <v>25</v>
      </c>
      <c r="Q39" s="35">
        <f>IF('Base Scores'!Q39="","",MAX('Base Scores'!Q39,'Stress Scores'!Q39))</f>
        <v>0</v>
      </c>
      <c r="R39" s="35">
        <f>IF('Base Scores'!R39="","",MAX('Base Scores'!R39,'Stress Scores'!R39))</f>
        <v>75</v>
      </c>
      <c r="S39" s="35">
        <f>IF('Base Scores'!S39="","",MAX('Base Scores'!S39,'Stress Scores'!S39))</f>
        <v>75</v>
      </c>
      <c r="T39" s="35">
        <f>IF('Base Scores'!T39="","",MAX('Base Scores'!T39,'Stress Scores'!T39))</f>
        <v>75</v>
      </c>
      <c r="U39" s="35">
        <f>IF('Base Scores'!U39="","",MAX('Base Scores'!U39,'Stress Scores'!U39))</f>
        <v>25</v>
      </c>
      <c r="V39" s="35">
        <f>IF('Base Scores'!V39="","",MAX('Base Scores'!V39,'Stress Scores'!V39))</f>
        <v>50</v>
      </c>
    </row>
    <row r="40">
      <c r="A40" s="26" t="s">
        <v>593</v>
      </c>
      <c r="B40" s="26">
        <v>4.0</v>
      </c>
      <c r="C40" s="26" t="s">
        <v>594</v>
      </c>
      <c r="D40" s="26" t="s">
        <v>254</v>
      </c>
      <c r="E40" s="35">
        <f>IF('Base Scores'!E40="","",MAX('Base Scores'!E40,'Stress Scores'!E40))</f>
        <v>0</v>
      </c>
      <c r="F40" s="35">
        <f>IF('Base Scores'!F40="","",MAX('Base Scores'!F40,'Stress Scores'!F40))</f>
        <v>25</v>
      </c>
      <c r="G40" s="35">
        <f>IF('Base Scores'!G40="","",MAX('Base Scores'!G40,'Stress Scores'!G40))</f>
        <v>0</v>
      </c>
      <c r="H40" s="35">
        <f>IF('Base Scores'!H40="","",MAX('Base Scores'!H40,'Stress Scores'!H40))</f>
        <v>25</v>
      </c>
      <c r="I40" s="35">
        <f>IF('Base Scores'!I40="","",MAX('Base Scores'!I40,'Stress Scores'!I40))</f>
        <v>0</v>
      </c>
      <c r="J40" s="35">
        <f>IF('Base Scores'!J40="","",MAX('Base Scores'!J40,'Stress Scores'!J40))</f>
        <v>25</v>
      </c>
      <c r="K40" s="35">
        <f>IF('Base Scores'!K40="","",MAX('Base Scores'!K40,'Stress Scores'!K40))</f>
        <v>0</v>
      </c>
      <c r="L40" s="35">
        <f>IF('Base Scores'!L40="","",MAX('Base Scores'!L40,'Stress Scores'!L40))</f>
        <v>0</v>
      </c>
      <c r="M40" s="35">
        <f>IF('Base Scores'!M40="","",MAX('Base Scores'!M40,'Stress Scores'!M40))</f>
        <v>75</v>
      </c>
      <c r="N40" s="35">
        <f>IF('Base Scores'!N40="","",MAX('Base Scores'!N40,'Stress Scores'!N40))</f>
        <v>0</v>
      </c>
      <c r="O40" s="35">
        <f>IF('Base Scores'!O40="","",MAX('Base Scores'!O40,'Stress Scores'!O40))</f>
        <v>50</v>
      </c>
      <c r="P40" s="35">
        <f>IF('Base Scores'!P40="","",MAX('Base Scores'!P40,'Stress Scores'!P40))</f>
        <v>50</v>
      </c>
      <c r="Q40" s="35">
        <f>IF('Base Scores'!Q40="","",MAX('Base Scores'!Q40,'Stress Scores'!Q40))</f>
        <v>0</v>
      </c>
      <c r="R40" s="35">
        <f>IF('Base Scores'!R40="","",MAX('Base Scores'!R40,'Stress Scores'!R40))</f>
        <v>100</v>
      </c>
      <c r="S40" s="35">
        <f>IF('Base Scores'!S40="","",MAX('Base Scores'!S40,'Stress Scores'!S40))</f>
        <v>50</v>
      </c>
      <c r="T40" s="35">
        <f>IF('Base Scores'!T40="","",MAX('Base Scores'!T40,'Stress Scores'!T40))</f>
        <v>0</v>
      </c>
      <c r="U40" s="35">
        <f>IF('Base Scores'!U40="","",MAX('Base Scores'!U40,'Stress Scores'!U40))</f>
        <v>0</v>
      </c>
      <c r="V40" s="35">
        <f>IF('Base Scores'!V40="","",MAX('Base Scores'!V40,'Stress Scores'!V40))</f>
        <v>75</v>
      </c>
    </row>
    <row r="41">
      <c r="A41" s="26" t="s">
        <v>598</v>
      </c>
      <c r="B41" s="26">
        <v>4.0</v>
      </c>
      <c r="C41" s="26" t="s">
        <v>599</v>
      </c>
      <c r="D41" s="26" t="s">
        <v>254</v>
      </c>
      <c r="E41" s="35">
        <f>IF('Base Scores'!E41="","",MAX('Base Scores'!E41,'Stress Scores'!E41))</f>
        <v>25</v>
      </c>
      <c r="F41" s="35">
        <f>IF('Base Scores'!F41="","",MAX('Base Scores'!F41,'Stress Scores'!F41))</f>
        <v>25</v>
      </c>
      <c r="G41" s="35">
        <f>IF('Base Scores'!G41="","",MAX('Base Scores'!G41,'Stress Scores'!G41))</f>
        <v>50</v>
      </c>
      <c r="H41" s="35">
        <f>IF('Base Scores'!H41="","",MAX('Base Scores'!H41,'Stress Scores'!H41))</f>
        <v>25</v>
      </c>
      <c r="I41" s="35">
        <f>IF('Base Scores'!I41="","",MAX('Base Scores'!I41,'Stress Scores'!I41))</f>
        <v>0</v>
      </c>
      <c r="J41" s="35">
        <f>IF('Base Scores'!J41="","",MAX('Base Scores'!J41,'Stress Scores'!J41))</f>
        <v>0</v>
      </c>
      <c r="K41" s="35">
        <f>IF('Base Scores'!K41="","",MAX('Base Scores'!K41,'Stress Scores'!K41))</f>
        <v>25</v>
      </c>
      <c r="L41" s="35">
        <f>IF('Base Scores'!L41="","",MAX('Base Scores'!L41,'Stress Scores'!L41))</f>
        <v>25</v>
      </c>
      <c r="M41" s="35">
        <f>IF('Base Scores'!M41="","",MAX('Base Scores'!M41,'Stress Scores'!M41))</f>
        <v>50</v>
      </c>
      <c r="N41" s="35">
        <f>IF('Base Scores'!N41="","",MAX('Base Scores'!N41,'Stress Scores'!N41))</f>
        <v>25</v>
      </c>
      <c r="O41" s="35">
        <f>IF('Base Scores'!O41="","",MAX('Base Scores'!O41,'Stress Scores'!O41))</f>
        <v>25</v>
      </c>
      <c r="P41" s="35">
        <f>IF('Base Scores'!P41="","",MAX('Base Scores'!P41,'Stress Scores'!P41))</f>
        <v>75</v>
      </c>
      <c r="Q41" s="35">
        <f>IF('Base Scores'!Q41="","",MAX('Base Scores'!Q41,'Stress Scores'!Q41))</f>
        <v>50</v>
      </c>
      <c r="R41" s="35">
        <f>IF('Base Scores'!R41="","",MAX('Base Scores'!R41,'Stress Scores'!R41))</f>
        <v>100</v>
      </c>
      <c r="S41" s="35">
        <f>IF('Base Scores'!S41="","",MAX('Base Scores'!S41,'Stress Scores'!S41))</f>
        <v>50</v>
      </c>
      <c r="T41" s="35">
        <f>IF('Base Scores'!T41="","",MAX('Base Scores'!T41,'Stress Scores'!T41))</f>
        <v>50</v>
      </c>
      <c r="U41" s="35">
        <f>IF('Base Scores'!U41="","",MAX('Base Scores'!U41,'Stress Scores'!U41))</f>
        <v>25</v>
      </c>
      <c r="V41" s="35">
        <f>IF('Base Scores'!V41="","",MAX('Base Scores'!V41,'Stress Scores'!V41))</f>
        <v>100</v>
      </c>
    </row>
    <row r="42">
      <c r="A42" s="26" t="s">
        <v>606</v>
      </c>
      <c r="B42" s="26">
        <v>4.0</v>
      </c>
      <c r="C42" s="26" t="s">
        <v>607</v>
      </c>
      <c r="D42" s="26" t="s">
        <v>254</v>
      </c>
      <c r="E42" s="35">
        <f>IF('Base Scores'!E42="","",MAX('Base Scores'!E42,'Stress Scores'!E42))</f>
        <v>0</v>
      </c>
      <c r="F42" s="35">
        <f>IF('Base Scores'!F42="","",MAX('Base Scores'!F42,'Stress Scores'!F42))</f>
        <v>25</v>
      </c>
      <c r="G42" s="35">
        <f>IF('Base Scores'!G42="","",MAX('Base Scores'!G42,'Stress Scores'!G42))</f>
        <v>0</v>
      </c>
      <c r="H42" s="35">
        <f>IF('Base Scores'!H42="","",MAX('Base Scores'!H42,'Stress Scores'!H42))</f>
        <v>25</v>
      </c>
      <c r="I42" s="35">
        <f>IF('Base Scores'!I42="","",MAX('Base Scores'!I42,'Stress Scores'!I42))</f>
        <v>0</v>
      </c>
      <c r="J42" s="35">
        <f>IF('Base Scores'!J42="","",MAX('Base Scores'!J42,'Stress Scores'!J42))</f>
        <v>50</v>
      </c>
      <c r="K42" s="35">
        <f>IF('Base Scores'!K42="","",MAX('Base Scores'!K42,'Stress Scores'!K42))</f>
        <v>25</v>
      </c>
      <c r="L42" s="35">
        <f>IF('Base Scores'!L42="","",MAX('Base Scores'!L42,'Stress Scores'!L42))</f>
        <v>25</v>
      </c>
      <c r="M42" s="35">
        <f>IF('Base Scores'!M42="","",MAX('Base Scores'!M42,'Stress Scores'!M42))</f>
        <v>25</v>
      </c>
      <c r="N42" s="35">
        <f>IF('Base Scores'!N42="","",MAX('Base Scores'!N42,'Stress Scores'!N42))</f>
        <v>0</v>
      </c>
      <c r="O42" s="35">
        <f>IF('Base Scores'!O42="","",MAX('Base Scores'!O42,'Stress Scores'!O42))</f>
        <v>25</v>
      </c>
      <c r="P42" s="35">
        <f>IF('Base Scores'!P42="","",MAX('Base Scores'!P42,'Stress Scores'!P42))</f>
        <v>25</v>
      </c>
      <c r="Q42" s="35">
        <f>IF('Base Scores'!Q42="","",MAX('Base Scores'!Q42,'Stress Scores'!Q42))</f>
        <v>50</v>
      </c>
      <c r="R42" s="35">
        <f>IF('Base Scores'!R42="","",MAX('Base Scores'!R42,'Stress Scores'!R42))</f>
        <v>25</v>
      </c>
      <c r="S42" s="35">
        <f>IF('Base Scores'!S42="","",MAX('Base Scores'!S42,'Stress Scores'!S42))</f>
        <v>25</v>
      </c>
      <c r="T42" s="35">
        <f>IF('Base Scores'!T42="","",MAX('Base Scores'!T42,'Stress Scores'!T42))</f>
        <v>25</v>
      </c>
      <c r="U42" s="35">
        <f>IF('Base Scores'!U42="","",MAX('Base Scores'!U42,'Stress Scores'!U42))</f>
        <v>25</v>
      </c>
      <c r="V42" s="35">
        <f>IF('Base Scores'!V42="","",MAX('Base Scores'!V42,'Stress Scores'!V42))</f>
        <v>0</v>
      </c>
    </row>
    <row r="43">
      <c r="A43" s="26" t="s">
        <v>613</v>
      </c>
      <c r="B43" s="26">
        <v>4.0</v>
      </c>
      <c r="C43" s="26" t="s">
        <v>614</v>
      </c>
      <c r="D43" s="26" t="s">
        <v>254</v>
      </c>
      <c r="E43" s="35">
        <f>IF('Base Scores'!E43="","",MAX('Base Scores'!E43,'Stress Scores'!E43))</f>
        <v>0</v>
      </c>
      <c r="F43" s="35">
        <f>IF('Base Scores'!F43="","",MAX('Base Scores'!F43,'Stress Scores'!F43))</f>
        <v>0</v>
      </c>
      <c r="G43" s="35">
        <f>IF('Base Scores'!G43="","",MAX('Base Scores'!G43,'Stress Scores'!G43))</f>
        <v>0</v>
      </c>
      <c r="H43" s="35">
        <f>IF('Base Scores'!H43="","",MAX('Base Scores'!H43,'Stress Scores'!H43))</f>
        <v>0</v>
      </c>
      <c r="I43" s="35">
        <f>IF('Base Scores'!I43="","",MAX('Base Scores'!I43,'Stress Scores'!I43))</f>
        <v>0</v>
      </c>
      <c r="J43" s="35">
        <f>IF('Base Scores'!J43="","",MAX('Base Scores'!J43,'Stress Scores'!J43))</f>
        <v>0</v>
      </c>
      <c r="K43" s="35">
        <f>IF('Base Scores'!K43="","",MAX('Base Scores'!K43,'Stress Scores'!K43))</f>
        <v>0</v>
      </c>
      <c r="L43" s="35">
        <f>IF('Base Scores'!L43="","",MAX('Base Scores'!L43,'Stress Scores'!L43))</f>
        <v>0</v>
      </c>
      <c r="M43" s="35">
        <f>IF('Base Scores'!M43="","",MAX('Base Scores'!M43,'Stress Scores'!M43))</f>
        <v>0</v>
      </c>
      <c r="N43" s="35">
        <f>IF('Base Scores'!N43="","",MAX('Base Scores'!N43,'Stress Scores'!N43))</f>
        <v>25</v>
      </c>
      <c r="O43" s="35">
        <f>IF('Base Scores'!O43="","",MAX('Base Scores'!O43,'Stress Scores'!O43))</f>
        <v>25</v>
      </c>
      <c r="P43" s="35">
        <f>IF('Base Scores'!P43="","",MAX('Base Scores'!P43,'Stress Scores'!P43))</f>
        <v>0</v>
      </c>
      <c r="Q43" s="35">
        <f>IF('Base Scores'!Q43="","",MAX('Base Scores'!Q43,'Stress Scores'!Q43))</f>
        <v>25</v>
      </c>
      <c r="R43" s="35">
        <f>IF('Base Scores'!R43="","",MAX('Base Scores'!R43,'Stress Scores'!R43))</f>
        <v>75</v>
      </c>
      <c r="S43" s="35">
        <f>IF('Base Scores'!S43="","",MAX('Base Scores'!S43,'Stress Scores'!S43))</f>
        <v>0</v>
      </c>
      <c r="T43" s="35">
        <f>IF('Base Scores'!T43="","",MAX('Base Scores'!T43,'Stress Scores'!T43))</f>
        <v>50</v>
      </c>
      <c r="U43" s="35">
        <f>IF('Base Scores'!U43="","",MAX('Base Scores'!U43,'Stress Scores'!U43))</f>
        <v>0</v>
      </c>
      <c r="V43" s="35">
        <f>IF('Base Scores'!V43="","",MAX('Base Scores'!V43,'Stress Scores'!V43))</f>
        <v>25</v>
      </c>
    </row>
    <row r="44">
      <c r="A44" s="26" t="s">
        <v>617</v>
      </c>
      <c r="B44" s="26">
        <v>4.0</v>
      </c>
      <c r="C44" s="26" t="s">
        <v>618</v>
      </c>
      <c r="D44" s="26" t="s">
        <v>254</v>
      </c>
      <c r="E44" s="35">
        <f>IF('Base Scores'!E44="","",MAX('Base Scores'!E44,'Stress Scores'!E44))</f>
        <v>25</v>
      </c>
      <c r="F44" s="35">
        <f>IF('Base Scores'!F44="","",MAX('Base Scores'!F44,'Stress Scores'!F44))</f>
        <v>25</v>
      </c>
      <c r="G44" s="35">
        <f>IF('Base Scores'!G44="","",MAX('Base Scores'!G44,'Stress Scores'!G44))</f>
        <v>0</v>
      </c>
      <c r="H44" s="35">
        <f>IF('Base Scores'!H44="","",MAX('Base Scores'!H44,'Stress Scores'!H44))</f>
        <v>0</v>
      </c>
      <c r="I44" s="35">
        <f>IF('Base Scores'!I44="","",MAX('Base Scores'!I44,'Stress Scores'!I44))</f>
        <v>0</v>
      </c>
      <c r="J44" s="35">
        <f>IF('Base Scores'!J44="","",MAX('Base Scores'!J44,'Stress Scores'!J44))</f>
        <v>25</v>
      </c>
      <c r="K44" s="35">
        <f>IF('Base Scores'!K44="","",MAX('Base Scores'!K44,'Stress Scores'!K44))</f>
        <v>25</v>
      </c>
      <c r="L44" s="35">
        <f>IF('Base Scores'!L44="","",MAX('Base Scores'!L44,'Stress Scores'!L44))</f>
        <v>0</v>
      </c>
      <c r="M44" s="35">
        <f>IF('Base Scores'!M44="","",MAX('Base Scores'!M44,'Stress Scores'!M44))</f>
        <v>50</v>
      </c>
      <c r="N44" s="35">
        <f>IF('Base Scores'!N44="","",MAX('Base Scores'!N44,'Stress Scores'!N44))</f>
        <v>25</v>
      </c>
      <c r="O44" s="35">
        <f>IF('Base Scores'!O44="","",MAX('Base Scores'!O44,'Stress Scores'!O44))</f>
        <v>0</v>
      </c>
      <c r="P44" s="35">
        <f>IF('Base Scores'!P44="","",MAX('Base Scores'!P44,'Stress Scores'!P44))</f>
        <v>50</v>
      </c>
      <c r="Q44" s="35">
        <f>IF('Base Scores'!Q44="","",MAX('Base Scores'!Q44,'Stress Scores'!Q44))</f>
        <v>0</v>
      </c>
      <c r="R44" s="35">
        <f>IF('Base Scores'!R44="","",MAX('Base Scores'!R44,'Stress Scores'!R44))</f>
        <v>75</v>
      </c>
      <c r="S44" s="35">
        <f>IF('Base Scores'!S44="","",MAX('Base Scores'!S44,'Stress Scores'!S44))</f>
        <v>0</v>
      </c>
      <c r="T44" s="35">
        <f>IF('Base Scores'!T44="","",MAX('Base Scores'!T44,'Stress Scores'!T44))</f>
        <v>25</v>
      </c>
      <c r="U44" s="35">
        <f>IF('Base Scores'!U44="","",MAX('Base Scores'!U44,'Stress Scores'!U44))</f>
        <v>25</v>
      </c>
      <c r="V44" s="35">
        <f>IF('Base Scores'!V44="","",MAX('Base Scores'!V44,'Stress Scores'!V44))</f>
        <v>50</v>
      </c>
    </row>
    <row r="45">
      <c r="A45" s="26" t="s">
        <v>624</v>
      </c>
      <c r="B45" s="26">
        <v>4.0</v>
      </c>
      <c r="C45" s="26" t="s">
        <v>625</v>
      </c>
      <c r="D45" s="26" t="s">
        <v>254</v>
      </c>
      <c r="E45" s="35">
        <f>IF('Base Scores'!E45="","",MAX('Base Scores'!E45,'Stress Scores'!E45))</f>
        <v>50</v>
      </c>
      <c r="F45" s="35">
        <f>IF('Base Scores'!F45="","",MAX('Base Scores'!F45,'Stress Scores'!F45))</f>
        <v>50</v>
      </c>
      <c r="G45" s="35">
        <f>IF('Base Scores'!G45="","",MAX('Base Scores'!G45,'Stress Scores'!G45))</f>
        <v>75</v>
      </c>
      <c r="H45" s="35">
        <f>IF('Base Scores'!H45="","",MAX('Base Scores'!H45,'Stress Scores'!H45))</f>
        <v>25</v>
      </c>
      <c r="I45" s="35">
        <f>IF('Base Scores'!I45="","",MAX('Base Scores'!I45,'Stress Scores'!I45))</f>
        <v>25</v>
      </c>
      <c r="J45" s="35">
        <f>IF('Base Scores'!J45="","",MAX('Base Scores'!J45,'Stress Scores'!J45))</f>
        <v>50</v>
      </c>
      <c r="K45" s="35">
        <f>IF('Base Scores'!K45="","",MAX('Base Scores'!K45,'Stress Scores'!K45))</f>
        <v>50</v>
      </c>
      <c r="L45" s="35">
        <f>IF('Base Scores'!L45="","",MAX('Base Scores'!L45,'Stress Scores'!L45))</f>
        <v>75</v>
      </c>
      <c r="M45" s="35">
        <f>IF('Base Scores'!M45="","",MAX('Base Scores'!M45,'Stress Scores'!M45))</f>
        <v>75</v>
      </c>
      <c r="N45" s="35">
        <f>IF('Base Scores'!N45="","",MAX('Base Scores'!N45,'Stress Scores'!N45))</f>
        <v>50</v>
      </c>
      <c r="O45" s="35">
        <f>IF('Base Scores'!O45="","",MAX('Base Scores'!O45,'Stress Scores'!O45))</f>
        <v>75</v>
      </c>
      <c r="P45" s="35">
        <f>IF('Base Scores'!P45="","",MAX('Base Scores'!P45,'Stress Scores'!P45))</f>
        <v>0</v>
      </c>
      <c r="Q45" s="35">
        <f>IF('Base Scores'!Q45="","",MAX('Base Scores'!Q45,'Stress Scores'!Q45))</f>
        <v>50</v>
      </c>
      <c r="R45" s="35">
        <f>IF('Base Scores'!R45="","",MAX('Base Scores'!R45,'Stress Scores'!R45))</f>
        <v>100</v>
      </c>
      <c r="S45" s="35">
        <f>IF('Base Scores'!S45="","",MAX('Base Scores'!S45,'Stress Scores'!S45))</f>
        <v>50</v>
      </c>
      <c r="T45" s="35">
        <f>IF('Base Scores'!T45="","",MAX('Base Scores'!T45,'Stress Scores'!T45))</f>
        <v>0</v>
      </c>
      <c r="U45" s="35">
        <f>IF('Base Scores'!U45="","",MAX('Base Scores'!U45,'Stress Scores'!U45))</f>
        <v>25</v>
      </c>
      <c r="V45" s="35">
        <f>IF('Base Scores'!V45="","",MAX('Base Scores'!V45,'Stress Scores'!V45))</f>
        <v>75</v>
      </c>
    </row>
    <row r="46">
      <c r="A46" s="26" t="s">
        <v>629</v>
      </c>
      <c r="B46" s="26">
        <v>4.0</v>
      </c>
      <c r="C46" s="26" t="s">
        <v>630</v>
      </c>
      <c r="D46" s="26" t="s">
        <v>254</v>
      </c>
      <c r="E46" s="35">
        <f>IF('Base Scores'!E46="","",MAX('Base Scores'!E46,'Stress Scores'!E46))</f>
        <v>25</v>
      </c>
      <c r="F46" s="35">
        <f>IF('Base Scores'!F46="","",MAX('Base Scores'!F46,'Stress Scores'!F46))</f>
        <v>50</v>
      </c>
      <c r="G46" s="35">
        <f>IF('Base Scores'!G46="","",MAX('Base Scores'!G46,'Stress Scores'!G46))</f>
        <v>50</v>
      </c>
      <c r="H46" s="35">
        <f>IF('Base Scores'!H46="","",MAX('Base Scores'!H46,'Stress Scores'!H46))</f>
        <v>25</v>
      </c>
      <c r="I46" s="35">
        <f>IF('Base Scores'!I46="","",MAX('Base Scores'!I46,'Stress Scores'!I46))</f>
        <v>0</v>
      </c>
      <c r="J46" s="35">
        <f>IF('Base Scores'!J46="","",MAX('Base Scores'!J46,'Stress Scores'!J46))</f>
        <v>0</v>
      </c>
      <c r="K46" s="35">
        <f>IF('Base Scores'!K46="","",MAX('Base Scores'!K46,'Stress Scores'!K46))</f>
        <v>0</v>
      </c>
      <c r="L46" s="35">
        <f>IF('Base Scores'!L46="","",MAX('Base Scores'!L46,'Stress Scores'!L46))</f>
        <v>25</v>
      </c>
      <c r="M46" s="35">
        <f>IF('Base Scores'!M46="","",MAX('Base Scores'!M46,'Stress Scores'!M46))</f>
        <v>50</v>
      </c>
      <c r="N46" s="35">
        <f>IF('Base Scores'!N46="","",MAX('Base Scores'!N46,'Stress Scores'!N46))</f>
        <v>0</v>
      </c>
      <c r="O46" s="35">
        <f>IF('Base Scores'!O46="","",MAX('Base Scores'!O46,'Stress Scores'!O46))</f>
        <v>50</v>
      </c>
      <c r="P46" s="35">
        <f>IF('Base Scores'!P46="","",MAX('Base Scores'!P46,'Stress Scores'!P46))</f>
        <v>25</v>
      </c>
      <c r="Q46" s="35">
        <f>IF('Base Scores'!Q46="","",MAX('Base Scores'!Q46,'Stress Scores'!Q46))</f>
        <v>25</v>
      </c>
      <c r="R46" s="35">
        <f>IF('Base Scores'!R46="","",MAX('Base Scores'!R46,'Stress Scores'!R46))</f>
        <v>100</v>
      </c>
      <c r="S46" s="35">
        <f>IF('Base Scores'!S46="","",MAX('Base Scores'!S46,'Stress Scores'!S46))</f>
        <v>25</v>
      </c>
      <c r="T46" s="35">
        <f>IF('Base Scores'!T46="","",MAX('Base Scores'!T46,'Stress Scores'!T46))</f>
        <v>25</v>
      </c>
      <c r="U46" s="35">
        <f>IF('Base Scores'!U46="","",MAX('Base Scores'!U46,'Stress Scores'!U46))</f>
        <v>25</v>
      </c>
      <c r="V46" s="35">
        <f>IF('Base Scores'!V46="","",MAX('Base Scores'!V46,'Stress Scores'!V46))</f>
        <v>75</v>
      </c>
    </row>
    <row r="47">
      <c r="A47" s="26" t="s">
        <v>636</v>
      </c>
      <c r="B47" s="26">
        <v>5.0</v>
      </c>
      <c r="C47" s="26" t="s">
        <v>637</v>
      </c>
      <c r="D47" s="26" t="s">
        <v>638</v>
      </c>
      <c r="E47" s="35">
        <f>IF('Base Scores'!E47="","",MAX('Base Scores'!E47,'Stress Scores'!E47))</f>
        <v>0</v>
      </c>
      <c r="F47" s="35">
        <f>IF('Base Scores'!F47="","",MAX('Base Scores'!F47,'Stress Scores'!F47))</f>
        <v>42.5</v>
      </c>
      <c r="G47" s="35">
        <f>IF('Base Scores'!G47="","",MAX('Base Scores'!G47,'Stress Scores'!G47))</f>
        <v>37.5</v>
      </c>
      <c r="H47" s="35">
        <f>IF('Base Scores'!H47="","",MAX('Base Scores'!H47,'Stress Scores'!H47))</f>
        <v>25</v>
      </c>
      <c r="I47" s="35">
        <f>IF('Base Scores'!I47="","",MAX('Base Scores'!I47,'Stress Scores'!I47))</f>
        <v>0</v>
      </c>
      <c r="J47" s="35">
        <f>IF('Base Scores'!J47="","",MAX('Base Scores'!J47,'Stress Scores'!J47))</f>
        <v>37.5</v>
      </c>
      <c r="K47" s="35">
        <f>IF('Base Scores'!K47="","",MAX('Base Scores'!K47,'Stress Scores'!K47))</f>
        <v>0</v>
      </c>
      <c r="L47" s="35">
        <f>IF('Base Scores'!L47="","",MAX('Base Scores'!L47,'Stress Scores'!L47))</f>
        <v>57.5</v>
      </c>
      <c r="M47" s="35">
        <f>IF('Base Scores'!M47="","",MAX('Base Scores'!M47,'Stress Scores'!M47))</f>
        <v>100</v>
      </c>
      <c r="N47" s="35">
        <f>IF('Base Scores'!N47="","",MAX('Base Scores'!N47,'Stress Scores'!N47))</f>
        <v>25</v>
      </c>
      <c r="O47" s="35">
        <f>IF('Base Scores'!O47="","",MAX('Base Scores'!O47,'Stress Scores'!O47))</f>
        <v>50</v>
      </c>
      <c r="P47" s="35">
        <f>IF('Base Scores'!P47="","",MAX('Base Scores'!P47,'Stress Scores'!P47))</f>
        <v>62.5</v>
      </c>
      <c r="Q47" s="35">
        <f>IF('Base Scores'!Q47="","",MAX('Base Scores'!Q47,'Stress Scores'!Q47))</f>
        <v>25</v>
      </c>
      <c r="R47" s="35">
        <f>IF('Base Scores'!R47="","",MAX('Base Scores'!R47,'Stress Scores'!R47))</f>
        <v>0</v>
      </c>
      <c r="S47" s="35">
        <f>IF('Base Scores'!S47="","",MAX('Base Scores'!S47,'Stress Scores'!S47))</f>
        <v>25</v>
      </c>
      <c r="T47" s="35">
        <f>IF('Base Scores'!T47="","",MAX('Base Scores'!T47,'Stress Scores'!T47))</f>
        <v>37.5</v>
      </c>
      <c r="U47" s="35">
        <f>IF('Base Scores'!U47="","",MAX('Base Scores'!U47,'Stress Scores'!U47))</f>
        <v>62.5</v>
      </c>
      <c r="V47" s="35">
        <f>IF('Base Scores'!V47="","",MAX('Base Scores'!V47,'Stress Scores'!V47))</f>
        <v>25</v>
      </c>
    </row>
    <row r="48">
      <c r="A48" s="26" t="s">
        <v>643</v>
      </c>
      <c r="B48" s="26">
        <v>5.0</v>
      </c>
      <c r="C48" s="26" t="s">
        <v>646</v>
      </c>
      <c r="D48" s="26" t="s">
        <v>648</v>
      </c>
      <c r="E48" s="35">
        <f>IF('Base Scores'!E48="","",MAX('Base Scores'!E48,'Stress Scores'!E48))</f>
        <v>0</v>
      </c>
      <c r="F48" s="35">
        <f>IF('Base Scores'!F48="","",MAX('Base Scores'!F48,'Stress Scores'!F48))</f>
        <v>0</v>
      </c>
      <c r="G48" s="35">
        <f>IF('Base Scores'!G48="","",MAX('Base Scores'!G48,'Stress Scores'!G48))</f>
        <v>0</v>
      </c>
      <c r="H48" s="35">
        <f>IF('Base Scores'!H48="","",MAX('Base Scores'!H48,'Stress Scores'!H48))</f>
        <v>0</v>
      </c>
      <c r="I48" s="35">
        <f>IF('Base Scores'!I48="","",MAX('Base Scores'!I48,'Stress Scores'!I48))</f>
        <v>58.33333333</v>
      </c>
      <c r="J48" s="35">
        <f>IF('Base Scores'!J48="","",MAX('Base Scores'!J48,'Stress Scores'!J48))</f>
        <v>0</v>
      </c>
      <c r="K48" s="35">
        <f>IF('Base Scores'!K48="","",MAX('Base Scores'!K48,'Stress Scores'!K48))</f>
        <v>0</v>
      </c>
      <c r="L48" s="35">
        <f>IF('Base Scores'!L48="","",MAX('Base Scores'!L48,'Stress Scores'!L48))</f>
        <v>0</v>
      </c>
      <c r="M48" s="35">
        <f>IF('Base Scores'!M48="","",MAX('Base Scores'!M48,'Stress Scores'!M48))</f>
        <v>0</v>
      </c>
      <c r="N48" s="35">
        <f>IF('Base Scores'!N48="","",MAX('Base Scores'!N48,'Stress Scores'!N48))</f>
        <v>0</v>
      </c>
      <c r="O48" s="35">
        <f>IF('Base Scores'!O48="","",MAX('Base Scores'!O48,'Stress Scores'!O48))</f>
        <v>0</v>
      </c>
      <c r="P48" s="35">
        <f>IF('Base Scores'!P48="","",MAX('Base Scores'!P48,'Stress Scores'!P48))</f>
        <v>25</v>
      </c>
      <c r="Q48" s="35">
        <f>IF('Base Scores'!Q48="","",MAX('Base Scores'!Q48,'Stress Scores'!Q48))</f>
        <v>0</v>
      </c>
      <c r="R48" s="35">
        <f>IF('Base Scores'!R48="","",MAX('Base Scores'!R48,'Stress Scores'!R48))</f>
        <v>75</v>
      </c>
      <c r="S48" s="35">
        <f>IF('Base Scores'!S48="","",MAX('Base Scores'!S48,'Stress Scores'!S48))</f>
        <v>58.33333333</v>
      </c>
      <c r="T48" s="35">
        <f>IF('Base Scores'!T48="","",MAX('Base Scores'!T48,'Stress Scores'!T48))</f>
        <v>0</v>
      </c>
      <c r="U48" s="35">
        <f>IF('Base Scores'!U48="","",MAX('Base Scores'!U48,'Stress Scores'!U48))</f>
        <v>58.33333333</v>
      </c>
      <c r="V48" s="35">
        <f>IF('Base Scores'!V48="","",MAX('Base Scores'!V48,'Stress Scores'!V48))</f>
        <v>100</v>
      </c>
    </row>
    <row r="49">
      <c r="A49" s="26" t="s">
        <v>658</v>
      </c>
      <c r="B49" s="26">
        <v>5.0</v>
      </c>
      <c r="C49" s="26" t="s">
        <v>659</v>
      </c>
      <c r="D49" s="26" t="s">
        <v>254</v>
      </c>
      <c r="E49" s="35">
        <f>IF('Base Scores'!E49="","",MAX('Base Scores'!E49,'Stress Scores'!E49))</f>
        <v>75</v>
      </c>
      <c r="F49" s="35">
        <f>IF('Base Scores'!F49="","",MAX('Base Scores'!F49,'Stress Scores'!F49))</f>
        <v>25</v>
      </c>
      <c r="G49" s="35">
        <f>IF('Base Scores'!G49="","",MAX('Base Scores'!G49,'Stress Scores'!G49))</f>
        <v>75</v>
      </c>
      <c r="H49" s="35">
        <f>IF('Base Scores'!H49="","",MAX('Base Scores'!H49,'Stress Scores'!H49))</f>
        <v>25</v>
      </c>
      <c r="I49" s="35">
        <f>IF('Base Scores'!I49="","",MAX('Base Scores'!I49,'Stress Scores'!I49))</f>
        <v>0</v>
      </c>
      <c r="J49" s="35">
        <f>IF('Base Scores'!J49="","",MAX('Base Scores'!J49,'Stress Scores'!J49))</f>
        <v>25</v>
      </c>
      <c r="K49" s="35">
        <f>IF('Base Scores'!K49="","",MAX('Base Scores'!K49,'Stress Scores'!K49))</f>
        <v>25</v>
      </c>
      <c r="L49" s="35">
        <f>IF('Base Scores'!L49="","",MAX('Base Scores'!L49,'Stress Scores'!L49))</f>
        <v>25</v>
      </c>
      <c r="M49" s="35">
        <f>IF('Base Scores'!M49="","",MAX('Base Scores'!M49,'Stress Scores'!M49))</f>
        <v>25</v>
      </c>
      <c r="N49" s="35">
        <f>IF('Base Scores'!N49="","",MAX('Base Scores'!N49,'Stress Scores'!N49))</f>
        <v>25</v>
      </c>
      <c r="O49" s="35">
        <f>IF('Base Scores'!O49="","",MAX('Base Scores'!O49,'Stress Scores'!O49))</f>
        <v>25</v>
      </c>
      <c r="P49" s="35">
        <f>IF('Base Scores'!P49="","",MAX('Base Scores'!P49,'Stress Scores'!P49))</f>
        <v>25</v>
      </c>
      <c r="Q49" s="35">
        <f>IF('Base Scores'!Q49="","",MAX('Base Scores'!Q49,'Stress Scores'!Q49))</f>
        <v>25</v>
      </c>
      <c r="R49" s="35">
        <f>IF('Base Scores'!R49="","",MAX('Base Scores'!R49,'Stress Scores'!R49))</f>
        <v>75</v>
      </c>
      <c r="S49" s="35">
        <f>IF('Base Scores'!S49="","",MAX('Base Scores'!S49,'Stress Scores'!S49))</f>
        <v>75</v>
      </c>
      <c r="T49" s="35">
        <f>IF('Base Scores'!T49="","",MAX('Base Scores'!T49,'Stress Scores'!T49))</f>
        <v>25</v>
      </c>
      <c r="U49" s="35">
        <f>IF('Base Scores'!U49="","",MAX('Base Scores'!U49,'Stress Scores'!U49))</f>
        <v>50</v>
      </c>
      <c r="V49" s="35">
        <f>IF('Base Scores'!V49="","",MAX('Base Scores'!V49,'Stress Scores'!V49))</f>
        <v>75</v>
      </c>
    </row>
    <row r="50">
      <c r="A50" s="26" t="s">
        <v>662</v>
      </c>
      <c r="B50" s="26">
        <v>5.0</v>
      </c>
      <c r="C50" s="26" t="s">
        <v>663</v>
      </c>
      <c r="D50" s="26" t="s">
        <v>664</v>
      </c>
      <c r="E50" s="35">
        <f>IF('Base Scores'!E50="","",MAX('Base Scores'!E50,'Stress Scores'!E50))</f>
        <v>0</v>
      </c>
      <c r="F50" s="35">
        <f>IF('Base Scores'!F50="","",MAX('Base Scores'!F50,'Stress Scores'!F50))</f>
        <v>0</v>
      </c>
      <c r="G50" s="35">
        <f>IF('Base Scores'!G50="","",MAX('Base Scores'!G50,'Stress Scores'!G50))</f>
        <v>0</v>
      </c>
      <c r="H50" s="35">
        <f>IF('Base Scores'!H50="","",MAX('Base Scores'!H50,'Stress Scores'!H50))</f>
        <v>41.66666667</v>
      </c>
      <c r="I50" s="35">
        <f>IF('Base Scores'!I50="","",MAX('Base Scores'!I50,'Stress Scores'!I50))</f>
        <v>0</v>
      </c>
      <c r="J50" s="35">
        <f>IF('Base Scores'!J50="","",MAX('Base Scores'!J50,'Stress Scores'!J50))</f>
        <v>0</v>
      </c>
      <c r="K50" s="35">
        <f>IF('Base Scores'!K50="","",MAX('Base Scores'!K50,'Stress Scores'!K50))</f>
        <v>0</v>
      </c>
      <c r="L50" s="35">
        <f>IF('Base Scores'!L50="","",MAX('Base Scores'!L50,'Stress Scores'!L50))</f>
        <v>0</v>
      </c>
      <c r="M50" s="35">
        <f>IF('Base Scores'!M50="","",MAX('Base Scores'!M50,'Stress Scores'!M50))</f>
        <v>16.66666667</v>
      </c>
      <c r="N50" s="35">
        <f>IF('Base Scores'!N50="","",MAX('Base Scores'!N50,'Stress Scores'!N50))</f>
        <v>16.66666667</v>
      </c>
      <c r="O50" s="35">
        <f>IF('Base Scores'!O50="","",MAX('Base Scores'!O50,'Stress Scores'!O50))</f>
        <v>41.66666667</v>
      </c>
      <c r="P50" s="35">
        <f>IF('Base Scores'!P50="","",MAX('Base Scores'!P50,'Stress Scores'!P50))</f>
        <v>50</v>
      </c>
      <c r="Q50" s="35">
        <f>IF('Base Scores'!Q50="","",MAX('Base Scores'!Q50,'Stress Scores'!Q50))</f>
        <v>75</v>
      </c>
      <c r="R50" s="35">
        <f>IF('Base Scores'!R50="","",MAX('Base Scores'!R50,'Stress Scores'!R50))</f>
        <v>100</v>
      </c>
      <c r="S50" s="35">
        <f>IF('Base Scores'!S50="","",MAX('Base Scores'!S50,'Stress Scores'!S50))</f>
        <v>91.66666667</v>
      </c>
      <c r="T50" s="35">
        <f>IF('Base Scores'!T50="","",MAX('Base Scores'!T50,'Stress Scores'!T50))</f>
        <v>16.66666667</v>
      </c>
      <c r="U50" s="35">
        <f>IF('Base Scores'!U50="","",MAX('Base Scores'!U50,'Stress Scores'!U50))</f>
        <v>83.33333333</v>
      </c>
      <c r="V50" s="35">
        <f>IF('Base Scores'!V50="","",MAX('Base Scores'!V50,'Stress Scores'!V50))</f>
        <v>66.66666667</v>
      </c>
    </row>
    <row r="51">
      <c r="A51" s="26" t="s">
        <v>667</v>
      </c>
      <c r="B51" s="26">
        <v>5.0</v>
      </c>
      <c r="C51" s="26" t="s">
        <v>668</v>
      </c>
      <c r="D51" s="26" t="s">
        <v>112</v>
      </c>
      <c r="E51" s="35">
        <f>IF('Base Scores'!E51="","",MAX('Base Scores'!E51,'Stress Scores'!E51))</f>
        <v>37.5</v>
      </c>
      <c r="F51" s="35">
        <f>IF('Base Scores'!F51="","",MAX('Base Scores'!F51,'Stress Scores'!F51))</f>
        <v>40.625</v>
      </c>
      <c r="G51" s="35">
        <f>IF('Base Scores'!G51="","",MAX('Base Scores'!G51,'Stress Scores'!G51))</f>
        <v>20.83333333</v>
      </c>
      <c r="H51" s="35">
        <f>IF('Base Scores'!H51="","",MAX('Base Scores'!H51,'Stress Scores'!H51))</f>
        <v>38.75</v>
      </c>
      <c r="I51" s="35">
        <f>IF('Base Scores'!I51="","",MAX('Base Scores'!I51,'Stress Scores'!I51))</f>
        <v>25</v>
      </c>
      <c r="J51" s="35">
        <f>IF('Base Scores'!J51="","",MAX('Base Scores'!J51,'Stress Scores'!J51))</f>
        <v>40.625</v>
      </c>
      <c r="K51" s="35">
        <f>IF('Base Scores'!K51="","",MAX('Base Scores'!K51,'Stress Scores'!K51))</f>
        <v>37.5</v>
      </c>
      <c r="L51" s="35">
        <f>IF('Base Scores'!L51="","",MAX('Base Scores'!L51,'Stress Scores'!L51))</f>
        <v>39.375</v>
      </c>
      <c r="M51" s="35">
        <f>IF('Base Scores'!M51="","",MAX('Base Scores'!M51,'Stress Scores'!M51))</f>
        <v>51.25</v>
      </c>
      <c r="N51" s="35">
        <f>IF('Base Scores'!N51="","",MAX('Base Scores'!N51,'Stress Scores'!N51))</f>
        <v>4.166666667</v>
      </c>
      <c r="O51" s="35">
        <f>IF('Base Scores'!O51="","",MAX('Base Scores'!O51,'Stress Scores'!O51))</f>
        <v>51</v>
      </c>
      <c r="P51" s="35">
        <f>IF('Base Scores'!P51="","",MAX('Base Scores'!P51,'Stress Scores'!P51))</f>
        <v>96.25</v>
      </c>
      <c r="Q51" s="35">
        <f>IF('Base Scores'!Q51="","",MAX('Base Scores'!Q51,'Stress Scores'!Q51))</f>
        <v>55</v>
      </c>
      <c r="R51" s="35">
        <f>IF('Base Scores'!R51="","",MAX('Base Scores'!R51,'Stress Scores'!R51))</f>
        <v>100</v>
      </c>
      <c r="S51" s="35">
        <f>IF('Base Scores'!S51="","",MAX('Base Scores'!S51,'Stress Scores'!S51))</f>
        <v>85</v>
      </c>
      <c r="T51" s="35">
        <f>IF('Base Scores'!T51="","",MAX('Base Scores'!T51,'Stress Scores'!T51))</f>
        <v>0</v>
      </c>
      <c r="U51" s="35">
        <f>IF('Base Scores'!U51="","",MAX('Base Scores'!U51,'Stress Scores'!U51))</f>
        <v>70</v>
      </c>
      <c r="V51" s="35">
        <f>IF('Base Scores'!V51="","",MAX('Base Scores'!V51,'Stress Scores'!V51))</f>
        <v>93.125</v>
      </c>
    </row>
    <row r="52">
      <c r="A52" s="26" t="s">
        <v>671</v>
      </c>
      <c r="B52" s="26">
        <v>5.0</v>
      </c>
      <c r="C52" s="26" t="s">
        <v>672</v>
      </c>
      <c r="D52" s="26" t="s">
        <v>112</v>
      </c>
      <c r="E52" s="35">
        <f>IF('Base Scores'!E52="","",MAX('Base Scores'!E52,'Stress Scores'!E52))</f>
        <v>16.66666667</v>
      </c>
      <c r="F52" s="35">
        <f>IF('Base Scores'!F52="","",MAX('Base Scores'!F52,'Stress Scores'!F52))</f>
        <v>20</v>
      </c>
      <c r="G52" s="35">
        <f>IF('Base Scores'!G52="","",MAX('Base Scores'!G52,'Stress Scores'!G52))</f>
        <v>50</v>
      </c>
      <c r="H52" s="35">
        <f>IF('Base Scores'!H52="","",MAX('Base Scores'!H52,'Stress Scores'!H52))</f>
        <v>46.66666667</v>
      </c>
      <c r="I52" s="35">
        <f>IF('Base Scores'!I52="","",MAX('Base Scores'!I52,'Stress Scores'!I52))</f>
        <v>71.25</v>
      </c>
      <c r="J52" s="35">
        <f>IF('Base Scores'!J52="","",MAX('Base Scores'!J52,'Stress Scores'!J52))</f>
        <v>92.5</v>
      </c>
      <c r="K52" s="35">
        <f>IF('Base Scores'!K52="","",MAX('Base Scores'!K52,'Stress Scores'!K52))</f>
        <v>76.25</v>
      </c>
      <c r="L52" s="35">
        <f>IF('Base Scores'!L52="","",MAX('Base Scores'!L52,'Stress Scores'!L52))</f>
        <v>10</v>
      </c>
      <c r="M52" s="35">
        <f>IF('Base Scores'!M52="","",MAX('Base Scores'!M52,'Stress Scores'!M52))</f>
        <v>52.5</v>
      </c>
      <c r="N52" s="35">
        <f>IF('Base Scores'!N52="","",MAX('Base Scores'!N52,'Stress Scores'!N52))</f>
        <v>75</v>
      </c>
      <c r="O52" s="35">
        <f>IF('Base Scores'!O52="","",MAX('Base Scores'!O52,'Stress Scores'!O52))</f>
        <v>76.25</v>
      </c>
      <c r="P52" s="35">
        <f>IF('Base Scores'!P52="","",MAX('Base Scores'!P52,'Stress Scores'!P52))</f>
        <v>56.25</v>
      </c>
      <c r="Q52" s="35">
        <f>IF('Base Scores'!Q52="","",MAX('Base Scores'!Q52,'Stress Scores'!Q52))</f>
        <v>71.25</v>
      </c>
      <c r="R52" s="35">
        <f>IF('Base Scores'!R52="","",MAX('Base Scores'!R52,'Stress Scores'!R52))</f>
        <v>87.5</v>
      </c>
      <c r="S52" s="35">
        <f>IF('Base Scores'!S52="","",MAX('Base Scores'!S52,'Stress Scores'!S52))</f>
        <v>56.25</v>
      </c>
      <c r="T52" s="35">
        <f>IF('Base Scores'!T52="","",MAX('Base Scores'!T52,'Stress Scores'!T52))</f>
        <v>41.66666667</v>
      </c>
      <c r="U52" s="35">
        <f>IF('Base Scores'!U52="","",MAX('Base Scores'!U52,'Stress Scores'!U52))</f>
        <v>25</v>
      </c>
      <c r="V52" s="35">
        <f>IF('Base Scores'!V52="","",MAX('Base Scores'!V52,'Stress Scores'!V52))</f>
        <v>62.5</v>
      </c>
    </row>
    <row r="53">
      <c r="A53" s="26" t="s">
        <v>674</v>
      </c>
      <c r="B53" s="26">
        <v>5.0</v>
      </c>
      <c r="C53" s="26" t="s">
        <v>675</v>
      </c>
      <c r="D53" s="26" t="s">
        <v>638</v>
      </c>
      <c r="E53" s="35">
        <f>IF('Base Scores'!E53="","",MAX('Base Scores'!E53,'Stress Scores'!E53))</f>
        <v>58.33333333</v>
      </c>
      <c r="F53" s="35">
        <f>IF('Base Scores'!F53="","",MAX('Base Scores'!F53,'Stress Scores'!F53))</f>
        <v>12.5</v>
      </c>
      <c r="G53" s="35">
        <f>IF('Base Scores'!G53="","",MAX('Base Scores'!G53,'Stress Scores'!G53))</f>
        <v>91.66666667</v>
      </c>
      <c r="H53" s="35">
        <f>IF('Base Scores'!H53="","",MAX('Base Scores'!H53,'Stress Scores'!H53))</f>
        <v>12.5</v>
      </c>
      <c r="I53" s="35">
        <f>IF('Base Scores'!I53="","",MAX('Base Scores'!I53,'Stress Scores'!I53))</f>
        <v>0</v>
      </c>
      <c r="J53" s="35">
        <f>IF('Base Scores'!J53="","",MAX('Base Scores'!J53,'Stress Scores'!J53))</f>
        <v>0</v>
      </c>
      <c r="K53" s="35">
        <f>IF('Base Scores'!K53="","",MAX('Base Scores'!K53,'Stress Scores'!K53))</f>
        <v>25</v>
      </c>
      <c r="L53" s="35">
        <f>IF('Base Scores'!L53="","",MAX('Base Scores'!L53,'Stress Scores'!L53))</f>
        <v>83.33333333</v>
      </c>
      <c r="M53" s="35">
        <f>IF('Base Scores'!M53="","",MAX('Base Scores'!M53,'Stress Scores'!M53))</f>
        <v>25</v>
      </c>
      <c r="N53" s="35">
        <f>IF('Base Scores'!N53="","",MAX('Base Scores'!N53,'Stress Scores'!N53))</f>
        <v>0</v>
      </c>
      <c r="O53" s="35">
        <f>IF('Base Scores'!O53="","",MAX('Base Scores'!O53,'Stress Scores'!O53))</f>
        <v>58.33333333</v>
      </c>
      <c r="P53" s="35">
        <f>IF('Base Scores'!P53="","",MAX('Base Scores'!P53,'Stress Scores'!P53))</f>
        <v>66.66666667</v>
      </c>
      <c r="Q53" s="35">
        <f>IF('Base Scores'!Q53="","",MAX('Base Scores'!Q53,'Stress Scores'!Q53))</f>
        <v>0</v>
      </c>
      <c r="R53" s="35">
        <f>IF('Base Scores'!R53="","",MAX('Base Scores'!R53,'Stress Scores'!R53))</f>
        <v>100</v>
      </c>
      <c r="S53" s="35">
        <f>IF('Base Scores'!S53="","",MAX('Base Scores'!S53,'Stress Scores'!S53))</f>
        <v>0</v>
      </c>
      <c r="T53" s="35">
        <f>IF('Base Scores'!T53="","",MAX('Base Scores'!T53,'Stress Scores'!T53))</f>
        <v>12.5</v>
      </c>
      <c r="U53" s="35">
        <f>IF('Base Scores'!U53="","",MAX('Base Scores'!U53,'Stress Scores'!U53))</f>
        <v>12.5</v>
      </c>
      <c r="V53" s="35">
        <f>IF('Base Scores'!V53="","",MAX('Base Scores'!V53,'Stress Scores'!V53))</f>
        <v>41.66666667</v>
      </c>
    </row>
    <row r="54">
      <c r="A54" s="26" t="s">
        <v>678</v>
      </c>
      <c r="B54" s="26">
        <v>5.0</v>
      </c>
      <c r="C54" s="26" t="s">
        <v>679</v>
      </c>
      <c r="D54" s="26" t="s">
        <v>254</v>
      </c>
      <c r="E54" s="35">
        <f>IF('Base Scores'!E54="","",MAX('Base Scores'!E54,'Stress Scores'!E54))</f>
        <v>50</v>
      </c>
      <c r="F54" s="35">
        <f>IF('Base Scores'!F54="","",MAX('Base Scores'!F54,'Stress Scores'!F54))</f>
        <v>25</v>
      </c>
      <c r="G54" s="35">
        <f>IF('Base Scores'!G54="","",MAX('Base Scores'!G54,'Stress Scores'!G54))</f>
        <v>75</v>
      </c>
      <c r="H54" s="35">
        <f>IF('Base Scores'!H54="","",MAX('Base Scores'!H54,'Stress Scores'!H54))</f>
        <v>25</v>
      </c>
      <c r="I54" s="35">
        <f>IF('Base Scores'!I54="","",MAX('Base Scores'!I54,'Stress Scores'!I54))</f>
        <v>0</v>
      </c>
      <c r="J54" s="35">
        <f>IF('Base Scores'!J54="","",MAX('Base Scores'!J54,'Stress Scores'!J54))</f>
        <v>0</v>
      </c>
      <c r="K54" s="35">
        <f>IF('Base Scores'!K54="","",MAX('Base Scores'!K54,'Stress Scores'!K54))</f>
        <v>50</v>
      </c>
      <c r="L54" s="35">
        <f>IF('Base Scores'!L54="","",MAX('Base Scores'!L54,'Stress Scores'!L54))</f>
        <v>25</v>
      </c>
      <c r="M54" s="35">
        <f>IF('Base Scores'!M54="","",MAX('Base Scores'!M54,'Stress Scores'!M54))</f>
        <v>25</v>
      </c>
      <c r="N54" s="35">
        <f>IF('Base Scores'!N54="","",MAX('Base Scores'!N54,'Stress Scores'!N54))</f>
        <v>0</v>
      </c>
      <c r="O54" s="35">
        <f>IF('Base Scores'!O54="","",MAX('Base Scores'!O54,'Stress Scores'!O54))</f>
        <v>25</v>
      </c>
      <c r="P54" s="35">
        <f>IF('Base Scores'!P54="","",MAX('Base Scores'!P54,'Stress Scores'!P54))</f>
        <v>25</v>
      </c>
      <c r="Q54" s="35">
        <f>IF('Base Scores'!Q54="","",MAX('Base Scores'!Q54,'Stress Scores'!Q54))</f>
        <v>25</v>
      </c>
      <c r="R54" s="35">
        <f>IF('Base Scores'!R54="","",MAX('Base Scores'!R54,'Stress Scores'!R54))</f>
        <v>50</v>
      </c>
      <c r="S54" s="35">
        <f>IF('Base Scores'!S54="","",MAX('Base Scores'!S54,'Stress Scores'!S54))</f>
        <v>50</v>
      </c>
      <c r="T54" s="35">
        <f>IF('Base Scores'!T54="","",MAX('Base Scores'!T54,'Stress Scores'!T54))</f>
        <v>25</v>
      </c>
      <c r="U54" s="35">
        <f>IF('Base Scores'!U54="","",MAX('Base Scores'!U54,'Stress Scores'!U54))</f>
        <v>50</v>
      </c>
      <c r="V54" s="35">
        <f>IF('Base Scores'!V54="","",MAX('Base Scores'!V54,'Stress Scores'!V54))</f>
        <v>75</v>
      </c>
    </row>
    <row r="55">
      <c r="A55" s="26" t="s">
        <v>682</v>
      </c>
      <c r="B55" s="26">
        <v>5.0</v>
      </c>
      <c r="C55" s="26" t="s">
        <v>683</v>
      </c>
      <c r="D55" s="26" t="s">
        <v>125</v>
      </c>
      <c r="E55" s="35">
        <f>IF('Base Scores'!E55="","",MAX('Base Scores'!E55,'Stress Scores'!E55))</f>
        <v>65</v>
      </c>
      <c r="F55" s="35">
        <f>IF('Base Scores'!F55="","",MAX('Base Scores'!F55,'Stress Scores'!F55))</f>
        <v>0</v>
      </c>
      <c r="G55" s="35">
        <f>IF('Base Scores'!G55="","",MAX('Base Scores'!G55,'Stress Scores'!G55))</f>
        <v>50</v>
      </c>
      <c r="H55" s="35">
        <f>IF('Base Scores'!H55="","",MAX('Base Scores'!H55,'Stress Scores'!H55))</f>
        <v>0</v>
      </c>
      <c r="I55" s="35">
        <f>IF('Base Scores'!I55="","",MAX('Base Scores'!I55,'Stress Scores'!I55))</f>
        <v>0</v>
      </c>
      <c r="J55" s="35">
        <f>IF('Base Scores'!J55="","",MAX('Base Scores'!J55,'Stress Scores'!J55))</f>
        <v>0</v>
      </c>
      <c r="K55" s="35">
        <f>IF('Base Scores'!K55="","",MAX('Base Scores'!K55,'Stress Scores'!K55))</f>
        <v>25</v>
      </c>
      <c r="L55" s="35">
        <f>IF('Base Scores'!L55="","",MAX('Base Scores'!L55,'Stress Scores'!L55))</f>
        <v>0</v>
      </c>
      <c r="M55" s="35">
        <f>IF('Base Scores'!M55="","",MAX('Base Scores'!M55,'Stress Scores'!M55))</f>
        <v>0</v>
      </c>
      <c r="N55" s="35">
        <f>IF('Base Scores'!N55="","",MAX('Base Scores'!N55,'Stress Scores'!N55))</f>
        <v>0</v>
      </c>
      <c r="O55" s="35">
        <f>IF('Base Scores'!O55="","",MAX('Base Scores'!O55,'Stress Scores'!O55))</f>
        <v>25</v>
      </c>
      <c r="P55" s="35">
        <f>IF('Base Scores'!P55="","",MAX('Base Scores'!P55,'Stress Scores'!P55))</f>
        <v>0</v>
      </c>
      <c r="Q55" s="35">
        <f>IF('Base Scores'!Q55="","",MAX('Base Scores'!Q55,'Stress Scores'!Q55))</f>
        <v>0</v>
      </c>
      <c r="R55" s="35">
        <f>IF('Base Scores'!R55="","",MAX('Base Scores'!R55,'Stress Scores'!R55))</f>
        <v>0</v>
      </c>
      <c r="S55" s="35">
        <f>IF('Base Scores'!S55="","",MAX('Base Scores'!S55,'Stress Scores'!S55))</f>
        <v>0</v>
      </c>
      <c r="T55" s="35">
        <f>IF('Base Scores'!T55="","",MAX('Base Scores'!T55,'Stress Scores'!T55))</f>
        <v>25</v>
      </c>
      <c r="U55" s="35">
        <f>IF('Base Scores'!U55="","",MAX('Base Scores'!U55,'Stress Scores'!U55))</f>
        <v>0</v>
      </c>
      <c r="V55" s="35">
        <f>IF('Base Scores'!V55="","",MAX('Base Scores'!V55,'Stress Scores'!V55))</f>
        <v>0</v>
      </c>
    </row>
    <row r="56">
      <c r="A56" s="26" t="s">
        <v>686</v>
      </c>
      <c r="B56" s="26">
        <v>5.0</v>
      </c>
      <c r="C56" s="26" t="s">
        <v>687</v>
      </c>
      <c r="D56" s="26" t="s">
        <v>648</v>
      </c>
      <c r="E56" s="35">
        <f>IF('Base Scores'!E56="","",MAX('Base Scores'!E56,'Stress Scores'!E56))</f>
        <v>18.75</v>
      </c>
      <c r="F56" s="35">
        <f>IF('Base Scores'!F56="","",MAX('Base Scores'!F56,'Stress Scores'!F56))</f>
        <v>6.25</v>
      </c>
      <c r="G56" s="35">
        <f>IF('Base Scores'!G56="","",MAX('Base Scores'!G56,'Stress Scores'!G56))</f>
        <v>0</v>
      </c>
      <c r="H56" s="35">
        <f>IF('Base Scores'!H56="","",MAX('Base Scores'!H56,'Stress Scores'!H56))</f>
        <v>0</v>
      </c>
      <c r="I56" s="35">
        <f>IF('Base Scores'!I56="","",MAX('Base Scores'!I56,'Stress Scores'!I56))</f>
        <v>0</v>
      </c>
      <c r="J56" s="35">
        <f>IF('Base Scores'!J56="","",MAX('Base Scores'!J56,'Stress Scores'!J56))</f>
        <v>0</v>
      </c>
      <c r="K56" s="35">
        <f>IF('Base Scores'!K56="","",MAX('Base Scores'!K56,'Stress Scores'!K56))</f>
        <v>0</v>
      </c>
      <c r="L56" s="35">
        <f>IF('Base Scores'!L56="","",MAX('Base Scores'!L56,'Stress Scores'!L56))</f>
        <v>0</v>
      </c>
      <c r="M56" s="35">
        <f>IF('Base Scores'!M56="","",MAX('Base Scores'!M56,'Stress Scores'!M56))</f>
        <v>45.83333333</v>
      </c>
      <c r="N56" s="35">
        <f>IF('Base Scores'!N56="","",MAX('Base Scores'!N56,'Stress Scores'!N56))</f>
        <v>6.25</v>
      </c>
      <c r="O56" s="35">
        <f>IF('Base Scores'!O56="","",MAX('Base Scores'!O56,'Stress Scores'!O56))</f>
        <v>2.5</v>
      </c>
      <c r="P56" s="35">
        <f>IF('Base Scores'!P56="","",MAX('Base Scores'!P56,'Stress Scores'!P56))</f>
        <v>0</v>
      </c>
      <c r="Q56" s="35">
        <f>IF('Base Scores'!Q56="","",MAX('Base Scores'!Q56,'Stress Scores'!Q56))</f>
        <v>18.75</v>
      </c>
      <c r="R56" s="35">
        <f>IF('Base Scores'!R56="","",MAX('Base Scores'!R56,'Stress Scores'!R56))</f>
        <v>25</v>
      </c>
      <c r="S56" s="35">
        <f>IF('Base Scores'!S56="","",MAX('Base Scores'!S56,'Stress Scores'!S56))</f>
        <v>25</v>
      </c>
      <c r="T56" s="35">
        <f>IF('Base Scores'!T56="","",MAX('Base Scores'!T56,'Stress Scores'!T56))</f>
        <v>75</v>
      </c>
      <c r="U56" s="35">
        <f>IF('Base Scores'!U56="","",MAX('Base Scores'!U56,'Stress Scores'!U56))</f>
        <v>25</v>
      </c>
      <c r="V56" s="35">
        <f>IF('Base Scores'!V56="","",MAX('Base Scores'!V56,'Stress Scores'!V56))</f>
        <v>0</v>
      </c>
    </row>
    <row r="57">
      <c r="A57" s="26" t="s">
        <v>690</v>
      </c>
      <c r="B57" s="26">
        <v>5.0</v>
      </c>
      <c r="C57" s="26" t="s">
        <v>691</v>
      </c>
      <c r="D57" s="26" t="s">
        <v>112</v>
      </c>
      <c r="E57" s="35">
        <f>IF('Base Scores'!E57="","",MAX('Base Scores'!E57,'Stress Scores'!E57))</f>
        <v>0</v>
      </c>
      <c r="F57" s="35">
        <f>IF('Base Scores'!F57="","",MAX('Base Scores'!F57,'Stress Scores'!F57))</f>
        <v>5</v>
      </c>
      <c r="G57" s="35">
        <f>IF('Base Scores'!G57="","",MAX('Base Scores'!G57,'Stress Scores'!G57))</f>
        <v>0</v>
      </c>
      <c r="H57" s="35">
        <f>IF('Base Scores'!H57="","",MAX('Base Scores'!H57,'Stress Scores'!H57))</f>
        <v>5</v>
      </c>
      <c r="I57" s="35">
        <f>IF('Base Scores'!I57="","",MAX('Base Scores'!I57,'Stress Scores'!I57))</f>
        <v>10</v>
      </c>
      <c r="J57" s="35">
        <f>IF('Base Scores'!J57="","",MAX('Base Scores'!J57,'Stress Scores'!J57))</f>
        <v>25</v>
      </c>
      <c r="K57" s="35">
        <f>IF('Base Scores'!K57="","",MAX('Base Scores'!K57,'Stress Scores'!K57))</f>
        <v>10</v>
      </c>
      <c r="L57" s="35">
        <f>IF('Base Scores'!L57="","",MAX('Base Scores'!L57,'Stress Scores'!L57))</f>
        <v>0</v>
      </c>
      <c r="M57" s="35">
        <f>IF('Base Scores'!M57="","",MAX('Base Scores'!M57,'Stress Scores'!M57))</f>
        <v>0</v>
      </c>
      <c r="N57" s="35">
        <f>IF('Base Scores'!N57="","",MAX('Base Scores'!N57,'Stress Scores'!N57))</f>
        <v>10</v>
      </c>
      <c r="O57" s="35">
        <f>IF('Base Scores'!O57="","",MAX('Base Scores'!O57,'Stress Scores'!O57))</f>
        <v>5</v>
      </c>
      <c r="P57" s="35">
        <f>IF('Base Scores'!P57="","",MAX('Base Scores'!P57,'Stress Scores'!P57))</f>
        <v>0</v>
      </c>
      <c r="Q57" s="35">
        <f>IF('Base Scores'!Q57="","",MAX('Base Scores'!Q57,'Stress Scores'!Q57))</f>
        <v>10</v>
      </c>
      <c r="R57" s="35">
        <f>IF('Base Scores'!R57="","",MAX('Base Scores'!R57,'Stress Scores'!R57))</f>
        <v>100</v>
      </c>
      <c r="S57" s="35">
        <f>IF('Base Scores'!S57="","",MAX('Base Scores'!S57,'Stress Scores'!S57))</f>
        <v>0</v>
      </c>
      <c r="T57" s="35">
        <f>IF('Base Scores'!T57="","",MAX('Base Scores'!T57,'Stress Scores'!T57))</f>
        <v>10</v>
      </c>
      <c r="U57" s="35">
        <f>IF('Base Scores'!U57="","",MAX('Base Scores'!U57,'Stress Scores'!U57))</f>
        <v>15</v>
      </c>
      <c r="V57" s="35">
        <f>IF('Base Scores'!V57="","",MAX('Base Scores'!V57,'Stress Scores'!V57))</f>
        <v>75</v>
      </c>
    </row>
    <row r="58">
      <c r="A58" s="26" t="s">
        <v>694</v>
      </c>
      <c r="B58" s="26">
        <v>5.0</v>
      </c>
      <c r="C58" s="26" t="s">
        <v>695</v>
      </c>
      <c r="D58" s="26" t="s">
        <v>120</v>
      </c>
      <c r="E58" s="35">
        <f>IF('Base Scores'!E58="","",MAX('Base Scores'!E58,'Stress Scores'!E58))</f>
        <v>0</v>
      </c>
      <c r="F58" s="35">
        <f>IF('Base Scores'!F58="","",MAX('Base Scores'!F58,'Stress Scores'!F58))</f>
        <v>12.5</v>
      </c>
      <c r="G58" s="35">
        <f>IF('Base Scores'!G58="","",MAX('Base Scores'!G58,'Stress Scores'!G58))</f>
        <v>12.5</v>
      </c>
      <c r="H58" s="35">
        <f>IF('Base Scores'!H58="","",MAX('Base Scores'!H58,'Stress Scores'!H58))</f>
        <v>0</v>
      </c>
      <c r="I58" s="35">
        <f>IF('Base Scores'!I58="","",MAX('Base Scores'!I58,'Stress Scores'!I58))</f>
        <v>37.5</v>
      </c>
      <c r="J58" s="35">
        <f>IF('Base Scores'!J58="","",MAX('Base Scores'!J58,'Stress Scores'!J58))</f>
        <v>0</v>
      </c>
      <c r="K58" s="35">
        <f>IF('Base Scores'!K58="","",MAX('Base Scores'!K58,'Stress Scores'!K58))</f>
        <v>0</v>
      </c>
      <c r="L58" s="35">
        <f>IF('Base Scores'!L58="","",MAX('Base Scores'!L58,'Stress Scores'!L58))</f>
        <v>12.5</v>
      </c>
      <c r="M58" s="35">
        <f>IF('Base Scores'!M58="","",MAX('Base Scores'!M58,'Stress Scores'!M58))</f>
        <v>12.5</v>
      </c>
      <c r="N58" s="35">
        <f>IF('Base Scores'!N58="","",MAX('Base Scores'!N58,'Stress Scores'!N58))</f>
        <v>37.5</v>
      </c>
      <c r="O58" s="35">
        <f>IF('Base Scores'!O58="","",MAX('Base Scores'!O58,'Stress Scores'!O58))</f>
        <v>25</v>
      </c>
      <c r="P58" s="35">
        <f>IF('Base Scores'!P58="","",MAX('Base Scores'!P58,'Stress Scores'!P58))</f>
        <v>75</v>
      </c>
      <c r="Q58" s="35">
        <f>IF('Base Scores'!Q58="","",MAX('Base Scores'!Q58,'Stress Scores'!Q58))</f>
        <v>7.5</v>
      </c>
      <c r="R58" s="35">
        <f>IF('Base Scores'!R58="","",MAX('Base Scores'!R58,'Stress Scores'!R58))</f>
        <v>100</v>
      </c>
      <c r="S58" s="35">
        <f>IF('Base Scores'!S58="","",MAX('Base Scores'!S58,'Stress Scores'!S58))</f>
        <v>25</v>
      </c>
      <c r="T58" s="35">
        <f>IF('Base Scores'!T58="","",MAX('Base Scores'!T58,'Stress Scores'!T58))</f>
        <v>0</v>
      </c>
      <c r="U58" s="35">
        <f>IF('Base Scores'!U58="","",MAX('Base Scores'!U58,'Stress Scores'!U58))</f>
        <v>25</v>
      </c>
      <c r="V58" s="35">
        <f>IF('Base Scores'!V58="","",MAX('Base Scores'!V58,'Stress Scores'!V58))</f>
        <v>87.5</v>
      </c>
    </row>
    <row r="59">
      <c r="A59" s="26" t="s">
        <v>698</v>
      </c>
      <c r="B59" s="26">
        <v>5.0</v>
      </c>
      <c r="C59" s="26" t="s">
        <v>699</v>
      </c>
      <c r="D59" s="26" t="s">
        <v>112</v>
      </c>
      <c r="E59" s="35">
        <f>IF('Base Scores'!E59="","",MAX('Base Scores'!E59,'Stress Scores'!E59))</f>
        <v>0</v>
      </c>
      <c r="F59" s="35">
        <f>IF('Base Scores'!F59="","",MAX('Base Scores'!F59,'Stress Scores'!F59))</f>
        <v>0</v>
      </c>
      <c r="G59" s="35">
        <f>IF('Base Scores'!G59="","",MAX('Base Scores'!G59,'Stress Scores'!G59))</f>
        <v>0</v>
      </c>
      <c r="H59" s="35">
        <f>IF('Base Scores'!H59="","",MAX('Base Scores'!H59,'Stress Scores'!H59))</f>
        <v>0</v>
      </c>
      <c r="I59" s="35">
        <f>IF('Base Scores'!I59="","",MAX('Base Scores'!I59,'Stress Scores'!I59))</f>
        <v>0</v>
      </c>
      <c r="J59" s="35">
        <f>IF('Base Scores'!J59="","",MAX('Base Scores'!J59,'Stress Scores'!J59))</f>
        <v>30</v>
      </c>
      <c r="K59" s="35">
        <f>IF('Base Scores'!K59="","",MAX('Base Scores'!K59,'Stress Scores'!K59))</f>
        <v>0</v>
      </c>
      <c r="L59" s="35">
        <f>IF('Base Scores'!L59="","",MAX('Base Scores'!L59,'Stress Scores'!L59))</f>
        <v>0</v>
      </c>
      <c r="M59" s="35">
        <f>IF('Base Scores'!M59="","",MAX('Base Scores'!M59,'Stress Scores'!M59))</f>
        <v>12.5</v>
      </c>
      <c r="N59" s="35">
        <f>IF('Base Scores'!N59="","",MAX('Base Scores'!N59,'Stress Scores'!N59))</f>
        <v>0</v>
      </c>
      <c r="O59" s="35">
        <f>IF('Base Scores'!O59="","",MAX('Base Scores'!O59,'Stress Scores'!O59))</f>
        <v>75</v>
      </c>
      <c r="P59" s="35">
        <f>IF('Base Scores'!P59="","",MAX('Base Scores'!P59,'Stress Scores'!P59))</f>
        <v>100</v>
      </c>
      <c r="Q59" s="35">
        <f>IF('Base Scores'!Q59="","",MAX('Base Scores'!Q59,'Stress Scores'!Q59))</f>
        <v>6.25</v>
      </c>
      <c r="R59" s="35">
        <f>IF('Base Scores'!R59="","",MAX('Base Scores'!R59,'Stress Scores'!R59))</f>
        <v>100</v>
      </c>
      <c r="S59" s="35">
        <f>IF('Base Scores'!S59="","",MAX('Base Scores'!S59,'Stress Scores'!S59))</f>
        <v>12.5</v>
      </c>
      <c r="T59" s="35">
        <f>IF('Base Scores'!T59="","",MAX('Base Scores'!T59,'Stress Scores'!T59))</f>
        <v>0</v>
      </c>
      <c r="U59" s="35">
        <f>IF('Base Scores'!U59="","",MAX('Base Scores'!U59,'Stress Scores'!U59))</f>
        <v>0</v>
      </c>
      <c r="V59" s="35">
        <f>IF('Base Scores'!V59="","",MAX('Base Scores'!V59,'Stress Scores'!V59))</f>
        <v>12.5</v>
      </c>
    </row>
    <row r="60">
      <c r="A60" s="26" t="s">
        <v>703</v>
      </c>
      <c r="B60" s="26">
        <v>5.0</v>
      </c>
      <c r="C60" s="26" t="s">
        <v>704</v>
      </c>
      <c r="D60" s="26" t="s">
        <v>705</v>
      </c>
      <c r="E60" s="35">
        <f>IF('Base Scores'!E60="","",MAX('Base Scores'!E60,'Stress Scores'!E60))</f>
        <v>57.14285714</v>
      </c>
      <c r="F60" s="35">
        <f>IF('Base Scores'!F60="","",MAX('Base Scores'!F60,'Stress Scores'!F60))</f>
        <v>62.14285714</v>
      </c>
      <c r="G60" s="35">
        <f>IF('Base Scores'!G60="","",MAX('Base Scores'!G60,'Stress Scores'!G60))</f>
        <v>24.38116667</v>
      </c>
      <c r="H60" s="35">
        <f>IF('Base Scores'!H60="","",MAX('Base Scores'!H60,'Stress Scores'!H60))</f>
        <v>29.16666667</v>
      </c>
      <c r="I60" s="35">
        <f>IF('Base Scores'!I60="","",MAX('Base Scores'!I60,'Stress Scores'!I60))</f>
        <v>0</v>
      </c>
      <c r="J60" s="35">
        <f>IF('Base Scores'!J60="","",MAX('Base Scores'!J60,'Stress Scores'!J60))</f>
        <v>0</v>
      </c>
      <c r="K60" s="35">
        <f>IF('Base Scores'!K60="","",MAX('Base Scores'!K60,'Stress Scores'!K60))</f>
        <v>0</v>
      </c>
      <c r="L60" s="35">
        <f>IF('Base Scores'!L60="","",MAX('Base Scores'!L60,'Stress Scores'!L60))</f>
        <v>72.14285714</v>
      </c>
      <c r="M60" s="35">
        <f>IF('Base Scores'!M60="","",MAX('Base Scores'!M60,'Stress Scores'!M60))</f>
        <v>90</v>
      </c>
      <c r="N60" s="35">
        <f>IF('Base Scores'!N60="","",MAX('Base Scores'!N60,'Stress Scores'!N60))</f>
        <v>44.22722222</v>
      </c>
      <c r="O60" s="35">
        <f>IF('Base Scores'!O60="","",MAX('Base Scores'!O60,'Stress Scores'!O60))</f>
        <v>32.23</v>
      </c>
      <c r="P60" s="35">
        <f>IF('Base Scores'!P60="","",MAX('Base Scores'!P60,'Stress Scores'!P60))</f>
        <v>23.2975</v>
      </c>
      <c r="Q60" s="35">
        <f>IF('Base Scores'!Q60="","",MAX('Base Scores'!Q60,'Stress Scores'!Q60))</f>
        <v>36.87361111</v>
      </c>
      <c r="R60" s="35">
        <f>IF('Base Scores'!R60="","",MAX('Base Scores'!R60,'Stress Scores'!R60))</f>
        <v>67.85714286</v>
      </c>
      <c r="S60" s="35">
        <f>IF('Base Scores'!S60="","",MAX('Base Scores'!S60,'Stress Scores'!S60))</f>
        <v>100</v>
      </c>
      <c r="T60" s="35">
        <f>IF('Base Scores'!T60="","",MAX('Base Scores'!T60,'Stress Scores'!T60))</f>
        <v>86.66666667</v>
      </c>
      <c r="U60" s="35">
        <f>IF('Base Scores'!U60="","",MAX('Base Scores'!U60,'Stress Scores'!U60))</f>
        <v>93.33333333</v>
      </c>
      <c r="V60" s="35">
        <f>IF('Base Scores'!V60="","",MAX('Base Scores'!V60,'Stress Scores'!V60))</f>
        <v>78.33333333</v>
      </c>
    </row>
    <row r="61">
      <c r="A61" s="26" t="s">
        <v>707</v>
      </c>
      <c r="B61" s="26">
        <v>6.0</v>
      </c>
      <c r="C61" s="26" t="s">
        <v>708</v>
      </c>
      <c r="D61" s="26" t="s">
        <v>254</v>
      </c>
      <c r="E61" s="35">
        <f>IF('Base Scores'!E61="","",MAX('Base Scores'!E61,'Stress Scores'!E61))</f>
        <v>0</v>
      </c>
      <c r="F61" s="35">
        <f>IF('Base Scores'!F61="","",MAX('Base Scores'!F61,'Stress Scores'!F61))</f>
        <v>50</v>
      </c>
      <c r="G61" s="35">
        <f>IF('Base Scores'!G61="","",MAX('Base Scores'!G61,'Stress Scores'!G61))</f>
        <v>0</v>
      </c>
      <c r="H61" s="35">
        <f>IF('Base Scores'!H61="","",MAX('Base Scores'!H61,'Stress Scores'!H61))</f>
        <v>0</v>
      </c>
      <c r="I61" s="35">
        <f>IF('Base Scores'!I61="","",MAX('Base Scores'!I61,'Stress Scores'!I61))</f>
        <v>0</v>
      </c>
      <c r="J61" s="35">
        <f>IF('Base Scores'!J61="","",MAX('Base Scores'!J61,'Stress Scores'!J61))</f>
        <v>0</v>
      </c>
      <c r="K61" s="35">
        <f>IF('Base Scores'!K61="","",MAX('Base Scores'!K61,'Stress Scores'!K61))</f>
        <v>0</v>
      </c>
      <c r="L61" s="35">
        <f>IF('Base Scores'!L61="","",MAX('Base Scores'!L61,'Stress Scores'!L61))</f>
        <v>50</v>
      </c>
      <c r="M61" s="35">
        <f>IF('Base Scores'!M61="","",MAX('Base Scores'!M61,'Stress Scores'!M61))</f>
        <v>75</v>
      </c>
      <c r="N61" s="35">
        <f>IF('Base Scores'!N61="","",MAX('Base Scores'!N61,'Stress Scores'!N61))</f>
        <v>0</v>
      </c>
      <c r="O61" s="35">
        <f>IF('Base Scores'!O61="","",MAX('Base Scores'!O61,'Stress Scores'!O61))</f>
        <v>0</v>
      </c>
      <c r="P61" s="35">
        <f>IF('Base Scores'!P61="","",MAX('Base Scores'!P61,'Stress Scores'!P61))</f>
        <v>0</v>
      </c>
      <c r="Q61" s="35">
        <f>IF('Base Scores'!Q61="","",MAX('Base Scores'!Q61,'Stress Scores'!Q61))</f>
        <v>50</v>
      </c>
      <c r="R61" s="35">
        <f>IF('Base Scores'!R61="","",MAX('Base Scores'!R61,'Stress Scores'!R61))</f>
        <v>25</v>
      </c>
      <c r="S61" s="35">
        <f>IF('Base Scores'!S61="","",MAX('Base Scores'!S61,'Stress Scores'!S61))</f>
        <v>75</v>
      </c>
      <c r="T61" s="35">
        <f>IF('Base Scores'!T61="","",MAX('Base Scores'!T61,'Stress Scores'!T61))</f>
        <v>0</v>
      </c>
      <c r="U61" s="35">
        <f>IF('Base Scores'!U61="","",MAX('Base Scores'!U61,'Stress Scores'!U61))</f>
        <v>0</v>
      </c>
      <c r="V61" s="35">
        <f>IF('Base Scores'!V61="","",MAX('Base Scores'!V61,'Stress Scores'!V61))</f>
        <v>0</v>
      </c>
    </row>
    <row r="62">
      <c r="A62" s="26" t="s">
        <v>712</v>
      </c>
      <c r="B62" s="26">
        <v>6.0</v>
      </c>
      <c r="C62" s="26" t="s">
        <v>713</v>
      </c>
      <c r="D62" s="26" t="s">
        <v>714</v>
      </c>
      <c r="E62" s="35">
        <f>IF('Base Scores'!E62="","",MAX('Base Scores'!E62,'Stress Scores'!E62))</f>
        <v>0</v>
      </c>
      <c r="F62" s="35">
        <f>IF('Base Scores'!F62="","",MAX('Base Scores'!F62,'Stress Scores'!F62))</f>
        <v>20.83333333</v>
      </c>
      <c r="G62" s="35">
        <f>IF('Base Scores'!G62="","",MAX('Base Scores'!G62,'Stress Scores'!G62))</f>
        <v>0</v>
      </c>
      <c r="H62" s="35">
        <f>IF('Base Scores'!H62="","",MAX('Base Scores'!H62,'Stress Scores'!H62))</f>
        <v>0</v>
      </c>
      <c r="I62" s="35">
        <f>IF('Base Scores'!I62="","",MAX('Base Scores'!I62,'Stress Scores'!I62))</f>
        <v>0</v>
      </c>
      <c r="J62" s="35">
        <f>IF('Base Scores'!J62="","",MAX('Base Scores'!J62,'Stress Scores'!J62))</f>
        <v>0</v>
      </c>
      <c r="K62" s="35">
        <f>IF('Base Scores'!K62="","",MAX('Base Scores'!K62,'Stress Scores'!K62))</f>
        <v>0</v>
      </c>
      <c r="L62" s="35">
        <f>IF('Base Scores'!L62="","",MAX('Base Scores'!L62,'Stress Scores'!L62))</f>
        <v>6.666666667</v>
      </c>
      <c r="M62" s="35">
        <f>IF('Base Scores'!M62="","",MAX('Base Scores'!M62,'Stress Scores'!M62))</f>
        <v>16.66666667</v>
      </c>
      <c r="N62" s="35">
        <f>IF('Base Scores'!N62="","",MAX('Base Scores'!N62,'Stress Scores'!N62))</f>
        <v>87.5</v>
      </c>
      <c r="O62" s="35">
        <f>IF('Base Scores'!O62="","",MAX('Base Scores'!O62,'Stress Scores'!O62))</f>
        <v>75</v>
      </c>
      <c r="P62" s="35">
        <f>IF('Base Scores'!P62="","",MAX('Base Scores'!P62,'Stress Scores'!P62))</f>
        <v>16.66666667</v>
      </c>
      <c r="Q62" s="35">
        <f>IF('Base Scores'!Q62="","",MAX('Base Scores'!Q62,'Stress Scores'!Q62))</f>
        <v>81.25</v>
      </c>
      <c r="R62" s="35">
        <f>IF('Base Scores'!R62="","",MAX('Base Scores'!R62,'Stress Scores'!R62))</f>
        <v>75</v>
      </c>
      <c r="S62" s="35">
        <f>IF('Base Scores'!S62="","",MAX('Base Scores'!S62,'Stress Scores'!S62))</f>
        <v>77.5</v>
      </c>
      <c r="T62" s="35">
        <f>IF('Base Scores'!T62="","",MAX('Base Scores'!T62,'Stress Scores'!T62))</f>
        <v>0</v>
      </c>
      <c r="U62" s="35">
        <f>IF('Base Scores'!U62="","",MAX('Base Scores'!U62,'Stress Scores'!U62))</f>
        <v>25</v>
      </c>
      <c r="V62" s="35">
        <f>IF('Base Scores'!V62="","",MAX('Base Scores'!V62,'Stress Scores'!V62))</f>
        <v>25</v>
      </c>
    </row>
    <row r="63">
      <c r="A63" s="26" t="s">
        <v>717</v>
      </c>
      <c r="B63" s="26">
        <v>6.0</v>
      </c>
      <c r="C63" s="26" t="s">
        <v>718</v>
      </c>
      <c r="D63" s="26" t="s">
        <v>254</v>
      </c>
      <c r="E63" s="35">
        <f>IF('Base Scores'!E63="","",MAX('Base Scores'!E63,'Stress Scores'!E63))</f>
        <v>0</v>
      </c>
      <c r="F63" s="35">
        <f>IF('Base Scores'!F63="","",MAX('Base Scores'!F63,'Stress Scores'!F63))</f>
        <v>25</v>
      </c>
      <c r="G63" s="35">
        <f>IF('Base Scores'!G63="","",MAX('Base Scores'!G63,'Stress Scores'!G63))</f>
        <v>0</v>
      </c>
      <c r="H63" s="35">
        <f>IF('Base Scores'!H63="","",MAX('Base Scores'!H63,'Stress Scores'!H63))</f>
        <v>0</v>
      </c>
      <c r="I63" s="35">
        <f>IF('Base Scores'!I63="","",MAX('Base Scores'!I63,'Stress Scores'!I63))</f>
        <v>0</v>
      </c>
      <c r="J63" s="35">
        <f>IF('Base Scores'!J63="","",MAX('Base Scores'!J63,'Stress Scores'!J63))</f>
        <v>0</v>
      </c>
      <c r="K63" s="35">
        <f>IF('Base Scores'!K63="","",MAX('Base Scores'!K63,'Stress Scores'!K63))</f>
        <v>0</v>
      </c>
      <c r="L63" s="35">
        <f>IF('Base Scores'!L63="","",MAX('Base Scores'!L63,'Stress Scores'!L63))</f>
        <v>25</v>
      </c>
      <c r="M63" s="35">
        <f>IF('Base Scores'!M63="","",MAX('Base Scores'!M63,'Stress Scores'!M63))</f>
        <v>25</v>
      </c>
      <c r="N63" s="35">
        <f>IF('Base Scores'!N63="","",MAX('Base Scores'!N63,'Stress Scores'!N63))</f>
        <v>50</v>
      </c>
      <c r="O63" s="35">
        <f>IF('Base Scores'!O63="","",MAX('Base Scores'!O63,'Stress Scores'!O63))</f>
        <v>75</v>
      </c>
      <c r="P63" s="35">
        <f>IF('Base Scores'!P63="","",MAX('Base Scores'!P63,'Stress Scores'!P63))</f>
        <v>25</v>
      </c>
      <c r="Q63" s="35">
        <f>IF('Base Scores'!Q63="","",MAX('Base Scores'!Q63,'Stress Scores'!Q63))</f>
        <v>75</v>
      </c>
      <c r="R63" s="35">
        <f>IF('Base Scores'!R63="","",MAX('Base Scores'!R63,'Stress Scores'!R63))</f>
        <v>75</v>
      </c>
      <c r="S63" s="35">
        <f>IF('Base Scores'!S63="","",MAX('Base Scores'!S63,'Stress Scores'!S63))</f>
        <v>50</v>
      </c>
      <c r="T63" s="35">
        <f>IF('Base Scores'!T63="","",MAX('Base Scores'!T63,'Stress Scores'!T63))</f>
        <v>0</v>
      </c>
      <c r="U63" s="35">
        <f>IF('Base Scores'!U63="","",MAX('Base Scores'!U63,'Stress Scores'!U63))</f>
        <v>25</v>
      </c>
      <c r="V63" s="35">
        <f>IF('Base Scores'!V63="","",MAX('Base Scores'!V63,'Stress Scores'!V63))</f>
        <v>25</v>
      </c>
    </row>
    <row r="64">
      <c r="A64" s="26" t="s">
        <v>721</v>
      </c>
      <c r="B64" s="26">
        <v>6.0</v>
      </c>
      <c r="C64" s="26" t="s">
        <v>722</v>
      </c>
      <c r="D64" s="26" t="s">
        <v>254</v>
      </c>
      <c r="E64" s="35">
        <f>IF('Base Scores'!E64="","",MAX('Base Scores'!E64,'Stress Scores'!E64))</f>
        <v>0</v>
      </c>
      <c r="F64" s="35">
        <f>IF('Base Scores'!F64="","",MAX('Base Scores'!F64,'Stress Scores'!F64))</f>
        <v>25</v>
      </c>
      <c r="G64" s="35">
        <f>IF('Base Scores'!G64="","",MAX('Base Scores'!G64,'Stress Scores'!G64))</f>
        <v>0</v>
      </c>
      <c r="H64" s="35">
        <f>IF('Base Scores'!H64="","",MAX('Base Scores'!H64,'Stress Scores'!H64))</f>
        <v>0</v>
      </c>
      <c r="I64" s="35">
        <f>IF('Base Scores'!I64="","",MAX('Base Scores'!I64,'Stress Scores'!I64))</f>
        <v>0</v>
      </c>
      <c r="J64" s="35">
        <f>IF('Base Scores'!J64="","",MAX('Base Scores'!J64,'Stress Scores'!J64))</f>
        <v>0</v>
      </c>
      <c r="K64" s="35">
        <f>IF('Base Scores'!K64="","",MAX('Base Scores'!K64,'Stress Scores'!K64))</f>
        <v>0</v>
      </c>
      <c r="L64" s="35">
        <f>IF('Base Scores'!L64="","",MAX('Base Scores'!L64,'Stress Scores'!L64))</f>
        <v>25</v>
      </c>
      <c r="M64" s="35">
        <f>IF('Base Scores'!M64="","",MAX('Base Scores'!M64,'Stress Scores'!M64))</f>
        <v>75</v>
      </c>
      <c r="N64" s="35">
        <f>IF('Base Scores'!N64="","",MAX('Base Scores'!N64,'Stress Scores'!N64))</f>
        <v>25</v>
      </c>
      <c r="O64" s="35">
        <f>IF('Base Scores'!O64="","",MAX('Base Scores'!O64,'Stress Scores'!O64))</f>
        <v>25</v>
      </c>
      <c r="P64" s="35">
        <f>IF('Base Scores'!P64="","",MAX('Base Scores'!P64,'Stress Scores'!P64))</f>
        <v>0</v>
      </c>
      <c r="Q64" s="35">
        <f>IF('Base Scores'!Q64="","",MAX('Base Scores'!Q64,'Stress Scores'!Q64))</f>
        <v>75</v>
      </c>
      <c r="R64" s="35">
        <f>IF('Base Scores'!R64="","",MAX('Base Scores'!R64,'Stress Scores'!R64))</f>
        <v>50</v>
      </c>
      <c r="S64" s="35">
        <f>IF('Base Scores'!S64="","",MAX('Base Scores'!S64,'Stress Scores'!S64))</f>
        <v>75</v>
      </c>
      <c r="T64" s="35">
        <f>IF('Base Scores'!T64="","",MAX('Base Scores'!T64,'Stress Scores'!T64))</f>
        <v>0</v>
      </c>
      <c r="U64" s="35">
        <f>IF('Base Scores'!U64="","",MAX('Base Scores'!U64,'Stress Scores'!U64))</f>
        <v>0</v>
      </c>
      <c r="V64" s="35">
        <f>IF('Base Scores'!V64="","",MAX('Base Scores'!V64,'Stress Scores'!V64))</f>
        <v>25</v>
      </c>
    </row>
    <row r="65">
      <c r="A65" s="26" t="s">
        <v>726</v>
      </c>
      <c r="B65" s="26">
        <v>6.0</v>
      </c>
      <c r="C65" s="26" t="s">
        <v>727</v>
      </c>
      <c r="D65" s="26" t="s">
        <v>254</v>
      </c>
      <c r="E65" s="35">
        <f>IF('Base Scores'!E65="","",MAX('Base Scores'!E65,'Stress Scores'!E65))</f>
        <v>0</v>
      </c>
      <c r="F65" s="35">
        <f>IF('Base Scores'!F65="","",MAX('Base Scores'!F65,'Stress Scores'!F65))</f>
        <v>25</v>
      </c>
      <c r="G65" s="35">
        <f>IF('Base Scores'!G65="","",MAX('Base Scores'!G65,'Stress Scores'!G65))</f>
        <v>0</v>
      </c>
      <c r="H65" s="35">
        <f>IF('Base Scores'!H65="","",MAX('Base Scores'!H65,'Stress Scores'!H65))</f>
        <v>0</v>
      </c>
      <c r="I65" s="35">
        <f>IF('Base Scores'!I65="","",MAX('Base Scores'!I65,'Stress Scores'!I65))</f>
        <v>0</v>
      </c>
      <c r="J65" s="35">
        <f>IF('Base Scores'!J65="","",MAX('Base Scores'!J65,'Stress Scores'!J65))</f>
        <v>0</v>
      </c>
      <c r="K65" s="35">
        <f>IF('Base Scores'!K65="","",MAX('Base Scores'!K65,'Stress Scores'!K65))</f>
        <v>0</v>
      </c>
      <c r="L65" s="35">
        <f>IF('Base Scores'!L65="","",MAX('Base Scores'!L65,'Stress Scores'!L65))</f>
        <v>25</v>
      </c>
      <c r="M65" s="35">
        <f>IF('Base Scores'!M65="","",MAX('Base Scores'!M65,'Stress Scores'!M65))</f>
        <v>50</v>
      </c>
      <c r="N65" s="35">
        <f>IF('Base Scores'!N65="","",MAX('Base Scores'!N65,'Stress Scores'!N65))</f>
        <v>0</v>
      </c>
      <c r="O65" s="35">
        <f>IF('Base Scores'!O65="","",MAX('Base Scores'!O65,'Stress Scores'!O65))</f>
        <v>50</v>
      </c>
      <c r="P65" s="35">
        <f>IF('Base Scores'!P65="","",MAX('Base Scores'!P65,'Stress Scores'!P65))</f>
        <v>0</v>
      </c>
      <c r="Q65" s="35">
        <f>IF('Base Scores'!Q65="","",MAX('Base Scores'!Q65,'Stress Scores'!Q65))</f>
        <v>75</v>
      </c>
      <c r="R65" s="35">
        <f>IF('Base Scores'!R65="","",MAX('Base Scores'!R65,'Stress Scores'!R65))</f>
        <v>50</v>
      </c>
      <c r="S65" s="35">
        <f>IF('Base Scores'!S65="","",MAX('Base Scores'!S65,'Stress Scores'!S65))</f>
        <v>75</v>
      </c>
      <c r="T65" s="35">
        <f>IF('Base Scores'!T65="","",MAX('Base Scores'!T65,'Stress Scores'!T65))</f>
        <v>0</v>
      </c>
      <c r="U65" s="35">
        <f>IF('Base Scores'!U65="","",MAX('Base Scores'!U65,'Stress Scores'!U65))</f>
        <v>0</v>
      </c>
      <c r="V65" s="35">
        <f>IF('Base Scores'!V65="","",MAX('Base Scores'!V65,'Stress Scores'!V65))</f>
        <v>0</v>
      </c>
    </row>
    <row r="66">
      <c r="A66" s="26" t="s">
        <v>730</v>
      </c>
      <c r="B66" s="26">
        <v>6.0</v>
      </c>
      <c r="C66" s="26" t="s">
        <v>731</v>
      </c>
      <c r="D66" s="26" t="s">
        <v>112</v>
      </c>
      <c r="E66" s="35">
        <f>IF('Base Scores'!E66="","",MAX('Base Scores'!E66,'Stress Scores'!E66))</f>
        <v>0</v>
      </c>
      <c r="F66" s="35">
        <f>IF('Base Scores'!F66="","",MAX('Base Scores'!F66,'Stress Scores'!F66))</f>
        <v>12.5</v>
      </c>
      <c r="G66" s="35">
        <f>IF('Base Scores'!G66="","",MAX('Base Scores'!G66,'Stress Scores'!G66))</f>
        <v>45.83333333</v>
      </c>
      <c r="H66" s="35">
        <f>IF('Base Scores'!H66="","",MAX('Base Scores'!H66,'Stress Scores'!H66))</f>
        <v>18.75</v>
      </c>
      <c r="I66" s="35">
        <f>IF('Base Scores'!I66="","",MAX('Base Scores'!I66,'Stress Scores'!I66))</f>
        <v>0</v>
      </c>
      <c r="J66" s="35">
        <f>IF('Base Scores'!J66="","",MAX('Base Scores'!J66,'Stress Scores'!J66))</f>
        <v>0</v>
      </c>
      <c r="K66" s="35">
        <f>IF('Base Scores'!K66="","",MAX('Base Scores'!K66,'Stress Scores'!K66))</f>
        <v>0</v>
      </c>
      <c r="L66" s="35">
        <f>IF('Base Scores'!L66="","",MAX('Base Scores'!L66,'Stress Scores'!L66))</f>
        <v>41.66666667</v>
      </c>
      <c r="M66" s="35">
        <f>IF('Base Scores'!M66="","",MAX('Base Scores'!M66,'Stress Scores'!M66))</f>
        <v>12.5</v>
      </c>
      <c r="N66" s="35">
        <f>IF('Base Scores'!N66="","",MAX('Base Scores'!N66,'Stress Scores'!N66))</f>
        <v>29.16666667</v>
      </c>
      <c r="O66" s="35">
        <f>IF('Base Scores'!O66="","",MAX('Base Scores'!O66,'Stress Scores'!O66))</f>
        <v>37.5</v>
      </c>
      <c r="P66" s="35">
        <f>IF('Base Scores'!P66="","",MAX('Base Scores'!P66,'Stress Scores'!P66))</f>
        <v>50</v>
      </c>
      <c r="Q66" s="35">
        <f>IF('Base Scores'!Q66="","",MAX('Base Scores'!Q66,'Stress Scores'!Q66))</f>
        <v>57.14285714</v>
      </c>
      <c r="R66" s="35">
        <f>IF('Base Scores'!R66="","",MAX('Base Scores'!R66,'Stress Scores'!R66))</f>
        <v>25</v>
      </c>
      <c r="S66" s="35">
        <f>IF('Base Scores'!S66="","",MAX('Base Scores'!S66,'Stress Scores'!S66))</f>
        <v>0</v>
      </c>
      <c r="T66" s="35">
        <f>IF('Base Scores'!T66="","",MAX('Base Scores'!T66,'Stress Scores'!T66))</f>
        <v>0</v>
      </c>
      <c r="U66" s="35">
        <f>IF('Base Scores'!U66="","",MAX('Base Scores'!U66,'Stress Scores'!U66))</f>
        <v>25</v>
      </c>
      <c r="V66" s="35">
        <f>IF('Base Scores'!V66="","",MAX('Base Scores'!V66,'Stress Scores'!V66))</f>
        <v>37.5</v>
      </c>
    </row>
    <row r="67">
      <c r="A67" s="26" t="s">
        <v>734</v>
      </c>
      <c r="B67" s="26">
        <v>6.0</v>
      </c>
      <c r="C67" s="26" t="s">
        <v>735</v>
      </c>
      <c r="D67" s="26" t="s">
        <v>736</v>
      </c>
      <c r="E67" s="35">
        <f>IF('Base Scores'!E67="","",MAX('Base Scores'!E67,'Stress Scores'!E67))</f>
        <v>58.33333333</v>
      </c>
      <c r="F67" s="35">
        <f>IF('Base Scores'!F67="","",MAX('Base Scores'!F67,'Stress Scores'!F67))</f>
        <v>66.66666667</v>
      </c>
      <c r="G67" s="35">
        <f>IF('Base Scores'!G67="","",MAX('Base Scores'!G67,'Stress Scores'!G67))</f>
        <v>68.33333333</v>
      </c>
      <c r="H67" s="35">
        <f>IF('Base Scores'!H67="","",MAX('Base Scores'!H67,'Stress Scores'!H67))</f>
        <v>58.33333333</v>
      </c>
      <c r="I67" s="35">
        <f>IF('Base Scores'!I67="","",MAX('Base Scores'!I67,'Stress Scores'!I67))</f>
        <v>12.5</v>
      </c>
      <c r="J67" s="35">
        <f>IF('Base Scores'!J67="","",MAX('Base Scores'!J67,'Stress Scores'!J67))</f>
        <v>30</v>
      </c>
      <c r="K67" s="35">
        <f>IF('Base Scores'!K67="","",MAX('Base Scores'!K67,'Stress Scores'!K67))</f>
        <v>28.33333333</v>
      </c>
      <c r="L67" s="35">
        <f>IF('Base Scores'!L67="","",MAX('Base Scores'!L67,'Stress Scores'!L67))</f>
        <v>56.66666667</v>
      </c>
      <c r="M67" s="35">
        <f>IF('Base Scores'!M67="","",MAX('Base Scores'!M67,'Stress Scores'!M67))</f>
        <v>58.33333333</v>
      </c>
      <c r="N67" s="35">
        <f>IF('Base Scores'!N67="","",MAX('Base Scores'!N67,'Stress Scores'!N67))</f>
        <v>50</v>
      </c>
      <c r="O67" s="35">
        <f>IF('Base Scores'!O67="","",MAX('Base Scores'!O67,'Stress Scores'!O67))</f>
        <v>75</v>
      </c>
      <c r="P67" s="35">
        <f>IF('Base Scores'!P67="","",MAX('Base Scores'!P67,'Stress Scores'!P67))</f>
        <v>50</v>
      </c>
      <c r="Q67" s="35">
        <f>IF('Base Scores'!Q67="","",MAX('Base Scores'!Q67,'Stress Scores'!Q67))</f>
        <v>90</v>
      </c>
      <c r="R67" s="35">
        <f>IF('Base Scores'!R67="","",MAX('Base Scores'!R67,'Stress Scores'!R67))</f>
        <v>75</v>
      </c>
      <c r="S67" s="35">
        <f>IF('Base Scores'!S67="","",MAX('Base Scores'!S67,'Stress Scores'!S67))</f>
        <v>82.5</v>
      </c>
      <c r="T67" s="35">
        <f>IF('Base Scores'!T67="","",MAX('Base Scores'!T67,'Stress Scores'!T67))</f>
        <v>46.66666667</v>
      </c>
      <c r="U67" s="35">
        <f>IF('Base Scores'!U67="","",MAX('Base Scores'!U67,'Stress Scores'!U67))</f>
        <v>50</v>
      </c>
      <c r="V67" s="35">
        <f>IF('Base Scores'!V67="","",MAX('Base Scores'!V67,'Stress Scores'!V67))</f>
        <v>56.66666667</v>
      </c>
    </row>
    <row r="68">
      <c r="A68" s="26" t="s">
        <v>739</v>
      </c>
      <c r="B68" s="26">
        <v>6.0</v>
      </c>
      <c r="C68" s="26" t="s">
        <v>740</v>
      </c>
      <c r="D68" s="26" t="s">
        <v>254</v>
      </c>
      <c r="E68" s="35">
        <f>IF('Base Scores'!E68="","",MAX('Base Scores'!E68,'Stress Scores'!E68))</f>
        <v>25</v>
      </c>
      <c r="F68" s="35">
        <f>IF('Base Scores'!F68="","",MAX('Base Scores'!F68,'Stress Scores'!F68))</f>
        <v>50</v>
      </c>
      <c r="G68" s="35">
        <f>IF('Base Scores'!G68="","",MAX('Base Scores'!G68,'Stress Scores'!G68))</f>
        <v>25</v>
      </c>
      <c r="H68" s="35">
        <f>IF('Base Scores'!H68="","",MAX('Base Scores'!H68,'Stress Scores'!H68))</f>
        <v>25</v>
      </c>
      <c r="I68" s="35">
        <f>IF('Base Scores'!I68="","",MAX('Base Scores'!I68,'Stress Scores'!I68))</f>
        <v>0</v>
      </c>
      <c r="J68" s="35">
        <f>IF('Base Scores'!J68="","",MAX('Base Scores'!J68,'Stress Scores'!J68))</f>
        <v>25</v>
      </c>
      <c r="K68" s="35">
        <f>IF('Base Scores'!K68="","",MAX('Base Scores'!K68,'Stress Scores'!K68))</f>
        <v>25</v>
      </c>
      <c r="L68" s="35">
        <f>IF('Base Scores'!L68="","",MAX('Base Scores'!L68,'Stress Scores'!L68))</f>
        <v>25</v>
      </c>
      <c r="M68" s="35">
        <f>IF('Base Scores'!M68="","",MAX('Base Scores'!M68,'Stress Scores'!M68))</f>
        <v>50</v>
      </c>
      <c r="N68" s="35">
        <f>IF('Base Scores'!N68="","",MAX('Base Scores'!N68,'Stress Scores'!N68))</f>
        <v>50</v>
      </c>
      <c r="O68" s="35">
        <f>IF('Base Scores'!O68="","",MAX('Base Scores'!O68,'Stress Scores'!O68))</f>
        <v>50</v>
      </c>
      <c r="P68" s="35">
        <f>IF('Base Scores'!P68="","",MAX('Base Scores'!P68,'Stress Scores'!P68))</f>
        <v>25</v>
      </c>
      <c r="Q68" s="35">
        <f>IF('Base Scores'!Q68="","",MAX('Base Scores'!Q68,'Stress Scores'!Q68))</f>
        <v>50</v>
      </c>
      <c r="R68" s="35">
        <f>IF('Base Scores'!R68="","",MAX('Base Scores'!R68,'Stress Scores'!R68))</f>
        <v>50</v>
      </c>
      <c r="S68" s="35">
        <f>IF('Base Scores'!S68="","",MAX('Base Scores'!S68,'Stress Scores'!S68))</f>
        <v>50</v>
      </c>
      <c r="T68" s="35">
        <f>IF('Base Scores'!T68="","",MAX('Base Scores'!T68,'Stress Scores'!T68))</f>
        <v>50</v>
      </c>
      <c r="U68" s="35">
        <f>IF('Base Scores'!U68="","",MAX('Base Scores'!U68,'Stress Scores'!U68))</f>
        <v>50</v>
      </c>
      <c r="V68" s="35">
        <f>IF('Base Scores'!V68="","",MAX('Base Scores'!V68,'Stress Scores'!V68))</f>
        <v>50</v>
      </c>
    </row>
    <row r="69">
      <c r="A69" s="26" t="s">
        <v>743</v>
      </c>
      <c r="B69" s="26">
        <v>6.0</v>
      </c>
      <c r="C69" s="26" t="s">
        <v>744</v>
      </c>
      <c r="D69" s="26" t="s">
        <v>745</v>
      </c>
      <c r="E69" s="35">
        <f>IF('Base Scores'!E69="","",MAX('Base Scores'!E69,'Stress Scores'!E69))</f>
        <v>25</v>
      </c>
      <c r="F69" s="35">
        <f>IF('Base Scores'!F69="","",MAX('Base Scores'!F69,'Stress Scores'!F69))</f>
        <v>12.5</v>
      </c>
      <c r="G69" s="35">
        <f>IF('Base Scores'!G69="","",MAX('Base Scores'!G69,'Stress Scores'!G69))</f>
        <v>25</v>
      </c>
      <c r="H69" s="35">
        <f>IF('Base Scores'!H69="","",MAX('Base Scores'!H69,'Stress Scores'!H69))</f>
        <v>25</v>
      </c>
      <c r="I69" s="35">
        <f>IF('Base Scores'!I69="","",MAX('Base Scores'!I69,'Stress Scores'!I69))</f>
        <v>25</v>
      </c>
      <c r="J69" s="35">
        <f>IF('Base Scores'!J69="","",MAX('Base Scores'!J69,'Stress Scores'!J69))</f>
        <v>25</v>
      </c>
      <c r="K69" s="35">
        <f>IF('Base Scores'!K69="","",MAX('Base Scores'!K69,'Stress Scores'!K69))</f>
        <v>25</v>
      </c>
      <c r="L69" s="35">
        <f>IF('Base Scores'!L69="","",MAX('Base Scores'!L69,'Stress Scores'!L69))</f>
        <v>25</v>
      </c>
      <c r="M69" s="35">
        <f>IF('Base Scores'!M69="","",MAX('Base Scores'!M69,'Stress Scores'!M69))</f>
        <v>50</v>
      </c>
      <c r="N69" s="35">
        <f>IF('Base Scores'!N69="","",MAX('Base Scores'!N69,'Stress Scores'!N69))</f>
        <v>25</v>
      </c>
      <c r="O69" s="35">
        <f>IF('Base Scores'!O69="","",MAX('Base Scores'!O69,'Stress Scores'!O69))</f>
        <v>25</v>
      </c>
      <c r="P69" s="35">
        <f>IF('Base Scores'!P69="","",MAX('Base Scores'!P69,'Stress Scores'!P69))</f>
        <v>25</v>
      </c>
      <c r="Q69" s="35">
        <f>IF('Base Scores'!Q69="","",MAX('Base Scores'!Q69,'Stress Scores'!Q69))</f>
        <v>35</v>
      </c>
      <c r="R69" s="35">
        <f>IF('Base Scores'!R69="","",MAX('Base Scores'!R69,'Stress Scores'!R69))</f>
        <v>25</v>
      </c>
      <c r="S69" s="35">
        <f>IF('Base Scores'!S69="","",MAX('Base Scores'!S69,'Stress Scores'!S69))</f>
        <v>30</v>
      </c>
      <c r="T69" s="35">
        <f>IF('Base Scores'!T69="","",MAX('Base Scores'!T69,'Stress Scores'!T69))</f>
        <v>0</v>
      </c>
      <c r="U69" s="35">
        <f>IF('Base Scores'!U69="","",MAX('Base Scores'!U69,'Stress Scores'!U69))</f>
        <v>25</v>
      </c>
      <c r="V69" s="35">
        <f>IF('Base Scores'!V69="","",MAX('Base Scores'!V69,'Stress Scores'!V69))</f>
        <v>25</v>
      </c>
    </row>
    <row r="70">
      <c r="A70" s="26" t="s">
        <v>748</v>
      </c>
      <c r="B70" s="26">
        <v>6.0</v>
      </c>
      <c r="C70" s="26" t="s">
        <v>749</v>
      </c>
      <c r="D70" s="26" t="s">
        <v>254</v>
      </c>
      <c r="E70" s="35">
        <f>IF('Base Scores'!E70="","",MAX('Base Scores'!E70,'Stress Scores'!E70))</f>
        <v>25</v>
      </c>
      <c r="F70" s="35">
        <f>IF('Base Scores'!F70="","",MAX('Base Scores'!F70,'Stress Scores'!F70))</f>
        <v>50</v>
      </c>
      <c r="G70" s="35">
        <f>IF('Base Scores'!G70="","",MAX('Base Scores'!G70,'Stress Scores'!G70))</f>
        <v>75</v>
      </c>
      <c r="H70" s="35">
        <f>IF('Base Scores'!H70="","",MAX('Base Scores'!H70,'Stress Scores'!H70))</f>
        <v>50</v>
      </c>
      <c r="I70" s="35">
        <f>IF('Base Scores'!I70="","",MAX('Base Scores'!I70,'Stress Scores'!I70))</f>
        <v>50</v>
      </c>
      <c r="J70" s="35">
        <f>IF('Base Scores'!J70="","",MAX('Base Scores'!J70,'Stress Scores'!J70))</f>
        <v>0</v>
      </c>
      <c r="K70" s="35">
        <f>IF('Base Scores'!K70="","",MAX('Base Scores'!K70,'Stress Scores'!K70))</f>
        <v>0</v>
      </c>
      <c r="L70" s="35">
        <f>IF('Base Scores'!L70="","",MAX('Base Scores'!L70,'Stress Scores'!L70))</f>
        <v>50</v>
      </c>
      <c r="M70" s="35">
        <f>IF('Base Scores'!M70="","",MAX('Base Scores'!M70,'Stress Scores'!M70))</f>
        <v>50</v>
      </c>
      <c r="N70" s="35">
        <f>IF('Base Scores'!N70="","",MAX('Base Scores'!N70,'Stress Scores'!N70))</f>
        <v>50</v>
      </c>
      <c r="O70" s="35">
        <f>IF('Base Scores'!O70="","",MAX('Base Scores'!O70,'Stress Scores'!O70))</f>
        <v>75</v>
      </c>
      <c r="P70" s="35">
        <f>IF('Base Scores'!P70="","",MAX('Base Scores'!P70,'Stress Scores'!P70))</f>
        <v>25</v>
      </c>
      <c r="Q70" s="35">
        <f>IF('Base Scores'!Q70="","",MAX('Base Scores'!Q70,'Stress Scores'!Q70))</f>
        <v>75</v>
      </c>
      <c r="R70" s="35">
        <f>IF('Base Scores'!R70="","",MAX('Base Scores'!R70,'Stress Scores'!R70))</f>
        <v>50</v>
      </c>
      <c r="S70" s="35">
        <f>IF('Base Scores'!S70="","",MAX('Base Scores'!S70,'Stress Scores'!S70))</f>
        <v>50</v>
      </c>
      <c r="T70" s="35">
        <f>IF('Base Scores'!T70="","",MAX('Base Scores'!T70,'Stress Scores'!T70))</f>
        <v>25</v>
      </c>
      <c r="U70" s="35">
        <f>IF('Base Scores'!U70="","",MAX('Base Scores'!U70,'Stress Scores'!U70))</f>
        <v>100</v>
      </c>
      <c r="V70" s="35">
        <f>IF('Base Scores'!V70="","",MAX('Base Scores'!V70,'Stress Scores'!V70))</f>
        <v>50</v>
      </c>
    </row>
    <row r="71">
      <c r="A71" s="26" t="s">
        <v>753</v>
      </c>
      <c r="B71" s="26">
        <v>6.0</v>
      </c>
      <c r="C71" s="26" t="s">
        <v>754</v>
      </c>
      <c r="D71" s="26" t="s">
        <v>112</v>
      </c>
      <c r="E71" s="35">
        <f>IF('Base Scores'!E71="","",MAX('Base Scores'!E71,'Stress Scores'!E71))</f>
        <v>0</v>
      </c>
      <c r="F71" s="35">
        <f>IF('Base Scores'!F71="","",MAX('Base Scores'!F71,'Stress Scores'!F71))</f>
        <v>0</v>
      </c>
      <c r="G71" s="35">
        <f>IF('Base Scores'!G71="","",MAX('Base Scores'!G71,'Stress Scores'!G71))</f>
        <v>0</v>
      </c>
      <c r="H71" s="35">
        <f>IF('Base Scores'!H71="","",MAX('Base Scores'!H71,'Stress Scores'!H71))</f>
        <v>0</v>
      </c>
      <c r="I71" s="35">
        <f>IF('Base Scores'!I71="","",MAX('Base Scores'!I71,'Stress Scores'!I71))</f>
        <v>0</v>
      </c>
      <c r="J71" s="35">
        <f>IF('Base Scores'!J71="","",MAX('Base Scores'!J71,'Stress Scores'!J71))</f>
        <v>0</v>
      </c>
      <c r="K71" s="35">
        <f>IF('Base Scores'!K71="","",MAX('Base Scores'!K71,'Stress Scores'!K71))</f>
        <v>0</v>
      </c>
      <c r="L71" s="35">
        <f>IF('Base Scores'!L71="","",MAX('Base Scores'!L71,'Stress Scores'!L71))</f>
        <v>0</v>
      </c>
      <c r="M71" s="35">
        <f>IF('Base Scores'!M71="","",MAX('Base Scores'!M71,'Stress Scores'!M71))</f>
        <v>55</v>
      </c>
      <c r="N71" s="35">
        <f>IF('Base Scores'!N71="","",MAX('Base Scores'!N71,'Stress Scores'!N71))</f>
        <v>0</v>
      </c>
      <c r="O71" s="35">
        <f>IF('Base Scores'!O71="","",MAX('Base Scores'!O71,'Stress Scores'!O71))</f>
        <v>0</v>
      </c>
      <c r="P71" s="35">
        <f>IF('Base Scores'!P71="","",MAX('Base Scores'!P71,'Stress Scores'!P71))</f>
        <v>0</v>
      </c>
      <c r="Q71" s="35">
        <f>IF('Base Scores'!Q71="","",MAX('Base Scores'!Q71,'Stress Scores'!Q71))</f>
        <v>8.333333333</v>
      </c>
      <c r="R71" s="35">
        <f>IF('Base Scores'!R71="","",MAX('Base Scores'!R71,'Stress Scores'!R71))</f>
        <v>62.5</v>
      </c>
      <c r="S71" s="35">
        <f>IF('Base Scores'!S71="","",MAX('Base Scores'!S71,'Stress Scores'!S71))</f>
        <v>60</v>
      </c>
      <c r="T71" s="35">
        <f>IF('Base Scores'!T71="","",MAX('Base Scores'!T71,'Stress Scores'!T71))</f>
        <v>16.66666667</v>
      </c>
      <c r="U71" s="35">
        <f>IF('Base Scores'!U71="","",MAX('Base Scores'!U71,'Stress Scores'!U71))</f>
        <v>50</v>
      </c>
      <c r="V71" s="35">
        <f>IF('Base Scores'!V71="","",MAX('Base Scores'!V71,'Stress Scores'!V71))</f>
        <v>62.5</v>
      </c>
    </row>
    <row r="72">
      <c r="A72" s="26" t="s">
        <v>757</v>
      </c>
      <c r="B72" s="26">
        <v>6.0</v>
      </c>
      <c r="C72" s="26" t="s">
        <v>758</v>
      </c>
      <c r="D72" s="26" t="s">
        <v>254</v>
      </c>
      <c r="E72" s="35">
        <f>IF('Base Scores'!E72="","",MAX('Base Scores'!E72,'Stress Scores'!E72))</f>
        <v>0</v>
      </c>
      <c r="F72" s="35">
        <f>IF('Base Scores'!F72="","",MAX('Base Scores'!F72,'Stress Scores'!F72))</f>
        <v>0</v>
      </c>
      <c r="G72" s="35">
        <f>IF('Base Scores'!G72="","",MAX('Base Scores'!G72,'Stress Scores'!G72))</f>
        <v>50</v>
      </c>
      <c r="H72" s="35">
        <f>IF('Base Scores'!H72="","",MAX('Base Scores'!H72,'Stress Scores'!H72))</f>
        <v>0</v>
      </c>
      <c r="I72" s="35">
        <f>IF('Base Scores'!I72="","",MAX('Base Scores'!I72,'Stress Scores'!I72))</f>
        <v>0</v>
      </c>
      <c r="J72" s="35">
        <f>IF('Base Scores'!J72="","",MAX('Base Scores'!J72,'Stress Scores'!J72))</f>
        <v>0</v>
      </c>
      <c r="K72" s="35">
        <f>IF('Base Scores'!K72="","",MAX('Base Scores'!K72,'Stress Scores'!K72))</f>
        <v>25</v>
      </c>
      <c r="L72" s="35">
        <f>IF('Base Scores'!L72="","",MAX('Base Scores'!L72,'Stress Scores'!L72))</f>
        <v>50</v>
      </c>
      <c r="M72" s="35">
        <f>IF('Base Scores'!M72="","",MAX('Base Scores'!M72,'Stress Scores'!M72))</f>
        <v>75</v>
      </c>
      <c r="N72" s="35">
        <f>IF('Base Scores'!N72="","",MAX('Base Scores'!N72,'Stress Scores'!N72))</f>
        <v>0</v>
      </c>
      <c r="O72" s="35">
        <f>IF('Base Scores'!O72="","",MAX('Base Scores'!O72,'Stress Scores'!O72))</f>
        <v>0</v>
      </c>
      <c r="P72" s="35">
        <f>IF('Base Scores'!P72="","",MAX('Base Scores'!P72,'Stress Scores'!P72))</f>
        <v>0</v>
      </c>
      <c r="Q72" s="35">
        <f>IF('Base Scores'!Q72="","",MAX('Base Scores'!Q72,'Stress Scores'!Q72))</f>
        <v>50</v>
      </c>
      <c r="R72" s="35">
        <f>IF('Base Scores'!R72="","",MAX('Base Scores'!R72,'Stress Scores'!R72))</f>
        <v>25</v>
      </c>
      <c r="S72" s="35">
        <f>IF('Base Scores'!S72="","",MAX('Base Scores'!S72,'Stress Scores'!S72))</f>
        <v>50</v>
      </c>
      <c r="T72" s="35">
        <f>IF('Base Scores'!T72="","",MAX('Base Scores'!T72,'Stress Scores'!T72))</f>
        <v>50</v>
      </c>
      <c r="U72" s="35">
        <f>IF('Base Scores'!U72="","",MAX('Base Scores'!U72,'Stress Scores'!U72))</f>
        <v>25</v>
      </c>
      <c r="V72" s="35">
        <f>IF('Base Scores'!V72="","",MAX('Base Scores'!V72,'Stress Scores'!V72))</f>
        <v>25</v>
      </c>
    </row>
    <row r="73">
      <c r="A73" s="26" t="s">
        <v>762</v>
      </c>
      <c r="B73" s="26">
        <v>6.0</v>
      </c>
      <c r="C73" s="26" t="s">
        <v>763</v>
      </c>
      <c r="D73" s="26" t="s">
        <v>764</v>
      </c>
      <c r="E73" s="35">
        <f>IF('Base Scores'!E73="","",MAX('Base Scores'!E73,'Stress Scores'!E73))</f>
        <v>0</v>
      </c>
      <c r="F73" s="35">
        <f>IF('Base Scores'!F73="","",MAX('Base Scores'!F73,'Stress Scores'!F73))</f>
        <v>50</v>
      </c>
      <c r="G73" s="35">
        <f>IF('Base Scores'!G73="","",MAX('Base Scores'!G73,'Stress Scores'!G73))</f>
        <v>0</v>
      </c>
      <c r="H73" s="35">
        <f>IF('Base Scores'!H73="","",MAX('Base Scores'!H73,'Stress Scores'!H73))</f>
        <v>0</v>
      </c>
      <c r="I73" s="35">
        <f>IF('Base Scores'!I73="","",MAX('Base Scores'!I73,'Stress Scores'!I73))</f>
        <v>0</v>
      </c>
      <c r="J73" s="35">
        <f>IF('Base Scores'!J73="","",MAX('Base Scores'!J73,'Stress Scores'!J73))</f>
        <v>0</v>
      </c>
      <c r="K73" s="35">
        <f>IF('Base Scores'!K73="","",MAX('Base Scores'!K73,'Stress Scores'!K73))</f>
        <v>0</v>
      </c>
      <c r="L73" s="35">
        <f>IF('Base Scores'!L73="","",MAX('Base Scores'!L73,'Stress Scores'!L73))</f>
        <v>75</v>
      </c>
      <c r="M73" s="35">
        <f>IF('Base Scores'!M73="","",MAX('Base Scores'!M73,'Stress Scores'!M73))</f>
        <v>100</v>
      </c>
      <c r="N73" s="35">
        <f>IF('Base Scores'!N73="","",MAX('Base Scores'!N73,'Stress Scores'!N73))</f>
        <v>0</v>
      </c>
      <c r="O73" s="35">
        <f>IF('Base Scores'!O73="","",MAX('Base Scores'!O73,'Stress Scores'!O73))</f>
        <v>16.66666667</v>
      </c>
      <c r="P73" s="35">
        <f>IF('Base Scores'!P73="","",MAX('Base Scores'!P73,'Stress Scores'!P73))</f>
        <v>16.66666667</v>
      </c>
      <c r="Q73" s="35">
        <f>IF('Base Scores'!Q73="","",MAX('Base Scores'!Q73,'Stress Scores'!Q73))</f>
        <v>62.5</v>
      </c>
      <c r="R73" s="35">
        <f>IF('Base Scores'!R73="","",MAX('Base Scores'!R73,'Stress Scores'!R73))</f>
        <v>16.66666667</v>
      </c>
      <c r="S73" s="35">
        <f>IF('Base Scores'!S73="","",MAX('Base Scores'!S73,'Stress Scores'!S73))</f>
        <v>95</v>
      </c>
      <c r="T73" s="35">
        <f>IF('Base Scores'!T73="","",MAX('Base Scores'!T73,'Stress Scores'!T73))</f>
        <v>0</v>
      </c>
      <c r="U73" s="35">
        <f>IF('Base Scores'!U73="","",MAX('Base Scores'!U73,'Stress Scores'!U73))</f>
        <v>0</v>
      </c>
      <c r="V73" s="35">
        <f>IF('Base Scores'!V73="","",MAX('Base Scores'!V73,'Stress Scores'!V73))</f>
        <v>0</v>
      </c>
    </row>
    <row r="74">
      <c r="A74" s="26" t="s">
        <v>767</v>
      </c>
      <c r="B74" s="26">
        <v>6.0</v>
      </c>
      <c r="C74" s="26" t="s">
        <v>768</v>
      </c>
      <c r="D74" s="26" t="s">
        <v>254</v>
      </c>
      <c r="E74" s="35">
        <f>IF('Base Scores'!E74="","",MAX('Base Scores'!E74,'Stress Scores'!E74))</f>
        <v>50</v>
      </c>
      <c r="F74" s="35">
        <f>IF('Base Scores'!F74="","",MAX('Base Scores'!F74,'Stress Scores'!F74))</f>
        <v>75</v>
      </c>
      <c r="G74" s="35">
        <f>IF('Base Scores'!G74="","",MAX('Base Scores'!G74,'Stress Scores'!G74))</f>
        <v>75</v>
      </c>
      <c r="H74" s="35">
        <f>IF('Base Scores'!H74="","",MAX('Base Scores'!H74,'Stress Scores'!H74))</f>
        <v>25</v>
      </c>
      <c r="I74" s="35">
        <f>IF('Base Scores'!I74="","",MAX('Base Scores'!I74,'Stress Scores'!I74))</f>
        <v>0</v>
      </c>
      <c r="J74" s="35">
        <f>IF('Base Scores'!J74="","",MAX('Base Scores'!J74,'Stress Scores'!J74))</f>
        <v>0</v>
      </c>
      <c r="K74" s="35">
        <f>IF('Base Scores'!K74="","",MAX('Base Scores'!K74,'Stress Scores'!K74))</f>
        <v>25</v>
      </c>
      <c r="L74" s="35">
        <f>IF('Base Scores'!L74="","",MAX('Base Scores'!L74,'Stress Scores'!L74))</f>
        <v>50</v>
      </c>
      <c r="M74" s="35">
        <f>IF('Base Scores'!M74="","",MAX('Base Scores'!M74,'Stress Scores'!M74))</f>
        <v>75</v>
      </c>
      <c r="N74" s="35">
        <f>IF('Base Scores'!N74="","",MAX('Base Scores'!N74,'Stress Scores'!N74))</f>
        <v>50</v>
      </c>
      <c r="O74" s="35">
        <f>IF('Base Scores'!O74="","",MAX('Base Scores'!O74,'Stress Scores'!O74))</f>
        <v>50</v>
      </c>
      <c r="P74" s="35">
        <f>IF('Base Scores'!P74="","",MAX('Base Scores'!P74,'Stress Scores'!P74))</f>
        <v>25</v>
      </c>
      <c r="Q74" s="35">
        <f>IF('Base Scores'!Q74="","",MAX('Base Scores'!Q74,'Stress Scores'!Q74))</f>
        <v>50</v>
      </c>
      <c r="R74" s="35">
        <f>IF('Base Scores'!R74="","",MAX('Base Scores'!R74,'Stress Scores'!R74))</f>
        <v>100</v>
      </c>
      <c r="S74" s="35">
        <f>IF('Base Scores'!S74="","",MAX('Base Scores'!S74,'Stress Scores'!S74))</f>
        <v>75</v>
      </c>
      <c r="T74" s="35">
        <f>IF('Base Scores'!T74="","",MAX('Base Scores'!T74,'Stress Scores'!T74))</f>
        <v>25</v>
      </c>
      <c r="U74" s="35">
        <f>IF('Base Scores'!U74="","",MAX('Base Scores'!U74,'Stress Scores'!U74))</f>
        <v>25</v>
      </c>
      <c r="V74" s="35">
        <f>IF('Base Scores'!V74="","",MAX('Base Scores'!V74,'Stress Scores'!V74))</f>
        <v>75</v>
      </c>
    </row>
    <row r="75">
      <c r="A75" s="26" t="s">
        <v>771</v>
      </c>
      <c r="B75" s="26">
        <v>7.0</v>
      </c>
      <c r="C75" s="26" t="s">
        <v>772</v>
      </c>
      <c r="D75" s="26" t="s">
        <v>37</v>
      </c>
      <c r="E75" s="35">
        <f>IF('Base Scores'!E75="","",MAX('Base Scores'!E75,'Stress Scores'!E75))</f>
        <v>59.375</v>
      </c>
      <c r="F75" s="35">
        <f>IF('Base Scores'!F75="","",MAX('Base Scores'!F75,'Stress Scores'!F75))</f>
        <v>75</v>
      </c>
      <c r="G75" s="35">
        <f>IF('Base Scores'!G75="","",MAX('Base Scores'!G75,'Stress Scores'!G75))</f>
        <v>25</v>
      </c>
      <c r="H75" s="35">
        <f>IF('Base Scores'!H75="","",MAX('Base Scores'!H75,'Stress Scores'!H75))</f>
        <v>25</v>
      </c>
      <c r="I75" s="35">
        <f>IF('Base Scores'!I75="","",MAX('Base Scores'!I75,'Stress Scores'!I75))</f>
        <v>0</v>
      </c>
      <c r="J75" s="35">
        <f>IF('Base Scores'!J75="","",MAX('Base Scores'!J75,'Stress Scores'!J75))</f>
        <v>37.5</v>
      </c>
      <c r="K75" s="35">
        <f>IF('Base Scores'!K75="","",MAX('Base Scores'!K75,'Stress Scores'!K75))</f>
        <v>0</v>
      </c>
      <c r="L75" s="35">
        <f>IF('Base Scores'!L75="","",MAX('Base Scores'!L75,'Stress Scores'!L75))</f>
        <v>37.5</v>
      </c>
      <c r="M75" s="35">
        <f>IF('Base Scores'!M75="","",MAX('Base Scores'!M75,'Stress Scores'!M75))</f>
        <v>65.625</v>
      </c>
      <c r="N75" s="35">
        <f>IF('Base Scores'!N75="","",MAX('Base Scores'!N75,'Stress Scores'!N75))</f>
        <v>100</v>
      </c>
      <c r="O75" s="35">
        <f>IF('Base Scores'!O75="","",MAX('Base Scores'!O75,'Stress Scores'!O75))</f>
        <v>12.5</v>
      </c>
      <c r="P75" s="35">
        <f>IF('Base Scores'!P75="","",MAX('Base Scores'!P75,'Stress Scores'!P75))</f>
        <v>25</v>
      </c>
      <c r="Q75" s="35">
        <f>IF('Base Scores'!Q75="","",MAX('Base Scores'!Q75,'Stress Scores'!Q75))</f>
        <v>37.5</v>
      </c>
      <c r="R75" s="35">
        <f>IF('Base Scores'!R75="","",MAX('Base Scores'!R75,'Stress Scores'!R75))</f>
        <v>25</v>
      </c>
      <c r="S75" s="35">
        <f>IF('Base Scores'!S75="","",MAX('Base Scores'!S75,'Stress Scores'!S75))</f>
        <v>37.5</v>
      </c>
      <c r="T75" s="35">
        <f>IF('Base Scores'!T75="","",MAX('Base Scores'!T75,'Stress Scores'!T75))</f>
        <v>31.25</v>
      </c>
      <c r="U75" s="35">
        <f>IF('Base Scores'!U75="","",MAX('Base Scores'!U75,'Stress Scores'!U75))</f>
        <v>53.125</v>
      </c>
      <c r="V75" s="35">
        <f>IF('Base Scores'!V75="","",MAX('Base Scores'!V75,'Stress Scores'!V75))</f>
        <v>59.375</v>
      </c>
    </row>
    <row r="76">
      <c r="A76" s="26" t="s">
        <v>775</v>
      </c>
      <c r="B76" s="26">
        <v>7.0</v>
      </c>
      <c r="C76" s="26" t="s">
        <v>776</v>
      </c>
      <c r="D76" s="26" t="s">
        <v>37</v>
      </c>
      <c r="E76" s="35">
        <f>IF('Base Scores'!E76="","",MAX('Base Scores'!E76,'Stress Scores'!E76))</f>
        <v>40</v>
      </c>
      <c r="F76" s="35">
        <f>IF('Base Scores'!F76="","",MAX('Base Scores'!F76,'Stress Scores'!F76))</f>
        <v>53.33333333</v>
      </c>
      <c r="G76" s="35">
        <f>IF('Base Scores'!G76="","",MAX('Base Scores'!G76,'Stress Scores'!G76))</f>
        <v>8.333333333</v>
      </c>
      <c r="H76" s="35">
        <f>IF('Base Scores'!H76="","",MAX('Base Scores'!H76,'Stress Scores'!H76))</f>
        <v>8.333333333</v>
      </c>
      <c r="I76" s="35">
        <f>IF('Base Scores'!I76="","",MAX('Base Scores'!I76,'Stress Scores'!I76))</f>
        <v>0</v>
      </c>
      <c r="J76" s="35">
        <f>IF('Base Scores'!J76="","",MAX('Base Scores'!J76,'Stress Scores'!J76))</f>
        <v>40</v>
      </c>
      <c r="K76" s="35">
        <f>IF('Base Scores'!K76="","",MAX('Base Scores'!K76,'Stress Scores'!K76))</f>
        <v>0</v>
      </c>
      <c r="L76" s="35">
        <f>IF('Base Scores'!L76="","",MAX('Base Scores'!L76,'Stress Scores'!L76))</f>
        <v>16.66666667</v>
      </c>
      <c r="M76" s="35">
        <f>IF('Base Scores'!M76="","",MAX('Base Scores'!M76,'Stress Scores'!M76))</f>
        <v>53.33333333</v>
      </c>
      <c r="N76" s="35">
        <f>IF('Base Scores'!N76="","",MAX('Base Scores'!N76,'Stress Scores'!N76))</f>
        <v>90</v>
      </c>
      <c r="O76" s="35">
        <f>IF('Base Scores'!O76="","",MAX('Base Scores'!O76,'Stress Scores'!O76))</f>
        <v>0</v>
      </c>
      <c r="P76" s="35">
        <f>IF('Base Scores'!P76="","",MAX('Base Scores'!P76,'Stress Scores'!P76))</f>
        <v>8.333333333</v>
      </c>
      <c r="Q76" s="35">
        <f>IF('Base Scores'!Q76="","",MAX('Base Scores'!Q76,'Stress Scores'!Q76))</f>
        <v>30</v>
      </c>
      <c r="R76" s="35">
        <f>IF('Base Scores'!R76="","",MAX('Base Scores'!R76,'Stress Scores'!R76))</f>
        <v>8.333333333</v>
      </c>
      <c r="S76" s="35">
        <f>IF('Base Scores'!S76="","",MAX('Base Scores'!S76,'Stress Scores'!S76))</f>
        <v>16.66666667</v>
      </c>
      <c r="T76" s="35">
        <f>IF('Base Scores'!T76="","",MAX('Base Scores'!T76,'Stress Scores'!T76))</f>
        <v>16.66666667</v>
      </c>
      <c r="U76" s="35">
        <f>IF('Base Scores'!U76="","",MAX('Base Scores'!U76,'Stress Scores'!U76))</f>
        <v>40</v>
      </c>
      <c r="V76" s="35">
        <f>IF('Base Scores'!V76="","",MAX('Base Scores'!V76,'Stress Scores'!V76))</f>
        <v>50</v>
      </c>
    </row>
    <row r="77">
      <c r="A77" s="26" t="s">
        <v>779</v>
      </c>
      <c r="B77" s="26">
        <v>7.0</v>
      </c>
      <c r="C77" s="26" t="s">
        <v>780</v>
      </c>
      <c r="D77" s="26" t="s">
        <v>112</v>
      </c>
      <c r="E77" s="35">
        <f>IF('Base Scores'!E77="","",MAX('Base Scores'!E77,'Stress Scores'!E77))</f>
        <v>58.33333333</v>
      </c>
      <c r="F77" s="35">
        <f>IF('Base Scores'!F77="","",MAX('Base Scores'!F77,'Stress Scores'!F77))</f>
        <v>91.66666667</v>
      </c>
      <c r="G77" s="35">
        <f>IF('Base Scores'!G77="","",MAX('Base Scores'!G77,'Stress Scores'!G77))</f>
        <v>25</v>
      </c>
      <c r="H77" s="35">
        <f>IF('Base Scores'!H77="","",MAX('Base Scores'!H77,'Stress Scores'!H77))</f>
        <v>25</v>
      </c>
      <c r="I77" s="35">
        <f>IF('Base Scores'!I77="","",MAX('Base Scores'!I77,'Stress Scores'!I77))</f>
        <v>0</v>
      </c>
      <c r="J77" s="35">
        <f>IF('Base Scores'!J77="","",MAX('Base Scores'!J77,'Stress Scores'!J77))</f>
        <v>37.5</v>
      </c>
      <c r="K77" s="35">
        <f>IF('Base Scores'!K77="","",MAX('Base Scores'!K77,'Stress Scores'!K77))</f>
        <v>0</v>
      </c>
      <c r="L77" s="35">
        <f>IF('Base Scores'!L77="","",MAX('Base Scores'!L77,'Stress Scores'!L77))</f>
        <v>37.5</v>
      </c>
      <c r="M77" s="35">
        <f>IF('Base Scores'!M77="","",MAX('Base Scores'!M77,'Stress Scores'!M77))</f>
        <v>75</v>
      </c>
      <c r="N77" s="35">
        <f>IF('Base Scores'!N77="","",MAX('Base Scores'!N77,'Stress Scores'!N77))</f>
        <v>91.66666667</v>
      </c>
      <c r="O77" s="35">
        <f>IF('Base Scores'!O77="","",MAX('Base Scores'!O77,'Stress Scores'!O77))</f>
        <v>0</v>
      </c>
      <c r="P77" s="35">
        <f>IF('Base Scores'!P77="","",MAX('Base Scores'!P77,'Stress Scores'!P77))</f>
        <v>15</v>
      </c>
      <c r="Q77" s="35">
        <f>IF('Base Scores'!Q77="","",MAX('Base Scores'!Q77,'Stress Scores'!Q77))</f>
        <v>37.5</v>
      </c>
      <c r="R77" s="35">
        <f>IF('Base Scores'!R77="","",MAX('Base Scores'!R77,'Stress Scores'!R77))</f>
        <v>15</v>
      </c>
      <c r="S77" s="35">
        <f>IF('Base Scores'!S77="","",MAX('Base Scores'!S77,'Stress Scores'!S77))</f>
        <v>37.5</v>
      </c>
      <c r="T77" s="35">
        <f>IF('Base Scores'!T77="","",MAX('Base Scores'!T77,'Stress Scores'!T77))</f>
        <v>25</v>
      </c>
      <c r="U77" s="35">
        <f>IF('Base Scores'!U77="","",MAX('Base Scores'!U77,'Stress Scores'!U77))</f>
        <v>66.66666667</v>
      </c>
      <c r="V77" s="35">
        <f>IF('Base Scores'!V77="","",MAX('Base Scores'!V77,'Stress Scores'!V77))</f>
        <v>75</v>
      </c>
    </row>
    <row r="78">
      <c r="A78" s="26" t="s">
        <v>783</v>
      </c>
      <c r="B78" s="26">
        <v>7.0</v>
      </c>
      <c r="C78" s="26" t="s">
        <v>784</v>
      </c>
      <c r="D78" s="26" t="s">
        <v>112</v>
      </c>
      <c r="E78" s="35">
        <f>IF('Base Scores'!E78="","",MAX('Base Scores'!E78,'Stress Scores'!E78))</f>
        <v>25</v>
      </c>
      <c r="F78" s="35">
        <f>IF('Base Scores'!F78="","",MAX('Base Scores'!F78,'Stress Scores'!F78))</f>
        <v>25</v>
      </c>
      <c r="G78" s="35">
        <f>IF('Base Scores'!G78="","",MAX('Base Scores'!G78,'Stress Scores'!G78))</f>
        <v>0</v>
      </c>
      <c r="H78" s="35">
        <f>IF('Base Scores'!H78="","",MAX('Base Scores'!H78,'Stress Scores'!H78))</f>
        <v>12.5</v>
      </c>
      <c r="I78" s="35">
        <f>IF('Base Scores'!I78="","",MAX('Base Scores'!I78,'Stress Scores'!I78))</f>
        <v>0</v>
      </c>
      <c r="J78" s="35">
        <f>IF('Base Scores'!J78="","",MAX('Base Scores'!J78,'Stress Scores'!J78))</f>
        <v>0</v>
      </c>
      <c r="K78" s="35">
        <f>IF('Base Scores'!K78="","",MAX('Base Scores'!K78,'Stress Scores'!K78))</f>
        <v>0</v>
      </c>
      <c r="L78" s="35">
        <f>IF('Base Scores'!L78="","",MAX('Base Scores'!L78,'Stress Scores'!L78))</f>
        <v>12.5</v>
      </c>
      <c r="M78" s="35">
        <f>IF('Base Scores'!M78="","",MAX('Base Scores'!M78,'Stress Scores'!M78))</f>
        <v>33.33333333</v>
      </c>
      <c r="N78" s="35">
        <f>IF('Base Scores'!N78="","",MAX('Base Scores'!N78,'Stress Scores'!N78))</f>
        <v>75</v>
      </c>
      <c r="O78" s="35">
        <f>IF('Base Scores'!O78="","",MAX('Base Scores'!O78,'Stress Scores'!O78))</f>
        <v>41.66666667</v>
      </c>
      <c r="P78" s="35">
        <f>IF('Base Scores'!P78="","",MAX('Base Scores'!P78,'Stress Scores'!P78))</f>
        <v>58.33333333</v>
      </c>
      <c r="Q78" s="35">
        <f>IF('Base Scores'!Q78="","",MAX('Base Scores'!Q78,'Stress Scores'!Q78))</f>
        <v>12.5</v>
      </c>
      <c r="R78" s="35">
        <f>IF('Base Scores'!R78="","",MAX('Base Scores'!R78,'Stress Scores'!R78))</f>
        <v>0</v>
      </c>
      <c r="S78" s="35">
        <f>IF('Base Scores'!S78="","",MAX('Base Scores'!S78,'Stress Scores'!S78))</f>
        <v>12.5</v>
      </c>
      <c r="T78" s="35">
        <f>IF('Base Scores'!T78="","",MAX('Base Scores'!T78,'Stress Scores'!T78))</f>
        <v>25</v>
      </c>
      <c r="U78" s="35">
        <f>IF('Base Scores'!U78="","",MAX('Base Scores'!U78,'Stress Scores'!U78))</f>
        <v>41.66666667</v>
      </c>
      <c r="V78" s="35">
        <f>IF('Base Scores'!V78="","",MAX('Base Scores'!V78,'Stress Scores'!V78))</f>
        <v>50</v>
      </c>
    </row>
    <row r="79">
      <c r="A79" s="26" t="s">
        <v>786</v>
      </c>
      <c r="B79" s="26">
        <v>7.0</v>
      </c>
      <c r="C79" s="26" t="s">
        <v>787</v>
      </c>
      <c r="D79" s="26" t="s">
        <v>112</v>
      </c>
      <c r="E79" s="35">
        <f>IF('Base Scores'!E79="","",MAX('Base Scores'!E79,'Stress Scores'!E79))</f>
        <v>100</v>
      </c>
      <c r="F79" s="35">
        <f>IF('Base Scores'!F79="","",MAX('Base Scores'!F79,'Stress Scores'!F79))</f>
        <v>82.14285714</v>
      </c>
      <c r="G79" s="35">
        <f>IF('Base Scores'!G79="","",MAX('Base Scores'!G79,'Stress Scores'!G79))</f>
        <v>69.23076923</v>
      </c>
      <c r="H79" s="35">
        <f>IF('Base Scores'!H79="","",MAX('Base Scores'!H79,'Stress Scores'!H79))</f>
        <v>69.23076923</v>
      </c>
      <c r="I79" s="35">
        <f>IF('Base Scores'!I79="","",MAX('Base Scores'!I79,'Stress Scores'!I79))</f>
        <v>12.5</v>
      </c>
      <c r="J79" s="35">
        <f>IF('Base Scores'!J79="","",MAX('Base Scores'!J79,'Stress Scores'!J79))</f>
        <v>33.33333333</v>
      </c>
      <c r="K79" s="35">
        <f>IF('Base Scores'!K79="","",MAX('Base Scores'!K79,'Stress Scores'!K79))</f>
        <v>25</v>
      </c>
      <c r="L79" s="35">
        <f>IF('Base Scores'!L79="","",MAX('Base Scores'!L79,'Stress Scores'!L79))</f>
        <v>89.28571429</v>
      </c>
      <c r="M79" s="35">
        <f>IF('Base Scores'!M79="","",MAX('Base Scores'!M79,'Stress Scores'!M79))</f>
        <v>100</v>
      </c>
      <c r="N79" s="35">
        <f>IF('Base Scores'!N79="","",MAX('Base Scores'!N79,'Stress Scores'!N79))</f>
        <v>82.14285714</v>
      </c>
      <c r="O79" s="35">
        <f>IF('Base Scores'!O79="","",MAX('Base Scores'!O79,'Stress Scores'!O79))</f>
        <v>69.23076923</v>
      </c>
      <c r="P79" s="35">
        <f>IF('Base Scores'!P79="","",MAX('Base Scores'!P79,'Stress Scores'!P79))</f>
        <v>59.61538462</v>
      </c>
      <c r="Q79" s="35">
        <f>IF('Base Scores'!Q79="","",MAX('Base Scores'!Q79,'Stress Scores'!Q79))</f>
        <v>59.61538462</v>
      </c>
      <c r="R79" s="35">
        <f>IF('Base Scores'!R79="","",MAX('Base Scores'!R79,'Stress Scores'!R79))</f>
        <v>100</v>
      </c>
      <c r="S79" s="35">
        <f>IF('Base Scores'!S79="","",MAX('Base Scores'!S79,'Stress Scores'!S79))</f>
        <v>100</v>
      </c>
      <c r="T79" s="35">
        <f>IF('Base Scores'!T79="","",MAX('Base Scores'!T79,'Stress Scores'!T79))</f>
        <v>100</v>
      </c>
      <c r="U79" s="35">
        <f>IF('Base Scores'!U79="","",MAX('Base Scores'!U79,'Stress Scores'!U79))</f>
        <v>100</v>
      </c>
      <c r="V79" s="35">
        <f>IF('Base Scores'!V79="","",MAX('Base Scores'!V79,'Stress Scores'!V79))</f>
        <v>100</v>
      </c>
    </row>
    <row r="80">
      <c r="A80" s="26" t="s">
        <v>790</v>
      </c>
      <c r="B80" s="26">
        <v>7.0</v>
      </c>
      <c r="C80" s="26" t="s">
        <v>791</v>
      </c>
      <c r="D80" s="26" t="s">
        <v>254</v>
      </c>
      <c r="E80" s="35">
        <f>IF('Base Scores'!E80="","",MAX('Base Scores'!E80,'Stress Scores'!E80))</f>
        <v>75</v>
      </c>
      <c r="F80" s="35">
        <f>IF('Base Scores'!F80="","",MAX('Base Scores'!F80,'Stress Scores'!F80))</f>
        <v>25</v>
      </c>
      <c r="G80" s="35">
        <f>IF('Base Scores'!G80="","",MAX('Base Scores'!G80,'Stress Scores'!G80))</f>
        <v>50</v>
      </c>
      <c r="H80" s="35">
        <f>IF('Base Scores'!H80="","",MAX('Base Scores'!H80,'Stress Scores'!H80))</f>
        <v>50</v>
      </c>
      <c r="I80" s="35">
        <f>IF('Base Scores'!I80="","",MAX('Base Scores'!I80,'Stress Scores'!I80))</f>
        <v>0</v>
      </c>
      <c r="J80" s="35">
        <f>IF('Base Scores'!J80="","",MAX('Base Scores'!J80,'Stress Scores'!J80))</f>
        <v>25</v>
      </c>
      <c r="K80" s="35">
        <f>IF('Base Scores'!K80="","",MAX('Base Scores'!K80,'Stress Scores'!K80))</f>
        <v>25</v>
      </c>
      <c r="L80" s="35">
        <f>IF('Base Scores'!L80="","",MAX('Base Scores'!L80,'Stress Scores'!L80))</f>
        <v>50</v>
      </c>
      <c r="M80" s="35">
        <f>IF('Base Scores'!M80="","",MAX('Base Scores'!M80,'Stress Scores'!M80))</f>
        <v>75</v>
      </c>
      <c r="N80" s="35">
        <f>IF('Base Scores'!N80="","",MAX('Base Scores'!N80,'Stress Scores'!N80))</f>
        <v>25</v>
      </c>
      <c r="O80" s="35">
        <f>IF('Base Scores'!O80="","",MAX('Base Scores'!O80,'Stress Scores'!O80))</f>
        <v>75</v>
      </c>
      <c r="P80" s="35">
        <f>IF('Base Scores'!P80="","",MAX('Base Scores'!P80,'Stress Scores'!P80))</f>
        <v>75</v>
      </c>
      <c r="Q80" s="35">
        <f>IF('Base Scores'!Q80="","",MAX('Base Scores'!Q80,'Stress Scores'!Q80))</f>
        <v>25</v>
      </c>
      <c r="R80" s="35">
        <f>IF('Base Scores'!R80="","",MAX('Base Scores'!R80,'Stress Scores'!R80))</f>
        <v>100</v>
      </c>
      <c r="S80" s="35">
        <f>IF('Base Scores'!S80="","",MAX('Base Scores'!S80,'Stress Scores'!S80))</f>
        <v>75</v>
      </c>
      <c r="T80" s="35">
        <f>IF('Base Scores'!T80="","",MAX('Base Scores'!T80,'Stress Scores'!T80))</f>
        <v>50</v>
      </c>
      <c r="U80" s="35">
        <f>IF('Base Scores'!U80="","",MAX('Base Scores'!U80,'Stress Scores'!U80))</f>
        <v>75</v>
      </c>
      <c r="V80" s="35">
        <f>IF('Base Scores'!V80="","",MAX('Base Scores'!V80,'Stress Scores'!V80))</f>
        <v>75</v>
      </c>
    </row>
    <row r="81">
      <c r="A81" s="26" t="s">
        <v>794</v>
      </c>
      <c r="B81" s="26">
        <v>7.0</v>
      </c>
      <c r="C81" s="26" t="s">
        <v>795</v>
      </c>
      <c r="D81" s="26" t="s">
        <v>254</v>
      </c>
      <c r="E81" s="35" t="str">
        <f>IF('Base Scores'!E81="","",MAX('Base Scores'!E81,'Stress Scores'!E81))</f>
        <v/>
      </c>
      <c r="F81" s="35">
        <f>IF('Base Scores'!F81="","",MAX('Base Scores'!F81,'Stress Scores'!F81))</f>
        <v>50</v>
      </c>
      <c r="G81" s="35" t="str">
        <f>IF('Base Scores'!G81="","",MAX('Base Scores'!G81,'Stress Scores'!G81))</f>
        <v/>
      </c>
      <c r="H81" s="35" t="str">
        <f>IF('Base Scores'!H81="","",MAX('Base Scores'!H81,'Stress Scores'!H81))</f>
        <v/>
      </c>
      <c r="I81" s="35" t="str">
        <f>IF('Base Scores'!I81="","",MAX('Base Scores'!I81,'Stress Scores'!I81))</f>
        <v/>
      </c>
      <c r="J81" s="35" t="str">
        <f>IF('Base Scores'!J81="","",MAX('Base Scores'!J81,'Stress Scores'!J81))</f>
        <v/>
      </c>
      <c r="K81" s="35" t="str">
        <f>IF('Base Scores'!K81="","",MAX('Base Scores'!K81,'Stress Scores'!K81))</f>
        <v/>
      </c>
      <c r="L81" s="35" t="str">
        <f>IF('Base Scores'!L81="","",MAX('Base Scores'!L81,'Stress Scores'!L81))</f>
        <v/>
      </c>
      <c r="M81" s="35" t="str">
        <f>IF('Base Scores'!M81="","",MAX('Base Scores'!M81,'Stress Scores'!M81))</f>
        <v/>
      </c>
      <c r="N81" s="35">
        <f>IF('Base Scores'!N81="","",MAX('Base Scores'!N81,'Stress Scores'!N81))</f>
        <v>50</v>
      </c>
      <c r="O81" s="35" t="str">
        <f>IF('Base Scores'!O81="","",MAX('Base Scores'!O81,'Stress Scores'!O81))</f>
        <v/>
      </c>
      <c r="P81" s="35" t="str">
        <f>IF('Base Scores'!P81="","",MAX('Base Scores'!P81,'Stress Scores'!P81))</f>
        <v/>
      </c>
      <c r="Q81" s="35">
        <f>IF('Base Scores'!Q81="","",MAX('Base Scores'!Q81,'Stress Scores'!Q81))</f>
        <v>25</v>
      </c>
      <c r="R81" s="35" t="str">
        <f>IF('Base Scores'!R81="","",MAX('Base Scores'!R81,'Stress Scores'!R81))</f>
        <v/>
      </c>
      <c r="S81" s="35" t="str">
        <f>IF('Base Scores'!S81="","",MAX('Base Scores'!S81,'Stress Scores'!S81))</f>
        <v/>
      </c>
      <c r="T81" s="35">
        <f>IF('Base Scores'!T81="","",MAX('Base Scores'!T81,'Stress Scores'!T81))</f>
        <v>75</v>
      </c>
      <c r="U81" s="35" t="str">
        <f>IF('Base Scores'!U81="","",MAX('Base Scores'!U81,'Stress Scores'!U81))</f>
        <v/>
      </c>
      <c r="V81" s="35" t="str">
        <f>IF('Base Scores'!V81="","",MAX('Base Scores'!V81,'Stress Scores'!V81))</f>
        <v/>
      </c>
    </row>
    <row r="82">
      <c r="A82" s="26" t="s">
        <v>798</v>
      </c>
      <c r="B82" s="26">
        <v>7.0</v>
      </c>
      <c r="C82" s="26" t="s">
        <v>799</v>
      </c>
      <c r="D82" s="26" t="s">
        <v>112</v>
      </c>
      <c r="E82" s="35">
        <f>IF('Base Scores'!E82="","",MAX('Base Scores'!E82,'Stress Scores'!E82))</f>
        <v>75</v>
      </c>
      <c r="F82" s="35">
        <f>IF('Base Scores'!F82="","",MAX('Base Scores'!F82,'Stress Scores'!F82))</f>
        <v>58.33333333</v>
      </c>
      <c r="G82" s="35">
        <f>IF('Base Scores'!G82="","",MAX('Base Scores'!G82,'Stress Scores'!G82))</f>
        <v>25</v>
      </c>
      <c r="H82" s="35">
        <f>IF('Base Scores'!H82="","",MAX('Base Scores'!H82,'Stress Scores'!H82))</f>
        <v>37.5</v>
      </c>
      <c r="I82" s="35">
        <f>IF('Base Scores'!I82="","",MAX('Base Scores'!I82,'Stress Scores'!I82))</f>
        <v>66.66666667</v>
      </c>
      <c r="J82" s="35">
        <f>IF('Base Scores'!J82="","",MAX('Base Scores'!J82,'Stress Scores'!J82))</f>
        <v>37.5</v>
      </c>
      <c r="K82" s="35">
        <f>IF('Base Scores'!K82="","",MAX('Base Scores'!K82,'Stress Scores'!K82))</f>
        <v>0</v>
      </c>
      <c r="L82" s="35">
        <f>IF('Base Scores'!L82="","",MAX('Base Scores'!L82,'Stress Scores'!L82))</f>
        <v>0</v>
      </c>
      <c r="M82" s="35">
        <f>IF('Base Scores'!M82="","",MAX('Base Scores'!M82,'Stress Scores'!M82))</f>
        <v>25</v>
      </c>
      <c r="N82" s="35">
        <f>IF('Base Scores'!N82="","",MAX('Base Scores'!N82,'Stress Scores'!N82))</f>
        <v>91.66666667</v>
      </c>
      <c r="O82" s="35">
        <f>IF('Base Scores'!O82="","",MAX('Base Scores'!O82,'Stress Scores'!O82))</f>
        <v>0</v>
      </c>
      <c r="P82" s="35">
        <f>IF('Base Scores'!P82="","",MAX('Base Scores'!P82,'Stress Scores'!P82))</f>
        <v>0</v>
      </c>
      <c r="Q82" s="35">
        <f>IF('Base Scores'!Q82="","",MAX('Base Scores'!Q82,'Stress Scores'!Q82))</f>
        <v>0</v>
      </c>
      <c r="R82" s="35">
        <f>IF('Base Scores'!R82="","",MAX('Base Scores'!R82,'Stress Scores'!R82))</f>
        <v>0</v>
      </c>
      <c r="S82" s="35">
        <f>IF('Base Scores'!S82="","",MAX('Base Scores'!S82,'Stress Scores'!S82))</f>
        <v>25</v>
      </c>
      <c r="T82" s="35">
        <f>IF('Base Scores'!T82="","",MAX('Base Scores'!T82,'Stress Scores'!T82))</f>
        <v>58.33333333</v>
      </c>
      <c r="U82" s="35">
        <f>IF('Base Scores'!U82="","",MAX('Base Scores'!U82,'Stress Scores'!U82))</f>
        <v>0</v>
      </c>
      <c r="V82" s="35">
        <f>IF('Base Scores'!V82="","",MAX('Base Scores'!V82,'Stress Scores'!V82))</f>
        <v>0</v>
      </c>
    </row>
    <row r="83">
      <c r="A83" s="26" t="s">
        <v>802</v>
      </c>
      <c r="B83" s="26">
        <v>7.0</v>
      </c>
      <c r="C83" s="26" t="s">
        <v>803</v>
      </c>
      <c r="D83" s="26" t="s">
        <v>254</v>
      </c>
      <c r="E83" s="35">
        <f>IF('Base Scores'!E83="","",MAX('Base Scores'!E83,'Stress Scores'!E83))</f>
        <v>0</v>
      </c>
      <c r="F83" s="35">
        <f>IF('Base Scores'!F83="","",MAX('Base Scores'!F83,'Stress Scores'!F83))</f>
        <v>0</v>
      </c>
      <c r="G83" s="35">
        <f>IF('Base Scores'!G83="","",MAX('Base Scores'!G83,'Stress Scores'!G83))</f>
        <v>0</v>
      </c>
      <c r="H83" s="35">
        <f>IF('Base Scores'!H83="","",MAX('Base Scores'!H83,'Stress Scores'!H83))</f>
        <v>0</v>
      </c>
      <c r="I83" s="35">
        <f>IF('Base Scores'!I83="","",MAX('Base Scores'!I83,'Stress Scores'!I83))</f>
        <v>0</v>
      </c>
      <c r="J83" s="35">
        <f>IF('Base Scores'!J83="","",MAX('Base Scores'!J83,'Stress Scores'!J83))</f>
        <v>0</v>
      </c>
      <c r="K83" s="35">
        <f>IF('Base Scores'!K83="","",MAX('Base Scores'!K83,'Stress Scores'!K83))</f>
        <v>0</v>
      </c>
      <c r="L83" s="35">
        <f>IF('Base Scores'!L83="","",MAX('Base Scores'!L83,'Stress Scores'!L83))</f>
        <v>25</v>
      </c>
      <c r="M83" s="35">
        <f>IF('Base Scores'!M83="","",MAX('Base Scores'!M83,'Stress Scores'!M83))</f>
        <v>25</v>
      </c>
      <c r="N83" s="35">
        <f>IF('Base Scores'!N83="","",MAX('Base Scores'!N83,'Stress Scores'!N83))</f>
        <v>0</v>
      </c>
      <c r="O83" s="35">
        <f>IF('Base Scores'!O83="","",MAX('Base Scores'!O83,'Stress Scores'!O83))</f>
        <v>25</v>
      </c>
      <c r="P83" s="35">
        <f>IF('Base Scores'!P83="","",MAX('Base Scores'!P83,'Stress Scores'!P83))</f>
        <v>0</v>
      </c>
      <c r="Q83" s="35">
        <f>IF('Base Scores'!Q83="","",MAX('Base Scores'!Q83,'Stress Scores'!Q83))</f>
        <v>25</v>
      </c>
      <c r="R83" s="35">
        <f>IF('Base Scores'!R83="","",MAX('Base Scores'!R83,'Stress Scores'!R83))</f>
        <v>0</v>
      </c>
      <c r="S83" s="35">
        <f>IF('Base Scores'!S83="","",MAX('Base Scores'!S83,'Stress Scores'!S83))</f>
        <v>75</v>
      </c>
      <c r="T83" s="35">
        <f>IF('Base Scores'!T83="","",MAX('Base Scores'!T83,'Stress Scores'!T83))</f>
        <v>25</v>
      </c>
      <c r="U83" s="35">
        <f>IF('Base Scores'!U83="","",MAX('Base Scores'!U83,'Stress Scores'!U83))</f>
        <v>25</v>
      </c>
      <c r="V83" s="35">
        <f>IF('Base Scores'!V83="","",MAX('Base Scores'!V83,'Stress Scores'!V83))</f>
        <v>25</v>
      </c>
    </row>
    <row r="84">
      <c r="A84" s="26" t="s">
        <v>807</v>
      </c>
      <c r="B84" s="26">
        <v>7.0</v>
      </c>
      <c r="C84" s="26" t="s">
        <v>808</v>
      </c>
      <c r="D84" s="26" t="s">
        <v>112</v>
      </c>
      <c r="E84" s="35">
        <f>IF('Base Scores'!E84="","",MAX('Base Scores'!E84,'Stress Scores'!E84))</f>
        <v>0</v>
      </c>
      <c r="F84" s="35">
        <f>IF('Base Scores'!F84="","",MAX('Base Scores'!F84,'Stress Scores'!F84))</f>
        <v>0</v>
      </c>
      <c r="G84" s="35">
        <f>IF('Base Scores'!G84="","",MAX('Base Scores'!G84,'Stress Scores'!G84))</f>
        <v>0</v>
      </c>
      <c r="H84" s="35">
        <f>IF('Base Scores'!H84="","",MAX('Base Scores'!H84,'Stress Scores'!H84))</f>
        <v>33.33333333</v>
      </c>
      <c r="I84" s="35">
        <f>IF('Base Scores'!I84="","",MAX('Base Scores'!I84,'Stress Scores'!I84))</f>
        <v>25</v>
      </c>
      <c r="J84" s="35">
        <f>IF('Base Scores'!J84="","",MAX('Base Scores'!J84,'Stress Scores'!J84))</f>
        <v>0</v>
      </c>
      <c r="K84" s="35">
        <f>IF('Base Scores'!K84="","",MAX('Base Scores'!K84,'Stress Scores'!K84))</f>
        <v>12.5</v>
      </c>
      <c r="L84" s="35">
        <f>IF('Base Scores'!L84="","",MAX('Base Scores'!L84,'Stress Scores'!L84))</f>
        <v>17.5</v>
      </c>
      <c r="M84" s="35">
        <f>IF('Base Scores'!M84="","",MAX('Base Scores'!M84,'Stress Scores'!M84))</f>
        <v>0</v>
      </c>
      <c r="N84" s="35">
        <f>IF('Base Scores'!N84="","",MAX('Base Scores'!N84,'Stress Scores'!N84))</f>
        <v>0</v>
      </c>
      <c r="O84" s="35">
        <f>IF('Base Scores'!O84="","",MAX('Base Scores'!O84,'Stress Scores'!O84))</f>
        <v>25</v>
      </c>
      <c r="P84" s="35">
        <f>IF('Base Scores'!P84="","",MAX('Base Scores'!P84,'Stress Scores'!P84))</f>
        <v>12.5</v>
      </c>
      <c r="Q84" s="35">
        <f>IF('Base Scores'!Q84="","",MAX('Base Scores'!Q84,'Stress Scores'!Q84))</f>
        <v>75</v>
      </c>
      <c r="R84" s="35">
        <f>IF('Base Scores'!R84="","",MAX('Base Scores'!R84,'Stress Scores'!R84))</f>
        <v>100</v>
      </c>
      <c r="S84" s="35">
        <f>IF('Base Scores'!S84="","",MAX('Base Scores'!S84,'Stress Scores'!S84))</f>
        <v>100</v>
      </c>
      <c r="T84" s="35">
        <f>IF('Base Scores'!T84="","",MAX('Base Scores'!T84,'Stress Scores'!T84))</f>
        <v>33.33333333</v>
      </c>
      <c r="U84" s="35">
        <f>IF('Base Scores'!U84="","",MAX('Base Scores'!U84,'Stress Scores'!U84))</f>
        <v>0</v>
      </c>
      <c r="V84" s="35">
        <f>IF('Base Scores'!V84="","",MAX('Base Scores'!V84,'Stress Scores'!V84))</f>
        <v>0</v>
      </c>
    </row>
    <row r="85">
      <c r="A85" s="26" t="s">
        <v>811</v>
      </c>
      <c r="B85" s="26">
        <v>7.0</v>
      </c>
      <c r="C85" s="26" t="s">
        <v>812</v>
      </c>
      <c r="D85" s="26" t="s">
        <v>813</v>
      </c>
      <c r="E85" s="35">
        <f>IF('Base Scores'!E85="","",MAX('Base Scores'!E85,'Stress Scores'!E85))</f>
        <v>30</v>
      </c>
      <c r="F85" s="35">
        <f>IF('Base Scores'!F85="","",MAX('Base Scores'!F85,'Stress Scores'!F85))</f>
        <v>50</v>
      </c>
      <c r="G85" s="35">
        <f>IF('Base Scores'!G85="","",MAX('Base Scores'!G85,'Stress Scores'!G85))</f>
        <v>5</v>
      </c>
      <c r="H85" s="35">
        <f>IF('Base Scores'!H85="","",MAX('Base Scores'!H85,'Stress Scores'!H85))</f>
        <v>10</v>
      </c>
      <c r="I85" s="35">
        <f>IF('Base Scores'!I85="","",MAX('Base Scores'!I85,'Stress Scores'!I85))</f>
        <v>0</v>
      </c>
      <c r="J85" s="35">
        <f>IF('Base Scores'!J85="","",MAX('Base Scores'!J85,'Stress Scores'!J85))</f>
        <v>0</v>
      </c>
      <c r="K85" s="35">
        <f>IF('Base Scores'!K85="","",MAX('Base Scores'!K85,'Stress Scores'!K85))</f>
        <v>0</v>
      </c>
      <c r="L85" s="35">
        <f>IF('Base Scores'!L85="","",MAX('Base Scores'!L85,'Stress Scores'!L85))</f>
        <v>60.71428571</v>
      </c>
      <c r="M85" s="35">
        <f>IF('Base Scores'!M85="","",MAX('Base Scores'!M85,'Stress Scores'!M85))</f>
        <v>67.85714286</v>
      </c>
      <c r="N85" s="35">
        <f>IF('Base Scores'!N85="","",MAX('Base Scores'!N85,'Stress Scores'!N85))</f>
        <v>50</v>
      </c>
      <c r="O85" s="35">
        <f>IF('Base Scores'!O85="","",MAX('Base Scores'!O85,'Stress Scores'!O85))</f>
        <v>15</v>
      </c>
      <c r="P85" s="35">
        <f>IF('Base Scores'!P85="","",MAX('Base Scores'!P85,'Stress Scores'!P85))</f>
        <v>5</v>
      </c>
      <c r="Q85" s="35">
        <f>IF('Base Scores'!Q85="","",MAX('Base Scores'!Q85,'Stress Scores'!Q85))</f>
        <v>20</v>
      </c>
      <c r="R85" s="35">
        <f>IF('Base Scores'!R85="","",MAX('Base Scores'!R85,'Stress Scores'!R85))</f>
        <v>35</v>
      </c>
      <c r="S85" s="35">
        <f>IF('Base Scores'!S85="","",MAX('Base Scores'!S85,'Stress Scores'!S85))</f>
        <v>79.16666667</v>
      </c>
      <c r="T85" s="35">
        <f>IF('Base Scores'!T85="","",MAX('Base Scores'!T85,'Stress Scores'!T85))</f>
        <v>75</v>
      </c>
      <c r="U85" s="35">
        <f>IF('Base Scores'!U85="","",MAX('Base Scores'!U85,'Stress Scores'!U85))</f>
        <v>79.16666667</v>
      </c>
      <c r="V85" s="35">
        <f>IF('Base Scores'!V85="","",MAX('Base Scores'!V85,'Stress Scores'!V85))</f>
        <v>75</v>
      </c>
    </row>
    <row r="86">
      <c r="A86" s="26" t="s">
        <v>816</v>
      </c>
      <c r="B86" s="26">
        <v>7.0</v>
      </c>
      <c r="C86" s="26" t="s">
        <v>817</v>
      </c>
      <c r="D86" s="26" t="s">
        <v>254</v>
      </c>
      <c r="E86" s="35">
        <f>IF('Base Scores'!E86="","",MAX('Base Scores'!E86,'Stress Scores'!E86))</f>
        <v>25</v>
      </c>
      <c r="F86" s="35">
        <f>IF('Base Scores'!F86="","",MAX('Base Scores'!F86,'Stress Scores'!F86))</f>
        <v>25</v>
      </c>
      <c r="G86" s="35">
        <f>IF('Base Scores'!G86="","",MAX('Base Scores'!G86,'Stress Scores'!G86))</f>
        <v>75</v>
      </c>
      <c r="H86" s="35">
        <f>IF('Base Scores'!H86="","",MAX('Base Scores'!H86,'Stress Scores'!H86))</f>
        <v>0</v>
      </c>
      <c r="I86" s="35">
        <f>IF('Base Scores'!I86="","",MAX('Base Scores'!I86,'Stress Scores'!I86))</f>
        <v>100</v>
      </c>
      <c r="J86" s="35">
        <f>IF('Base Scores'!J86="","",MAX('Base Scores'!J86,'Stress Scores'!J86))</f>
        <v>50</v>
      </c>
      <c r="K86" s="35">
        <f>IF('Base Scores'!K86="","",MAX('Base Scores'!K86,'Stress Scores'!K86))</f>
        <v>50</v>
      </c>
      <c r="L86" s="35">
        <f>IF('Base Scores'!L86="","",MAX('Base Scores'!L86,'Stress Scores'!L86))</f>
        <v>100</v>
      </c>
      <c r="M86" s="35">
        <f>IF('Base Scores'!M86="","",MAX('Base Scores'!M86,'Stress Scores'!M86))</f>
        <v>100</v>
      </c>
      <c r="N86" s="35">
        <f>IF('Base Scores'!N86="","",MAX('Base Scores'!N86,'Stress Scores'!N86))</f>
        <v>0</v>
      </c>
      <c r="O86" s="35">
        <f>IF('Base Scores'!O86="","",MAX('Base Scores'!O86,'Stress Scores'!O86))</f>
        <v>0</v>
      </c>
      <c r="P86" s="35">
        <f>IF('Base Scores'!P86="","",MAX('Base Scores'!P86,'Stress Scores'!P86))</f>
        <v>25</v>
      </c>
      <c r="Q86" s="35">
        <f>IF('Base Scores'!Q86="","",MAX('Base Scores'!Q86,'Stress Scores'!Q86))</f>
        <v>0</v>
      </c>
      <c r="R86" s="35">
        <f>IF('Base Scores'!R86="","",MAX('Base Scores'!R86,'Stress Scores'!R86))</f>
        <v>25</v>
      </c>
      <c r="S86" s="35">
        <f>IF('Base Scores'!S86="","",MAX('Base Scores'!S86,'Stress Scores'!S86))</f>
        <v>25</v>
      </c>
      <c r="T86" s="35">
        <f>IF('Base Scores'!T86="","",MAX('Base Scores'!T86,'Stress Scores'!T86))</f>
        <v>50</v>
      </c>
      <c r="U86" s="35">
        <f>IF('Base Scores'!U86="","",MAX('Base Scores'!U86,'Stress Scores'!U86))</f>
        <v>0</v>
      </c>
      <c r="V86" s="35">
        <f>IF('Base Scores'!V86="","",MAX('Base Scores'!V86,'Stress Scores'!V86))</f>
        <v>50</v>
      </c>
    </row>
    <row r="87">
      <c r="A87" s="26" t="s">
        <v>821</v>
      </c>
      <c r="B87" s="26">
        <v>7.0</v>
      </c>
      <c r="C87" s="26" t="s">
        <v>822</v>
      </c>
      <c r="D87" s="26" t="s">
        <v>823</v>
      </c>
      <c r="E87" s="35">
        <f>IF('Base Scores'!E87="","",MAX('Base Scores'!E87,'Stress Scores'!E87))</f>
        <v>0</v>
      </c>
      <c r="F87" s="35">
        <f>IF('Base Scores'!F87="","",MAX('Base Scores'!F87,'Stress Scores'!F87))</f>
        <v>0</v>
      </c>
      <c r="G87" s="35">
        <f>IF('Base Scores'!G87="","",MAX('Base Scores'!G87,'Stress Scores'!G87))</f>
        <v>0</v>
      </c>
      <c r="H87" s="35">
        <f>IF('Base Scores'!H87="","",MAX('Base Scores'!H87,'Stress Scores'!H87))</f>
        <v>0</v>
      </c>
      <c r="I87" s="35">
        <f>IF('Base Scores'!I87="","",MAX('Base Scores'!I87,'Stress Scores'!I87))</f>
        <v>0</v>
      </c>
      <c r="J87" s="35">
        <f>IF('Base Scores'!J87="","",MAX('Base Scores'!J87,'Stress Scores'!J87))</f>
        <v>25</v>
      </c>
      <c r="K87" s="35">
        <f>IF('Base Scores'!K87="","",MAX('Base Scores'!K87,'Stress Scores'!K87))</f>
        <v>0</v>
      </c>
      <c r="L87" s="35">
        <f>IF('Base Scores'!L87="","",MAX('Base Scores'!L87,'Stress Scores'!L87))</f>
        <v>0</v>
      </c>
      <c r="M87" s="35">
        <f>IF('Base Scores'!M87="","",MAX('Base Scores'!M87,'Stress Scores'!M87))</f>
        <v>25</v>
      </c>
      <c r="N87" s="35">
        <f>IF('Base Scores'!N87="","",MAX('Base Scores'!N87,'Stress Scores'!N87))</f>
        <v>25</v>
      </c>
      <c r="O87" s="35">
        <f>IF('Base Scores'!O87="","",MAX('Base Scores'!O87,'Stress Scores'!O87))</f>
        <v>0</v>
      </c>
      <c r="P87" s="35">
        <f>IF('Base Scores'!P87="","",MAX('Base Scores'!P87,'Stress Scores'!P87))</f>
        <v>0</v>
      </c>
      <c r="Q87" s="35">
        <f>IF('Base Scores'!Q87="","",MAX('Base Scores'!Q87,'Stress Scores'!Q87))</f>
        <v>0</v>
      </c>
      <c r="R87" s="35">
        <f>IF('Base Scores'!R87="","",MAX('Base Scores'!R87,'Stress Scores'!R87))</f>
        <v>100</v>
      </c>
      <c r="S87" s="35">
        <f>IF('Base Scores'!S87="","",MAX('Base Scores'!S87,'Stress Scores'!S87))</f>
        <v>0</v>
      </c>
      <c r="T87" s="35">
        <f>IF('Base Scores'!T87="","",MAX('Base Scores'!T87,'Stress Scores'!T87))</f>
        <v>0</v>
      </c>
      <c r="U87" s="35">
        <f>IF('Base Scores'!U87="","",MAX('Base Scores'!U87,'Stress Scores'!U87))</f>
        <v>25</v>
      </c>
      <c r="V87" s="35">
        <f>IF('Base Scores'!V87="","",MAX('Base Scores'!V87,'Stress Scores'!V87))</f>
        <v>50</v>
      </c>
    </row>
  </sheetData>
  <conditionalFormatting sqref="E5:V87">
    <cfRule type="colorScale" priority="1">
      <colorScale>
        <cfvo type="formula" val="0"/>
        <cfvo type="formula" val="50"/>
        <cfvo type="formula" val="100"/>
        <color rgb="FF56BA89"/>
        <color rgb="FFFFD566"/>
        <color rgb="FFE67B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21.38"/>
    <col customWidth="1" min="2" max="2" width="7.63"/>
    <col customWidth="1" min="3" max="3" width="37.63"/>
    <col customWidth="1" min="4" max="4" width="32.63"/>
    <col customWidth="1" min="5" max="22" width="11.63"/>
  </cols>
  <sheetData>
    <row r="1">
      <c r="A1" s="2" t="s">
        <v>851</v>
      </c>
    </row>
    <row r="2">
      <c r="A2" s="5" t="s">
        <v>852</v>
      </c>
    </row>
    <row r="4">
      <c r="A4" s="20" t="s">
        <v>853</v>
      </c>
      <c r="B4" s="20" t="s">
        <v>43</v>
      </c>
      <c r="C4" s="20" t="s">
        <v>854</v>
      </c>
      <c r="D4" s="20" t="s">
        <v>855</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7" t="s">
        <v>856</v>
      </c>
      <c r="B5" s="3">
        <v>1.0</v>
      </c>
      <c r="C5" s="7" t="s">
        <v>51</v>
      </c>
      <c r="D5" s="7" t="s">
        <v>857</v>
      </c>
      <c r="E5" s="26">
        <f>MIN(IF($B5=7,Assumptions!$B$8,Assumptions!$B$7),E29+IF($B5=3,E$37,0))</f>
        <v>0</v>
      </c>
      <c r="F5" s="26">
        <f>MIN(IF($B5=7,Assumptions!$B$8,Assumptions!$B$7),F29+IF($B5=3,F$37,0))</f>
        <v>0</v>
      </c>
      <c r="G5" s="26">
        <f>MIN(IF($B5=7,Assumptions!$B$8,Assumptions!$B$7),G29+IF($B5=3,G$37,0))</f>
        <v>0</v>
      </c>
      <c r="H5" s="26">
        <f>MIN(IF($B5=7,Assumptions!$B$8,Assumptions!$B$7),H29+IF($B5=3,H$37,0))</f>
        <v>0</v>
      </c>
      <c r="I5" s="26">
        <f>MIN(IF($B5=7,Assumptions!$B$8,Assumptions!$B$7),I29+IF($B5=3,I$37,0))</f>
        <v>0</v>
      </c>
      <c r="J5" s="26">
        <f>MIN(IF($B5=7,Assumptions!$B$8,Assumptions!$B$7),J29+IF($B5=3,J$37,0))</f>
        <v>0</v>
      </c>
      <c r="K5" s="26">
        <f>MIN(IF($B5=7,Assumptions!$B$8,Assumptions!$B$7),K29+IF($B5=3,K$37,0))</f>
        <v>0</v>
      </c>
      <c r="L5" s="26">
        <f>MIN(IF($B5=7,Assumptions!$B$8,Assumptions!$B$7),L29+IF($B5=3,L$37,0))</f>
        <v>0</v>
      </c>
      <c r="M5" s="26">
        <f>MIN(IF($B5=7,Assumptions!$B$8,Assumptions!$B$7),M29+IF($B5=3,M$37,0))</f>
        <v>0</v>
      </c>
      <c r="N5" s="26">
        <f>MIN(IF($B5=7,Assumptions!$B$8,Assumptions!$B$7),N29+IF($B5=3,N$37,0))</f>
        <v>0</v>
      </c>
      <c r="O5" s="26">
        <f>MIN(IF($B5=7,Assumptions!$B$8,Assumptions!$B$7),O29+IF($B5=3,O$37,0))</f>
        <v>0</v>
      </c>
      <c r="P5" s="26">
        <f>MIN(IF($B5=7,Assumptions!$B$8,Assumptions!$B$7),P29+IF($B5=3,P$37,0))</f>
        <v>0</v>
      </c>
      <c r="Q5" s="26">
        <f>MIN(IF($B5=7,Assumptions!$B$8,Assumptions!$B$7),Q29+IF($B5=3,Q$37,0))</f>
        <v>0</v>
      </c>
      <c r="R5" s="26">
        <f>MIN(IF($B5=7,Assumptions!$B$8,Assumptions!$B$7),R29+IF($B5=3,R$37,0))</f>
        <v>0</v>
      </c>
      <c r="S5" s="26">
        <f>MIN(IF($B5=7,Assumptions!$B$8,Assumptions!$B$7),S29+IF($B5=3,S$37,0))</f>
        <v>0</v>
      </c>
      <c r="T5" s="26">
        <f>MIN(IF($B5=7,Assumptions!$B$8,Assumptions!$B$7),T29+IF($B5=3,T$37,0))</f>
        <v>0</v>
      </c>
      <c r="U5" s="26">
        <f>MIN(IF($B5=7,Assumptions!$B$8,Assumptions!$B$7),U29+IF($B5=3,U$37,0))</f>
        <v>0</v>
      </c>
      <c r="V5" s="26">
        <f>MIN(IF($B5=7,Assumptions!$B$8,Assumptions!$B$7),V29+IF($B5=3,V$37,0))</f>
        <v>0</v>
      </c>
    </row>
    <row r="6">
      <c r="A6" s="7" t="s">
        <v>856</v>
      </c>
      <c r="B6" s="3">
        <v>2.0</v>
      </c>
      <c r="C6" s="7" t="s">
        <v>99</v>
      </c>
      <c r="D6" s="7" t="s">
        <v>857</v>
      </c>
      <c r="E6" s="26">
        <f>MIN(IF($B6=7,Assumptions!$B$8,Assumptions!$B$7),E30+IF($B6=3,E$37,0))</f>
        <v>0</v>
      </c>
      <c r="F6" s="26">
        <f>MIN(IF($B6=7,Assumptions!$B$8,Assumptions!$B$7),F30+IF($B6=3,F$37,0))</f>
        <v>0</v>
      </c>
      <c r="G6" s="26">
        <f>MIN(IF($B6=7,Assumptions!$B$8,Assumptions!$B$7),G30+IF($B6=3,G$37,0))</f>
        <v>0</v>
      </c>
      <c r="H6" s="26">
        <f>MIN(IF($B6=7,Assumptions!$B$8,Assumptions!$B$7),H30+IF($B6=3,H$37,0))</f>
        <v>0</v>
      </c>
      <c r="I6" s="26">
        <f>MIN(IF($B6=7,Assumptions!$B$8,Assumptions!$B$7),I30+IF($B6=3,I$37,0))</f>
        <v>0</v>
      </c>
      <c r="J6" s="26">
        <f>MIN(IF($B6=7,Assumptions!$B$8,Assumptions!$B$7),J30+IF($B6=3,J$37,0))</f>
        <v>0</v>
      </c>
      <c r="K6" s="26">
        <f>MIN(IF($B6=7,Assumptions!$B$8,Assumptions!$B$7),K30+IF($B6=3,K$37,0))</f>
        <v>0</v>
      </c>
      <c r="L6" s="26">
        <f>MIN(IF($B6=7,Assumptions!$B$8,Assumptions!$B$7),L30+IF($B6=3,L$37,0))</f>
        <v>0</v>
      </c>
      <c r="M6" s="26">
        <f>MIN(IF($B6=7,Assumptions!$B$8,Assumptions!$B$7),M30+IF($B6=3,M$37,0))</f>
        <v>0</v>
      </c>
      <c r="N6" s="26">
        <f>MIN(IF($B6=7,Assumptions!$B$8,Assumptions!$B$7),N30+IF($B6=3,N$37,0))</f>
        <v>0</v>
      </c>
      <c r="O6" s="26">
        <f>MIN(IF($B6=7,Assumptions!$B$8,Assumptions!$B$7),O30+IF($B6=3,O$37,0))</f>
        <v>0</v>
      </c>
      <c r="P6" s="26">
        <f>MIN(IF($B6=7,Assumptions!$B$8,Assumptions!$B$7),P30+IF($B6=3,P$37,0))</f>
        <v>0</v>
      </c>
      <c r="Q6" s="26">
        <f>MIN(IF($B6=7,Assumptions!$B$8,Assumptions!$B$7),Q30+IF($B6=3,Q$37,0))</f>
        <v>0</v>
      </c>
      <c r="R6" s="26">
        <f>MIN(IF($B6=7,Assumptions!$B$8,Assumptions!$B$7),R30+IF($B6=3,R$37,0))</f>
        <v>0</v>
      </c>
      <c r="S6" s="26">
        <f>MIN(IF($B6=7,Assumptions!$B$8,Assumptions!$B$7),S30+IF($B6=3,S$37,0))</f>
        <v>0</v>
      </c>
      <c r="T6" s="26">
        <f>MIN(IF($B6=7,Assumptions!$B$8,Assumptions!$B$7),T30+IF($B6=3,T$37,0))</f>
        <v>0</v>
      </c>
      <c r="U6" s="26">
        <f>MIN(IF($B6=7,Assumptions!$B$8,Assumptions!$B$7),U30+IF($B6=3,U$37,0))</f>
        <v>0</v>
      </c>
      <c r="V6" s="26">
        <f>MIN(IF($B6=7,Assumptions!$B$8,Assumptions!$B$7),V30+IF($B6=3,V$37,0))</f>
        <v>0</v>
      </c>
    </row>
    <row r="7">
      <c r="A7" s="7" t="s">
        <v>856</v>
      </c>
      <c r="B7" s="3">
        <v>3.0</v>
      </c>
      <c r="C7" s="7" t="s">
        <v>101</v>
      </c>
      <c r="D7" s="7" t="s">
        <v>857</v>
      </c>
      <c r="E7" s="26">
        <f>MIN(IF($B7=7,Assumptions!$B$8,Assumptions!$B$7),E31+IF($B7=3,E$37,0))</f>
        <v>0</v>
      </c>
      <c r="F7" s="26">
        <f>MIN(IF($B7=7,Assumptions!$B$8,Assumptions!$B$7),F31+IF($B7=3,F$37,0))</f>
        <v>0</v>
      </c>
      <c r="G7" s="26">
        <f>MIN(IF($B7=7,Assumptions!$B$8,Assumptions!$B$7),G31+IF($B7=3,G$37,0))</f>
        <v>0</v>
      </c>
      <c r="H7" s="26">
        <f>MIN(IF($B7=7,Assumptions!$B$8,Assumptions!$B$7),H31+IF($B7=3,H$37,0))</f>
        <v>0</v>
      </c>
      <c r="I7" s="26">
        <f>MIN(IF($B7=7,Assumptions!$B$8,Assumptions!$B$7),I31+IF($B7=3,I$37,0))</f>
        <v>0</v>
      </c>
      <c r="J7" s="26">
        <f>MIN(IF($B7=7,Assumptions!$B$8,Assumptions!$B$7),J31+IF($B7=3,J$37,0))</f>
        <v>0</v>
      </c>
      <c r="K7" s="26">
        <f>MIN(IF($B7=7,Assumptions!$B$8,Assumptions!$B$7),K31+IF($B7=3,K$37,0))</f>
        <v>0</v>
      </c>
      <c r="L7" s="26">
        <f>MIN(IF($B7=7,Assumptions!$B$8,Assumptions!$B$7),L31+IF($B7=3,L$37,0))</f>
        <v>0</v>
      </c>
      <c r="M7" s="26">
        <f>MIN(IF($B7=7,Assumptions!$B$8,Assumptions!$B$7),M31+IF($B7=3,M$37,0))</f>
        <v>0</v>
      </c>
      <c r="N7" s="26">
        <f>MIN(IF($B7=7,Assumptions!$B$8,Assumptions!$B$7),N31+IF($B7=3,N$37,0))</f>
        <v>0</v>
      </c>
      <c r="O7" s="26">
        <f>MIN(IF($B7=7,Assumptions!$B$8,Assumptions!$B$7),O31+IF($B7=3,O$37,0))</f>
        <v>0</v>
      </c>
      <c r="P7" s="26">
        <f>MIN(IF($B7=7,Assumptions!$B$8,Assumptions!$B$7),P31+IF($B7=3,P$37,0))</f>
        <v>0</v>
      </c>
      <c r="Q7" s="26">
        <f>MIN(IF($B7=7,Assumptions!$B$8,Assumptions!$B$7),Q31+IF($B7=3,Q$37,0))</f>
        <v>0</v>
      </c>
      <c r="R7" s="26">
        <f>MIN(IF($B7=7,Assumptions!$B$8,Assumptions!$B$7),R31+IF($B7=3,R$37,0))</f>
        <v>0</v>
      </c>
      <c r="S7" s="26">
        <f>MIN(IF($B7=7,Assumptions!$B$8,Assumptions!$B$7),S31+IF($B7=3,S$37,0))</f>
        <v>0</v>
      </c>
      <c r="T7" s="26">
        <f>MIN(IF($B7=7,Assumptions!$B$8,Assumptions!$B$7),T31+IF($B7=3,T$37,0))</f>
        <v>10</v>
      </c>
      <c r="U7" s="26">
        <f>MIN(IF($B7=7,Assumptions!$B$8,Assumptions!$B$7),U31+IF($B7=3,U$37,0))</f>
        <v>10</v>
      </c>
      <c r="V7" s="26">
        <f>MIN(IF($B7=7,Assumptions!$B$8,Assumptions!$B$7),V31+IF($B7=3,V$37,0))</f>
        <v>10</v>
      </c>
    </row>
    <row r="8">
      <c r="A8" s="7" t="s">
        <v>856</v>
      </c>
      <c r="B8" s="3">
        <v>4.0</v>
      </c>
      <c r="C8" s="7" t="s">
        <v>102</v>
      </c>
      <c r="D8" s="7" t="s">
        <v>857</v>
      </c>
      <c r="E8" s="26">
        <f>MIN(IF($B8=7,Assumptions!$B$8,Assumptions!$B$7),E32+IF($B8=3,E$37,0))</f>
        <v>0</v>
      </c>
      <c r="F8" s="26">
        <f>MIN(IF($B8=7,Assumptions!$B$8,Assumptions!$B$7),F32+IF($B8=3,F$37,0))</f>
        <v>0</v>
      </c>
      <c r="G8" s="26">
        <f>MIN(IF($B8=7,Assumptions!$B$8,Assumptions!$B$7),G32+IF($B8=3,G$37,0))</f>
        <v>0</v>
      </c>
      <c r="H8" s="26">
        <f>MIN(IF($B8=7,Assumptions!$B$8,Assumptions!$B$7),H32+IF($B8=3,H$37,0))</f>
        <v>0</v>
      </c>
      <c r="I8" s="26">
        <f>MIN(IF($B8=7,Assumptions!$B$8,Assumptions!$B$7),I32+IF($B8=3,I$37,0))</f>
        <v>0</v>
      </c>
      <c r="J8" s="26">
        <f>MIN(IF($B8=7,Assumptions!$B$8,Assumptions!$B$7),J32+IF($B8=3,J$37,0))</f>
        <v>0</v>
      </c>
      <c r="K8" s="26">
        <f>MIN(IF($B8=7,Assumptions!$B$8,Assumptions!$B$7),K32+IF($B8=3,K$37,0))</f>
        <v>0</v>
      </c>
      <c r="L8" s="26">
        <f>MIN(IF($B8=7,Assumptions!$B$8,Assumptions!$B$7),L32+IF($B8=3,L$37,0))</f>
        <v>0</v>
      </c>
      <c r="M8" s="26">
        <f>MIN(IF($B8=7,Assumptions!$B$8,Assumptions!$B$7),M32+IF($B8=3,M$37,0))</f>
        <v>0</v>
      </c>
      <c r="N8" s="26">
        <f>MIN(IF($B8=7,Assumptions!$B$8,Assumptions!$B$7),N32+IF($B8=3,N$37,0))</f>
        <v>0</v>
      </c>
      <c r="O8" s="26">
        <f>MIN(IF($B8=7,Assumptions!$B$8,Assumptions!$B$7),O32+IF($B8=3,O$37,0))</f>
        <v>0</v>
      </c>
      <c r="P8" s="26">
        <f>MIN(IF($B8=7,Assumptions!$B$8,Assumptions!$B$7),P32+IF($B8=3,P$37,0))</f>
        <v>0</v>
      </c>
      <c r="Q8" s="26">
        <f>MIN(IF($B8=7,Assumptions!$B$8,Assumptions!$B$7),Q32+IF($B8=3,Q$37,0))</f>
        <v>0</v>
      </c>
      <c r="R8" s="26">
        <f>MIN(IF($B8=7,Assumptions!$B$8,Assumptions!$B$7),R32+IF($B8=3,R$37,0))</f>
        <v>0</v>
      </c>
      <c r="S8" s="26">
        <f>MIN(IF($B8=7,Assumptions!$B$8,Assumptions!$B$7),S32+IF($B8=3,S$37,0))</f>
        <v>0</v>
      </c>
      <c r="T8" s="26">
        <f>MIN(IF($B8=7,Assumptions!$B$8,Assumptions!$B$7),T32+IF($B8=3,T$37,0))</f>
        <v>0</v>
      </c>
      <c r="U8" s="26">
        <f>MIN(IF($B8=7,Assumptions!$B$8,Assumptions!$B$7),U32+IF($B8=3,U$37,0))</f>
        <v>0</v>
      </c>
      <c r="V8" s="26">
        <f>MIN(IF($B8=7,Assumptions!$B$8,Assumptions!$B$7),V32+IF($B8=3,V$37,0))</f>
        <v>0</v>
      </c>
    </row>
    <row r="9">
      <c r="A9" s="7" t="s">
        <v>856</v>
      </c>
      <c r="B9" s="3">
        <v>5.0</v>
      </c>
      <c r="C9" s="7" t="s">
        <v>103</v>
      </c>
      <c r="D9" s="7" t="s">
        <v>857</v>
      </c>
      <c r="E9" s="26">
        <f>MIN(IF($B9=7,Assumptions!$B$8,Assumptions!$B$7),E33+IF($B9=3,E$37,0))</f>
        <v>0</v>
      </c>
      <c r="F9" s="26">
        <f>MIN(IF($B9=7,Assumptions!$B$8,Assumptions!$B$7),F33+IF($B9=3,F$37,0))</f>
        <v>0</v>
      </c>
      <c r="G9" s="26">
        <f>MIN(IF($B9=7,Assumptions!$B$8,Assumptions!$B$7),G33+IF($B9=3,G$37,0))</f>
        <v>0</v>
      </c>
      <c r="H9" s="26">
        <f>MIN(IF($B9=7,Assumptions!$B$8,Assumptions!$B$7),H33+IF($B9=3,H$37,0))</f>
        <v>0</v>
      </c>
      <c r="I9" s="26">
        <f>MIN(IF($B9=7,Assumptions!$B$8,Assumptions!$B$7),I33+IF($B9=3,I$37,0))</f>
        <v>0</v>
      </c>
      <c r="J9" s="26">
        <f>MIN(IF($B9=7,Assumptions!$B$8,Assumptions!$B$7),J33+IF($B9=3,J$37,0))</f>
        <v>0</v>
      </c>
      <c r="K9" s="26">
        <f>MIN(IF($B9=7,Assumptions!$B$8,Assumptions!$B$7),K33+IF($B9=3,K$37,0))</f>
        <v>0</v>
      </c>
      <c r="L9" s="26">
        <f>MIN(IF($B9=7,Assumptions!$B$8,Assumptions!$B$7),L33+IF($B9=3,L$37,0))</f>
        <v>0</v>
      </c>
      <c r="M9" s="26">
        <f>MIN(IF($B9=7,Assumptions!$B$8,Assumptions!$B$7),M33+IF($B9=3,M$37,0))</f>
        <v>0</v>
      </c>
      <c r="N9" s="26">
        <f>MIN(IF($B9=7,Assumptions!$B$8,Assumptions!$B$7),N33+IF($B9=3,N$37,0))</f>
        <v>0</v>
      </c>
      <c r="O9" s="26">
        <f>MIN(IF($B9=7,Assumptions!$B$8,Assumptions!$B$7),O33+IF($B9=3,O$37,0))</f>
        <v>0</v>
      </c>
      <c r="P9" s="26">
        <f>MIN(IF($B9=7,Assumptions!$B$8,Assumptions!$B$7),P33+IF($B9=3,P$37,0))</f>
        <v>0</v>
      </c>
      <c r="Q9" s="26">
        <f>MIN(IF($B9=7,Assumptions!$B$8,Assumptions!$B$7),Q33+IF($B9=3,Q$37,0))</f>
        <v>0</v>
      </c>
      <c r="R9" s="26">
        <f>MIN(IF($B9=7,Assumptions!$B$8,Assumptions!$B$7),R33+IF($B9=3,R$37,0))</f>
        <v>0</v>
      </c>
      <c r="S9" s="26">
        <f>MIN(IF($B9=7,Assumptions!$B$8,Assumptions!$B$7),S33+IF($B9=3,S$37,0))</f>
        <v>0</v>
      </c>
      <c r="T9" s="26">
        <f>MIN(IF($B9=7,Assumptions!$B$8,Assumptions!$B$7),T33+IF($B9=3,T$37,0))</f>
        <v>0</v>
      </c>
      <c r="U9" s="26">
        <f>MIN(IF($B9=7,Assumptions!$B$8,Assumptions!$B$7),U33+IF($B9=3,U$37,0))</f>
        <v>0</v>
      </c>
      <c r="V9" s="26">
        <f>MIN(IF($B9=7,Assumptions!$B$8,Assumptions!$B$7),V33+IF($B9=3,V$37,0))</f>
        <v>0</v>
      </c>
    </row>
    <row r="10">
      <c r="A10" s="7" t="s">
        <v>856</v>
      </c>
      <c r="B10" s="3">
        <v>6.0</v>
      </c>
      <c r="C10" s="7" t="s">
        <v>106</v>
      </c>
      <c r="D10" s="7" t="s">
        <v>857</v>
      </c>
      <c r="E10" s="26">
        <f>MIN(IF($B10=7,Assumptions!$B$8,Assumptions!$B$7),E34+IF($B10=3,E$37,0))</f>
        <v>0</v>
      </c>
      <c r="F10" s="26">
        <f>MIN(IF($B10=7,Assumptions!$B$8,Assumptions!$B$7),F34+IF($B10=3,F$37,0))</f>
        <v>0</v>
      </c>
      <c r="G10" s="26">
        <f>MIN(IF($B10=7,Assumptions!$B$8,Assumptions!$B$7),G34+IF($B10=3,G$37,0))</f>
        <v>0</v>
      </c>
      <c r="H10" s="26">
        <f>MIN(IF($B10=7,Assumptions!$B$8,Assumptions!$B$7),H34+IF($B10=3,H$37,0))</f>
        <v>0</v>
      </c>
      <c r="I10" s="26">
        <f>MIN(IF($B10=7,Assumptions!$B$8,Assumptions!$B$7),I34+IF($B10=3,I$37,0))</f>
        <v>0</v>
      </c>
      <c r="J10" s="26">
        <f>MIN(IF($B10=7,Assumptions!$B$8,Assumptions!$B$7),J34+IF($B10=3,J$37,0))</f>
        <v>0</v>
      </c>
      <c r="K10" s="26">
        <f>MIN(IF($B10=7,Assumptions!$B$8,Assumptions!$B$7),K34+IF($B10=3,K$37,0))</f>
        <v>0</v>
      </c>
      <c r="L10" s="26">
        <f>MIN(IF($B10=7,Assumptions!$B$8,Assumptions!$B$7),L34+IF($B10=3,L$37,0))</f>
        <v>0</v>
      </c>
      <c r="M10" s="26">
        <f>MIN(IF($B10=7,Assumptions!$B$8,Assumptions!$B$7),M34+IF($B10=3,M$37,0))</f>
        <v>0</v>
      </c>
      <c r="N10" s="26">
        <f>MIN(IF($B10=7,Assumptions!$B$8,Assumptions!$B$7),N34+IF($B10=3,N$37,0))</f>
        <v>0</v>
      </c>
      <c r="O10" s="26">
        <f>MIN(IF($B10=7,Assumptions!$B$8,Assumptions!$B$7),O34+IF($B10=3,O$37,0))</f>
        <v>0</v>
      </c>
      <c r="P10" s="26">
        <f>MIN(IF($B10=7,Assumptions!$B$8,Assumptions!$B$7),P34+IF($B10=3,P$37,0))</f>
        <v>0</v>
      </c>
      <c r="Q10" s="26">
        <f>MIN(IF($B10=7,Assumptions!$B$8,Assumptions!$B$7),Q34+IF($B10=3,Q$37,0))</f>
        <v>0</v>
      </c>
      <c r="R10" s="26">
        <f>MIN(IF($B10=7,Assumptions!$B$8,Assumptions!$B$7),R34+IF($B10=3,R$37,0))</f>
        <v>0</v>
      </c>
      <c r="S10" s="26">
        <f>MIN(IF($B10=7,Assumptions!$B$8,Assumptions!$B$7),S34+IF($B10=3,S$37,0))</f>
        <v>0</v>
      </c>
      <c r="T10" s="26">
        <f>MIN(IF($B10=7,Assumptions!$B$8,Assumptions!$B$7),T34+IF($B10=3,T$37,0))</f>
        <v>0</v>
      </c>
      <c r="U10" s="26">
        <f>MIN(IF($B10=7,Assumptions!$B$8,Assumptions!$B$7),U34+IF($B10=3,U$37,0))</f>
        <v>0</v>
      </c>
      <c r="V10" s="26">
        <f>MIN(IF($B10=7,Assumptions!$B$8,Assumptions!$B$7),V34+IF($B10=3,V$37,0))</f>
        <v>0</v>
      </c>
    </row>
    <row r="11">
      <c r="A11" s="7" t="s">
        <v>856</v>
      </c>
      <c r="B11" s="3">
        <v>7.0</v>
      </c>
      <c r="C11" s="7" t="s">
        <v>108</v>
      </c>
      <c r="D11" s="7" t="s">
        <v>857</v>
      </c>
      <c r="E11" s="26">
        <f>MIN(IF($B11=7,Assumptions!$B$8,Assumptions!$B$7),E35+IF($B11=3,E$37,0))</f>
        <v>0</v>
      </c>
      <c r="F11" s="26">
        <f>MIN(IF($B11=7,Assumptions!$B$8,Assumptions!$B$7),F35+IF($B11=3,F$37,0))</f>
        <v>0</v>
      </c>
      <c r="G11" s="26">
        <f>MIN(IF($B11=7,Assumptions!$B$8,Assumptions!$B$7),G35+IF($B11=3,G$37,0))</f>
        <v>0</v>
      </c>
      <c r="H11" s="26">
        <f>MIN(IF($B11=7,Assumptions!$B$8,Assumptions!$B$7),H35+IF($B11=3,H$37,0))</f>
        <v>0</v>
      </c>
      <c r="I11" s="26">
        <f>MIN(IF($B11=7,Assumptions!$B$8,Assumptions!$B$7),I35+IF($B11=3,I$37,0))</f>
        <v>0</v>
      </c>
      <c r="J11" s="26">
        <f>MIN(IF($B11=7,Assumptions!$B$8,Assumptions!$B$7),J35+IF($B11=3,J$37,0))</f>
        <v>0</v>
      </c>
      <c r="K11" s="26">
        <f>MIN(IF($B11=7,Assumptions!$B$8,Assumptions!$B$7),K35+IF($B11=3,K$37,0))</f>
        <v>0</v>
      </c>
      <c r="L11" s="26">
        <f>MIN(IF($B11=7,Assumptions!$B$8,Assumptions!$B$7),L35+IF($B11=3,L$37,0))</f>
        <v>0</v>
      </c>
      <c r="M11" s="26">
        <f>MIN(IF($B11=7,Assumptions!$B$8,Assumptions!$B$7),M35+IF($B11=3,M$37,0))</f>
        <v>0</v>
      </c>
      <c r="N11" s="26">
        <f>MIN(IF($B11=7,Assumptions!$B$8,Assumptions!$B$7),N35+IF($B11=3,N$37,0))</f>
        <v>0</v>
      </c>
      <c r="O11" s="26">
        <f>MIN(IF($B11=7,Assumptions!$B$8,Assumptions!$B$7),O35+IF($B11=3,O$37,0))</f>
        <v>0</v>
      </c>
      <c r="P11" s="26">
        <f>MIN(IF($B11=7,Assumptions!$B$8,Assumptions!$B$7),P35+IF($B11=3,P$37,0))</f>
        <v>0</v>
      </c>
      <c r="Q11" s="26">
        <f>MIN(IF($B11=7,Assumptions!$B$8,Assumptions!$B$7),Q35+IF($B11=3,Q$37,0))</f>
        <v>0</v>
      </c>
      <c r="R11" s="26">
        <f>MIN(IF($B11=7,Assumptions!$B$8,Assumptions!$B$7),R35+IF($B11=3,R$37,0))</f>
        <v>0</v>
      </c>
      <c r="S11" s="26">
        <f>MIN(IF($B11=7,Assumptions!$B$8,Assumptions!$B$7),S35+IF($B11=3,S$37,0))</f>
        <v>0</v>
      </c>
      <c r="T11" s="26">
        <f>MIN(IF($B11=7,Assumptions!$B$8,Assumptions!$B$7),T35+IF($B11=3,T$37,0))</f>
        <v>0</v>
      </c>
      <c r="U11" s="26">
        <f>MIN(IF($B11=7,Assumptions!$B$8,Assumptions!$B$7),U35+IF($B11=3,U$37,0))</f>
        <v>0</v>
      </c>
      <c r="V11" s="26">
        <f>MIN(IF($B11=7,Assumptions!$B$8,Assumptions!$B$7),V35+IF($B11=3,V$37,0))</f>
        <v>0</v>
      </c>
    </row>
    <row r="13">
      <c r="A13" s="7" t="s">
        <v>858</v>
      </c>
      <c r="B13" s="3">
        <v>1.0</v>
      </c>
      <c r="C13" s="7" t="s">
        <v>51</v>
      </c>
      <c r="D13" s="31"/>
      <c r="E13" s="11">
        <v>0.0</v>
      </c>
      <c r="F13" s="31">
        <v>0.0</v>
      </c>
      <c r="G13" s="31">
        <v>0.0</v>
      </c>
      <c r="H13" s="31">
        <v>0.0</v>
      </c>
      <c r="I13" s="31">
        <v>0.0</v>
      </c>
      <c r="J13" s="31">
        <v>0.0</v>
      </c>
      <c r="K13" s="31">
        <v>0.0</v>
      </c>
      <c r="L13" s="31">
        <v>0.0</v>
      </c>
      <c r="M13" s="31">
        <v>0.0</v>
      </c>
      <c r="N13" s="31">
        <v>0.0</v>
      </c>
      <c r="O13" s="31">
        <v>0.0</v>
      </c>
      <c r="P13" s="31">
        <v>0.0</v>
      </c>
      <c r="Q13" s="31">
        <v>0.0</v>
      </c>
      <c r="R13" s="31">
        <v>0.0</v>
      </c>
      <c r="S13" s="31">
        <v>0.0</v>
      </c>
      <c r="T13" s="31">
        <v>0.0</v>
      </c>
      <c r="U13" s="31">
        <v>0.0</v>
      </c>
      <c r="V13" s="31">
        <v>0.0</v>
      </c>
    </row>
    <row r="14">
      <c r="A14" s="7" t="s">
        <v>858</v>
      </c>
      <c r="B14" s="3">
        <v>2.0</v>
      </c>
      <c r="C14" s="7" t="s">
        <v>99</v>
      </c>
      <c r="D14" s="31"/>
      <c r="E14" s="11">
        <v>0.0</v>
      </c>
      <c r="F14" s="31">
        <v>0.0</v>
      </c>
      <c r="G14" s="31">
        <v>0.0</v>
      </c>
      <c r="H14" s="31">
        <v>0.0</v>
      </c>
      <c r="I14" s="31">
        <v>0.0</v>
      </c>
      <c r="J14" s="31">
        <v>0.0</v>
      </c>
      <c r="K14" s="31">
        <v>0.0</v>
      </c>
      <c r="L14" s="31">
        <v>0.0</v>
      </c>
      <c r="M14" s="31">
        <v>0.0</v>
      </c>
      <c r="N14" s="31">
        <v>0.0</v>
      </c>
      <c r="O14" s="31">
        <v>0.0</v>
      </c>
      <c r="P14" s="31">
        <v>0.0</v>
      </c>
      <c r="Q14" s="31">
        <v>0.0</v>
      </c>
      <c r="R14" s="31">
        <v>0.0</v>
      </c>
      <c r="S14" s="31">
        <v>0.0</v>
      </c>
      <c r="T14" s="31">
        <v>0.0</v>
      </c>
      <c r="U14" s="31">
        <v>0.0</v>
      </c>
      <c r="V14" s="31">
        <v>0.0</v>
      </c>
    </row>
    <row r="15">
      <c r="A15" s="7" t="s">
        <v>858</v>
      </c>
      <c r="B15" s="3">
        <v>3.0</v>
      </c>
      <c r="C15" s="7" t="s">
        <v>101</v>
      </c>
      <c r="D15" s="31"/>
      <c r="E15" s="11">
        <v>0.0</v>
      </c>
      <c r="F15" s="31">
        <v>0.0</v>
      </c>
      <c r="G15" s="31">
        <v>0.0</v>
      </c>
      <c r="H15" s="31">
        <v>0.0</v>
      </c>
      <c r="I15" s="31">
        <v>0.0</v>
      </c>
      <c r="J15" s="31">
        <v>0.0</v>
      </c>
      <c r="K15" s="31">
        <v>0.0</v>
      </c>
      <c r="L15" s="31">
        <v>0.0</v>
      </c>
      <c r="M15" s="31">
        <v>0.0</v>
      </c>
      <c r="N15" s="31">
        <v>0.0</v>
      </c>
      <c r="O15" s="31">
        <v>0.0</v>
      </c>
      <c r="P15" s="31">
        <v>0.0</v>
      </c>
      <c r="Q15" s="31">
        <v>0.0</v>
      </c>
      <c r="R15" s="31">
        <v>0.0</v>
      </c>
      <c r="S15" s="31">
        <v>0.0</v>
      </c>
      <c r="T15" s="31">
        <v>0.0</v>
      </c>
      <c r="U15" s="31">
        <v>0.0</v>
      </c>
      <c r="V15" s="31">
        <v>0.0</v>
      </c>
    </row>
    <row r="16">
      <c r="A16" s="7" t="s">
        <v>858</v>
      </c>
      <c r="B16" s="3">
        <v>4.0</v>
      </c>
      <c r="C16" s="7" t="s">
        <v>102</v>
      </c>
      <c r="D16" s="31"/>
      <c r="E16" s="11">
        <v>0.0</v>
      </c>
      <c r="F16" s="31">
        <v>0.0</v>
      </c>
      <c r="G16" s="31">
        <v>0.0</v>
      </c>
      <c r="H16" s="31">
        <v>0.0</v>
      </c>
      <c r="I16" s="31">
        <v>0.0</v>
      </c>
      <c r="J16" s="31">
        <v>0.0</v>
      </c>
      <c r="K16" s="31">
        <v>0.0</v>
      </c>
      <c r="L16" s="31">
        <v>0.0</v>
      </c>
      <c r="M16" s="31">
        <v>0.0</v>
      </c>
      <c r="N16" s="31">
        <v>0.0</v>
      </c>
      <c r="O16" s="31">
        <v>0.0</v>
      </c>
      <c r="P16" s="31">
        <v>0.0</v>
      </c>
      <c r="Q16" s="31">
        <v>0.0</v>
      </c>
      <c r="R16" s="31">
        <v>0.0</v>
      </c>
      <c r="S16" s="31">
        <v>0.0</v>
      </c>
      <c r="T16" s="31">
        <v>0.0</v>
      </c>
      <c r="U16" s="31">
        <v>0.0</v>
      </c>
      <c r="V16" s="31">
        <v>0.0</v>
      </c>
    </row>
    <row r="17">
      <c r="A17" s="7" t="s">
        <v>858</v>
      </c>
      <c r="B17" s="3">
        <v>5.0</v>
      </c>
      <c r="C17" s="7" t="s">
        <v>103</v>
      </c>
      <c r="D17" s="31"/>
      <c r="E17" s="11">
        <v>0.0</v>
      </c>
      <c r="F17" s="31">
        <v>0.0</v>
      </c>
      <c r="G17" s="31">
        <v>0.0</v>
      </c>
      <c r="H17" s="31">
        <v>0.0</v>
      </c>
      <c r="I17" s="31">
        <v>0.0</v>
      </c>
      <c r="J17" s="31">
        <v>0.0</v>
      </c>
      <c r="K17" s="31">
        <v>0.0</v>
      </c>
      <c r="L17" s="31">
        <v>0.0</v>
      </c>
      <c r="M17" s="31">
        <v>0.0</v>
      </c>
      <c r="N17" s="31">
        <v>0.0</v>
      </c>
      <c r="O17" s="31">
        <v>0.0</v>
      </c>
      <c r="P17" s="31">
        <v>0.0</v>
      </c>
      <c r="Q17" s="31">
        <v>0.0</v>
      </c>
      <c r="R17" s="31">
        <v>0.0</v>
      </c>
      <c r="S17" s="31">
        <v>0.0</v>
      </c>
      <c r="T17" s="31">
        <v>0.0</v>
      </c>
      <c r="U17" s="31">
        <v>0.0</v>
      </c>
      <c r="V17" s="31">
        <v>0.0</v>
      </c>
    </row>
    <row r="18">
      <c r="A18" s="7" t="s">
        <v>858</v>
      </c>
      <c r="B18" s="3">
        <v>6.0</v>
      </c>
      <c r="C18" s="7" t="s">
        <v>106</v>
      </c>
      <c r="D18" s="31"/>
      <c r="E18" s="11">
        <v>0.0</v>
      </c>
      <c r="F18" s="31">
        <v>0.0</v>
      </c>
      <c r="G18" s="31">
        <v>0.0</v>
      </c>
      <c r="H18" s="31">
        <v>0.0</v>
      </c>
      <c r="I18" s="31">
        <v>0.0</v>
      </c>
      <c r="J18" s="31">
        <v>0.0</v>
      </c>
      <c r="K18" s="31">
        <v>0.0</v>
      </c>
      <c r="L18" s="31">
        <v>0.0</v>
      </c>
      <c r="M18" s="31">
        <v>0.0</v>
      </c>
      <c r="N18" s="31">
        <v>0.0</v>
      </c>
      <c r="O18" s="31">
        <v>0.0</v>
      </c>
      <c r="P18" s="31">
        <v>0.0</v>
      </c>
      <c r="Q18" s="31">
        <v>0.0</v>
      </c>
      <c r="R18" s="31">
        <v>0.0</v>
      </c>
      <c r="S18" s="31">
        <v>0.0</v>
      </c>
      <c r="T18" s="31">
        <v>0.0</v>
      </c>
      <c r="U18" s="31">
        <v>0.0</v>
      </c>
      <c r="V18" s="31">
        <v>0.0</v>
      </c>
    </row>
    <row r="19">
      <c r="A19" s="7" t="s">
        <v>858</v>
      </c>
      <c r="B19" s="3">
        <v>7.0</v>
      </c>
      <c r="C19" s="7" t="s">
        <v>108</v>
      </c>
      <c r="D19" s="31"/>
      <c r="E19" s="11">
        <v>0.0</v>
      </c>
      <c r="F19" s="31">
        <v>0.0</v>
      </c>
      <c r="G19" s="31">
        <v>0.0</v>
      </c>
      <c r="H19" s="31">
        <v>0.0</v>
      </c>
      <c r="I19" s="31">
        <v>0.0</v>
      </c>
      <c r="J19" s="31">
        <v>0.0</v>
      </c>
      <c r="K19" s="31">
        <v>0.0</v>
      </c>
      <c r="L19" s="31">
        <v>0.0</v>
      </c>
      <c r="M19" s="31">
        <v>0.0</v>
      </c>
      <c r="N19" s="31">
        <v>0.0</v>
      </c>
      <c r="O19" s="31">
        <v>0.0</v>
      </c>
      <c r="P19" s="31">
        <v>0.0</v>
      </c>
      <c r="Q19" s="31">
        <v>0.0</v>
      </c>
      <c r="R19" s="31">
        <v>0.0</v>
      </c>
      <c r="S19" s="31">
        <v>0.0</v>
      </c>
      <c r="T19" s="31">
        <v>0.0</v>
      </c>
      <c r="U19" s="31">
        <v>0.0</v>
      </c>
      <c r="V19" s="31">
        <v>0.0</v>
      </c>
    </row>
    <row r="21">
      <c r="A21" s="7" t="s">
        <v>859</v>
      </c>
      <c r="B21" s="3">
        <v>1.0</v>
      </c>
      <c r="C21" s="7" t="s">
        <v>51</v>
      </c>
      <c r="D21" s="7" t="s">
        <v>860</v>
      </c>
      <c r="E21" s="26">
        <f>IF('Country Profile'!E21="Yes",Assumptions!$B$101,0)</f>
        <v>0</v>
      </c>
      <c r="F21" s="26">
        <f>IF('Country Profile'!F21="Yes",Assumptions!$B$101,0)</f>
        <v>0</v>
      </c>
      <c r="G21" s="26">
        <f>IF('Country Profile'!G21="Yes",Assumptions!$B$101,0)</f>
        <v>0</v>
      </c>
      <c r="H21" s="26">
        <f>IF('Country Profile'!H21="Yes",Assumptions!$B$101,0)</f>
        <v>0</v>
      </c>
      <c r="I21" s="26">
        <f>IF('Country Profile'!I21="Yes",Assumptions!$B$101,0)</f>
        <v>0</v>
      </c>
      <c r="J21" s="26">
        <f>IF('Country Profile'!J21="Yes",Assumptions!$B$101,0)</f>
        <v>0</v>
      </c>
      <c r="K21" s="26">
        <f>IF('Country Profile'!K21="Yes",Assumptions!$B$101,0)</f>
        <v>0</v>
      </c>
      <c r="L21" s="26">
        <f>IF('Country Profile'!L21="Yes",Assumptions!$B$101,0)</f>
        <v>0</v>
      </c>
      <c r="M21" s="26">
        <f>IF('Country Profile'!M21="Yes",Assumptions!$B$101,0)</f>
        <v>0</v>
      </c>
      <c r="N21" s="26">
        <f>IF('Country Profile'!N21="Yes",Assumptions!$B$101,0)</f>
        <v>0</v>
      </c>
      <c r="O21" s="26">
        <f>IF('Country Profile'!O21="Yes",Assumptions!$B$101,0)</f>
        <v>0</v>
      </c>
      <c r="P21" s="26">
        <f>IF('Country Profile'!P21="Yes",Assumptions!$B$101,0)</f>
        <v>0</v>
      </c>
      <c r="Q21" s="26">
        <f>IF('Country Profile'!Q21="Yes",Assumptions!$B$101,0)</f>
        <v>0</v>
      </c>
      <c r="R21" s="26">
        <f>IF('Country Profile'!R21="Yes",Assumptions!$B$101,0)</f>
        <v>90</v>
      </c>
      <c r="S21" s="26">
        <f>IF('Country Profile'!S21="Yes",Assumptions!$B$101,0)</f>
        <v>0</v>
      </c>
      <c r="T21" s="26">
        <f>IF('Country Profile'!T21="Yes",Assumptions!$B$101,0)</f>
        <v>0</v>
      </c>
      <c r="U21" s="26">
        <f>IF('Country Profile'!U21="Yes",Assumptions!$B$101,0)</f>
        <v>0</v>
      </c>
      <c r="V21" s="26">
        <f>IF('Country Profile'!V21="Yes",Assumptions!$B$101,0)</f>
        <v>90</v>
      </c>
    </row>
    <row r="22">
      <c r="A22" s="7" t="s">
        <v>859</v>
      </c>
      <c r="B22" s="3">
        <v>2.0</v>
      </c>
      <c r="C22" s="7" t="s">
        <v>99</v>
      </c>
      <c r="D22" s="7" t="s">
        <v>861</v>
      </c>
      <c r="E22" s="26">
        <f>IF(OR('Country Profile'!E22="Yes",'Country Profile'!E23&gt;Assumptions!$B$103,Inputs!E20=4),Assumptions!$B$102,0)</f>
        <v>0</v>
      </c>
      <c r="F22" s="26">
        <f>IF(OR('Country Profile'!F22="Yes",'Country Profile'!F23&gt;Assumptions!$B$103,Inputs!F20=4),Assumptions!$B$102,0)</f>
        <v>0</v>
      </c>
      <c r="G22" s="26">
        <f>IF(OR('Country Profile'!G22="Yes",'Country Profile'!G23&gt;Assumptions!$B$103,Inputs!G20=4),Assumptions!$B$102,0)</f>
        <v>0</v>
      </c>
      <c r="H22" s="26">
        <f>IF(OR('Country Profile'!H22="Yes",'Country Profile'!H23&gt;Assumptions!$B$103,Inputs!H20=4),Assumptions!$B$102,0)</f>
        <v>0</v>
      </c>
      <c r="I22" s="26">
        <f>IF(OR('Country Profile'!I22="Yes",'Country Profile'!I23&gt;Assumptions!$B$103,Inputs!I20=4),Assumptions!$B$102,0)</f>
        <v>0</v>
      </c>
      <c r="J22" s="26">
        <f>IF(OR('Country Profile'!J22="Yes",'Country Profile'!J23&gt;Assumptions!$B$103,Inputs!J20=4),Assumptions!$B$102,0)</f>
        <v>0</v>
      </c>
      <c r="K22" s="26">
        <f>IF(OR('Country Profile'!K22="Yes",'Country Profile'!K23&gt;Assumptions!$B$103,Inputs!K20=4),Assumptions!$B$102,0)</f>
        <v>0</v>
      </c>
      <c r="L22" s="26">
        <f>IF(OR('Country Profile'!L22="Yes",'Country Profile'!L23&gt;Assumptions!$B$103,Inputs!L20=4),Assumptions!$B$102,0)</f>
        <v>0</v>
      </c>
      <c r="M22" s="26">
        <f>IF(OR('Country Profile'!M22="Yes",'Country Profile'!M23&gt;Assumptions!$B$103,Inputs!M20=4),Assumptions!$B$102,0)</f>
        <v>0</v>
      </c>
      <c r="N22" s="26">
        <f>IF(OR('Country Profile'!N22="Yes",'Country Profile'!N23&gt;Assumptions!$B$103,Inputs!N20=4),Assumptions!$B$102,0)</f>
        <v>0</v>
      </c>
      <c r="O22" s="26">
        <f>IF(OR('Country Profile'!O22="Yes",'Country Profile'!O23&gt;Assumptions!$B$103,Inputs!O20=4),Assumptions!$B$102,0)</f>
        <v>0</v>
      </c>
      <c r="P22" s="26">
        <f>IF(OR('Country Profile'!P22="Yes",'Country Profile'!P23&gt;Assumptions!$B$103,Inputs!P20=4),Assumptions!$B$102,0)</f>
        <v>0</v>
      </c>
      <c r="Q22" s="26">
        <f>IF(OR('Country Profile'!Q22="Yes",'Country Profile'!Q23&gt;Assumptions!$B$103,Inputs!Q20=4),Assumptions!$B$102,0)</f>
        <v>0</v>
      </c>
      <c r="R22" s="26">
        <f>IF(OR('Country Profile'!R22="Yes",'Country Profile'!R23&gt;Assumptions!$B$103,Inputs!R20=4),Assumptions!$B$102,0)</f>
        <v>85</v>
      </c>
      <c r="S22" s="26">
        <f>IF(OR('Country Profile'!S22="Yes",'Country Profile'!S23&gt;Assumptions!$B$103,Inputs!S20=4),Assumptions!$B$102,0)</f>
        <v>0</v>
      </c>
      <c r="T22" s="26">
        <f>IF(OR('Country Profile'!T22="Yes",'Country Profile'!T23&gt;Assumptions!$B$103,Inputs!T20=4),Assumptions!$B$102,0)</f>
        <v>0</v>
      </c>
      <c r="U22" s="26">
        <f>IF(OR('Country Profile'!U22="Yes",'Country Profile'!U23&gt;Assumptions!$B$103,Inputs!U20=4),Assumptions!$B$102,0)</f>
        <v>0</v>
      </c>
      <c r="V22" s="26">
        <f>IF(OR('Country Profile'!V22="Yes",'Country Profile'!V23&gt;Assumptions!$B$103,Inputs!V20=4),Assumptions!$B$102,0)</f>
        <v>85</v>
      </c>
    </row>
    <row r="23">
      <c r="A23" s="7" t="s">
        <v>859</v>
      </c>
      <c r="B23" s="3">
        <v>3.0</v>
      </c>
      <c r="C23" s="7" t="s">
        <v>101</v>
      </c>
      <c r="D23" s="7" t="s">
        <v>862</v>
      </c>
      <c r="E23" s="26">
        <f>IF('Country Profile'!E24="Yes",Assumptions!$B$104,0)</f>
        <v>0</v>
      </c>
      <c r="F23" s="26">
        <f>IF('Country Profile'!F24="Yes",Assumptions!$B$104,0)</f>
        <v>0</v>
      </c>
      <c r="G23" s="26">
        <f>IF('Country Profile'!G24="Yes",Assumptions!$B$104,0)</f>
        <v>0</v>
      </c>
      <c r="H23" s="26">
        <f>IF('Country Profile'!H24="Yes",Assumptions!$B$104,0)</f>
        <v>0</v>
      </c>
      <c r="I23" s="26">
        <f>IF('Country Profile'!I24="Yes",Assumptions!$B$104,0)</f>
        <v>0</v>
      </c>
      <c r="J23" s="26">
        <f>IF('Country Profile'!J24="Yes",Assumptions!$B$104,0)</f>
        <v>0</v>
      </c>
      <c r="K23" s="26">
        <f>IF('Country Profile'!K24="Yes",Assumptions!$B$104,0)</f>
        <v>0</v>
      </c>
      <c r="L23" s="26">
        <f>IF('Country Profile'!L24="Yes",Assumptions!$B$104,0)</f>
        <v>0</v>
      </c>
      <c r="M23" s="26">
        <f>IF('Country Profile'!M24="Yes",Assumptions!$B$104,0)</f>
        <v>0</v>
      </c>
      <c r="N23" s="26">
        <f>IF('Country Profile'!N24="Yes",Assumptions!$B$104,0)</f>
        <v>0</v>
      </c>
      <c r="O23" s="26">
        <f>IF('Country Profile'!O24="Yes",Assumptions!$B$104,0)</f>
        <v>0</v>
      </c>
      <c r="P23" s="26">
        <f>IF('Country Profile'!P24="Yes",Assumptions!$B$104,0)</f>
        <v>0</v>
      </c>
      <c r="Q23" s="26">
        <f>IF('Country Profile'!Q24="Yes",Assumptions!$B$104,0)</f>
        <v>0</v>
      </c>
      <c r="R23" s="26">
        <f>IF('Country Profile'!R24="Yes",Assumptions!$B$104,0)</f>
        <v>80</v>
      </c>
      <c r="S23" s="26">
        <f>IF('Country Profile'!S24="Yes",Assumptions!$B$104,0)</f>
        <v>0</v>
      </c>
      <c r="T23" s="26">
        <f>IF('Country Profile'!T24="Yes",Assumptions!$B$104,0)</f>
        <v>0</v>
      </c>
      <c r="U23" s="26">
        <f>IF('Country Profile'!U24="Yes",Assumptions!$B$104,0)</f>
        <v>0</v>
      </c>
      <c r="V23" s="26">
        <f>IF('Country Profile'!V24="Yes",Assumptions!$B$104,0)</f>
        <v>0</v>
      </c>
    </row>
    <row r="24">
      <c r="A24" s="7" t="s">
        <v>859</v>
      </c>
      <c r="B24" s="3">
        <v>4.0</v>
      </c>
      <c r="C24" s="7" t="s">
        <v>102</v>
      </c>
      <c r="D24" s="7" t="s">
        <v>863</v>
      </c>
      <c r="E24" s="26">
        <f>IF('Country Profile'!E26="Yes",Assumptions!$B$106,IF('Country Profile'!E25="Yes",Assumptions!$B$105,0))</f>
        <v>0</v>
      </c>
      <c r="F24" s="26">
        <f>IF('Country Profile'!F26="Yes",Assumptions!$B$106,IF('Country Profile'!F25="Yes",Assumptions!$B$105,0))</f>
        <v>0</v>
      </c>
      <c r="G24" s="26">
        <f>IF('Country Profile'!G26="Yes",Assumptions!$B$106,IF('Country Profile'!G25="Yes",Assumptions!$B$105,0))</f>
        <v>0</v>
      </c>
      <c r="H24" s="26">
        <f>IF('Country Profile'!H26="Yes",Assumptions!$B$106,IF('Country Profile'!H25="Yes",Assumptions!$B$105,0))</f>
        <v>0</v>
      </c>
      <c r="I24" s="26">
        <f>IF('Country Profile'!I26="Yes",Assumptions!$B$106,IF('Country Profile'!I25="Yes",Assumptions!$B$105,0))</f>
        <v>0</v>
      </c>
      <c r="J24" s="26">
        <f>IF('Country Profile'!J26="Yes",Assumptions!$B$106,IF('Country Profile'!J25="Yes",Assumptions!$B$105,0))</f>
        <v>0</v>
      </c>
      <c r="K24" s="26">
        <f>IF('Country Profile'!K26="Yes",Assumptions!$B$106,IF('Country Profile'!K25="Yes",Assumptions!$B$105,0))</f>
        <v>0</v>
      </c>
      <c r="L24" s="26">
        <f>IF('Country Profile'!L26="Yes",Assumptions!$B$106,IF('Country Profile'!L25="Yes",Assumptions!$B$105,0))</f>
        <v>0</v>
      </c>
      <c r="M24" s="26">
        <f>IF('Country Profile'!M26="Yes",Assumptions!$B$106,IF('Country Profile'!M25="Yes",Assumptions!$B$105,0))</f>
        <v>0</v>
      </c>
      <c r="N24" s="26">
        <f>IF('Country Profile'!N26="Yes",Assumptions!$B$106,IF('Country Profile'!N25="Yes",Assumptions!$B$105,0))</f>
        <v>0</v>
      </c>
      <c r="O24" s="26">
        <f>IF('Country Profile'!O26="Yes",Assumptions!$B$106,IF('Country Profile'!O25="Yes",Assumptions!$B$105,0))</f>
        <v>0</v>
      </c>
      <c r="P24" s="26">
        <f>IF('Country Profile'!P26="Yes",Assumptions!$B$106,IF('Country Profile'!P25="Yes",Assumptions!$B$105,0))</f>
        <v>0</v>
      </c>
      <c r="Q24" s="26">
        <f>IF('Country Profile'!Q26="Yes",Assumptions!$B$106,IF('Country Profile'!Q25="Yes",Assumptions!$B$105,0))</f>
        <v>0</v>
      </c>
      <c r="R24" s="26">
        <f>IF('Country Profile'!R26="Yes",Assumptions!$B$106,IF('Country Profile'!R25="Yes",Assumptions!$B$105,0))</f>
        <v>0</v>
      </c>
      <c r="S24" s="26">
        <f>IF('Country Profile'!S26="Yes",Assumptions!$B$106,IF('Country Profile'!S25="Yes",Assumptions!$B$105,0))</f>
        <v>0</v>
      </c>
      <c r="T24" s="26">
        <f>IF('Country Profile'!T26="Yes",Assumptions!$B$106,IF('Country Profile'!T25="Yes",Assumptions!$B$105,0))</f>
        <v>0</v>
      </c>
      <c r="U24" s="26">
        <f>IF('Country Profile'!U26="Yes",Assumptions!$B$106,IF('Country Profile'!U25="Yes",Assumptions!$B$105,0))</f>
        <v>0</v>
      </c>
      <c r="V24" s="26">
        <f>IF('Country Profile'!V26="Yes",Assumptions!$B$106,IF('Country Profile'!V25="Yes",Assumptions!$B$105,0))</f>
        <v>0</v>
      </c>
    </row>
    <row r="25">
      <c r="A25" s="7" t="s">
        <v>859</v>
      </c>
      <c r="B25" s="3">
        <v>5.0</v>
      </c>
      <c r="C25" s="7" t="s">
        <v>103</v>
      </c>
      <c r="D25" s="7" t="s">
        <v>864</v>
      </c>
      <c r="E25" s="26">
        <f>IF(Inputs!E51&gt;=Assumptions!$B$107,Assumptions!$B$108,IF('Country Profile'!E27="Yes",Assumptions!$B$109,0))</f>
        <v>0</v>
      </c>
      <c r="F25" s="26">
        <f>IF(Inputs!F51&gt;=Assumptions!$B$107,Assumptions!$B$108,IF('Country Profile'!F27="Yes",Assumptions!$B$109,0))</f>
        <v>0</v>
      </c>
      <c r="G25" s="26">
        <f>IF(Inputs!G51&gt;=Assumptions!$B$107,Assumptions!$B$108,IF('Country Profile'!G27="Yes",Assumptions!$B$109,0))</f>
        <v>0</v>
      </c>
      <c r="H25" s="26">
        <f>IF(Inputs!H51&gt;=Assumptions!$B$107,Assumptions!$B$108,IF('Country Profile'!H27="Yes",Assumptions!$B$109,0))</f>
        <v>0</v>
      </c>
      <c r="I25" s="26">
        <f>IF(Inputs!I51&gt;=Assumptions!$B$107,Assumptions!$B$108,IF('Country Profile'!I27="Yes",Assumptions!$B$109,0))</f>
        <v>0</v>
      </c>
      <c r="J25" s="26">
        <f>IF(Inputs!J51&gt;=Assumptions!$B$107,Assumptions!$B$108,IF('Country Profile'!J27="Yes",Assumptions!$B$109,0))</f>
        <v>0</v>
      </c>
      <c r="K25" s="26">
        <f>IF(Inputs!K51&gt;=Assumptions!$B$107,Assumptions!$B$108,IF('Country Profile'!K27="Yes",Assumptions!$B$109,0))</f>
        <v>0</v>
      </c>
      <c r="L25" s="26">
        <f>IF(Inputs!L51&gt;=Assumptions!$B$107,Assumptions!$B$108,IF('Country Profile'!L27="Yes",Assumptions!$B$109,0))</f>
        <v>0</v>
      </c>
      <c r="M25" s="26">
        <f>IF(Inputs!M51&gt;=Assumptions!$B$107,Assumptions!$B$108,IF('Country Profile'!M27="Yes",Assumptions!$B$109,0))</f>
        <v>0</v>
      </c>
      <c r="N25" s="26">
        <f>IF(Inputs!N51&gt;=Assumptions!$B$107,Assumptions!$B$108,IF('Country Profile'!N27="Yes",Assumptions!$B$109,0))</f>
        <v>0</v>
      </c>
      <c r="O25" s="26">
        <f>IF(Inputs!O51&gt;=Assumptions!$B$107,Assumptions!$B$108,IF('Country Profile'!O27="Yes",Assumptions!$B$109,0))</f>
        <v>0</v>
      </c>
      <c r="P25" s="26">
        <f>IF(Inputs!P51&gt;=Assumptions!$B$107,Assumptions!$B$108,IF('Country Profile'!P27="Yes",Assumptions!$B$109,0))</f>
        <v>0</v>
      </c>
      <c r="Q25" s="26">
        <f>IF(Inputs!Q51&gt;=Assumptions!$B$107,Assumptions!$B$108,IF('Country Profile'!Q27="Yes",Assumptions!$B$109,0))</f>
        <v>0</v>
      </c>
      <c r="R25" s="26">
        <f>IF(Inputs!R51&gt;=Assumptions!$B$107,Assumptions!$B$108,IF('Country Profile'!R27="Yes",Assumptions!$B$109,0))</f>
        <v>90</v>
      </c>
      <c r="S25" s="26">
        <f>IF(Inputs!S51&gt;=Assumptions!$B$107,Assumptions!$B$108,IF('Country Profile'!S27="Yes",Assumptions!$B$109,0))</f>
        <v>0</v>
      </c>
      <c r="T25" s="26">
        <f>IF(Inputs!T51&gt;=Assumptions!$B$107,Assumptions!$B$108,IF('Country Profile'!T27="Yes",Assumptions!$B$109,0))</f>
        <v>0</v>
      </c>
      <c r="U25" s="26">
        <f>IF(Inputs!U51&gt;=Assumptions!$B$107,Assumptions!$B$108,IF('Country Profile'!U27="Yes",Assumptions!$B$109,0))</f>
        <v>0</v>
      </c>
      <c r="V25" s="26">
        <f>IF(Inputs!V51&gt;=Assumptions!$B$107,Assumptions!$B$108,IF('Country Profile'!V27="Yes",Assumptions!$B$109,0))</f>
        <v>0</v>
      </c>
    </row>
    <row r="26">
      <c r="A26" s="7" t="s">
        <v>859</v>
      </c>
      <c r="B26" s="3">
        <v>6.0</v>
      </c>
      <c r="C26" s="7" t="s">
        <v>106</v>
      </c>
      <c r="D26" s="7" t="s">
        <v>865</v>
      </c>
      <c r="E26" s="26">
        <f>IF(Inputs!E61&gt;=3,Assumptions!$B$110,IF('Country Profile'!E28="Yes",Assumptions!$B$111,0))</f>
        <v>0</v>
      </c>
      <c r="F26" s="26">
        <f>IF(Inputs!F61&gt;=3,Assumptions!$B$110,IF('Country Profile'!F28="Yes",Assumptions!$B$111,0))</f>
        <v>0</v>
      </c>
      <c r="G26" s="26">
        <f>IF(Inputs!G61&gt;=3,Assumptions!$B$110,IF('Country Profile'!G28="Yes",Assumptions!$B$111,0))</f>
        <v>0</v>
      </c>
      <c r="H26" s="26">
        <f>IF(Inputs!H61&gt;=3,Assumptions!$B$110,IF('Country Profile'!H28="Yes",Assumptions!$B$111,0))</f>
        <v>0</v>
      </c>
      <c r="I26" s="26">
        <f>IF(Inputs!I61&gt;=3,Assumptions!$B$110,IF('Country Profile'!I28="Yes",Assumptions!$B$111,0))</f>
        <v>0</v>
      </c>
      <c r="J26" s="26">
        <f>IF(Inputs!J61&gt;=3,Assumptions!$B$110,IF('Country Profile'!J28="Yes",Assumptions!$B$111,0))</f>
        <v>0</v>
      </c>
      <c r="K26" s="26">
        <f>IF(Inputs!K61&gt;=3,Assumptions!$B$110,IF('Country Profile'!K28="Yes",Assumptions!$B$111,0))</f>
        <v>0</v>
      </c>
      <c r="L26" s="26">
        <f>IF(Inputs!L61&gt;=3,Assumptions!$B$110,IF('Country Profile'!L28="Yes",Assumptions!$B$111,0))</f>
        <v>0</v>
      </c>
      <c r="M26" s="26">
        <f>IF(Inputs!M61&gt;=3,Assumptions!$B$110,IF('Country Profile'!M28="Yes",Assumptions!$B$111,0))</f>
        <v>85</v>
      </c>
      <c r="N26" s="26">
        <f>IF(Inputs!N61&gt;=3,Assumptions!$B$110,IF('Country Profile'!N28="Yes",Assumptions!$B$111,0))</f>
        <v>0</v>
      </c>
      <c r="O26" s="26">
        <f>IF(Inputs!O61&gt;=3,Assumptions!$B$110,IF('Country Profile'!O28="Yes",Assumptions!$B$111,0))</f>
        <v>0</v>
      </c>
      <c r="P26" s="26">
        <f>IF(Inputs!P61&gt;=3,Assumptions!$B$110,IF('Country Profile'!P28="Yes",Assumptions!$B$111,0))</f>
        <v>0</v>
      </c>
      <c r="Q26" s="26">
        <f>IF(Inputs!Q61&gt;=3,Assumptions!$B$110,IF('Country Profile'!Q28="Yes",Assumptions!$B$111,0))</f>
        <v>0</v>
      </c>
      <c r="R26" s="26">
        <f>IF(Inputs!R61&gt;=3,Assumptions!$B$110,IF('Country Profile'!R28="Yes",Assumptions!$B$111,0))</f>
        <v>0</v>
      </c>
      <c r="S26" s="26">
        <f>IF(Inputs!S61&gt;=3,Assumptions!$B$110,IF('Country Profile'!S28="Yes",Assumptions!$B$111,0))</f>
        <v>85</v>
      </c>
      <c r="T26" s="26">
        <f>IF(Inputs!T61&gt;=3,Assumptions!$B$110,IF('Country Profile'!T28="Yes",Assumptions!$B$111,0))</f>
        <v>0</v>
      </c>
      <c r="U26" s="26">
        <f>IF(Inputs!U61&gt;=3,Assumptions!$B$110,IF('Country Profile'!U28="Yes",Assumptions!$B$111,0))</f>
        <v>0</v>
      </c>
      <c r="V26" s="26">
        <f>IF(Inputs!V61&gt;=3,Assumptions!$B$110,IF('Country Profile'!V28="Yes",Assumptions!$B$111,0))</f>
        <v>0</v>
      </c>
    </row>
    <row r="27">
      <c r="A27" s="7" t="s">
        <v>859</v>
      </c>
      <c r="B27" s="3">
        <v>7.0</v>
      </c>
      <c r="C27" s="7" t="s">
        <v>108</v>
      </c>
      <c r="D27" s="7" t="s">
        <v>866</v>
      </c>
      <c r="E27" s="26">
        <f>IF('Country Profile'!E29="Yes",Assumptions!$B$112,0)</f>
        <v>0</v>
      </c>
      <c r="F27" s="26">
        <f>IF('Country Profile'!F29="Yes",Assumptions!$B$112,0)</f>
        <v>0</v>
      </c>
      <c r="G27" s="26">
        <f>IF('Country Profile'!G29="Yes",Assumptions!$B$112,0)</f>
        <v>0</v>
      </c>
      <c r="H27" s="26">
        <f>IF('Country Profile'!H29="Yes",Assumptions!$B$112,0)</f>
        <v>0</v>
      </c>
      <c r="I27" s="26">
        <f>IF('Country Profile'!I29="Yes",Assumptions!$B$112,0)</f>
        <v>0</v>
      </c>
      <c r="J27" s="26">
        <f>IF('Country Profile'!J29="Yes",Assumptions!$B$112,0)</f>
        <v>0</v>
      </c>
      <c r="K27" s="26">
        <f>IF('Country Profile'!K29="Yes",Assumptions!$B$112,0)</f>
        <v>0</v>
      </c>
      <c r="L27" s="26">
        <f>IF('Country Profile'!L29="Yes",Assumptions!$B$112,0)</f>
        <v>0</v>
      </c>
      <c r="M27" s="26">
        <f>IF('Country Profile'!M29="Yes",Assumptions!$B$112,0)</f>
        <v>0</v>
      </c>
      <c r="N27" s="26">
        <f>IF('Country Profile'!N29="Yes",Assumptions!$B$112,0)</f>
        <v>0</v>
      </c>
      <c r="O27" s="26">
        <f>IF('Country Profile'!O29="Yes",Assumptions!$B$112,0)</f>
        <v>0</v>
      </c>
      <c r="P27" s="26">
        <f>IF('Country Profile'!P29="Yes",Assumptions!$B$112,0)</f>
        <v>0</v>
      </c>
      <c r="Q27" s="26">
        <f>IF('Country Profile'!Q29="Yes",Assumptions!$B$112,0)</f>
        <v>0</v>
      </c>
      <c r="R27" s="26">
        <f>IF('Country Profile'!R29="Yes",Assumptions!$B$112,0)</f>
        <v>0</v>
      </c>
      <c r="S27" s="26">
        <f>IF('Country Profile'!S29="Yes",Assumptions!$B$112,0)</f>
        <v>0</v>
      </c>
      <c r="T27" s="26">
        <f>IF('Country Profile'!T29="Yes",Assumptions!$B$112,0)</f>
        <v>0</v>
      </c>
      <c r="U27" s="26">
        <f>IF('Country Profile'!U29="Yes",Assumptions!$B$112,0)</f>
        <v>0</v>
      </c>
      <c r="V27" s="26">
        <f>IF('Country Profile'!V29="Yes",Assumptions!$B$112,0)</f>
        <v>0</v>
      </c>
    </row>
    <row r="29">
      <c r="A29" s="7" t="s">
        <v>867</v>
      </c>
      <c r="B29" s="3">
        <v>1.0</v>
      </c>
      <c r="C29" s="7" t="s">
        <v>51</v>
      </c>
      <c r="E29" s="11">
        <v>0.0</v>
      </c>
      <c r="F29" s="31">
        <v>0.0</v>
      </c>
      <c r="G29" s="31">
        <v>0.0</v>
      </c>
      <c r="H29" s="31">
        <v>0.0</v>
      </c>
      <c r="I29" s="31">
        <v>0.0</v>
      </c>
      <c r="J29" s="31">
        <v>0.0</v>
      </c>
      <c r="K29" s="31">
        <v>0.0</v>
      </c>
      <c r="L29" s="31">
        <v>0.0</v>
      </c>
      <c r="M29" s="31">
        <v>0.0</v>
      </c>
      <c r="N29" s="31">
        <v>0.0</v>
      </c>
      <c r="O29" s="31">
        <v>0.0</v>
      </c>
      <c r="P29" s="31">
        <v>0.0</v>
      </c>
      <c r="Q29" s="31">
        <v>0.0</v>
      </c>
      <c r="R29" s="31">
        <v>0.0</v>
      </c>
      <c r="S29" s="31">
        <v>0.0</v>
      </c>
      <c r="T29" s="31">
        <v>0.0</v>
      </c>
      <c r="U29" s="31">
        <v>0.0</v>
      </c>
      <c r="V29" s="31">
        <v>0.0</v>
      </c>
    </row>
    <row r="30">
      <c r="A30" s="7" t="s">
        <v>867</v>
      </c>
      <c r="B30" s="3">
        <v>2.0</v>
      </c>
      <c r="C30" s="7" t="s">
        <v>99</v>
      </c>
      <c r="E30" s="11">
        <v>0.0</v>
      </c>
      <c r="F30" s="31">
        <v>0.0</v>
      </c>
      <c r="G30" s="31">
        <v>0.0</v>
      </c>
      <c r="H30" s="31">
        <v>0.0</v>
      </c>
      <c r="I30" s="31">
        <v>0.0</v>
      </c>
      <c r="J30" s="31">
        <v>0.0</v>
      </c>
      <c r="K30" s="31">
        <v>0.0</v>
      </c>
      <c r="L30" s="31">
        <v>0.0</v>
      </c>
      <c r="M30" s="31">
        <v>0.0</v>
      </c>
      <c r="N30" s="31">
        <v>0.0</v>
      </c>
      <c r="O30" s="31">
        <v>0.0</v>
      </c>
      <c r="P30" s="31">
        <v>0.0</v>
      </c>
      <c r="Q30" s="31">
        <v>0.0</v>
      </c>
      <c r="R30" s="31">
        <v>0.0</v>
      </c>
      <c r="S30" s="31">
        <v>0.0</v>
      </c>
      <c r="T30" s="31">
        <v>0.0</v>
      </c>
      <c r="U30" s="31">
        <v>0.0</v>
      </c>
      <c r="V30" s="31">
        <v>0.0</v>
      </c>
    </row>
    <row r="31">
      <c r="A31" s="7" t="s">
        <v>867</v>
      </c>
      <c r="B31" s="3">
        <v>3.0</v>
      </c>
      <c r="C31" s="7" t="s">
        <v>101</v>
      </c>
      <c r="D31" s="7" t="s">
        <v>868</v>
      </c>
      <c r="E31" s="11">
        <v>0.0</v>
      </c>
      <c r="F31" s="31">
        <v>0.0</v>
      </c>
      <c r="G31" s="31">
        <v>0.0</v>
      </c>
      <c r="H31" s="31">
        <v>0.0</v>
      </c>
      <c r="I31" s="31">
        <v>0.0</v>
      </c>
      <c r="J31" s="31">
        <v>0.0</v>
      </c>
      <c r="K31" s="31">
        <v>0.0</v>
      </c>
      <c r="L31" s="31">
        <v>0.0</v>
      </c>
      <c r="M31" s="31">
        <v>0.0</v>
      </c>
      <c r="N31" s="31">
        <v>0.0</v>
      </c>
      <c r="O31" s="31">
        <v>0.0</v>
      </c>
      <c r="P31" s="31">
        <v>0.0</v>
      </c>
      <c r="Q31" s="31">
        <v>0.0</v>
      </c>
      <c r="R31" s="31">
        <v>0.0</v>
      </c>
      <c r="S31" s="31">
        <v>0.0</v>
      </c>
      <c r="T31" s="31">
        <v>0.0</v>
      </c>
      <c r="U31" s="31">
        <v>0.0</v>
      </c>
      <c r="V31" s="31">
        <v>0.0</v>
      </c>
    </row>
    <row r="32">
      <c r="A32" s="7" t="s">
        <v>867</v>
      </c>
      <c r="B32" s="3">
        <v>4.0</v>
      </c>
      <c r="C32" s="7" t="s">
        <v>102</v>
      </c>
      <c r="D32" s="7" t="s">
        <v>869</v>
      </c>
      <c r="E32" s="11">
        <v>0.0</v>
      </c>
      <c r="F32" s="31">
        <v>0.0</v>
      </c>
      <c r="G32" s="31">
        <v>0.0</v>
      </c>
      <c r="H32" s="31">
        <v>0.0</v>
      </c>
      <c r="I32" s="31">
        <v>0.0</v>
      </c>
      <c r="J32" s="31">
        <v>0.0</v>
      </c>
      <c r="K32" s="31">
        <v>0.0</v>
      </c>
      <c r="L32" s="31">
        <v>0.0</v>
      </c>
      <c r="M32" s="31">
        <v>0.0</v>
      </c>
      <c r="N32" s="31">
        <v>0.0</v>
      </c>
      <c r="O32" s="31">
        <v>0.0</v>
      </c>
      <c r="P32" s="31">
        <v>0.0</v>
      </c>
      <c r="Q32" s="31">
        <v>0.0</v>
      </c>
      <c r="R32" s="31">
        <v>0.0</v>
      </c>
      <c r="S32" s="31">
        <v>0.0</v>
      </c>
      <c r="T32" s="31">
        <v>0.0</v>
      </c>
      <c r="U32" s="31">
        <v>0.0</v>
      </c>
      <c r="V32" s="31">
        <v>0.0</v>
      </c>
    </row>
    <row r="33">
      <c r="A33" s="7" t="s">
        <v>867</v>
      </c>
      <c r="B33" s="3">
        <v>5.0</v>
      </c>
      <c r="C33" s="7" t="s">
        <v>103</v>
      </c>
      <c r="E33" s="11">
        <v>0.0</v>
      </c>
      <c r="F33" s="31">
        <v>0.0</v>
      </c>
      <c r="G33" s="31">
        <v>0.0</v>
      </c>
      <c r="H33" s="31">
        <v>0.0</v>
      </c>
      <c r="I33" s="31">
        <v>0.0</v>
      </c>
      <c r="J33" s="31">
        <v>0.0</v>
      </c>
      <c r="K33" s="31">
        <v>0.0</v>
      </c>
      <c r="L33" s="31">
        <v>0.0</v>
      </c>
      <c r="M33" s="31">
        <v>0.0</v>
      </c>
      <c r="N33" s="31">
        <v>0.0</v>
      </c>
      <c r="O33" s="31">
        <v>0.0</v>
      </c>
      <c r="P33" s="31">
        <v>0.0</v>
      </c>
      <c r="Q33" s="31">
        <v>0.0</v>
      </c>
      <c r="R33" s="31">
        <v>0.0</v>
      </c>
      <c r="S33" s="31">
        <v>0.0</v>
      </c>
      <c r="T33" s="31">
        <v>0.0</v>
      </c>
      <c r="U33" s="31">
        <v>0.0</v>
      </c>
      <c r="V33" s="31">
        <v>0.0</v>
      </c>
    </row>
    <row r="34">
      <c r="A34" s="7" t="s">
        <v>867</v>
      </c>
      <c r="B34" s="3">
        <v>6.0</v>
      </c>
      <c r="C34" s="7" t="s">
        <v>106</v>
      </c>
      <c r="E34" s="11">
        <v>0.0</v>
      </c>
      <c r="F34" s="31">
        <v>0.0</v>
      </c>
      <c r="G34" s="31">
        <v>0.0</v>
      </c>
      <c r="H34" s="31">
        <v>0.0</v>
      </c>
      <c r="I34" s="31">
        <v>0.0</v>
      </c>
      <c r="J34" s="31">
        <v>0.0</v>
      </c>
      <c r="K34" s="31">
        <v>0.0</v>
      </c>
      <c r="L34" s="31">
        <v>0.0</v>
      </c>
      <c r="M34" s="31">
        <v>0.0</v>
      </c>
      <c r="N34" s="31">
        <v>0.0</v>
      </c>
      <c r="O34" s="31">
        <v>0.0</v>
      </c>
      <c r="P34" s="31">
        <v>0.0</v>
      </c>
      <c r="Q34" s="31">
        <v>0.0</v>
      </c>
      <c r="R34" s="31">
        <v>0.0</v>
      </c>
      <c r="S34" s="31">
        <v>0.0</v>
      </c>
      <c r="T34" s="31">
        <v>0.0</v>
      </c>
      <c r="U34" s="31">
        <v>0.0</v>
      </c>
      <c r="V34" s="31">
        <v>0.0</v>
      </c>
    </row>
    <row r="35">
      <c r="A35" s="7" t="s">
        <v>867</v>
      </c>
      <c r="B35" s="3">
        <v>7.0</v>
      </c>
      <c r="C35" s="7" t="s">
        <v>108</v>
      </c>
      <c r="D35" s="7" t="s">
        <v>870</v>
      </c>
      <c r="E35" s="11">
        <v>0.0</v>
      </c>
      <c r="F35" s="31">
        <v>0.0</v>
      </c>
      <c r="G35" s="31">
        <v>0.0</v>
      </c>
      <c r="H35" s="31">
        <v>0.0</v>
      </c>
      <c r="I35" s="31">
        <v>0.0</v>
      </c>
      <c r="J35" s="31">
        <v>0.0</v>
      </c>
      <c r="K35" s="31">
        <v>0.0</v>
      </c>
      <c r="L35" s="31">
        <v>0.0</v>
      </c>
      <c r="M35" s="31">
        <v>0.0</v>
      </c>
      <c r="N35" s="31">
        <v>0.0</v>
      </c>
      <c r="O35" s="31">
        <v>0.0</v>
      </c>
      <c r="P35" s="31">
        <v>0.0</v>
      </c>
      <c r="Q35" s="31">
        <v>0.0</v>
      </c>
      <c r="R35" s="31">
        <v>0.0</v>
      </c>
      <c r="S35" s="31">
        <v>0.0</v>
      </c>
      <c r="T35" s="31">
        <v>0.0</v>
      </c>
      <c r="U35" s="31">
        <v>0.0</v>
      </c>
      <c r="V35" s="31">
        <v>0.0</v>
      </c>
    </row>
    <row r="37">
      <c r="A37" s="7" t="s">
        <v>871</v>
      </c>
      <c r="B37" s="3">
        <v>3.0</v>
      </c>
      <c r="C37" s="7" t="s">
        <v>872</v>
      </c>
      <c r="D37" s="7" t="s">
        <v>873</v>
      </c>
      <c r="E37" s="26">
        <f>IF(AND('Country Profile'!E12&gt;=Assumptions!$B$114,'Pillar Scores'!E21&gt;=Assumptions!$B$115),Assumptions!$B$116,0)</f>
        <v>0</v>
      </c>
      <c r="F37" s="26">
        <f>IF(AND('Country Profile'!F12&gt;=Assumptions!$B$114,'Pillar Scores'!F21&gt;=Assumptions!$B$115),Assumptions!$B$116,0)</f>
        <v>0</v>
      </c>
      <c r="G37" s="26">
        <f>IF(AND('Country Profile'!G12&gt;=Assumptions!$B$114,'Pillar Scores'!G21&gt;=Assumptions!$B$115),Assumptions!$B$116,0)</f>
        <v>0</v>
      </c>
      <c r="H37" s="26">
        <f>IF(AND('Country Profile'!H12&gt;=Assumptions!$B$114,'Pillar Scores'!H21&gt;=Assumptions!$B$115),Assumptions!$B$116,0)</f>
        <v>0</v>
      </c>
      <c r="I37" s="26">
        <f>IF(AND('Country Profile'!I12&gt;=Assumptions!$B$114,'Pillar Scores'!I21&gt;=Assumptions!$B$115),Assumptions!$B$116,0)</f>
        <v>0</v>
      </c>
      <c r="J37" s="26">
        <f>IF(AND('Country Profile'!J12&gt;=Assumptions!$B$114,'Pillar Scores'!J21&gt;=Assumptions!$B$115),Assumptions!$B$116,0)</f>
        <v>0</v>
      </c>
      <c r="K37" s="26">
        <f>IF(AND('Country Profile'!K12&gt;=Assumptions!$B$114,'Pillar Scores'!K21&gt;=Assumptions!$B$115),Assumptions!$B$116,0)</f>
        <v>0</v>
      </c>
      <c r="L37" s="26">
        <f>IF(AND('Country Profile'!L12&gt;=Assumptions!$B$114,'Pillar Scores'!L21&gt;=Assumptions!$B$115),Assumptions!$B$116,0)</f>
        <v>0</v>
      </c>
      <c r="M37" s="26">
        <f>IF(AND('Country Profile'!M12&gt;=Assumptions!$B$114,'Pillar Scores'!M21&gt;=Assumptions!$B$115),Assumptions!$B$116,0)</f>
        <v>0</v>
      </c>
      <c r="N37" s="26">
        <f>IF(AND('Country Profile'!N12&gt;=Assumptions!$B$114,'Pillar Scores'!N21&gt;=Assumptions!$B$115),Assumptions!$B$116,0)</f>
        <v>0</v>
      </c>
      <c r="O37" s="26">
        <f>IF(AND('Country Profile'!O12&gt;=Assumptions!$B$114,'Pillar Scores'!O21&gt;=Assumptions!$B$115),Assumptions!$B$116,0)</f>
        <v>0</v>
      </c>
      <c r="P37" s="26">
        <f>IF(AND('Country Profile'!P12&gt;=Assumptions!$B$114,'Pillar Scores'!P21&gt;=Assumptions!$B$115),Assumptions!$B$116,0)</f>
        <v>0</v>
      </c>
      <c r="Q37" s="26">
        <f>IF(AND('Country Profile'!Q12&gt;=Assumptions!$B$114,'Pillar Scores'!Q21&gt;=Assumptions!$B$115),Assumptions!$B$116,0)</f>
        <v>0</v>
      </c>
      <c r="R37" s="26">
        <f>IF(AND('Country Profile'!R12&gt;=Assumptions!$B$114,'Pillar Scores'!R21&gt;=Assumptions!$B$115),Assumptions!$B$116,0)</f>
        <v>0</v>
      </c>
      <c r="S37" s="26">
        <f>IF(AND('Country Profile'!S12&gt;=Assumptions!$B$114,'Pillar Scores'!S21&gt;=Assumptions!$B$115),Assumptions!$B$116,0)</f>
        <v>0</v>
      </c>
      <c r="T37" s="26">
        <f>IF(AND('Country Profile'!T12&gt;=Assumptions!$B$114,'Pillar Scores'!T21&gt;=Assumptions!$B$115),Assumptions!$B$116,0)</f>
        <v>10</v>
      </c>
      <c r="U37" s="26">
        <f>IF(AND('Country Profile'!U12&gt;=Assumptions!$B$114,'Pillar Scores'!U21&gt;=Assumptions!$B$115),Assumptions!$B$116,0)</f>
        <v>10</v>
      </c>
      <c r="V37" s="26">
        <f>IF(AND('Country Profile'!V12&gt;=Assumptions!$B$114,'Pillar Scores'!V21&gt;=Assumptions!$B$115),Assumptions!$B$116,0)</f>
        <v>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21.38"/>
    <col customWidth="1" min="2" max="2" width="7.63"/>
    <col customWidth="1" min="3" max="3" width="37.63"/>
    <col customWidth="1" min="4" max="4" width="32.63"/>
    <col customWidth="1" min="5" max="22" width="11.63"/>
  </cols>
  <sheetData>
    <row r="1">
      <c r="A1" s="2" t="s">
        <v>874</v>
      </c>
    </row>
    <row r="2">
      <c r="A2" s="5" t="s">
        <v>875</v>
      </c>
    </row>
    <row r="4">
      <c r="A4" s="20" t="s">
        <v>853</v>
      </c>
      <c r="B4" s="20" t="s">
        <v>43</v>
      </c>
      <c r="C4" s="20" t="s">
        <v>876</v>
      </c>
      <c r="D4" s="20" t="s">
        <v>877</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7" t="s">
        <v>878</v>
      </c>
      <c r="B5" s="3">
        <v>1.0</v>
      </c>
      <c r="C5" s="7" t="s">
        <v>51</v>
      </c>
      <c r="E5" s="29">
        <f t="array" ref="E5">LET(p,$B5,m,(Rulebook!$B$5:$B$87=p)*ISNUMBER('Indicator Scores'!E$5:E$87),SUMPRODUCT(m,Rulebook!$E$5:$E$87,IF(m,'Indicator Scores'!E$5:E$87,0))/SUMPRODUCT(m,Rulebook!$E$5:$E$87))</f>
        <v>14.05941327</v>
      </c>
      <c r="F5" s="29">
        <f t="array" ref="F5">LET(p,$B5,m,(Rulebook!$B$5:$B$87=p)*ISNUMBER('Indicator Scores'!F$5:F$87),SUMPRODUCT(m,Rulebook!$E$5:$E$87,IF(m,'Indicator Scores'!F$5:F$87,0))/SUMPRODUCT(m,Rulebook!$E$5:$E$87))</f>
        <v>36.9922619</v>
      </c>
      <c r="G5" s="29">
        <f t="array" ref="G5">LET(p,$B5,m,(Rulebook!$B$5:$B$87=p)*ISNUMBER('Indicator Scores'!G$5:G$87),SUMPRODUCT(m,Rulebook!$E$5:$E$87,IF(m,'Indicator Scores'!G$5:G$87,0))/SUMPRODUCT(m,Rulebook!$E$5:$E$87))</f>
        <v>43.061</v>
      </c>
      <c r="H5" s="29">
        <f t="array" ref="H5">LET(p,$B5,m,(Rulebook!$B$5:$B$87=p)*ISNUMBER('Indicator Scores'!H$5:H$87),SUMPRODUCT(m,Rulebook!$E$5:$E$87,IF(m,'Indicator Scores'!H$5:H$87,0))/SUMPRODUCT(m,Rulebook!$E$5:$E$87))</f>
        <v>34.08038095</v>
      </c>
      <c r="I5" s="29">
        <f t="array" ref="I5">LET(p,$B5,m,(Rulebook!$B$5:$B$87=p)*ISNUMBER('Indicator Scores'!I$5:I$87),SUMPRODUCT(m,Rulebook!$E$5:$E$87,IF(m,'Indicator Scores'!I$5:I$87,0))/SUMPRODUCT(m,Rulebook!$E$5:$E$87))</f>
        <v>23.3125</v>
      </c>
      <c r="J5" s="29">
        <f t="array" ref="J5">LET(p,$B5,m,(Rulebook!$B$5:$B$87=p)*ISNUMBER('Indicator Scores'!J$5:J$87),SUMPRODUCT(m,Rulebook!$E$5:$E$87,IF(m,'Indicator Scores'!J$5:J$87,0))/SUMPRODUCT(m,Rulebook!$E$5:$E$87))</f>
        <v>42.5</v>
      </c>
      <c r="K5" s="29">
        <f t="array" ref="K5">LET(p,$B5,m,(Rulebook!$B$5:$B$87=p)*ISNUMBER('Indicator Scores'!K$5:K$87),SUMPRODUCT(m,Rulebook!$E$5:$E$87,IF(m,'Indicator Scores'!K$5:K$87,0))/SUMPRODUCT(m,Rulebook!$E$5:$E$87))</f>
        <v>15.00611565</v>
      </c>
      <c r="L5" s="29">
        <f t="array" ref="L5">LET(p,$B5,m,(Rulebook!$B$5:$B$87=p)*ISNUMBER('Indicator Scores'!L$5:L$87),SUMPRODUCT(m,Rulebook!$E$5:$E$87,IF(m,'Indicator Scores'!L$5:L$87,0))/SUMPRODUCT(m,Rulebook!$E$5:$E$87))</f>
        <v>41.86128423</v>
      </c>
      <c r="M5" s="29">
        <f t="array" ref="M5">LET(p,$B5,m,(Rulebook!$B$5:$B$87=p)*ISNUMBER('Indicator Scores'!M$5:M$87),SUMPRODUCT(m,Rulebook!$E$5:$E$87,IF(m,'Indicator Scores'!M$5:M$87,0))/SUMPRODUCT(m,Rulebook!$E$5:$E$87))</f>
        <v>68.7175</v>
      </c>
      <c r="N5" s="29">
        <f t="array" ref="N5">LET(p,$B5,m,(Rulebook!$B$5:$B$87=p)*ISNUMBER('Indicator Scores'!N$5:N$87),SUMPRODUCT(m,Rulebook!$E$5:$E$87,IF(m,'Indicator Scores'!N$5:N$87,0))/SUMPRODUCT(m,Rulebook!$E$5:$E$87))</f>
        <v>41.62744388</v>
      </c>
      <c r="O5" s="29">
        <f t="array" ref="O5">LET(p,$B5,m,(Rulebook!$B$5:$B$87=p)*ISNUMBER('Indicator Scores'!O$5:O$87),SUMPRODUCT(m,Rulebook!$E$5:$E$87,IF(m,'Indicator Scores'!O$5:O$87,0))/SUMPRODUCT(m,Rulebook!$E$5:$E$87))</f>
        <v>48.32285714</v>
      </c>
      <c r="P5" s="29">
        <f t="array" ref="P5">LET(p,$B5,m,(Rulebook!$B$5:$B$87=p)*ISNUMBER('Indicator Scores'!P$5:P$87),SUMPRODUCT(m,Rulebook!$E$5:$E$87,IF(m,'Indicator Scores'!P$5:P$87,0))/SUMPRODUCT(m,Rulebook!$E$5:$E$87))</f>
        <v>61.62027381</v>
      </c>
      <c r="Q5" s="29">
        <f t="array" ref="Q5">LET(p,$B5,m,(Rulebook!$B$5:$B$87=p)*ISNUMBER('Indicator Scores'!Q$5:Q$87),SUMPRODUCT(m,Rulebook!$E$5:$E$87,IF(m,'Indicator Scores'!Q$5:Q$87,0))/SUMPRODUCT(m,Rulebook!$E$5:$E$87))</f>
        <v>39.88104167</v>
      </c>
      <c r="R5" s="29">
        <f t="array" ref="R5">LET(p,$B5,m,(Rulebook!$B$5:$B$87=p)*ISNUMBER('Indicator Scores'!R$5:R$87),SUMPRODUCT(m,Rulebook!$E$5:$E$87,IF(m,'Indicator Scores'!R$5:R$87,0))/SUMPRODUCT(m,Rulebook!$E$5:$E$87))</f>
        <v>95</v>
      </c>
      <c r="S5" s="29">
        <f t="array" ref="S5">LET(p,$B5,m,(Rulebook!$B$5:$B$87=p)*ISNUMBER('Indicator Scores'!S$5:S$87),SUMPRODUCT(m,Rulebook!$E$5:$E$87,IF(m,'Indicator Scores'!S$5:S$87,0))/SUMPRODUCT(m,Rulebook!$E$5:$E$87))</f>
        <v>55.28918367</v>
      </c>
      <c r="T5" s="29">
        <f t="array" ref="T5">LET(p,$B5,m,(Rulebook!$B$5:$B$87=p)*ISNUMBER('Indicator Scores'!T$5:T$87),SUMPRODUCT(m,Rulebook!$E$5:$E$87,IF(m,'Indicator Scores'!T$5:T$87,0))/SUMPRODUCT(m,Rulebook!$E$5:$E$87))</f>
        <v>77.43333333</v>
      </c>
      <c r="U5" s="29">
        <f t="array" ref="U5">LET(p,$B5,m,(Rulebook!$B$5:$B$87=p)*ISNUMBER('Indicator Scores'!U$5:U$87),SUMPRODUCT(m,Rulebook!$E$5:$E$87,IF(m,'Indicator Scores'!U$5:U$87,0))/SUMPRODUCT(m,Rulebook!$E$5:$E$87))</f>
        <v>59.81666667</v>
      </c>
      <c r="V5" s="29">
        <f t="array" ref="V5">LET(p,$B5,m,(Rulebook!$B$5:$B$87=p)*ISNUMBER('Indicator Scores'!V$5:V$87),SUMPRODUCT(m,Rulebook!$E$5:$E$87,IF(m,'Indicator Scores'!V$5:V$87,0))/SUMPRODUCT(m,Rulebook!$E$5:$E$87))</f>
        <v>69.8172619</v>
      </c>
    </row>
    <row r="6">
      <c r="A6" s="7" t="s">
        <v>878</v>
      </c>
      <c r="B6" s="3">
        <v>2.0</v>
      </c>
      <c r="C6" s="7" t="s">
        <v>99</v>
      </c>
      <c r="E6" s="29">
        <f t="array" ref="E6">LET(p,$B6,m,(Rulebook!$B$5:$B$87=p)*ISNUMBER('Indicator Scores'!E$5:E$87),SUMPRODUCT(m,Rulebook!$E$5:$E$87,IF(m,'Indicator Scores'!E$5:E$87,0))/SUMPRODUCT(m,Rulebook!$E$5:$E$87))</f>
        <v>28.5</v>
      </c>
      <c r="F6" s="29">
        <f t="array" ref="F6">LET(p,$B6,m,(Rulebook!$B$5:$B$87=p)*ISNUMBER('Indicator Scores'!F$5:F$87),SUMPRODUCT(m,Rulebook!$E$5:$E$87,IF(m,'Indicator Scores'!F$5:F$87,0))/SUMPRODUCT(m,Rulebook!$E$5:$E$87))</f>
        <v>16.865625</v>
      </c>
      <c r="G6" s="29">
        <f t="array" ref="G6">LET(p,$B6,m,(Rulebook!$B$5:$B$87=p)*ISNUMBER('Indicator Scores'!G$5:G$87),SUMPRODUCT(m,Rulebook!$E$5:$E$87,IF(m,'Indicator Scores'!G$5:G$87,0))/SUMPRODUCT(m,Rulebook!$E$5:$E$87))</f>
        <v>15.46666667</v>
      </c>
      <c r="H6" s="29">
        <f t="array" ref="H6">LET(p,$B6,m,(Rulebook!$B$5:$B$87=p)*ISNUMBER('Indicator Scores'!H$5:H$87),SUMPRODUCT(m,Rulebook!$E$5:$E$87,IF(m,'Indicator Scores'!H$5:H$87,0))/SUMPRODUCT(m,Rulebook!$E$5:$E$87))</f>
        <v>28.17916667</v>
      </c>
      <c r="I6" s="29">
        <f t="array" ref="I6">LET(p,$B6,m,(Rulebook!$B$5:$B$87=p)*ISNUMBER('Indicator Scores'!I$5:I$87),SUMPRODUCT(m,Rulebook!$E$5:$E$87,IF(m,'Indicator Scores'!I$5:I$87,0))/SUMPRODUCT(m,Rulebook!$E$5:$E$87))</f>
        <v>12</v>
      </c>
      <c r="J6" s="29">
        <f t="array" ref="J6">LET(p,$B6,m,(Rulebook!$B$5:$B$87=p)*ISNUMBER('Indicator Scores'!J$5:J$87),SUMPRODUCT(m,Rulebook!$E$5:$E$87,IF(m,'Indicator Scores'!J$5:J$87,0))/SUMPRODUCT(m,Rulebook!$E$5:$E$87))</f>
        <v>3.583333333</v>
      </c>
      <c r="K6" s="29">
        <f t="array" ref="K6">LET(p,$B6,m,(Rulebook!$B$5:$B$87=p)*ISNUMBER('Indicator Scores'!K$5:K$87),SUMPRODUCT(m,Rulebook!$E$5:$E$87,IF(m,'Indicator Scores'!K$5:K$87,0))/SUMPRODUCT(m,Rulebook!$E$5:$E$87))</f>
        <v>16.16666667</v>
      </c>
      <c r="L6" s="29">
        <f t="array" ref="L6">LET(p,$B6,m,(Rulebook!$B$5:$B$87=p)*ISNUMBER('Indicator Scores'!L$5:L$87),SUMPRODUCT(m,Rulebook!$E$5:$E$87,IF(m,'Indicator Scores'!L$5:L$87,0))/SUMPRODUCT(m,Rulebook!$E$5:$E$87))</f>
        <v>8.3875</v>
      </c>
      <c r="M6" s="29">
        <f t="array" ref="M6">LET(p,$B6,m,(Rulebook!$B$5:$B$87=p)*ISNUMBER('Indicator Scores'!M$5:M$87),SUMPRODUCT(m,Rulebook!$E$5:$E$87,IF(m,'Indicator Scores'!M$5:M$87,0))/SUMPRODUCT(m,Rulebook!$E$5:$E$87))</f>
        <v>58.57291667</v>
      </c>
      <c r="N6" s="29">
        <f t="array" ref="N6">LET(p,$B6,m,(Rulebook!$B$5:$B$87=p)*ISNUMBER('Indicator Scores'!N$5:N$87),SUMPRODUCT(m,Rulebook!$E$5:$E$87,IF(m,'Indicator Scores'!N$5:N$87,0))/SUMPRODUCT(m,Rulebook!$E$5:$E$87))</f>
        <v>47.08333333</v>
      </c>
      <c r="O6" s="29">
        <f t="array" ref="O6">LET(p,$B6,m,(Rulebook!$B$5:$B$87=p)*ISNUMBER('Indicator Scores'!O$5:O$87),SUMPRODUCT(m,Rulebook!$E$5:$E$87,IF(m,'Indicator Scores'!O$5:O$87,0))/SUMPRODUCT(m,Rulebook!$E$5:$E$87))</f>
        <v>16.06145833</v>
      </c>
      <c r="P6" s="29">
        <f t="array" ref="P6">LET(p,$B6,m,(Rulebook!$B$5:$B$87=p)*ISNUMBER('Indicator Scores'!P$5:P$87),SUMPRODUCT(m,Rulebook!$E$5:$E$87,IF(m,'Indicator Scores'!P$5:P$87,0))/SUMPRODUCT(m,Rulebook!$E$5:$E$87))</f>
        <v>70.47172619</v>
      </c>
      <c r="Q6" s="29">
        <f t="array" ref="Q6">LET(p,$B6,m,(Rulebook!$B$5:$B$87=p)*ISNUMBER('Indicator Scores'!Q$5:Q$87),SUMPRODUCT(m,Rulebook!$E$5:$E$87,IF(m,'Indicator Scores'!Q$5:Q$87,0))/SUMPRODUCT(m,Rulebook!$E$5:$E$87))</f>
        <v>29.66666667</v>
      </c>
      <c r="R6" s="29">
        <f t="array" ref="R6">LET(p,$B6,m,(Rulebook!$B$5:$B$87=p)*ISNUMBER('Indicator Scores'!R$5:R$87),SUMPRODUCT(m,Rulebook!$E$5:$E$87,IF(m,'Indicator Scores'!R$5:R$87,0))/SUMPRODUCT(m,Rulebook!$E$5:$E$87))</f>
        <v>86.06770833</v>
      </c>
      <c r="S6" s="29">
        <f t="array" ref="S6">LET(p,$B6,m,(Rulebook!$B$5:$B$87=p)*ISNUMBER('Indicator Scores'!S$5:S$87),SUMPRODUCT(m,Rulebook!$E$5:$E$87,IF(m,'Indicator Scores'!S$5:S$87,0))/SUMPRODUCT(m,Rulebook!$E$5:$E$87))</f>
        <v>39.765625</v>
      </c>
      <c r="T6" s="29">
        <f t="array" ref="T6">LET(p,$B6,m,(Rulebook!$B$5:$B$87=p)*ISNUMBER('Indicator Scores'!T$5:T$87),SUMPRODUCT(m,Rulebook!$E$5:$E$87,IF(m,'Indicator Scores'!T$5:T$87,0))/SUMPRODUCT(m,Rulebook!$E$5:$E$87))</f>
        <v>59.48958333</v>
      </c>
      <c r="U6" s="29">
        <f t="array" ref="U6">LET(p,$B6,m,(Rulebook!$B$5:$B$87=p)*ISNUMBER('Indicator Scores'!U$5:U$87),SUMPRODUCT(m,Rulebook!$E$5:$E$87,IF(m,'Indicator Scores'!U$5:U$87,0))/SUMPRODUCT(m,Rulebook!$E$5:$E$87))</f>
        <v>44.58333333</v>
      </c>
      <c r="V6" s="29">
        <f t="array" ref="V6">LET(p,$B6,m,(Rulebook!$B$5:$B$87=p)*ISNUMBER('Indicator Scores'!V$5:V$87),SUMPRODUCT(m,Rulebook!$E$5:$E$87,IF(m,'Indicator Scores'!V$5:V$87,0))/SUMPRODUCT(m,Rulebook!$E$5:$E$87))</f>
        <v>76.38839286</v>
      </c>
    </row>
    <row r="7">
      <c r="A7" s="7" t="s">
        <v>878</v>
      </c>
      <c r="B7" s="3">
        <v>3.0</v>
      </c>
      <c r="C7" s="7" t="s">
        <v>101</v>
      </c>
      <c r="E7" s="29">
        <f t="array" ref="E7">LET(p,$B7,m,(Rulebook!$B$5:$B$87=p)*ISNUMBER('Indicator Scores'!E$5:E$87),SUMPRODUCT(m,Rulebook!$E$5:$E$87,IF(m,'Indicator Scores'!E$5:E$87,0))/SUMPRODUCT(m,Rulebook!$E$5:$E$87))</f>
        <v>38.58333333</v>
      </c>
      <c r="F7" s="29">
        <f t="array" ref="F7">LET(p,$B7,m,(Rulebook!$B$5:$B$87=p)*ISNUMBER('Indicator Scores'!F$5:F$87),SUMPRODUCT(m,Rulebook!$E$5:$E$87,IF(m,'Indicator Scores'!F$5:F$87,0))/SUMPRODUCT(m,Rulebook!$E$5:$E$87))</f>
        <v>27.5</v>
      </c>
      <c r="G7" s="29">
        <f t="array" ref="G7">LET(p,$B7,m,(Rulebook!$B$5:$B$87=p)*ISNUMBER('Indicator Scores'!G$5:G$87),SUMPRODUCT(m,Rulebook!$E$5:$E$87,IF(m,'Indicator Scores'!G$5:G$87,0))/SUMPRODUCT(m,Rulebook!$E$5:$E$87))</f>
        <v>43.16666667</v>
      </c>
      <c r="H7" s="29">
        <f t="array" ref="H7">LET(p,$B7,m,(Rulebook!$B$5:$B$87=p)*ISNUMBER('Indicator Scores'!H$5:H$87),SUMPRODUCT(m,Rulebook!$E$5:$E$87,IF(m,'Indicator Scores'!H$5:H$87,0))/SUMPRODUCT(m,Rulebook!$E$5:$E$87))</f>
        <v>20.875</v>
      </c>
      <c r="I7" s="29">
        <f t="array" ref="I7">LET(p,$B7,m,(Rulebook!$B$5:$B$87=p)*ISNUMBER('Indicator Scores'!I$5:I$87),SUMPRODUCT(m,Rulebook!$E$5:$E$87,IF(m,'Indicator Scores'!I$5:I$87,0))/SUMPRODUCT(m,Rulebook!$E$5:$E$87))</f>
        <v>8.125</v>
      </c>
      <c r="J7" s="29">
        <f t="array" ref="J7">LET(p,$B7,m,(Rulebook!$B$5:$B$87=p)*ISNUMBER('Indicator Scores'!J$5:J$87),SUMPRODUCT(m,Rulebook!$E$5:$E$87,IF(m,'Indicator Scores'!J$5:J$87,0))/SUMPRODUCT(m,Rulebook!$E$5:$E$87))</f>
        <v>3.75</v>
      </c>
      <c r="K7" s="29">
        <f t="array" ref="K7">LET(p,$B7,m,(Rulebook!$B$5:$B$87=p)*ISNUMBER('Indicator Scores'!K$5:K$87),SUMPRODUCT(m,Rulebook!$E$5:$E$87,IF(m,'Indicator Scores'!K$5:K$87,0))/SUMPRODUCT(m,Rulebook!$E$5:$E$87))</f>
        <v>12.08333333</v>
      </c>
      <c r="L7" s="29">
        <f t="array" ref="L7">LET(p,$B7,m,(Rulebook!$B$5:$B$87=p)*ISNUMBER('Indicator Scores'!L$5:L$87),SUMPRODUCT(m,Rulebook!$E$5:$E$87,IF(m,'Indicator Scores'!L$5:L$87,0))/SUMPRODUCT(m,Rulebook!$E$5:$E$87))</f>
        <v>44.625</v>
      </c>
      <c r="M7" s="29">
        <f t="array" ref="M7">LET(p,$B7,m,(Rulebook!$B$5:$B$87=p)*ISNUMBER('Indicator Scores'!M$5:M$87),SUMPRODUCT(m,Rulebook!$E$5:$E$87,IF(m,'Indicator Scores'!M$5:M$87,0))/SUMPRODUCT(m,Rulebook!$E$5:$E$87))</f>
        <v>57.45833333</v>
      </c>
      <c r="N7" s="29">
        <f t="array" ref="N7">LET(p,$B7,m,(Rulebook!$B$5:$B$87=p)*ISNUMBER('Indicator Scores'!N$5:N$87),SUMPRODUCT(m,Rulebook!$E$5:$E$87,IF(m,'Indicator Scores'!N$5:N$87,0))/SUMPRODUCT(m,Rulebook!$E$5:$E$87))</f>
        <v>56.25</v>
      </c>
      <c r="O7" s="29">
        <f t="array" ref="O7">LET(p,$B7,m,(Rulebook!$B$5:$B$87=p)*ISNUMBER('Indicator Scores'!O$5:O$87),SUMPRODUCT(m,Rulebook!$E$5:$E$87,IF(m,'Indicator Scores'!O$5:O$87,0))/SUMPRODUCT(m,Rulebook!$E$5:$E$87))</f>
        <v>21.75</v>
      </c>
      <c r="P7" s="29">
        <f t="array" ref="P7">LET(p,$B7,m,(Rulebook!$B$5:$B$87=p)*ISNUMBER('Indicator Scores'!P$5:P$87),SUMPRODUCT(m,Rulebook!$E$5:$E$87,IF(m,'Indicator Scores'!P$5:P$87,0))/SUMPRODUCT(m,Rulebook!$E$5:$E$87))</f>
        <v>42.25</v>
      </c>
      <c r="Q7" s="29">
        <f t="array" ref="Q7">LET(p,$B7,m,(Rulebook!$B$5:$B$87=p)*ISNUMBER('Indicator Scores'!Q$5:Q$87),SUMPRODUCT(m,Rulebook!$E$5:$E$87,IF(m,'Indicator Scores'!Q$5:Q$87,0))/SUMPRODUCT(m,Rulebook!$E$5:$E$87))</f>
        <v>27.375</v>
      </c>
      <c r="R7" s="29">
        <f t="array" ref="R7">LET(p,$B7,m,(Rulebook!$B$5:$B$87=p)*ISNUMBER('Indicator Scores'!R$5:R$87),SUMPRODUCT(m,Rulebook!$E$5:$E$87,IF(m,'Indicator Scores'!R$5:R$87,0))/SUMPRODUCT(m,Rulebook!$E$5:$E$87))</f>
        <v>94.16666667</v>
      </c>
      <c r="S7" s="29">
        <f t="array" ref="S7">LET(p,$B7,m,(Rulebook!$B$5:$B$87=p)*ISNUMBER('Indicator Scores'!S$5:S$87),SUMPRODUCT(m,Rulebook!$E$5:$E$87,IF(m,'Indicator Scores'!S$5:S$87,0))/SUMPRODUCT(m,Rulebook!$E$5:$E$87))</f>
        <v>53.54166667</v>
      </c>
      <c r="T7" s="29">
        <f t="array" ref="T7">LET(p,$B7,m,(Rulebook!$B$5:$B$87=p)*ISNUMBER('Indicator Scores'!T$5:T$87),SUMPRODUCT(m,Rulebook!$E$5:$E$87,IF(m,'Indicator Scores'!T$5:T$87,0))/SUMPRODUCT(m,Rulebook!$E$5:$E$87))</f>
        <v>41</v>
      </c>
      <c r="U7" s="29">
        <f t="array" ref="U7">LET(p,$B7,m,(Rulebook!$B$5:$B$87=p)*ISNUMBER('Indicator Scores'!U$5:U$87),SUMPRODUCT(m,Rulebook!$E$5:$E$87,IF(m,'Indicator Scores'!U$5:U$87,0))/SUMPRODUCT(m,Rulebook!$E$5:$E$87))</f>
        <v>47.95833333</v>
      </c>
      <c r="V7" s="29">
        <f t="array" ref="V7">LET(p,$B7,m,(Rulebook!$B$5:$B$87=p)*ISNUMBER('Indicator Scores'!V$5:V$87),SUMPRODUCT(m,Rulebook!$E$5:$E$87,IF(m,'Indicator Scores'!V$5:V$87,0))/SUMPRODUCT(m,Rulebook!$E$5:$E$87))</f>
        <v>74.66666667</v>
      </c>
    </row>
    <row r="8">
      <c r="A8" s="7" t="s">
        <v>878</v>
      </c>
      <c r="B8" s="3">
        <v>4.0</v>
      </c>
      <c r="C8" s="7" t="s">
        <v>102</v>
      </c>
      <c r="E8" s="29">
        <f t="array" ref="E8">LET(p,$B8,m,(Rulebook!$B$5:$B$87=p)*ISNUMBER('Indicator Scores'!E$5:E$87),SUMPRODUCT(m,Rulebook!$E$5:$E$87,IF(m,'Indicator Scores'!E$5:E$87,0))/SUMPRODUCT(m,Rulebook!$E$5:$E$87))</f>
        <v>10</v>
      </c>
      <c r="F8" s="29">
        <f t="array" ref="F8">LET(p,$B8,m,(Rulebook!$B$5:$B$87=p)*ISNUMBER('Indicator Scores'!F$5:F$87),SUMPRODUCT(m,Rulebook!$E$5:$E$87,IF(m,'Indicator Scores'!F$5:F$87,0))/SUMPRODUCT(m,Rulebook!$E$5:$E$87))</f>
        <v>35</v>
      </c>
      <c r="G8" s="29">
        <f t="array" ref="G8">LET(p,$B8,m,(Rulebook!$B$5:$B$87=p)*ISNUMBER('Indicator Scores'!G$5:G$87),SUMPRODUCT(m,Rulebook!$E$5:$E$87,IF(m,'Indicator Scores'!G$5:G$87,0))/SUMPRODUCT(m,Rulebook!$E$5:$E$87))</f>
        <v>21.25</v>
      </c>
      <c r="H8" s="29">
        <f t="array" ref="H8">LET(p,$B8,m,(Rulebook!$B$5:$B$87=p)*ISNUMBER('Indicator Scores'!H$5:H$87),SUMPRODUCT(m,Rulebook!$E$5:$E$87,IF(m,'Indicator Scores'!H$5:H$87,0))/SUMPRODUCT(m,Rulebook!$E$5:$E$87))</f>
        <v>21.25</v>
      </c>
      <c r="I8" s="29">
        <f t="array" ref="I8">LET(p,$B8,m,(Rulebook!$B$5:$B$87=p)*ISNUMBER('Indicator Scores'!I$5:I$87),SUMPRODUCT(m,Rulebook!$E$5:$E$87,IF(m,'Indicator Scores'!I$5:I$87,0))/SUMPRODUCT(m,Rulebook!$E$5:$E$87))</f>
        <v>6.25</v>
      </c>
      <c r="J8" s="29">
        <f t="array" ref="J8">LET(p,$B8,m,(Rulebook!$B$5:$B$87=p)*ISNUMBER('Indicator Scores'!J$5:J$87),SUMPRODUCT(m,Rulebook!$E$5:$E$87,IF(m,'Indicator Scores'!J$5:J$87,0))/SUMPRODUCT(m,Rulebook!$E$5:$E$87))</f>
        <v>11.25</v>
      </c>
      <c r="K8" s="29">
        <f t="array" ref="K8">LET(p,$B8,m,(Rulebook!$B$5:$B$87=p)*ISNUMBER('Indicator Scores'!K$5:K$87),SUMPRODUCT(m,Rulebook!$E$5:$E$87,IF(m,'Indicator Scores'!K$5:K$87,0))/SUMPRODUCT(m,Rulebook!$E$5:$E$87))</f>
        <v>25</v>
      </c>
      <c r="L8" s="29">
        <f t="array" ref="L8">LET(p,$B8,m,(Rulebook!$B$5:$B$87=p)*ISNUMBER('Indicator Scores'!L$5:L$87),SUMPRODUCT(m,Rulebook!$E$5:$E$87,IF(m,'Indicator Scores'!L$5:L$87,0))/SUMPRODUCT(m,Rulebook!$E$5:$E$87))</f>
        <v>21.25</v>
      </c>
      <c r="M8" s="29">
        <f t="array" ref="M8">LET(p,$B8,m,(Rulebook!$B$5:$B$87=p)*ISNUMBER('Indicator Scores'!M$5:M$87),SUMPRODUCT(m,Rulebook!$E$5:$E$87,IF(m,'Indicator Scores'!M$5:M$87,0))/SUMPRODUCT(m,Rulebook!$E$5:$E$87))</f>
        <v>48.75</v>
      </c>
      <c r="N8" s="29">
        <f t="array" ref="N8">LET(p,$B8,m,(Rulebook!$B$5:$B$87=p)*ISNUMBER('Indicator Scores'!N$5:N$87),SUMPRODUCT(m,Rulebook!$E$5:$E$87,IF(m,'Indicator Scores'!N$5:N$87,0))/SUMPRODUCT(m,Rulebook!$E$5:$E$87))</f>
        <v>8.75</v>
      </c>
      <c r="O8" s="29">
        <f t="array" ref="O8">LET(p,$B8,m,(Rulebook!$B$5:$B$87=p)*ISNUMBER('Indicator Scores'!O$5:O$87),SUMPRODUCT(m,Rulebook!$E$5:$E$87,IF(m,'Indicator Scores'!O$5:O$87,0))/SUMPRODUCT(m,Rulebook!$E$5:$E$87))</f>
        <v>42.5</v>
      </c>
      <c r="P8" s="29">
        <f t="array" ref="P8">LET(p,$B8,m,(Rulebook!$B$5:$B$87=p)*ISNUMBER('Indicator Scores'!P$5:P$87),SUMPRODUCT(m,Rulebook!$E$5:$E$87,IF(m,'Indicator Scores'!P$5:P$87,0))/SUMPRODUCT(m,Rulebook!$E$5:$E$87))</f>
        <v>36.25</v>
      </c>
      <c r="Q8" s="29">
        <f t="array" ref="Q8">LET(p,$B8,m,(Rulebook!$B$5:$B$87=p)*ISNUMBER('Indicator Scores'!Q$5:Q$87),SUMPRODUCT(m,Rulebook!$E$5:$E$87,IF(m,'Indicator Scores'!Q$5:Q$87,0))/SUMPRODUCT(m,Rulebook!$E$5:$E$87))</f>
        <v>30</v>
      </c>
      <c r="R8" s="29">
        <f t="array" ref="R8">LET(p,$B8,m,(Rulebook!$B$5:$B$87=p)*ISNUMBER('Indicator Scores'!R$5:R$87),SUMPRODUCT(m,Rulebook!$E$5:$E$87,IF(m,'Indicator Scores'!R$5:R$87,0))/SUMPRODUCT(m,Rulebook!$E$5:$E$87))</f>
        <v>68.75</v>
      </c>
      <c r="S8" s="29">
        <f t="array" ref="S8">LET(p,$B8,m,(Rulebook!$B$5:$B$87=p)*ISNUMBER('Indicator Scores'!S$5:S$87),SUMPRODUCT(m,Rulebook!$E$5:$E$87,IF(m,'Indicator Scores'!S$5:S$87,0))/SUMPRODUCT(m,Rulebook!$E$5:$E$87))</f>
        <v>45</v>
      </c>
      <c r="T8" s="29">
        <f t="array" ref="T8">LET(p,$B8,m,(Rulebook!$B$5:$B$87=p)*ISNUMBER('Indicator Scores'!T$5:T$87),SUMPRODUCT(m,Rulebook!$E$5:$E$87,IF(m,'Indicator Scores'!T$5:T$87,0))/SUMPRODUCT(m,Rulebook!$E$5:$E$87))</f>
        <v>37.5</v>
      </c>
      <c r="U8" s="29">
        <f t="array" ref="U8">LET(p,$B8,m,(Rulebook!$B$5:$B$87=p)*ISNUMBER('Indicator Scores'!U$5:U$87),SUMPRODUCT(m,Rulebook!$E$5:$E$87,IF(m,'Indicator Scores'!U$5:U$87,0))/SUMPRODUCT(m,Rulebook!$E$5:$E$87))</f>
        <v>22.5</v>
      </c>
      <c r="V8" s="29">
        <f t="array" ref="V8">LET(p,$B8,m,(Rulebook!$B$5:$B$87=p)*ISNUMBER('Indicator Scores'!V$5:V$87),SUMPRODUCT(m,Rulebook!$E$5:$E$87,IF(m,'Indicator Scores'!V$5:V$87,0))/SUMPRODUCT(m,Rulebook!$E$5:$E$87))</f>
        <v>48.75</v>
      </c>
    </row>
    <row r="9">
      <c r="A9" s="7" t="s">
        <v>878</v>
      </c>
      <c r="B9" s="3">
        <v>5.0</v>
      </c>
      <c r="C9" s="7" t="s">
        <v>103</v>
      </c>
      <c r="E9" s="29">
        <f t="array" ref="E9">LET(p,$B9,m,(Rulebook!$B$5:$B$87=p)*ISNUMBER('Indicator Scores'!E$5:E$87),SUMPRODUCT(m,Rulebook!$E$5:$E$87,IF(m,'Indicator Scores'!E$5:E$87,0))/SUMPRODUCT(m,Rulebook!$E$5:$E$87))</f>
        <v>25.37797619</v>
      </c>
      <c r="F9" s="29">
        <f t="array" ref="F9">LET(p,$B9,m,(Rulebook!$B$5:$B$87=p)*ISNUMBER('Indicator Scores'!F$5:F$87),SUMPRODUCT(m,Rulebook!$E$5:$E$87,IF(m,'Indicator Scores'!F$5:F$87,0))/SUMPRODUCT(m,Rulebook!$E$5:$E$87))</f>
        <v>18.98214286</v>
      </c>
      <c r="G9" s="29">
        <f t="array" ref="G9">LET(p,$B9,m,(Rulebook!$B$5:$B$87=p)*ISNUMBER('Indicator Scores'!G$5:G$87),SUMPRODUCT(m,Rulebook!$E$5:$E$87,IF(m,'Indicator Scores'!G$5:G$87,0))/SUMPRODUCT(m,Rulebook!$E$5:$E$87))</f>
        <v>31.010725</v>
      </c>
      <c r="H9" s="29">
        <f t="array" ref="H9">LET(p,$B9,m,(Rulebook!$B$5:$B$87=p)*ISNUMBER('Indicator Scores'!H$5:H$87),SUMPRODUCT(m,Rulebook!$E$5:$E$87,IF(m,'Indicator Scores'!H$5:H$87,0))/SUMPRODUCT(m,Rulebook!$E$5:$E$87))</f>
        <v>21.29166667</v>
      </c>
      <c r="I9" s="29">
        <f t="array" ref="I9">LET(p,$B9,m,(Rulebook!$B$5:$B$87=p)*ISNUMBER('Indicator Scores'!I$5:I$87),SUMPRODUCT(m,Rulebook!$E$5:$E$87,IF(m,'Indicator Scores'!I$5:I$87,0))/SUMPRODUCT(m,Rulebook!$E$5:$E$87))</f>
        <v>17.83333333</v>
      </c>
      <c r="J9" s="29">
        <f t="array" ref="J9">LET(p,$B9,m,(Rulebook!$B$5:$B$87=p)*ISNUMBER('Indicator Scores'!J$5:J$87),SUMPRODUCT(m,Rulebook!$E$5:$E$87,IF(m,'Indicator Scores'!J$5:J$87,0))/SUMPRODUCT(m,Rulebook!$E$5:$E$87))</f>
        <v>22.3125</v>
      </c>
      <c r="K9" s="29">
        <f t="array" ref="K9">LET(p,$B9,m,(Rulebook!$B$5:$B$87=p)*ISNUMBER('Indicator Scores'!K$5:K$87),SUMPRODUCT(m,Rulebook!$E$5:$E$87,IF(m,'Indicator Scores'!K$5:K$87,0))/SUMPRODUCT(m,Rulebook!$E$5:$E$87))</f>
        <v>19.375</v>
      </c>
      <c r="L9" s="29">
        <f t="array" ref="L9">LET(p,$B9,m,(Rulebook!$B$5:$B$87=p)*ISNUMBER('Indicator Scores'!L$5:L$87),SUMPRODUCT(m,Rulebook!$E$5:$E$87,IF(m,'Indicator Scores'!L$5:L$87,0))/SUMPRODUCT(m,Rulebook!$E$5:$E$87))</f>
        <v>22.83630952</v>
      </c>
      <c r="M9" s="29">
        <f t="array" ref="M9">LET(p,$B9,m,(Rulebook!$B$5:$B$87=p)*ISNUMBER('Indicator Scores'!M$5:M$87),SUMPRODUCT(m,Rulebook!$E$5:$E$87,IF(m,'Indicator Scores'!M$5:M$87,0))/SUMPRODUCT(m,Rulebook!$E$5:$E$87))</f>
        <v>35.08333333</v>
      </c>
      <c r="N9" s="29">
        <f t="array" ref="N9">LET(p,$B9,m,(Rulebook!$B$5:$B$87=p)*ISNUMBER('Indicator Scores'!N$5:N$87),SUMPRODUCT(m,Rulebook!$E$5:$E$87,IF(m,'Indicator Scores'!N$5:N$87,0))/SUMPRODUCT(m,Rulebook!$E$5:$E$87))</f>
        <v>19.48219444</v>
      </c>
      <c r="O9" s="29">
        <f t="array" ref="O9">LET(p,$B9,m,(Rulebook!$B$5:$B$87=p)*ISNUMBER('Indicator Scores'!O$5:O$87),SUMPRODUCT(m,Rulebook!$E$5:$E$87,IF(m,'Indicator Scores'!O$5:O$87,0))/SUMPRODUCT(m,Rulebook!$E$5:$E$87))</f>
        <v>36.79483333</v>
      </c>
      <c r="P9" s="29">
        <f t="array" ref="P9">LET(p,$B9,m,(Rulebook!$B$5:$B$87=p)*ISNUMBER('Indicator Scores'!P$5:P$87),SUMPRODUCT(m,Rulebook!$E$5:$E$87,IF(m,'Indicator Scores'!P$5:P$87,0))/SUMPRODUCT(m,Rulebook!$E$5:$E$87))</f>
        <v>45.99820833</v>
      </c>
      <c r="Q9" s="29">
        <f t="array" ref="Q9">LET(p,$B9,m,(Rulebook!$B$5:$B$87=p)*ISNUMBER('Indicator Scores'!Q$5:Q$87),SUMPRODUCT(m,Rulebook!$E$5:$E$87,IF(m,'Indicator Scores'!Q$5:Q$87,0))/SUMPRODUCT(m,Rulebook!$E$5:$E$87))</f>
        <v>30.34368056</v>
      </c>
      <c r="R9" s="29">
        <f t="array" ref="R9">LET(p,$B9,m,(Rulebook!$B$5:$B$87=p)*ISNUMBER('Indicator Scores'!R$5:R$87),SUMPRODUCT(m,Rulebook!$E$5:$E$87,IF(m,'Indicator Scores'!R$5:R$87,0))/SUMPRODUCT(m,Rulebook!$E$5:$E$87))</f>
        <v>70.89285714</v>
      </c>
      <c r="S9" s="29">
        <f t="array" ref="S9">LET(p,$B9,m,(Rulebook!$B$5:$B$87=p)*ISNUMBER('Indicator Scores'!S$5:S$87),SUMPRODUCT(m,Rulebook!$E$5:$E$87,IF(m,'Indicator Scores'!S$5:S$87,0))/SUMPRODUCT(m,Rulebook!$E$5:$E$87))</f>
        <v>49.75</v>
      </c>
      <c r="T9" s="29">
        <f t="array" ref="T9">LET(p,$B9,m,(Rulebook!$B$5:$B$87=p)*ISNUMBER('Indicator Scores'!T$5:T$87),SUMPRODUCT(m,Rulebook!$E$5:$E$87,IF(m,'Indicator Scores'!T$5:T$87,0))/SUMPRODUCT(m,Rulebook!$E$5:$E$87))</f>
        <v>23.79166667</v>
      </c>
      <c r="U9" s="29">
        <f t="array" ref="U9">LET(p,$B9,m,(Rulebook!$B$5:$B$87=p)*ISNUMBER('Indicator Scores'!U$5:U$87),SUMPRODUCT(m,Rulebook!$E$5:$E$87,IF(m,'Indicator Scores'!U$5:U$87,0))/SUMPRODUCT(m,Rulebook!$E$5:$E$87))</f>
        <v>45.95833333</v>
      </c>
      <c r="V9" s="29">
        <f t="array" ref="V9">LET(p,$B9,m,(Rulebook!$B$5:$B$87=p)*ISNUMBER('Indicator Scores'!V$5:V$87),SUMPRODUCT(m,Rulebook!$E$5:$E$87,IF(m,'Indicator Scores'!V$5:V$87,0))/SUMPRODUCT(m,Rulebook!$E$5:$E$87))</f>
        <v>60.72916667</v>
      </c>
    </row>
    <row r="10">
      <c r="A10" s="7" t="s">
        <v>878</v>
      </c>
      <c r="B10" s="3">
        <v>6.0</v>
      </c>
      <c r="C10" s="7" t="s">
        <v>106</v>
      </c>
      <c r="E10" s="29">
        <f t="array" ref="E10">LET(p,$B10,m,(Rulebook!$B$5:$B$87=p)*ISNUMBER('Indicator Scores'!E$5:E$87),SUMPRODUCT(m,Rulebook!$E$5:$E$87,IF(m,'Indicator Scores'!E$5:E$87,0))/SUMPRODUCT(m,Rulebook!$E$5:$E$87))</f>
        <v>9.166666667</v>
      </c>
      <c r="F10" s="29">
        <f t="array" ref="F10">LET(p,$B10,m,(Rulebook!$B$5:$B$87=p)*ISNUMBER('Indicator Scores'!F$5:F$87),SUMPRODUCT(m,Rulebook!$E$5:$E$87,IF(m,'Indicator Scores'!F$5:F$87,0))/SUMPRODUCT(m,Rulebook!$E$5:$E$87))</f>
        <v>31.04166667</v>
      </c>
      <c r="G10" s="29">
        <f t="array" ref="G10">LET(p,$B10,m,(Rulebook!$B$5:$B$87=p)*ISNUMBER('Indicator Scores'!G$5:G$87),SUMPRODUCT(m,Rulebook!$E$5:$E$87,IF(m,'Indicator Scores'!G$5:G$87,0))/SUMPRODUCT(m,Rulebook!$E$5:$E$87))</f>
        <v>20.5</v>
      </c>
      <c r="H10" s="29">
        <f t="array" ref="H10">LET(p,$B10,m,(Rulebook!$B$5:$B$87=p)*ISNUMBER('Indicator Scores'!H$5:H$87),SUMPRODUCT(m,Rulebook!$E$5:$E$87,IF(m,'Indicator Scores'!H$5:H$87,0))/SUMPRODUCT(m,Rulebook!$E$5:$E$87))</f>
        <v>11.04166667</v>
      </c>
      <c r="I10" s="29">
        <f t="array" ref="I10">LET(p,$B10,m,(Rulebook!$B$5:$B$87=p)*ISNUMBER('Indicator Scores'!I$5:I$87),SUMPRODUCT(m,Rulebook!$E$5:$E$87,IF(m,'Indicator Scores'!I$5:I$87,0))/SUMPRODUCT(m,Rulebook!$E$5:$E$87))</f>
        <v>4.375</v>
      </c>
      <c r="J10" s="29">
        <f t="array" ref="J10">LET(p,$B10,m,(Rulebook!$B$5:$B$87=p)*ISNUMBER('Indicator Scores'!J$5:J$87),SUMPRODUCT(m,Rulebook!$E$5:$E$87,IF(m,'Indicator Scores'!J$5:J$87,0))/SUMPRODUCT(m,Rulebook!$E$5:$E$87))</f>
        <v>4</v>
      </c>
      <c r="K10" s="29">
        <f t="array" ref="K10">LET(p,$B10,m,(Rulebook!$B$5:$B$87=p)*ISNUMBER('Indicator Scores'!K$5:K$87),SUMPRODUCT(m,Rulebook!$E$5:$E$87,IF(m,'Indicator Scores'!K$5:K$87,0))/SUMPRODUCT(m,Rulebook!$E$5:$E$87))</f>
        <v>6.416666667</v>
      </c>
      <c r="L10" s="29">
        <f t="array" ref="L10">LET(p,$B10,m,(Rulebook!$B$5:$B$87=p)*ISNUMBER('Indicator Scores'!L$5:L$87),SUMPRODUCT(m,Rulebook!$E$5:$E$87,IF(m,'Indicator Scores'!L$5:L$87,0))/SUMPRODUCT(m,Rulebook!$E$5:$E$87))</f>
        <v>33.91666667</v>
      </c>
      <c r="M10" s="29">
        <f t="array" ref="M10">LET(p,$B10,m,(Rulebook!$B$5:$B$87=p)*ISNUMBER('Indicator Scores'!M$5:M$87),SUMPRODUCT(m,Rulebook!$E$5:$E$87,IF(m,'Indicator Scores'!M$5:M$87,0))/SUMPRODUCT(m,Rulebook!$E$5:$E$87))</f>
        <v>51.08333333</v>
      </c>
      <c r="N10" s="29">
        <f t="array" ref="N10">LET(p,$B10,m,(Rulebook!$B$5:$B$87=p)*ISNUMBER('Indicator Scores'!N$5:N$87),SUMPRODUCT(m,Rulebook!$E$5:$E$87,IF(m,'Indicator Scores'!N$5:N$87,0))/SUMPRODUCT(m,Rulebook!$E$5:$E$87))</f>
        <v>30.41666667</v>
      </c>
      <c r="O10" s="29">
        <f t="array" ref="O10">LET(p,$B10,m,(Rulebook!$B$5:$B$87=p)*ISNUMBER('Indicator Scores'!O$5:O$87),SUMPRODUCT(m,Rulebook!$E$5:$E$87,IF(m,'Indicator Scores'!O$5:O$87,0))/SUMPRODUCT(m,Rulebook!$E$5:$E$87))</f>
        <v>40.83333333</v>
      </c>
      <c r="P10" s="29">
        <f t="array" ref="P10">LET(p,$B10,m,(Rulebook!$B$5:$B$87=p)*ISNUMBER('Indicator Scores'!P$5:P$87),SUMPRODUCT(m,Rulebook!$E$5:$E$87,IF(m,'Indicator Scores'!P$5:P$87,0))/SUMPRODUCT(m,Rulebook!$E$5:$E$87))</f>
        <v>17.5</v>
      </c>
      <c r="Q10" s="29">
        <f t="array" ref="Q10">LET(p,$B10,m,(Rulebook!$B$5:$B$87=p)*ISNUMBER('Indicator Scores'!Q$5:Q$87),SUMPRODUCT(m,Rulebook!$E$5:$E$87,IF(m,'Indicator Scores'!Q$5:Q$87,0))/SUMPRODUCT(m,Rulebook!$E$5:$E$87))</f>
        <v>62.38095238</v>
      </c>
      <c r="R10" s="29">
        <f t="array" ref="R10">LET(p,$B10,m,(Rulebook!$B$5:$B$87=p)*ISNUMBER('Indicator Scores'!R$5:R$87),SUMPRODUCT(m,Rulebook!$E$5:$E$87,IF(m,'Indicator Scores'!R$5:R$87,0))/SUMPRODUCT(m,Rulebook!$E$5:$E$87))</f>
        <v>50.20833333</v>
      </c>
      <c r="S10" s="29">
        <f t="array" ref="S10">LET(p,$B10,m,(Rulebook!$B$5:$B$87=p)*ISNUMBER('Indicator Scores'!S$5:S$87),SUMPRODUCT(m,Rulebook!$E$5:$E$87,IF(m,'Indicator Scores'!S$5:S$87,0))/SUMPRODUCT(m,Rulebook!$E$5:$E$87))</f>
        <v>59.875</v>
      </c>
      <c r="T10" s="29">
        <f t="array" ref="T10">LET(p,$B10,m,(Rulebook!$B$5:$B$87=p)*ISNUMBER('Indicator Scores'!T$5:T$87),SUMPRODUCT(m,Rulebook!$E$5:$E$87,IF(m,'Indicator Scores'!T$5:T$87,0))/SUMPRODUCT(m,Rulebook!$E$5:$E$87))</f>
        <v>10.66666667</v>
      </c>
      <c r="U10" s="29">
        <f t="array" ref="U10">LET(p,$B10,m,(Rulebook!$B$5:$B$87=p)*ISNUMBER('Indicator Scores'!U$5:U$87),SUMPRODUCT(m,Rulebook!$E$5:$E$87,IF(m,'Indicator Scores'!U$5:U$87,0))/SUMPRODUCT(m,Rulebook!$E$5:$E$87))</f>
        <v>23.75</v>
      </c>
      <c r="V10" s="29">
        <f t="array" ref="V10">LET(p,$B10,m,(Rulebook!$B$5:$B$87=p)*ISNUMBER('Indicator Scores'!V$5:V$87),SUMPRODUCT(m,Rulebook!$E$5:$E$87,IF(m,'Indicator Scores'!V$5:V$87,0))/SUMPRODUCT(m,Rulebook!$E$5:$E$87))</f>
        <v>28.45833333</v>
      </c>
    </row>
    <row r="11">
      <c r="A11" s="7" t="s">
        <v>878</v>
      </c>
      <c r="B11" s="3">
        <v>7.0</v>
      </c>
      <c r="C11" s="7" t="s">
        <v>108</v>
      </c>
      <c r="E11" s="29">
        <f t="array" ref="E11">LET(p,$B11,m,(Rulebook!$B$5:$B$87=p)*ISNUMBER('Indicator Scores'!E$5:E$87),SUMPRODUCT(m,Rulebook!$E$5:$E$87,IF(m,'Indicator Scores'!E$5:E$87,0))/SUMPRODUCT(m,Rulebook!$E$5:$E$87))</f>
        <v>47.62061404</v>
      </c>
      <c r="F11" s="29">
        <f t="array" ref="F11">LET(p,$B11,m,(Rulebook!$B$5:$B$87=p)*ISNUMBER('Indicator Scores'!F$5:F$87),SUMPRODUCT(m,Rulebook!$E$5:$E$87,IF(m,'Indicator Scores'!F$5:F$87,0))/SUMPRODUCT(m,Rulebook!$E$5:$E$87))</f>
        <v>48.13095238</v>
      </c>
      <c r="G11" s="29">
        <f t="array" ref="G11">LET(p,$B11,m,(Rulebook!$B$5:$B$87=p)*ISNUMBER('Indicator Scores'!G$5:G$87),SUMPRODUCT(m,Rulebook!$E$5:$E$87,IF(m,'Indicator Scores'!G$5:G$87,0))/SUMPRODUCT(m,Rulebook!$E$5:$E$87))</f>
        <v>25.53306343</v>
      </c>
      <c r="H11" s="29">
        <f t="array" ref="H11">LET(p,$B11,m,(Rulebook!$B$5:$B$87=p)*ISNUMBER('Indicator Scores'!H$5:H$87),SUMPRODUCT(m,Rulebook!$E$5:$E$87,IF(m,'Indicator Scores'!H$5:H$87,0))/SUMPRODUCT(m,Rulebook!$E$5:$E$87))</f>
        <v>25.57692308</v>
      </c>
      <c r="I11" s="29">
        <f t="array" ref="I11">LET(p,$B11,m,(Rulebook!$B$5:$B$87=p)*ISNUMBER('Indicator Scores'!I$5:I$87),SUMPRODUCT(m,Rulebook!$E$5:$E$87,IF(m,'Indicator Scores'!I$5:I$87,0))/SUMPRODUCT(m,Rulebook!$E$5:$E$87))</f>
        <v>11.40350877</v>
      </c>
      <c r="J11" s="29">
        <f t="array" ref="J11">LET(p,$B11,m,(Rulebook!$B$5:$B$87=p)*ISNUMBER('Indicator Scores'!J$5:J$87),SUMPRODUCT(m,Rulebook!$E$5:$E$87,IF(m,'Indicator Scores'!J$5:J$87,0))/SUMPRODUCT(m,Rulebook!$E$5:$E$87))</f>
        <v>26.14035088</v>
      </c>
      <c r="K11" s="29">
        <f t="array" ref="K11">LET(p,$B11,m,(Rulebook!$B$5:$B$87=p)*ISNUMBER('Indicator Scores'!K$5:K$87),SUMPRODUCT(m,Rulebook!$E$5:$E$87,IF(m,'Indicator Scores'!K$5:K$87,0))/SUMPRODUCT(m,Rulebook!$E$5:$E$87))</f>
        <v>8.552631579</v>
      </c>
      <c r="L11" s="29">
        <f t="array" ref="L11">LET(p,$B11,m,(Rulebook!$B$5:$B$87=p)*ISNUMBER('Indicator Scores'!L$5:L$87),SUMPRODUCT(m,Rulebook!$E$5:$E$87,IF(m,'Indicator Scores'!L$5:L$87,0))/SUMPRODUCT(m,Rulebook!$E$5:$E$87))</f>
        <v>38.29573935</v>
      </c>
      <c r="M11" s="29">
        <f t="array" ref="M11">LET(p,$B11,m,(Rulebook!$B$5:$B$87=p)*ISNUMBER('Indicator Scores'!M$5:M$87),SUMPRODUCT(m,Rulebook!$E$5:$E$87,IF(m,'Indicator Scores'!M$5:M$87,0))/SUMPRODUCT(m,Rulebook!$E$5:$E$87))</f>
        <v>58.58239348</v>
      </c>
      <c r="N11" s="29">
        <f t="array" ref="N11">LET(p,$B11,m,(Rulebook!$B$5:$B$87=p)*ISNUMBER('Indicator Scores'!N$5:N$87),SUMPRODUCT(m,Rulebook!$E$5:$E$87,IF(m,'Indicator Scores'!N$5:N$87,0))/SUMPRODUCT(m,Rulebook!$E$5:$E$87))</f>
        <v>62.21428571</v>
      </c>
      <c r="O11" s="29">
        <f t="array" ref="O11">LET(p,$B11,m,(Rulebook!$B$5:$B$87=p)*ISNUMBER('Indicator Scores'!O$5:O$87),SUMPRODUCT(m,Rulebook!$E$5:$E$87,IF(m,'Indicator Scores'!O$5:O$87,0))/SUMPRODUCT(m,Rulebook!$E$5:$E$87))</f>
        <v>24.96288799</v>
      </c>
      <c r="P11" s="29">
        <f t="array" ref="P11">LET(p,$B11,m,(Rulebook!$B$5:$B$87=p)*ISNUMBER('Indicator Scores'!P$5:P$87),SUMPRODUCT(m,Rulebook!$E$5:$E$87,IF(m,'Indicator Scores'!P$5:P$87,0))/SUMPRODUCT(m,Rulebook!$E$5:$E$87))</f>
        <v>28.95074224</v>
      </c>
      <c r="Q11" s="29">
        <f t="array" ref="Q11">LET(p,$B11,m,(Rulebook!$B$5:$B$87=p)*ISNUMBER('Indicator Scores'!Q$5:Q$87),SUMPRODUCT(m,Rulebook!$E$5:$E$87,IF(m,'Indicator Scores'!Q$5:Q$87,0))/SUMPRODUCT(m,Rulebook!$E$5:$E$87))</f>
        <v>29.33653846</v>
      </c>
      <c r="R11" s="29">
        <f t="array" ref="R11">LET(p,$B11,m,(Rulebook!$B$5:$B$87=p)*ISNUMBER('Indicator Scores'!R$5:R$87),SUMPRODUCT(m,Rulebook!$E$5:$E$87,IF(m,'Indicator Scores'!R$5:R$87,0))/SUMPRODUCT(m,Rulebook!$E$5:$E$87))</f>
        <v>41.14035088</v>
      </c>
      <c r="S11" s="29">
        <f t="array" ref="S11">LET(p,$B11,m,(Rulebook!$B$5:$B$87=p)*ISNUMBER('Indicator Scores'!S$5:S$87),SUMPRODUCT(m,Rulebook!$E$5:$E$87,IF(m,'Indicator Scores'!S$5:S$87,0))/SUMPRODUCT(m,Rulebook!$E$5:$E$87))</f>
        <v>47.36842105</v>
      </c>
      <c r="T11" s="29">
        <f t="array" ref="T11">LET(p,$B11,m,(Rulebook!$B$5:$B$87=p)*ISNUMBER('Indicator Scores'!T$5:T$87),SUMPRODUCT(m,Rulebook!$E$5:$E$87,IF(m,'Indicator Scores'!T$5:T$87,0))/SUMPRODUCT(m,Rulebook!$E$5:$E$87))</f>
        <v>42.1875</v>
      </c>
      <c r="U11" s="29">
        <f t="array" ref="U11">LET(p,$B11,m,(Rulebook!$B$5:$B$87=p)*ISNUMBER('Indicator Scores'!U$5:U$87),SUMPRODUCT(m,Rulebook!$E$5:$E$87,IF(m,'Indicator Scores'!U$5:U$87,0))/SUMPRODUCT(m,Rulebook!$E$5:$E$87))</f>
        <v>49.22149123</v>
      </c>
      <c r="V11" s="29">
        <f t="array" ref="V11">LET(p,$B11,m,(Rulebook!$B$5:$B$87=p)*ISNUMBER('Indicator Scores'!V$5:V$87),SUMPRODUCT(m,Rulebook!$E$5:$E$87,IF(m,'Indicator Scores'!V$5:V$87,0))/SUMPRODUCT(m,Rulebook!$E$5:$E$87))</f>
        <v>56.74342105</v>
      </c>
    </row>
    <row r="12">
      <c r="E12" s="29"/>
      <c r="F12" s="29"/>
      <c r="G12" s="29"/>
      <c r="H12" s="29"/>
      <c r="I12" s="29"/>
      <c r="J12" s="29"/>
      <c r="K12" s="29"/>
      <c r="L12" s="29"/>
      <c r="M12" s="29"/>
      <c r="N12" s="29"/>
      <c r="O12" s="29"/>
      <c r="P12" s="29"/>
      <c r="Q12" s="29"/>
      <c r="R12" s="29"/>
      <c r="S12" s="29"/>
      <c r="T12" s="29"/>
      <c r="U12" s="29"/>
      <c r="V12" s="29"/>
    </row>
    <row r="13">
      <c r="A13" s="7" t="s">
        <v>1180</v>
      </c>
      <c r="B13" s="3">
        <v>1.0</v>
      </c>
      <c r="C13" s="7" t="s">
        <v>51</v>
      </c>
      <c r="E13" s="29">
        <f>IFERROR(__xludf.DUMMYFUNCTION("IFERROR(MAX(FILTER('Indicator Scores'!E$5:E$87,Rulebook!$B$5:$B$87=$B13,ISNUMBER('Indicator Scores'!E$5:E$87),Rulebook!$E$5:$E$87&gt;=Assumptions!$B$5)),0)"),50.0)</f>
        <v>50</v>
      </c>
      <c r="F13" s="29">
        <f>IFERROR(__xludf.DUMMYFUNCTION("IFERROR(MAX(FILTER('Indicator Scores'!F$5:F$87,Rulebook!$B$5:$B$87=$B13,ISNUMBER('Indicator Scores'!F$5:F$87),Rulebook!$E$5:$E$87&gt;=Assumptions!$B$5)),0)"),66.66666666666667)</f>
        <v>66.66666667</v>
      </c>
      <c r="G13" s="29">
        <f>IFERROR(__xludf.DUMMYFUNCTION("IFERROR(MAX(FILTER('Indicator Scores'!G$5:G$87,Rulebook!$B$5:$B$87=$B13,ISNUMBER('Indicator Scores'!G$5:G$87),Rulebook!$E$5:$E$87&gt;=Assumptions!$B$5)),0)"),100.0)</f>
        <v>100</v>
      </c>
      <c r="H13" s="29">
        <f>IFERROR(__xludf.DUMMYFUNCTION("IFERROR(MAX(FILTER('Indicator Scores'!H$5:H$87,Rulebook!$B$5:$B$87=$B13,ISNUMBER('Indicator Scores'!H$5:H$87),Rulebook!$E$5:$E$87&gt;=Assumptions!$B$5)),0)"),64.54489795918366)</f>
        <v>64.54489796</v>
      </c>
      <c r="I13" s="29">
        <f>IFERROR(__xludf.DUMMYFUNCTION("IFERROR(MAX(FILTER('Indicator Scores'!I$5:I$87,Rulebook!$B$5:$B$87=$B13,ISNUMBER('Indicator Scores'!I$5:I$87),Rulebook!$E$5:$E$87&gt;=Assumptions!$B$5)),0)"),100.0)</f>
        <v>100</v>
      </c>
      <c r="J13" s="29">
        <f>IFERROR(__xludf.DUMMYFUNCTION("IFERROR(MAX(FILTER('Indicator Scores'!J$5:J$87,Rulebook!$B$5:$B$87=$B13,ISNUMBER('Indicator Scores'!J$5:J$87),Rulebook!$E$5:$E$87&gt;=Assumptions!$B$5)),0)"),100.0)</f>
        <v>100</v>
      </c>
      <c r="K13" s="29">
        <f>IFERROR(__xludf.DUMMYFUNCTION("IFERROR(MAX(FILTER('Indicator Scores'!K$5:K$87,Rulebook!$B$5:$B$87=$B13,ISNUMBER('Indicator Scores'!K$5:K$87),Rulebook!$E$5:$E$87&gt;=Assumptions!$B$5)),0)"),50.0)</f>
        <v>50</v>
      </c>
      <c r="L13" s="29">
        <f>IFERROR(__xludf.DUMMYFUNCTION("IFERROR(MAX(FILTER('Indicator Scores'!L$5:L$87,Rulebook!$B$5:$B$87=$B13,ISNUMBER('Indicator Scores'!L$5:L$87),Rulebook!$E$5:$E$87&gt;=Assumptions!$B$5)),0)"),82.53985969387755)</f>
        <v>82.53985969</v>
      </c>
      <c r="M13" s="29">
        <f>IFERROR(__xludf.DUMMYFUNCTION("IFERROR(MAX(FILTER('Indicator Scores'!M$5:M$87,Rulebook!$B$5:$B$87=$B13,ISNUMBER('Indicator Scores'!M$5:M$87),Rulebook!$E$5:$E$87&gt;=Assumptions!$B$5)),0)"),100.0)</f>
        <v>100</v>
      </c>
      <c r="N13" s="29">
        <f>IFERROR(__xludf.DUMMYFUNCTION("IFERROR(MAX(FILTER('Indicator Scores'!N$5:N$87,Rulebook!$B$5:$B$87=$B13,ISNUMBER('Indicator Scores'!N$5:N$87),Rulebook!$E$5:$E$87&gt;=Assumptions!$B$5)),0)"),100.0)</f>
        <v>100</v>
      </c>
      <c r="O13" s="29">
        <f>IFERROR(__xludf.DUMMYFUNCTION("IFERROR(MAX(FILTER('Indicator Scores'!O$5:O$87,Rulebook!$B$5:$B$87=$B13,ISNUMBER('Indicator Scores'!O$5:O$87),Rulebook!$E$5:$E$87&gt;=Assumptions!$B$5)),0)"),100.0)</f>
        <v>100</v>
      </c>
      <c r="P13" s="29">
        <f>IFERROR(__xludf.DUMMYFUNCTION("IFERROR(MAX(FILTER('Indicator Scores'!P$5:P$87,Rulebook!$B$5:$B$87=$B13,ISNUMBER('Indicator Scores'!P$5:P$87),Rulebook!$E$5:$E$87&gt;=Assumptions!$B$5)),0)"),100.0)</f>
        <v>100</v>
      </c>
      <c r="Q13" s="29">
        <f>IFERROR(__xludf.DUMMYFUNCTION("IFERROR(MAX(FILTER('Indicator Scores'!Q$5:Q$87,Rulebook!$B$5:$B$87=$B13,ISNUMBER('Indicator Scores'!Q$5:Q$87),Rulebook!$E$5:$E$87&gt;=Assumptions!$B$5)),0)"),58.333333333333336)</f>
        <v>58.33333333</v>
      </c>
      <c r="R13" s="29">
        <f>IFERROR(__xludf.DUMMYFUNCTION("IFERROR(MAX(FILTER('Indicator Scores'!R$5:R$87,Rulebook!$B$5:$B$87=$B13,ISNUMBER('Indicator Scores'!R$5:R$87),Rulebook!$E$5:$E$87&gt;=Assumptions!$B$5)),0)"),100.0)</f>
        <v>100</v>
      </c>
      <c r="S13" s="29">
        <f>IFERROR(__xludf.DUMMYFUNCTION("IFERROR(MAX(FILTER('Indicator Scores'!S$5:S$87,Rulebook!$B$5:$B$87=$B13,ISNUMBER('Indicator Scores'!S$5:S$87),Rulebook!$E$5:$E$87&gt;=Assumptions!$B$5)),0)"),100.0)</f>
        <v>100</v>
      </c>
      <c r="T13" s="29">
        <f>IFERROR(__xludf.DUMMYFUNCTION("IFERROR(MAX(FILTER('Indicator Scores'!T$5:T$87,Rulebook!$B$5:$B$87=$B13,ISNUMBER('Indicator Scores'!T$5:T$87),Rulebook!$E$5:$E$87&gt;=Assumptions!$B$5)),0)"),100.0)</f>
        <v>100</v>
      </c>
      <c r="U13" s="29">
        <f>IFERROR(__xludf.DUMMYFUNCTION("IFERROR(MAX(FILTER('Indicator Scores'!U$5:U$87,Rulebook!$B$5:$B$87=$B13,ISNUMBER('Indicator Scores'!U$5:U$87),Rulebook!$E$5:$E$87&gt;=Assumptions!$B$5)),0)"),100.0)</f>
        <v>100</v>
      </c>
      <c r="V13" s="29">
        <f>IFERROR(__xludf.DUMMYFUNCTION("IFERROR(MAX(FILTER('Indicator Scores'!V$5:V$87,Rulebook!$B$5:$B$87=$B13,ISNUMBER('Indicator Scores'!V$5:V$87),Rulebook!$E$5:$E$87&gt;=Assumptions!$B$5)),0)"),100.0)</f>
        <v>100</v>
      </c>
    </row>
    <row r="14">
      <c r="A14" s="7" t="s">
        <v>1180</v>
      </c>
      <c r="B14" s="3">
        <v>2.0</v>
      </c>
      <c r="C14" s="7" t="s">
        <v>99</v>
      </c>
      <c r="E14" s="29">
        <f>IFERROR(__xludf.DUMMYFUNCTION("IFERROR(MAX(FILTER('Indicator Scores'!E$5:E$87,Rulebook!$B$5:$B$87=$B14,ISNUMBER('Indicator Scores'!E$5:E$87),Rulebook!$E$5:$E$87&gt;=Assumptions!$B$5)),0)"),75.0)</f>
        <v>75</v>
      </c>
      <c r="F14" s="29">
        <f>IFERROR(__xludf.DUMMYFUNCTION("IFERROR(MAX(FILTER('Indicator Scores'!F$5:F$87,Rulebook!$B$5:$B$87=$B14,ISNUMBER('Indicator Scores'!F$5:F$87),Rulebook!$E$5:$E$87&gt;=Assumptions!$B$5)),0)"),50.0)</f>
        <v>50</v>
      </c>
      <c r="G14" s="29">
        <f>IFERROR(__xludf.DUMMYFUNCTION("IFERROR(MAX(FILTER('Indicator Scores'!G$5:G$87,Rulebook!$B$5:$B$87=$B14,ISNUMBER('Indicator Scores'!G$5:G$87),Rulebook!$E$5:$E$87&gt;=Assumptions!$B$5)),0)"),75.0)</f>
        <v>75</v>
      </c>
      <c r="H14" s="29">
        <f>IFERROR(__xludf.DUMMYFUNCTION("IFERROR(MAX(FILTER('Indicator Scores'!H$5:H$87,Rulebook!$B$5:$B$87=$B14,ISNUMBER('Indicator Scores'!H$5:H$87),Rulebook!$E$5:$E$87&gt;=Assumptions!$B$5)),0)"),60.0)</f>
        <v>60</v>
      </c>
      <c r="I14" s="29">
        <f>IFERROR(__xludf.DUMMYFUNCTION("IFERROR(MAX(FILTER('Indicator Scores'!I$5:I$87,Rulebook!$B$5:$B$87=$B14,ISNUMBER('Indicator Scores'!I$5:I$87),Rulebook!$E$5:$E$87&gt;=Assumptions!$B$5)),0)"),41.66666666666667)</f>
        <v>41.66666667</v>
      </c>
      <c r="J14" s="29">
        <f>IFERROR(__xludf.DUMMYFUNCTION("IFERROR(MAX(FILTER('Indicator Scores'!J$5:J$87,Rulebook!$B$5:$B$87=$B14,ISNUMBER('Indicator Scores'!J$5:J$87),Rulebook!$E$5:$E$87&gt;=Assumptions!$B$5)),0)"),8.333333333333334)</f>
        <v>8.333333333</v>
      </c>
      <c r="K14" s="29">
        <f>IFERROR(__xludf.DUMMYFUNCTION("IFERROR(MAX(FILTER('Indicator Scores'!K$5:K$87,Rulebook!$B$5:$B$87=$B14,ISNUMBER('Indicator Scores'!K$5:K$87),Rulebook!$E$5:$E$87&gt;=Assumptions!$B$5)),0)"),50.0)</f>
        <v>50</v>
      </c>
      <c r="L14" s="29">
        <f>IFERROR(__xludf.DUMMYFUNCTION("IFERROR(MAX(FILTER('Indicator Scores'!L$5:L$87,Rulebook!$B$5:$B$87=$B14,ISNUMBER('Indicator Scores'!L$5:L$87),Rulebook!$E$5:$E$87&gt;=Assumptions!$B$5)),0)"),25.0)</f>
        <v>25</v>
      </c>
      <c r="M14" s="29">
        <f>IFERROR(__xludf.DUMMYFUNCTION("IFERROR(MAX(FILTER('Indicator Scores'!M$5:M$87,Rulebook!$B$5:$B$87=$B14,ISNUMBER('Indicator Scores'!M$5:M$87),Rulebook!$E$5:$E$87&gt;=Assumptions!$B$5)),0)"),100.0)</f>
        <v>100</v>
      </c>
      <c r="N14" s="29">
        <f>IFERROR(__xludf.DUMMYFUNCTION("IFERROR(MAX(FILTER('Indicator Scores'!N$5:N$87,Rulebook!$B$5:$B$87=$B14,ISNUMBER('Indicator Scores'!N$5:N$87),Rulebook!$E$5:$E$87&gt;=Assumptions!$B$5)),0)"),100.0)</f>
        <v>100</v>
      </c>
      <c r="O14" s="29">
        <f>IFERROR(__xludf.DUMMYFUNCTION("IFERROR(MAX(FILTER('Indicator Scores'!O$5:O$87,Rulebook!$B$5:$B$87=$B14,ISNUMBER('Indicator Scores'!O$5:O$87),Rulebook!$E$5:$E$87&gt;=Assumptions!$B$5)),0)"),60.0)</f>
        <v>60</v>
      </c>
      <c r="P14" s="29">
        <f>IFERROR(__xludf.DUMMYFUNCTION("IFERROR(MAX(FILTER('Indicator Scores'!P$5:P$87,Rulebook!$B$5:$B$87=$B14,ISNUMBER('Indicator Scores'!P$5:P$87),Rulebook!$E$5:$E$87&gt;=Assumptions!$B$5)),0)"),100.0)</f>
        <v>100</v>
      </c>
      <c r="Q14" s="29">
        <f>IFERROR(__xludf.DUMMYFUNCTION("IFERROR(MAX(FILTER('Indicator Scores'!Q$5:Q$87,Rulebook!$B$5:$B$87=$B14,ISNUMBER('Indicator Scores'!Q$5:Q$87),Rulebook!$E$5:$E$87&gt;=Assumptions!$B$5)),0)"),50.0)</f>
        <v>50</v>
      </c>
      <c r="R14" s="29">
        <f>IFERROR(__xludf.DUMMYFUNCTION("IFERROR(MAX(FILTER('Indicator Scores'!R$5:R$87,Rulebook!$B$5:$B$87=$B14,ISNUMBER('Indicator Scores'!R$5:R$87),Rulebook!$E$5:$E$87&gt;=Assumptions!$B$5)),0)"),100.0)</f>
        <v>100</v>
      </c>
      <c r="S14" s="29">
        <f>IFERROR(__xludf.DUMMYFUNCTION("IFERROR(MAX(FILTER('Indicator Scores'!S$5:S$87,Rulebook!$B$5:$B$87=$B14,ISNUMBER('Indicator Scores'!S$5:S$87),Rulebook!$E$5:$E$87&gt;=Assumptions!$B$5)),0)"),60.0)</f>
        <v>60</v>
      </c>
      <c r="T14" s="29">
        <f>IFERROR(__xludf.DUMMYFUNCTION("IFERROR(MAX(FILTER('Indicator Scores'!T$5:T$87,Rulebook!$B$5:$B$87=$B14,ISNUMBER('Indicator Scores'!T$5:T$87),Rulebook!$E$5:$E$87&gt;=Assumptions!$B$5)),0)"),100.0)</f>
        <v>100</v>
      </c>
      <c r="U14" s="29">
        <f>IFERROR(__xludf.DUMMYFUNCTION("IFERROR(MAX(FILTER('Indicator Scores'!U$5:U$87,Rulebook!$B$5:$B$87=$B14,ISNUMBER('Indicator Scores'!U$5:U$87),Rulebook!$E$5:$E$87&gt;=Assumptions!$B$5)),0)"),80.0)</f>
        <v>80</v>
      </c>
      <c r="V14" s="29">
        <f>IFERROR(__xludf.DUMMYFUNCTION("IFERROR(MAX(FILTER('Indicator Scores'!V$5:V$87,Rulebook!$B$5:$B$87=$B14,ISNUMBER('Indicator Scores'!V$5:V$87),Rulebook!$E$5:$E$87&gt;=Assumptions!$B$5)),0)"),100.0)</f>
        <v>100</v>
      </c>
    </row>
    <row r="15">
      <c r="A15" s="7" t="s">
        <v>1180</v>
      </c>
      <c r="B15" s="3">
        <v>3.0</v>
      </c>
      <c r="C15" s="7" t="s">
        <v>101</v>
      </c>
      <c r="E15" s="29">
        <f>IFERROR(__xludf.DUMMYFUNCTION("IFERROR(MAX(FILTER('Indicator Scores'!E$5:E$87,Rulebook!$B$5:$B$87=$B15,ISNUMBER('Indicator Scores'!E$5:E$87),Rulebook!$E$5:$E$87&gt;=Assumptions!$B$5)),0)"),83.33333333333333)</f>
        <v>83.33333333</v>
      </c>
      <c r="F15" s="29">
        <f>IFERROR(__xludf.DUMMYFUNCTION("IFERROR(MAX(FILTER('Indicator Scores'!F$5:F$87,Rulebook!$B$5:$B$87=$B15,ISNUMBER('Indicator Scores'!F$5:F$87),Rulebook!$E$5:$E$87&gt;=Assumptions!$B$5)),0)"),62.5)</f>
        <v>62.5</v>
      </c>
      <c r="G15" s="29">
        <f>IFERROR(__xludf.DUMMYFUNCTION("IFERROR(MAX(FILTER('Indicator Scores'!G$5:G$87,Rulebook!$B$5:$B$87=$B15,ISNUMBER('Indicator Scores'!G$5:G$87),Rulebook!$E$5:$E$87&gt;=Assumptions!$B$5)),0)"),100.0)</f>
        <v>100</v>
      </c>
      <c r="H15" s="29">
        <f>IFERROR(__xludf.DUMMYFUNCTION("IFERROR(MAX(FILTER('Indicator Scores'!H$5:H$87,Rulebook!$B$5:$B$87=$B15,ISNUMBER('Indicator Scores'!H$5:H$87),Rulebook!$E$5:$E$87&gt;=Assumptions!$B$5)),0)"),37.5)</f>
        <v>37.5</v>
      </c>
      <c r="I15" s="29">
        <f>IFERROR(__xludf.DUMMYFUNCTION("IFERROR(MAX(FILTER('Indicator Scores'!I$5:I$87,Rulebook!$B$5:$B$87=$B15,ISNUMBER('Indicator Scores'!I$5:I$87),Rulebook!$E$5:$E$87&gt;=Assumptions!$B$5)),0)"),43.74999999999999)</f>
        <v>43.75</v>
      </c>
      <c r="J15" s="29">
        <f>IFERROR(__xludf.DUMMYFUNCTION("IFERROR(MAX(FILTER('Indicator Scores'!J$5:J$87,Rulebook!$B$5:$B$87=$B15,ISNUMBER('Indicator Scores'!J$5:J$87),Rulebook!$E$5:$E$87&gt;=Assumptions!$B$5)),0)"),25.0)</f>
        <v>25</v>
      </c>
      <c r="K15" s="29">
        <f>IFERROR(__xludf.DUMMYFUNCTION("IFERROR(MAX(FILTER('Indicator Scores'!K$5:K$87,Rulebook!$B$5:$B$87=$B15,ISNUMBER('Indicator Scores'!K$5:K$87),Rulebook!$E$5:$E$87&gt;=Assumptions!$B$5)),0)"),33.333333333333336)</f>
        <v>33.33333333</v>
      </c>
      <c r="L15" s="29">
        <f>IFERROR(__xludf.DUMMYFUNCTION("IFERROR(MAX(FILTER('Indicator Scores'!L$5:L$87,Rulebook!$B$5:$B$87=$B15,ISNUMBER('Indicator Scores'!L$5:L$87),Rulebook!$E$5:$E$87&gt;=Assumptions!$B$5)),0)"),75.0)</f>
        <v>75</v>
      </c>
      <c r="M15" s="29">
        <f>IFERROR(__xludf.DUMMYFUNCTION("IFERROR(MAX(FILTER('Indicator Scores'!M$5:M$87,Rulebook!$B$5:$B$87=$B15,ISNUMBER('Indicator Scores'!M$5:M$87),Rulebook!$E$5:$E$87&gt;=Assumptions!$B$5)),0)"),80.0)</f>
        <v>80</v>
      </c>
      <c r="N15" s="29">
        <f>IFERROR(__xludf.DUMMYFUNCTION("IFERROR(MAX(FILTER('Indicator Scores'!N$5:N$87,Rulebook!$B$5:$B$87=$B15,ISNUMBER('Indicator Scores'!N$5:N$87),Rulebook!$E$5:$E$87&gt;=Assumptions!$B$5)),0)"),75.0)</f>
        <v>75</v>
      </c>
      <c r="O15" s="29">
        <f>IFERROR(__xludf.DUMMYFUNCTION("IFERROR(MAX(FILTER('Indicator Scores'!O$5:O$87,Rulebook!$B$5:$B$87=$B15,ISNUMBER('Indicator Scores'!O$5:O$87),Rulebook!$E$5:$E$87&gt;=Assumptions!$B$5)),0)"),55.00000000000001)</f>
        <v>55</v>
      </c>
      <c r="P15" s="29">
        <f>IFERROR(__xludf.DUMMYFUNCTION("IFERROR(MAX(FILTER('Indicator Scores'!P$5:P$87,Rulebook!$B$5:$B$87=$B15,ISNUMBER('Indicator Scores'!P$5:P$87),Rulebook!$E$5:$E$87&gt;=Assumptions!$B$5)),0)"),75.0)</f>
        <v>75</v>
      </c>
      <c r="Q15" s="29">
        <f>IFERROR(__xludf.DUMMYFUNCTION("IFERROR(MAX(FILTER('Indicator Scores'!Q$5:Q$87,Rulebook!$B$5:$B$87=$B15,ISNUMBER('Indicator Scores'!Q$5:Q$87),Rulebook!$E$5:$E$87&gt;=Assumptions!$B$5)),0)"),55.00000000000001)</f>
        <v>55</v>
      </c>
      <c r="R15" s="29">
        <f>IFERROR(__xludf.DUMMYFUNCTION("IFERROR(MAX(FILTER('Indicator Scores'!R$5:R$87,Rulebook!$B$5:$B$87=$B15,ISNUMBER('Indicator Scores'!R$5:R$87),Rulebook!$E$5:$E$87&gt;=Assumptions!$B$5)),0)"),100.0)</f>
        <v>100</v>
      </c>
      <c r="S15" s="29">
        <f>IFERROR(__xludf.DUMMYFUNCTION("IFERROR(MAX(FILTER('Indicator Scores'!S$5:S$87,Rulebook!$B$5:$B$87=$B15,ISNUMBER('Indicator Scores'!S$5:S$87),Rulebook!$E$5:$E$87&gt;=Assumptions!$B$5)),0)"),91.66666666666667)</f>
        <v>91.66666667</v>
      </c>
      <c r="T15" s="29">
        <f>IFERROR(__xludf.DUMMYFUNCTION("IFERROR(MAX(FILTER('Indicator Scores'!T$5:T$87,Rulebook!$B$5:$B$87=$B15,ISNUMBER('Indicator Scores'!T$5:T$87),Rulebook!$E$5:$E$87&gt;=Assumptions!$B$5)),0)"),100.0)</f>
        <v>100</v>
      </c>
      <c r="U15" s="29">
        <f>IFERROR(__xludf.DUMMYFUNCTION("IFERROR(MAX(FILTER('Indicator Scores'!U$5:U$87,Rulebook!$B$5:$B$87=$B15,ISNUMBER('Indicator Scores'!U$5:U$87),Rulebook!$E$5:$E$87&gt;=Assumptions!$B$5)),0)"),75.0)</f>
        <v>75</v>
      </c>
      <c r="V15" s="29">
        <f>IFERROR(__xludf.DUMMYFUNCTION("IFERROR(MAX(FILTER('Indicator Scores'!V$5:V$87,Rulebook!$B$5:$B$87=$B15,ISNUMBER('Indicator Scores'!V$5:V$87),Rulebook!$E$5:$E$87&gt;=Assumptions!$B$5)),0)"),100.0)</f>
        <v>100</v>
      </c>
    </row>
    <row r="16">
      <c r="A16" s="7" t="s">
        <v>1180</v>
      </c>
      <c r="B16" s="3">
        <v>4.0</v>
      </c>
      <c r="C16" s="7" t="s">
        <v>102</v>
      </c>
      <c r="E16" s="29">
        <f>IFERROR(__xludf.DUMMYFUNCTION("IFERROR(MAX(FILTER('Indicator Scores'!E$5:E$87,Rulebook!$B$5:$B$87=$B16,ISNUMBER('Indicator Scores'!E$5:E$87),Rulebook!$E$5:$E$87&gt;=Assumptions!$B$5)),0)"),25.0)</f>
        <v>25</v>
      </c>
      <c r="F16" s="29">
        <f>IFERROR(__xludf.DUMMYFUNCTION("IFERROR(MAX(FILTER('Indicator Scores'!F$5:F$87,Rulebook!$B$5:$B$87=$B16,ISNUMBER('Indicator Scores'!F$5:F$87),Rulebook!$E$5:$E$87&gt;=Assumptions!$B$5)),0)"),100.0)</f>
        <v>100</v>
      </c>
      <c r="G16" s="29">
        <f>IFERROR(__xludf.DUMMYFUNCTION("IFERROR(MAX(FILTER('Indicator Scores'!G$5:G$87,Rulebook!$B$5:$B$87=$B16,ISNUMBER('Indicator Scores'!G$5:G$87),Rulebook!$E$5:$E$87&gt;=Assumptions!$B$5)),0)"),75.0)</f>
        <v>75</v>
      </c>
      <c r="H16" s="29">
        <f>IFERROR(__xludf.DUMMYFUNCTION("IFERROR(MAX(FILTER('Indicator Scores'!H$5:H$87,Rulebook!$B$5:$B$87=$B16,ISNUMBER('Indicator Scores'!H$5:H$87),Rulebook!$E$5:$E$87&gt;=Assumptions!$B$5)),0)"),75.0)</f>
        <v>75</v>
      </c>
      <c r="I16" s="29">
        <f>IFERROR(__xludf.DUMMYFUNCTION("IFERROR(MAX(FILTER('Indicator Scores'!I$5:I$87,Rulebook!$B$5:$B$87=$B16,ISNUMBER('Indicator Scores'!I$5:I$87),Rulebook!$E$5:$E$87&gt;=Assumptions!$B$5)),0)"),50.0)</f>
        <v>50</v>
      </c>
      <c r="J16" s="29">
        <f>IFERROR(__xludf.DUMMYFUNCTION("IFERROR(MAX(FILTER('Indicator Scores'!J$5:J$87,Rulebook!$B$5:$B$87=$B16,ISNUMBER('Indicator Scores'!J$5:J$87),Rulebook!$E$5:$E$87&gt;=Assumptions!$B$5)),0)"),50.0)</f>
        <v>50</v>
      </c>
      <c r="K16" s="29">
        <f>IFERROR(__xludf.DUMMYFUNCTION("IFERROR(MAX(FILTER('Indicator Scores'!K$5:K$87,Rulebook!$B$5:$B$87=$B16,ISNUMBER('Indicator Scores'!K$5:K$87),Rulebook!$E$5:$E$87&gt;=Assumptions!$B$5)),0)"),75.0)</f>
        <v>75</v>
      </c>
      <c r="L16" s="29">
        <f>IFERROR(__xludf.DUMMYFUNCTION("IFERROR(MAX(FILTER('Indicator Scores'!L$5:L$87,Rulebook!$B$5:$B$87=$B16,ISNUMBER('Indicator Scores'!L$5:L$87),Rulebook!$E$5:$E$87&gt;=Assumptions!$B$5)),0)"),75.0)</f>
        <v>75</v>
      </c>
      <c r="M16" s="29">
        <f>IFERROR(__xludf.DUMMYFUNCTION("IFERROR(MAX(FILTER('Indicator Scores'!M$5:M$87,Rulebook!$B$5:$B$87=$B16,ISNUMBER('Indicator Scores'!M$5:M$87),Rulebook!$E$5:$E$87&gt;=Assumptions!$B$5)),0)"),100.0)</f>
        <v>100</v>
      </c>
      <c r="N16" s="29">
        <f>IFERROR(__xludf.DUMMYFUNCTION("IFERROR(MAX(FILTER('Indicator Scores'!N$5:N$87,Rulebook!$B$5:$B$87=$B16,ISNUMBER('Indicator Scores'!N$5:N$87),Rulebook!$E$5:$E$87&gt;=Assumptions!$B$5)),0)"),25.0)</f>
        <v>25</v>
      </c>
      <c r="O16" s="29">
        <f>IFERROR(__xludf.DUMMYFUNCTION("IFERROR(MAX(FILTER('Indicator Scores'!O$5:O$87,Rulebook!$B$5:$B$87=$B16,ISNUMBER('Indicator Scores'!O$5:O$87),Rulebook!$E$5:$E$87&gt;=Assumptions!$B$5)),0)"),100.0)</f>
        <v>100</v>
      </c>
      <c r="P16" s="29">
        <f>IFERROR(__xludf.DUMMYFUNCTION("IFERROR(MAX(FILTER('Indicator Scores'!P$5:P$87,Rulebook!$B$5:$B$87=$B16,ISNUMBER('Indicator Scores'!P$5:P$87),Rulebook!$E$5:$E$87&gt;=Assumptions!$B$5)),0)"),75.0)</f>
        <v>75</v>
      </c>
      <c r="Q16" s="29">
        <f>IFERROR(__xludf.DUMMYFUNCTION("IFERROR(MAX(FILTER('Indicator Scores'!Q$5:Q$87,Rulebook!$B$5:$B$87=$B16,ISNUMBER('Indicator Scores'!Q$5:Q$87),Rulebook!$E$5:$E$87&gt;=Assumptions!$B$5)),0)"),75.0)</f>
        <v>75</v>
      </c>
      <c r="R16" s="29">
        <f>IFERROR(__xludf.DUMMYFUNCTION("IFERROR(MAX(FILTER('Indicator Scores'!R$5:R$87,Rulebook!$B$5:$B$87=$B16,ISNUMBER('Indicator Scores'!R$5:R$87),Rulebook!$E$5:$E$87&gt;=Assumptions!$B$5)),0)"),100.0)</f>
        <v>100</v>
      </c>
      <c r="S16" s="29">
        <f>IFERROR(__xludf.DUMMYFUNCTION("IFERROR(MAX(FILTER('Indicator Scores'!S$5:S$87,Rulebook!$B$5:$B$87=$B16,ISNUMBER('Indicator Scores'!S$5:S$87),Rulebook!$E$5:$E$87&gt;=Assumptions!$B$5)),0)"),75.0)</f>
        <v>75</v>
      </c>
      <c r="T16" s="29">
        <f>IFERROR(__xludf.DUMMYFUNCTION("IFERROR(MAX(FILTER('Indicator Scores'!T$5:T$87,Rulebook!$B$5:$B$87=$B16,ISNUMBER('Indicator Scores'!T$5:T$87),Rulebook!$E$5:$E$87&gt;=Assumptions!$B$5)),0)"),75.0)</f>
        <v>75</v>
      </c>
      <c r="U16" s="29">
        <f>IFERROR(__xludf.DUMMYFUNCTION("IFERROR(MAX(FILTER('Indicator Scores'!U$5:U$87,Rulebook!$B$5:$B$87=$B16,ISNUMBER('Indicator Scores'!U$5:U$87),Rulebook!$E$5:$E$87&gt;=Assumptions!$B$5)),0)"),75.0)</f>
        <v>75</v>
      </c>
      <c r="V16" s="29">
        <f>IFERROR(__xludf.DUMMYFUNCTION("IFERROR(MAX(FILTER('Indicator Scores'!V$5:V$87,Rulebook!$B$5:$B$87=$B16,ISNUMBER('Indicator Scores'!V$5:V$87),Rulebook!$E$5:$E$87&gt;=Assumptions!$B$5)),0)"),100.0)</f>
        <v>100</v>
      </c>
    </row>
    <row r="17">
      <c r="A17" s="7" t="s">
        <v>1180</v>
      </c>
      <c r="B17" s="3">
        <v>5.0</v>
      </c>
      <c r="C17" s="7" t="s">
        <v>103</v>
      </c>
      <c r="E17" s="29">
        <f>IFERROR(__xludf.DUMMYFUNCTION("IFERROR(MAX(FILTER('Indicator Scores'!E$5:E$87,Rulebook!$B$5:$B$87=$B17,ISNUMBER('Indicator Scores'!E$5:E$87),Rulebook!$E$5:$E$87&gt;=Assumptions!$B$5)),0)"),75.0)</f>
        <v>75</v>
      </c>
      <c r="F17" s="29">
        <f>IFERROR(__xludf.DUMMYFUNCTION("IFERROR(MAX(FILTER('Indicator Scores'!F$5:F$87,Rulebook!$B$5:$B$87=$B17,ISNUMBER('Indicator Scores'!F$5:F$87),Rulebook!$E$5:$E$87&gt;=Assumptions!$B$5)),0)"),42.5)</f>
        <v>42.5</v>
      </c>
      <c r="G17" s="29">
        <f>IFERROR(__xludf.DUMMYFUNCTION("IFERROR(MAX(FILTER('Indicator Scores'!G$5:G$87,Rulebook!$B$5:$B$87=$B17,ISNUMBER('Indicator Scores'!G$5:G$87),Rulebook!$E$5:$E$87&gt;=Assumptions!$B$5)),0)"),75.0)</f>
        <v>75</v>
      </c>
      <c r="H17" s="29">
        <f>IFERROR(__xludf.DUMMYFUNCTION("IFERROR(MAX(FILTER('Indicator Scores'!H$5:H$87,Rulebook!$B$5:$B$87=$B17,ISNUMBER('Indicator Scores'!H$5:H$87),Rulebook!$E$5:$E$87&gt;=Assumptions!$B$5)),0)"),46.66666666666666)</f>
        <v>46.66666667</v>
      </c>
      <c r="I17" s="29">
        <f>IFERROR(__xludf.DUMMYFUNCTION("IFERROR(MAX(FILTER('Indicator Scores'!I$5:I$87,Rulebook!$B$5:$B$87=$B17,ISNUMBER('Indicator Scores'!I$5:I$87),Rulebook!$E$5:$E$87&gt;=Assumptions!$B$5)),0)"),71.25)</f>
        <v>71.25</v>
      </c>
      <c r="J17" s="29">
        <f>IFERROR(__xludf.DUMMYFUNCTION("IFERROR(MAX(FILTER('Indicator Scores'!J$5:J$87,Rulebook!$B$5:$B$87=$B17,ISNUMBER('Indicator Scores'!J$5:J$87),Rulebook!$E$5:$E$87&gt;=Assumptions!$B$5)),0)"),92.5)</f>
        <v>92.5</v>
      </c>
      <c r="K17" s="29">
        <f>IFERROR(__xludf.DUMMYFUNCTION("IFERROR(MAX(FILTER('Indicator Scores'!K$5:K$87,Rulebook!$B$5:$B$87=$B17,ISNUMBER('Indicator Scores'!K$5:K$87),Rulebook!$E$5:$E$87&gt;=Assumptions!$B$5)),0)"),76.25)</f>
        <v>76.25</v>
      </c>
      <c r="L17" s="29">
        <f>IFERROR(__xludf.DUMMYFUNCTION("IFERROR(MAX(FILTER('Indicator Scores'!L$5:L$87,Rulebook!$B$5:$B$87=$B17,ISNUMBER('Indicator Scores'!L$5:L$87),Rulebook!$E$5:$E$87&gt;=Assumptions!$B$5)),0)"),57.5)</f>
        <v>57.5</v>
      </c>
      <c r="M17" s="29">
        <f>IFERROR(__xludf.DUMMYFUNCTION("IFERROR(MAX(FILTER('Indicator Scores'!M$5:M$87,Rulebook!$B$5:$B$87=$B17,ISNUMBER('Indicator Scores'!M$5:M$87),Rulebook!$E$5:$E$87&gt;=Assumptions!$B$5)),0)"),100.0)</f>
        <v>100</v>
      </c>
      <c r="N17" s="29">
        <f>IFERROR(__xludf.DUMMYFUNCTION("IFERROR(MAX(FILTER('Indicator Scores'!N$5:N$87,Rulebook!$B$5:$B$87=$B17,ISNUMBER('Indicator Scores'!N$5:N$87),Rulebook!$E$5:$E$87&gt;=Assumptions!$B$5)),0)"),75.0)</f>
        <v>75</v>
      </c>
      <c r="O17" s="29">
        <f>IFERROR(__xludf.DUMMYFUNCTION("IFERROR(MAX(FILTER('Indicator Scores'!O$5:O$87,Rulebook!$B$5:$B$87=$B17,ISNUMBER('Indicator Scores'!O$5:O$87),Rulebook!$E$5:$E$87&gt;=Assumptions!$B$5)),0)"),76.25)</f>
        <v>76.25</v>
      </c>
      <c r="P17" s="29">
        <f>IFERROR(__xludf.DUMMYFUNCTION("IFERROR(MAX(FILTER('Indicator Scores'!P$5:P$87,Rulebook!$B$5:$B$87=$B17,ISNUMBER('Indicator Scores'!P$5:P$87),Rulebook!$E$5:$E$87&gt;=Assumptions!$B$5)),0)"),96.25)</f>
        <v>96.25</v>
      </c>
      <c r="Q17" s="29">
        <f>IFERROR(__xludf.DUMMYFUNCTION("IFERROR(MAX(FILTER('Indicator Scores'!Q$5:Q$87,Rulebook!$B$5:$B$87=$B17,ISNUMBER('Indicator Scores'!Q$5:Q$87),Rulebook!$E$5:$E$87&gt;=Assumptions!$B$5)),0)"),75.0)</f>
        <v>75</v>
      </c>
      <c r="R17" s="29">
        <f>IFERROR(__xludf.DUMMYFUNCTION("IFERROR(MAX(FILTER('Indicator Scores'!R$5:R$87,Rulebook!$B$5:$B$87=$B17,ISNUMBER('Indicator Scores'!R$5:R$87),Rulebook!$E$5:$E$87&gt;=Assumptions!$B$5)),0)"),100.0)</f>
        <v>100</v>
      </c>
      <c r="S17" s="29">
        <f>IFERROR(__xludf.DUMMYFUNCTION("IFERROR(MAX(FILTER('Indicator Scores'!S$5:S$87,Rulebook!$B$5:$B$87=$B17,ISNUMBER('Indicator Scores'!S$5:S$87),Rulebook!$E$5:$E$87&gt;=Assumptions!$B$5)),0)"),91.66666666666667)</f>
        <v>91.66666667</v>
      </c>
      <c r="T17" s="29">
        <f>IFERROR(__xludf.DUMMYFUNCTION("IFERROR(MAX(FILTER('Indicator Scores'!T$5:T$87,Rulebook!$B$5:$B$87=$B17,ISNUMBER('Indicator Scores'!T$5:T$87),Rulebook!$E$5:$E$87&gt;=Assumptions!$B$5)),0)"),41.66666666666667)</f>
        <v>41.66666667</v>
      </c>
      <c r="U17" s="29">
        <f>IFERROR(__xludf.DUMMYFUNCTION("IFERROR(MAX(FILTER('Indicator Scores'!U$5:U$87,Rulebook!$B$5:$B$87=$B17,ISNUMBER('Indicator Scores'!U$5:U$87),Rulebook!$E$5:$E$87&gt;=Assumptions!$B$5)),0)"),83.33333333333333)</f>
        <v>83.33333333</v>
      </c>
      <c r="V17" s="29">
        <f>IFERROR(__xludf.DUMMYFUNCTION("IFERROR(MAX(FILTER('Indicator Scores'!V$5:V$87,Rulebook!$B$5:$B$87=$B17,ISNUMBER('Indicator Scores'!V$5:V$87),Rulebook!$E$5:$E$87&gt;=Assumptions!$B$5)),0)"),100.0)</f>
        <v>100</v>
      </c>
    </row>
    <row r="18">
      <c r="A18" s="7" t="s">
        <v>1180</v>
      </c>
      <c r="B18" s="3">
        <v>6.0</v>
      </c>
      <c r="C18" s="7" t="s">
        <v>106</v>
      </c>
      <c r="E18" s="29">
        <f>IFERROR(__xludf.DUMMYFUNCTION("IFERROR(MAX(FILTER('Indicator Scores'!E$5:E$87,Rulebook!$B$5:$B$87=$B18,ISNUMBER('Indicator Scores'!E$5:E$87),Rulebook!$E$5:$E$87&gt;=Assumptions!$B$5)),0)"),0.0)</f>
        <v>0</v>
      </c>
      <c r="F18" s="29">
        <f>IFERROR(__xludf.DUMMYFUNCTION("IFERROR(MAX(FILTER('Indicator Scores'!F$5:F$87,Rulebook!$B$5:$B$87=$B18,ISNUMBER('Indicator Scores'!F$5:F$87),Rulebook!$E$5:$E$87&gt;=Assumptions!$B$5)),0)"),50.0)</f>
        <v>50</v>
      </c>
      <c r="G18" s="29">
        <f>IFERROR(__xludf.DUMMYFUNCTION("IFERROR(MAX(FILTER('Indicator Scores'!G$5:G$87,Rulebook!$B$5:$B$87=$B18,ISNUMBER('Indicator Scores'!G$5:G$87),Rulebook!$E$5:$E$87&gt;=Assumptions!$B$5)),0)"),45.83333333333333)</f>
        <v>45.83333333</v>
      </c>
      <c r="H18" s="29">
        <f>IFERROR(__xludf.DUMMYFUNCTION("IFERROR(MAX(FILTER('Indicator Scores'!H$5:H$87,Rulebook!$B$5:$B$87=$B18,ISNUMBER('Indicator Scores'!H$5:H$87),Rulebook!$E$5:$E$87&gt;=Assumptions!$B$5)),0)"),18.75)</f>
        <v>18.75</v>
      </c>
      <c r="I18" s="29">
        <f>IFERROR(__xludf.DUMMYFUNCTION("IFERROR(MAX(FILTER('Indicator Scores'!I$5:I$87,Rulebook!$B$5:$B$87=$B18,ISNUMBER('Indicator Scores'!I$5:I$87),Rulebook!$E$5:$E$87&gt;=Assumptions!$B$5)),0)"),0.0)</f>
        <v>0</v>
      </c>
      <c r="J18" s="29">
        <f>IFERROR(__xludf.DUMMYFUNCTION("IFERROR(MAX(FILTER('Indicator Scores'!J$5:J$87,Rulebook!$B$5:$B$87=$B18,ISNUMBER('Indicator Scores'!J$5:J$87),Rulebook!$E$5:$E$87&gt;=Assumptions!$B$5)),0)"),0.0)</f>
        <v>0</v>
      </c>
      <c r="K18" s="29">
        <f>IFERROR(__xludf.DUMMYFUNCTION("IFERROR(MAX(FILTER('Indicator Scores'!K$5:K$87,Rulebook!$B$5:$B$87=$B18,ISNUMBER('Indicator Scores'!K$5:K$87),Rulebook!$E$5:$E$87&gt;=Assumptions!$B$5)),0)"),0.0)</f>
        <v>0</v>
      </c>
      <c r="L18" s="29">
        <f>IFERROR(__xludf.DUMMYFUNCTION("IFERROR(MAX(FILTER('Indicator Scores'!L$5:L$87,Rulebook!$B$5:$B$87=$B18,ISNUMBER('Indicator Scores'!L$5:L$87),Rulebook!$E$5:$E$87&gt;=Assumptions!$B$5)),0)"),50.0)</f>
        <v>50</v>
      </c>
      <c r="M18" s="29">
        <f>IFERROR(__xludf.DUMMYFUNCTION("IFERROR(MAX(FILTER('Indicator Scores'!M$5:M$87,Rulebook!$B$5:$B$87=$B18,ISNUMBER('Indicator Scores'!M$5:M$87),Rulebook!$E$5:$E$87&gt;=Assumptions!$B$5)),0)"),75.0)</f>
        <v>75</v>
      </c>
      <c r="N18" s="29">
        <f>IFERROR(__xludf.DUMMYFUNCTION("IFERROR(MAX(FILTER('Indicator Scores'!N$5:N$87,Rulebook!$B$5:$B$87=$B18,ISNUMBER('Indicator Scores'!N$5:N$87),Rulebook!$E$5:$E$87&gt;=Assumptions!$B$5)),0)"),87.5)</f>
        <v>87.5</v>
      </c>
      <c r="O18" s="29">
        <f>IFERROR(__xludf.DUMMYFUNCTION("IFERROR(MAX(FILTER('Indicator Scores'!O$5:O$87,Rulebook!$B$5:$B$87=$B18,ISNUMBER('Indicator Scores'!O$5:O$87),Rulebook!$E$5:$E$87&gt;=Assumptions!$B$5)),0)"),75.0)</f>
        <v>75</v>
      </c>
      <c r="P18" s="29">
        <f>IFERROR(__xludf.DUMMYFUNCTION("IFERROR(MAX(FILTER('Indicator Scores'!P$5:P$87,Rulebook!$B$5:$B$87=$B18,ISNUMBER('Indicator Scores'!P$5:P$87),Rulebook!$E$5:$E$87&gt;=Assumptions!$B$5)),0)"),50.0)</f>
        <v>50</v>
      </c>
      <c r="Q18" s="29">
        <f>IFERROR(__xludf.DUMMYFUNCTION("IFERROR(MAX(FILTER('Indicator Scores'!Q$5:Q$87,Rulebook!$B$5:$B$87=$B18,ISNUMBER('Indicator Scores'!Q$5:Q$87),Rulebook!$E$5:$E$87&gt;=Assumptions!$B$5)),0)"),81.25)</f>
        <v>81.25</v>
      </c>
      <c r="R18" s="29">
        <f>IFERROR(__xludf.DUMMYFUNCTION("IFERROR(MAX(FILTER('Indicator Scores'!R$5:R$87,Rulebook!$B$5:$B$87=$B18,ISNUMBER('Indicator Scores'!R$5:R$87),Rulebook!$E$5:$E$87&gt;=Assumptions!$B$5)),0)"),75.0)</f>
        <v>75</v>
      </c>
      <c r="S18" s="29">
        <f>IFERROR(__xludf.DUMMYFUNCTION("IFERROR(MAX(FILTER('Indicator Scores'!S$5:S$87,Rulebook!$B$5:$B$87=$B18,ISNUMBER('Indicator Scores'!S$5:S$87),Rulebook!$E$5:$E$87&gt;=Assumptions!$B$5)),0)"),77.5)</f>
        <v>77.5</v>
      </c>
      <c r="T18" s="29">
        <f>IFERROR(__xludf.DUMMYFUNCTION("IFERROR(MAX(FILTER('Indicator Scores'!T$5:T$87,Rulebook!$B$5:$B$87=$B18,ISNUMBER('Indicator Scores'!T$5:T$87),Rulebook!$E$5:$E$87&gt;=Assumptions!$B$5)),0)"),0.0)</f>
        <v>0</v>
      </c>
      <c r="U18" s="29">
        <f>IFERROR(__xludf.DUMMYFUNCTION("IFERROR(MAX(FILTER('Indicator Scores'!U$5:U$87,Rulebook!$B$5:$B$87=$B18,ISNUMBER('Indicator Scores'!U$5:U$87),Rulebook!$E$5:$E$87&gt;=Assumptions!$B$5)),0)"),25.0)</f>
        <v>25</v>
      </c>
      <c r="V18" s="29">
        <f>IFERROR(__xludf.DUMMYFUNCTION("IFERROR(MAX(FILTER('Indicator Scores'!V$5:V$87,Rulebook!$B$5:$B$87=$B18,ISNUMBER('Indicator Scores'!V$5:V$87),Rulebook!$E$5:$E$87&gt;=Assumptions!$B$5)),0)"),37.5)</f>
        <v>37.5</v>
      </c>
    </row>
    <row r="19">
      <c r="A19" s="7" t="s">
        <v>1180</v>
      </c>
      <c r="B19" s="3">
        <v>7.0</v>
      </c>
      <c r="C19" s="7" t="s">
        <v>108</v>
      </c>
      <c r="E19" s="29">
        <f>IFERROR(__xludf.DUMMYFUNCTION("IFERROR(MAX(FILTER('Indicator Scores'!E$5:E$87,Rulebook!$B$5:$B$87=$B19,ISNUMBER('Indicator Scores'!E$5:E$87),Rulebook!$E$5:$E$87&gt;=Assumptions!$B$5)),0)"),100.0)</f>
        <v>100</v>
      </c>
      <c r="F19" s="29">
        <f>IFERROR(__xludf.DUMMYFUNCTION("IFERROR(MAX(FILTER('Indicator Scores'!F$5:F$87,Rulebook!$B$5:$B$87=$B19,ISNUMBER('Indicator Scores'!F$5:F$87),Rulebook!$E$5:$E$87&gt;=Assumptions!$B$5)),0)"),91.66666666666667)</f>
        <v>91.66666667</v>
      </c>
      <c r="G19" s="29">
        <f>IFERROR(__xludf.DUMMYFUNCTION("IFERROR(MAX(FILTER('Indicator Scores'!G$5:G$87,Rulebook!$B$5:$B$87=$B19,ISNUMBER('Indicator Scores'!G$5:G$87),Rulebook!$E$5:$E$87&gt;=Assumptions!$B$5)),0)"),69.23076923076923)</f>
        <v>69.23076923</v>
      </c>
      <c r="H19" s="29">
        <f>IFERROR(__xludf.DUMMYFUNCTION("IFERROR(MAX(FILTER('Indicator Scores'!H$5:H$87,Rulebook!$B$5:$B$87=$B19,ISNUMBER('Indicator Scores'!H$5:H$87),Rulebook!$E$5:$E$87&gt;=Assumptions!$B$5)),0)"),69.23076923076923)</f>
        <v>69.23076923</v>
      </c>
      <c r="I19" s="29">
        <f>IFERROR(__xludf.DUMMYFUNCTION("IFERROR(MAX(FILTER('Indicator Scores'!I$5:I$87,Rulebook!$B$5:$B$87=$B19,ISNUMBER('Indicator Scores'!I$5:I$87),Rulebook!$E$5:$E$87&gt;=Assumptions!$B$5)),0)"),12.5)</f>
        <v>12.5</v>
      </c>
      <c r="J19" s="29">
        <f>IFERROR(__xludf.DUMMYFUNCTION("IFERROR(MAX(FILTER('Indicator Scores'!J$5:J$87,Rulebook!$B$5:$B$87=$B19,ISNUMBER('Indicator Scores'!J$5:J$87),Rulebook!$E$5:$E$87&gt;=Assumptions!$B$5)),0)"),40.0)</f>
        <v>40</v>
      </c>
      <c r="K19" s="29">
        <f>IFERROR(__xludf.DUMMYFUNCTION("IFERROR(MAX(FILTER('Indicator Scores'!K$5:K$87,Rulebook!$B$5:$B$87=$B19,ISNUMBER('Indicator Scores'!K$5:K$87),Rulebook!$E$5:$E$87&gt;=Assumptions!$B$5)),0)"),25.0)</f>
        <v>25</v>
      </c>
      <c r="L19" s="29">
        <f>IFERROR(__xludf.DUMMYFUNCTION("IFERROR(MAX(FILTER('Indicator Scores'!L$5:L$87,Rulebook!$B$5:$B$87=$B19,ISNUMBER('Indicator Scores'!L$5:L$87),Rulebook!$E$5:$E$87&gt;=Assumptions!$B$5)),0)"),89.28571428571429)</f>
        <v>89.28571429</v>
      </c>
      <c r="M19" s="29">
        <f>IFERROR(__xludf.DUMMYFUNCTION("IFERROR(MAX(FILTER('Indicator Scores'!M$5:M$87,Rulebook!$B$5:$B$87=$B19,ISNUMBER('Indicator Scores'!M$5:M$87),Rulebook!$E$5:$E$87&gt;=Assumptions!$B$5)),0)"),100.0)</f>
        <v>100</v>
      </c>
      <c r="N19" s="29">
        <f>IFERROR(__xludf.DUMMYFUNCTION("IFERROR(MAX(FILTER('Indicator Scores'!N$5:N$87,Rulebook!$B$5:$B$87=$B19,ISNUMBER('Indicator Scores'!N$5:N$87),Rulebook!$E$5:$E$87&gt;=Assumptions!$B$5)),0)"),100.0)</f>
        <v>100</v>
      </c>
      <c r="O19" s="29">
        <f>IFERROR(__xludf.DUMMYFUNCTION("IFERROR(MAX(FILTER('Indicator Scores'!O$5:O$87,Rulebook!$B$5:$B$87=$B19,ISNUMBER('Indicator Scores'!O$5:O$87),Rulebook!$E$5:$E$87&gt;=Assumptions!$B$5)),0)"),75.0)</f>
        <v>75</v>
      </c>
      <c r="P19" s="29">
        <f>IFERROR(__xludf.DUMMYFUNCTION("IFERROR(MAX(FILTER('Indicator Scores'!P$5:P$87,Rulebook!$B$5:$B$87=$B19,ISNUMBER('Indicator Scores'!P$5:P$87),Rulebook!$E$5:$E$87&gt;=Assumptions!$B$5)),0)"),75.0)</f>
        <v>75</v>
      </c>
      <c r="Q19" s="29">
        <f>IFERROR(__xludf.DUMMYFUNCTION("IFERROR(MAX(FILTER('Indicator Scores'!Q$5:Q$87,Rulebook!$B$5:$B$87=$B19,ISNUMBER('Indicator Scores'!Q$5:Q$87),Rulebook!$E$5:$E$87&gt;=Assumptions!$B$5)),0)"),59.61538461538461)</f>
        <v>59.61538462</v>
      </c>
      <c r="R19" s="29">
        <f>IFERROR(__xludf.DUMMYFUNCTION("IFERROR(MAX(FILTER('Indicator Scores'!R$5:R$87,Rulebook!$B$5:$B$87=$B19,ISNUMBER('Indicator Scores'!R$5:R$87),Rulebook!$E$5:$E$87&gt;=Assumptions!$B$5)),0)"),100.0)</f>
        <v>100</v>
      </c>
      <c r="S19" s="29">
        <f>IFERROR(__xludf.DUMMYFUNCTION("IFERROR(MAX(FILTER('Indicator Scores'!S$5:S$87,Rulebook!$B$5:$B$87=$B19,ISNUMBER('Indicator Scores'!S$5:S$87),Rulebook!$E$5:$E$87&gt;=Assumptions!$B$5)),0)"),100.0)</f>
        <v>100</v>
      </c>
      <c r="T19" s="29">
        <f>IFERROR(__xludf.DUMMYFUNCTION("IFERROR(MAX(FILTER('Indicator Scores'!T$5:T$87,Rulebook!$B$5:$B$87=$B19,ISNUMBER('Indicator Scores'!T$5:T$87),Rulebook!$E$5:$E$87&gt;=Assumptions!$B$5)),0)"),100.0)</f>
        <v>100</v>
      </c>
      <c r="U19" s="29">
        <f>IFERROR(__xludf.DUMMYFUNCTION("IFERROR(MAX(FILTER('Indicator Scores'!U$5:U$87,Rulebook!$B$5:$B$87=$B19,ISNUMBER('Indicator Scores'!U$5:U$87),Rulebook!$E$5:$E$87&gt;=Assumptions!$B$5)),0)"),100.0)</f>
        <v>100</v>
      </c>
      <c r="V19" s="29">
        <f>IFERROR(__xludf.DUMMYFUNCTION("IFERROR(MAX(FILTER('Indicator Scores'!V$5:V$87,Rulebook!$B$5:$B$87=$B19,ISNUMBER('Indicator Scores'!V$5:V$87),Rulebook!$E$5:$E$87&gt;=Assumptions!$B$5)),0)"),100.0)</f>
        <v>100</v>
      </c>
    </row>
    <row r="20">
      <c r="E20" s="29"/>
      <c r="F20" s="29"/>
      <c r="G20" s="29"/>
      <c r="H20" s="29"/>
      <c r="I20" s="29"/>
      <c r="J20" s="29"/>
      <c r="K20" s="29"/>
      <c r="L20" s="29"/>
      <c r="M20" s="29"/>
      <c r="N20" s="29"/>
      <c r="O20" s="29"/>
      <c r="P20" s="29"/>
      <c r="Q20" s="29"/>
      <c r="R20" s="29"/>
      <c r="S20" s="29"/>
      <c r="T20" s="29"/>
      <c r="U20" s="29"/>
      <c r="V20" s="29"/>
    </row>
    <row r="21">
      <c r="A21" s="7" t="s">
        <v>1181</v>
      </c>
      <c r="B21" s="3">
        <v>1.0</v>
      </c>
      <c r="C21" s="7" t="s">
        <v>51</v>
      </c>
      <c r="E21" s="29">
        <f>(1-Assumptions!$B$4)*E5+Assumptions!$B$4*E13</f>
        <v>21.24753061</v>
      </c>
      <c r="F21" s="29">
        <f>(1-Assumptions!$B$4)*F5+Assumptions!$B$4*F13</f>
        <v>42.92714286</v>
      </c>
      <c r="G21" s="29">
        <f>(1-Assumptions!$B$4)*G5+Assumptions!$B$4*G13</f>
        <v>54.4488</v>
      </c>
      <c r="H21" s="29">
        <f>(1-Assumptions!$B$4)*H5+Assumptions!$B$4*H13</f>
        <v>40.17328435</v>
      </c>
      <c r="I21" s="29">
        <f>(1-Assumptions!$B$4)*I5+Assumptions!$B$4*I13</f>
        <v>38.65</v>
      </c>
      <c r="J21" s="29">
        <f>(1-Assumptions!$B$4)*J5+Assumptions!$B$4*J13</f>
        <v>54</v>
      </c>
      <c r="K21" s="29">
        <f>(1-Assumptions!$B$4)*K5+Assumptions!$B$4*K13</f>
        <v>22.00489252</v>
      </c>
      <c r="L21" s="29">
        <f>(1-Assumptions!$B$4)*L5+Assumptions!$B$4*L13</f>
        <v>49.99699932</v>
      </c>
      <c r="M21" s="29">
        <f>(1-Assumptions!$B$4)*M5+Assumptions!$B$4*M13</f>
        <v>74.974</v>
      </c>
      <c r="N21" s="29">
        <f>(1-Assumptions!$B$4)*N5+Assumptions!$B$4*N13</f>
        <v>53.3019551</v>
      </c>
      <c r="O21" s="29">
        <f>(1-Assumptions!$B$4)*O5+Assumptions!$B$4*O13</f>
        <v>58.65828571</v>
      </c>
      <c r="P21" s="29">
        <f>(1-Assumptions!$B$4)*P5+Assumptions!$B$4*P13</f>
        <v>69.29621905</v>
      </c>
      <c r="Q21" s="29">
        <f>(1-Assumptions!$B$4)*Q5+Assumptions!$B$4*Q13</f>
        <v>43.5715</v>
      </c>
      <c r="R21" s="29">
        <f>(1-Assumptions!$B$4)*R5+Assumptions!$B$4*R13</f>
        <v>96</v>
      </c>
      <c r="S21" s="29">
        <f>(1-Assumptions!$B$4)*S5+Assumptions!$B$4*S13</f>
        <v>64.23134694</v>
      </c>
      <c r="T21" s="29">
        <f>(1-Assumptions!$B$4)*T5+Assumptions!$B$4*T13</f>
        <v>81.94666667</v>
      </c>
      <c r="U21" s="29">
        <f>(1-Assumptions!$B$4)*U5+Assumptions!$B$4*U13</f>
        <v>67.85333333</v>
      </c>
      <c r="V21" s="29">
        <f>(1-Assumptions!$B$4)*V5+Assumptions!$B$4*V13</f>
        <v>75.85380952</v>
      </c>
    </row>
    <row r="22">
      <c r="A22" s="7" t="s">
        <v>1181</v>
      </c>
      <c r="B22" s="3">
        <v>2.0</v>
      </c>
      <c r="C22" s="7" t="s">
        <v>99</v>
      </c>
      <c r="E22" s="29">
        <f>(1-Assumptions!$B$4)*E6+Assumptions!$B$4*E14</f>
        <v>37.8</v>
      </c>
      <c r="F22" s="29">
        <f>(1-Assumptions!$B$4)*F6+Assumptions!$B$4*F14</f>
        <v>23.4925</v>
      </c>
      <c r="G22" s="29">
        <f>(1-Assumptions!$B$4)*G6+Assumptions!$B$4*G14</f>
        <v>27.37333333</v>
      </c>
      <c r="H22" s="29">
        <f>(1-Assumptions!$B$4)*H6+Assumptions!$B$4*H14</f>
        <v>34.54333333</v>
      </c>
      <c r="I22" s="29">
        <f>(1-Assumptions!$B$4)*I6+Assumptions!$B$4*I14</f>
        <v>17.93333333</v>
      </c>
      <c r="J22" s="29">
        <f>(1-Assumptions!$B$4)*J6+Assumptions!$B$4*J14</f>
        <v>4.533333333</v>
      </c>
      <c r="K22" s="29">
        <f>(1-Assumptions!$B$4)*K6+Assumptions!$B$4*K14</f>
        <v>22.93333333</v>
      </c>
      <c r="L22" s="29">
        <f>(1-Assumptions!$B$4)*L6+Assumptions!$B$4*L14</f>
        <v>11.71</v>
      </c>
      <c r="M22" s="29">
        <f>(1-Assumptions!$B$4)*M6+Assumptions!$B$4*M14</f>
        <v>66.85833333</v>
      </c>
      <c r="N22" s="29">
        <f>(1-Assumptions!$B$4)*N6+Assumptions!$B$4*N14</f>
        <v>57.66666667</v>
      </c>
      <c r="O22" s="29">
        <f>(1-Assumptions!$B$4)*O6+Assumptions!$B$4*O14</f>
        <v>24.84916667</v>
      </c>
      <c r="P22" s="29">
        <f>(1-Assumptions!$B$4)*P6+Assumptions!$B$4*P14</f>
        <v>76.37738095</v>
      </c>
      <c r="Q22" s="29">
        <f>(1-Assumptions!$B$4)*Q6+Assumptions!$B$4*Q14</f>
        <v>33.73333333</v>
      </c>
      <c r="R22" s="29">
        <f>(1-Assumptions!$B$4)*R6+Assumptions!$B$4*R14</f>
        <v>88.85416667</v>
      </c>
      <c r="S22" s="29">
        <f>(1-Assumptions!$B$4)*S6+Assumptions!$B$4*S14</f>
        <v>43.8125</v>
      </c>
      <c r="T22" s="29">
        <f>(1-Assumptions!$B$4)*T6+Assumptions!$B$4*T14</f>
        <v>67.59166667</v>
      </c>
      <c r="U22" s="29">
        <f>(1-Assumptions!$B$4)*U6+Assumptions!$B$4*U14</f>
        <v>51.66666667</v>
      </c>
      <c r="V22" s="29">
        <f>(1-Assumptions!$B$4)*V6+Assumptions!$B$4*V14</f>
        <v>81.11071429</v>
      </c>
    </row>
    <row r="23">
      <c r="A23" s="7" t="s">
        <v>1181</v>
      </c>
      <c r="B23" s="3">
        <v>3.0</v>
      </c>
      <c r="C23" s="7" t="s">
        <v>101</v>
      </c>
      <c r="E23" s="29">
        <f>(1-Assumptions!$B$4)*E7+Assumptions!$B$4*E15</f>
        <v>47.53333333</v>
      </c>
      <c r="F23" s="29">
        <f>(1-Assumptions!$B$4)*F7+Assumptions!$B$4*F15</f>
        <v>34.5</v>
      </c>
      <c r="G23" s="29">
        <f>(1-Assumptions!$B$4)*G7+Assumptions!$B$4*G15</f>
        <v>54.53333333</v>
      </c>
      <c r="H23" s="29">
        <f>(1-Assumptions!$B$4)*H7+Assumptions!$B$4*H15</f>
        <v>24.2</v>
      </c>
      <c r="I23" s="29">
        <f>(1-Assumptions!$B$4)*I7+Assumptions!$B$4*I15</f>
        <v>15.25</v>
      </c>
      <c r="J23" s="29">
        <f>(1-Assumptions!$B$4)*J7+Assumptions!$B$4*J15</f>
        <v>8</v>
      </c>
      <c r="K23" s="29">
        <f>(1-Assumptions!$B$4)*K7+Assumptions!$B$4*K15</f>
        <v>16.33333333</v>
      </c>
      <c r="L23" s="29">
        <f>(1-Assumptions!$B$4)*L7+Assumptions!$B$4*L15</f>
        <v>50.7</v>
      </c>
      <c r="M23" s="29">
        <f>(1-Assumptions!$B$4)*M7+Assumptions!$B$4*M15</f>
        <v>61.96666667</v>
      </c>
      <c r="N23" s="29">
        <f>(1-Assumptions!$B$4)*N7+Assumptions!$B$4*N15</f>
        <v>60</v>
      </c>
      <c r="O23" s="29">
        <f>(1-Assumptions!$B$4)*O7+Assumptions!$B$4*O15</f>
        <v>28.4</v>
      </c>
      <c r="P23" s="29">
        <f>(1-Assumptions!$B$4)*P7+Assumptions!$B$4*P15</f>
        <v>48.8</v>
      </c>
      <c r="Q23" s="29">
        <f>(1-Assumptions!$B$4)*Q7+Assumptions!$B$4*Q15</f>
        <v>32.9</v>
      </c>
      <c r="R23" s="29">
        <f>(1-Assumptions!$B$4)*R7+Assumptions!$B$4*R15</f>
        <v>95.33333333</v>
      </c>
      <c r="S23" s="29">
        <f>(1-Assumptions!$B$4)*S7+Assumptions!$B$4*S15</f>
        <v>61.16666667</v>
      </c>
      <c r="T23" s="29">
        <f>(1-Assumptions!$B$4)*T7+Assumptions!$B$4*T15</f>
        <v>52.8</v>
      </c>
      <c r="U23" s="29">
        <f>(1-Assumptions!$B$4)*U7+Assumptions!$B$4*U15</f>
        <v>53.36666667</v>
      </c>
      <c r="V23" s="29">
        <f>(1-Assumptions!$B$4)*V7+Assumptions!$B$4*V15</f>
        <v>79.73333333</v>
      </c>
    </row>
    <row r="24">
      <c r="A24" s="7" t="s">
        <v>1181</v>
      </c>
      <c r="B24" s="3">
        <v>4.0</v>
      </c>
      <c r="C24" s="7" t="s">
        <v>102</v>
      </c>
      <c r="E24" s="29">
        <f>(1-Assumptions!$B$4)*E8+Assumptions!$B$4*E16</f>
        <v>13</v>
      </c>
      <c r="F24" s="29">
        <f>(1-Assumptions!$B$4)*F8+Assumptions!$B$4*F16</f>
        <v>48</v>
      </c>
      <c r="G24" s="29">
        <f>(1-Assumptions!$B$4)*G8+Assumptions!$B$4*G16</f>
        <v>32</v>
      </c>
      <c r="H24" s="29">
        <f>(1-Assumptions!$B$4)*H8+Assumptions!$B$4*H16</f>
        <v>32</v>
      </c>
      <c r="I24" s="29">
        <f>(1-Assumptions!$B$4)*I8+Assumptions!$B$4*I16</f>
        <v>15</v>
      </c>
      <c r="J24" s="29">
        <f>(1-Assumptions!$B$4)*J8+Assumptions!$B$4*J16</f>
        <v>19</v>
      </c>
      <c r="K24" s="29">
        <f>(1-Assumptions!$B$4)*K8+Assumptions!$B$4*K16</f>
        <v>35</v>
      </c>
      <c r="L24" s="29">
        <f>(1-Assumptions!$B$4)*L8+Assumptions!$B$4*L16</f>
        <v>32</v>
      </c>
      <c r="M24" s="29">
        <f>(1-Assumptions!$B$4)*M8+Assumptions!$B$4*M16</f>
        <v>59</v>
      </c>
      <c r="N24" s="29">
        <f>(1-Assumptions!$B$4)*N8+Assumptions!$B$4*N16</f>
        <v>12</v>
      </c>
      <c r="O24" s="29">
        <f>(1-Assumptions!$B$4)*O8+Assumptions!$B$4*O16</f>
        <v>54</v>
      </c>
      <c r="P24" s="29">
        <f>(1-Assumptions!$B$4)*P8+Assumptions!$B$4*P16</f>
        <v>44</v>
      </c>
      <c r="Q24" s="29">
        <f>(1-Assumptions!$B$4)*Q8+Assumptions!$B$4*Q16</f>
        <v>39</v>
      </c>
      <c r="R24" s="29">
        <f>(1-Assumptions!$B$4)*R8+Assumptions!$B$4*R16</f>
        <v>75</v>
      </c>
      <c r="S24" s="29">
        <f>(1-Assumptions!$B$4)*S8+Assumptions!$B$4*S16</f>
        <v>51</v>
      </c>
      <c r="T24" s="29">
        <f>(1-Assumptions!$B$4)*T8+Assumptions!$B$4*T16</f>
        <v>45</v>
      </c>
      <c r="U24" s="29">
        <f>(1-Assumptions!$B$4)*U8+Assumptions!$B$4*U16</f>
        <v>33</v>
      </c>
      <c r="V24" s="29">
        <f>(1-Assumptions!$B$4)*V8+Assumptions!$B$4*V16</f>
        <v>59</v>
      </c>
    </row>
    <row r="25">
      <c r="A25" s="7" t="s">
        <v>1181</v>
      </c>
      <c r="B25" s="3">
        <v>5.0</v>
      </c>
      <c r="C25" s="7" t="s">
        <v>103</v>
      </c>
      <c r="E25" s="29">
        <f>(1-Assumptions!$B$4)*E9+Assumptions!$B$4*E17</f>
        <v>35.30238095</v>
      </c>
      <c r="F25" s="29">
        <f>(1-Assumptions!$B$4)*F9+Assumptions!$B$4*F17</f>
        <v>23.68571429</v>
      </c>
      <c r="G25" s="29">
        <f>(1-Assumptions!$B$4)*G9+Assumptions!$B$4*G17</f>
        <v>39.80858</v>
      </c>
      <c r="H25" s="29">
        <f>(1-Assumptions!$B$4)*H9+Assumptions!$B$4*H17</f>
        <v>26.36666667</v>
      </c>
      <c r="I25" s="29">
        <f>(1-Assumptions!$B$4)*I9+Assumptions!$B$4*I17</f>
        <v>28.51666667</v>
      </c>
      <c r="J25" s="29">
        <f>(1-Assumptions!$B$4)*J9+Assumptions!$B$4*J17</f>
        <v>36.35</v>
      </c>
      <c r="K25" s="29">
        <f>(1-Assumptions!$B$4)*K9+Assumptions!$B$4*K17</f>
        <v>30.75</v>
      </c>
      <c r="L25" s="29">
        <f>(1-Assumptions!$B$4)*L9+Assumptions!$B$4*L17</f>
        <v>29.76904762</v>
      </c>
      <c r="M25" s="29">
        <f>(1-Assumptions!$B$4)*M9+Assumptions!$B$4*M17</f>
        <v>48.06666667</v>
      </c>
      <c r="N25" s="29">
        <f>(1-Assumptions!$B$4)*N9+Assumptions!$B$4*N17</f>
        <v>30.58575556</v>
      </c>
      <c r="O25" s="29">
        <f>(1-Assumptions!$B$4)*O9+Assumptions!$B$4*O17</f>
        <v>44.68586667</v>
      </c>
      <c r="P25" s="29">
        <f>(1-Assumptions!$B$4)*P9+Assumptions!$B$4*P17</f>
        <v>56.04856667</v>
      </c>
      <c r="Q25" s="29">
        <f>(1-Assumptions!$B$4)*Q9+Assumptions!$B$4*Q17</f>
        <v>39.27494444</v>
      </c>
      <c r="R25" s="29">
        <f>(1-Assumptions!$B$4)*R9+Assumptions!$B$4*R17</f>
        <v>76.71428571</v>
      </c>
      <c r="S25" s="29">
        <f>(1-Assumptions!$B$4)*S9+Assumptions!$B$4*S17</f>
        <v>58.13333333</v>
      </c>
      <c r="T25" s="29">
        <f>(1-Assumptions!$B$4)*T9+Assumptions!$B$4*T17</f>
        <v>27.36666667</v>
      </c>
      <c r="U25" s="29">
        <f>(1-Assumptions!$B$4)*U9+Assumptions!$B$4*U17</f>
        <v>53.43333333</v>
      </c>
      <c r="V25" s="29">
        <f>(1-Assumptions!$B$4)*V9+Assumptions!$B$4*V17</f>
        <v>68.58333333</v>
      </c>
    </row>
    <row r="26">
      <c r="A26" s="7" t="s">
        <v>1181</v>
      </c>
      <c r="B26" s="3">
        <v>6.0</v>
      </c>
      <c r="C26" s="7" t="s">
        <v>106</v>
      </c>
      <c r="E26" s="29">
        <f>(1-Assumptions!$B$4)*E10+Assumptions!$B$4*E18</f>
        <v>7.333333333</v>
      </c>
      <c r="F26" s="29">
        <f>(1-Assumptions!$B$4)*F10+Assumptions!$B$4*F18</f>
        <v>34.83333333</v>
      </c>
      <c r="G26" s="29">
        <f>(1-Assumptions!$B$4)*G10+Assumptions!$B$4*G18</f>
        <v>25.56666667</v>
      </c>
      <c r="H26" s="29">
        <f>(1-Assumptions!$B$4)*H10+Assumptions!$B$4*H18</f>
        <v>12.58333333</v>
      </c>
      <c r="I26" s="29">
        <f>(1-Assumptions!$B$4)*I10+Assumptions!$B$4*I18</f>
        <v>3.5</v>
      </c>
      <c r="J26" s="29">
        <f>(1-Assumptions!$B$4)*J10+Assumptions!$B$4*J18</f>
        <v>3.2</v>
      </c>
      <c r="K26" s="29">
        <f>(1-Assumptions!$B$4)*K10+Assumptions!$B$4*K18</f>
        <v>5.133333333</v>
      </c>
      <c r="L26" s="29">
        <f>(1-Assumptions!$B$4)*L10+Assumptions!$B$4*L18</f>
        <v>37.13333333</v>
      </c>
      <c r="M26" s="29">
        <f>(1-Assumptions!$B$4)*M10+Assumptions!$B$4*M18</f>
        <v>55.86666667</v>
      </c>
      <c r="N26" s="29">
        <f>(1-Assumptions!$B$4)*N10+Assumptions!$B$4*N18</f>
        <v>41.83333333</v>
      </c>
      <c r="O26" s="29">
        <f>(1-Assumptions!$B$4)*O10+Assumptions!$B$4*O18</f>
        <v>47.66666667</v>
      </c>
      <c r="P26" s="29">
        <f>(1-Assumptions!$B$4)*P10+Assumptions!$B$4*P18</f>
        <v>24</v>
      </c>
      <c r="Q26" s="29">
        <f>(1-Assumptions!$B$4)*Q10+Assumptions!$B$4*Q18</f>
        <v>66.1547619</v>
      </c>
      <c r="R26" s="29">
        <f>(1-Assumptions!$B$4)*R10+Assumptions!$B$4*R18</f>
        <v>55.16666667</v>
      </c>
      <c r="S26" s="29">
        <f>(1-Assumptions!$B$4)*S10+Assumptions!$B$4*S18</f>
        <v>63.4</v>
      </c>
      <c r="T26" s="29">
        <f>(1-Assumptions!$B$4)*T10+Assumptions!$B$4*T18</f>
        <v>8.533333333</v>
      </c>
      <c r="U26" s="29">
        <f>(1-Assumptions!$B$4)*U10+Assumptions!$B$4*U18</f>
        <v>24</v>
      </c>
      <c r="V26" s="29">
        <f>(1-Assumptions!$B$4)*V10+Assumptions!$B$4*V18</f>
        <v>30.26666667</v>
      </c>
    </row>
    <row r="27">
      <c r="A27" s="7" t="s">
        <v>1181</v>
      </c>
      <c r="B27" s="3">
        <v>7.0</v>
      </c>
      <c r="C27" s="7" t="s">
        <v>108</v>
      </c>
      <c r="E27" s="29">
        <f>(1-Assumptions!$B$4)*E11+Assumptions!$B$4*E19</f>
        <v>58.09649123</v>
      </c>
      <c r="F27" s="29">
        <f>(1-Assumptions!$B$4)*F11+Assumptions!$B$4*F19</f>
        <v>56.83809524</v>
      </c>
      <c r="G27" s="29">
        <f>(1-Assumptions!$B$4)*G11+Assumptions!$B$4*G19</f>
        <v>34.27260459</v>
      </c>
      <c r="H27" s="29">
        <f>(1-Assumptions!$B$4)*H11+Assumptions!$B$4*H19</f>
        <v>34.30769231</v>
      </c>
      <c r="I27" s="29">
        <f>(1-Assumptions!$B$4)*I11+Assumptions!$B$4*I19</f>
        <v>11.62280702</v>
      </c>
      <c r="J27" s="29">
        <f>(1-Assumptions!$B$4)*J11+Assumptions!$B$4*J19</f>
        <v>28.9122807</v>
      </c>
      <c r="K27" s="29">
        <f>(1-Assumptions!$B$4)*K11+Assumptions!$B$4*K19</f>
        <v>11.84210526</v>
      </c>
      <c r="L27" s="29">
        <f>(1-Assumptions!$B$4)*L11+Assumptions!$B$4*L19</f>
        <v>48.49373434</v>
      </c>
      <c r="M27" s="29">
        <f>(1-Assumptions!$B$4)*M11+Assumptions!$B$4*M19</f>
        <v>66.86591479</v>
      </c>
      <c r="N27" s="29">
        <f>(1-Assumptions!$B$4)*N11+Assumptions!$B$4*N19</f>
        <v>69.77142857</v>
      </c>
      <c r="O27" s="29">
        <f>(1-Assumptions!$B$4)*O11+Assumptions!$B$4*O19</f>
        <v>34.97031039</v>
      </c>
      <c r="P27" s="29">
        <f>(1-Assumptions!$B$4)*P11+Assumptions!$B$4*P19</f>
        <v>38.16059379</v>
      </c>
      <c r="Q27" s="29">
        <f>(1-Assumptions!$B$4)*Q11+Assumptions!$B$4*Q19</f>
        <v>35.39230769</v>
      </c>
      <c r="R27" s="29">
        <f>(1-Assumptions!$B$4)*R11+Assumptions!$B$4*R19</f>
        <v>52.9122807</v>
      </c>
      <c r="S27" s="29">
        <f>(1-Assumptions!$B$4)*S11+Assumptions!$B$4*S19</f>
        <v>57.89473684</v>
      </c>
      <c r="T27" s="29">
        <f>(1-Assumptions!$B$4)*T11+Assumptions!$B$4*T19</f>
        <v>53.75</v>
      </c>
      <c r="U27" s="29">
        <f>(1-Assumptions!$B$4)*U11+Assumptions!$B$4*U19</f>
        <v>59.37719298</v>
      </c>
      <c r="V27" s="29">
        <f>(1-Assumptions!$B$4)*V11+Assumptions!$B$4*V19</f>
        <v>65.39473684</v>
      </c>
    </row>
    <row r="28">
      <c r="E28" s="29"/>
      <c r="F28" s="29"/>
      <c r="G28" s="29"/>
      <c r="H28" s="29"/>
      <c r="I28" s="29"/>
      <c r="J28" s="29"/>
      <c r="K28" s="29"/>
      <c r="L28" s="29"/>
      <c r="M28" s="29"/>
      <c r="N28" s="29"/>
      <c r="O28" s="29"/>
      <c r="P28" s="29"/>
      <c r="Q28" s="29"/>
      <c r="R28" s="29"/>
      <c r="S28" s="29"/>
      <c r="T28" s="29"/>
      <c r="U28" s="29"/>
      <c r="V28" s="29"/>
    </row>
    <row r="29">
      <c r="A29" s="7" t="s">
        <v>1182</v>
      </c>
      <c r="B29" s="3">
        <v>1.0</v>
      </c>
      <c r="C29" s="7" t="s">
        <v>51</v>
      </c>
      <c r="E29" s="29">
        <f>MAX(Adjustments!E21,MIN(100,MAX(0,E21+Adjustments!E5+MAX(-Assumptions!$B$6,MIN(Assumptions!$B$6,Adjustments!E13)))))</f>
        <v>21.24753061</v>
      </c>
      <c r="F29" s="29">
        <f>MAX(Adjustments!F21,MIN(100,MAX(0,F21+Adjustments!F5+MAX(-Assumptions!$B$6,MIN(Assumptions!$B$6,Adjustments!F13)))))</f>
        <v>42.92714286</v>
      </c>
      <c r="G29" s="29">
        <f>MAX(Adjustments!G21,MIN(100,MAX(0,G21+Adjustments!G5+MAX(-Assumptions!$B$6,MIN(Assumptions!$B$6,Adjustments!G13)))))</f>
        <v>54.4488</v>
      </c>
      <c r="H29" s="29">
        <f>MAX(Adjustments!H21,MIN(100,MAX(0,H21+Adjustments!H5+MAX(-Assumptions!$B$6,MIN(Assumptions!$B$6,Adjustments!H13)))))</f>
        <v>40.17328435</v>
      </c>
      <c r="I29" s="29">
        <f>MAX(Adjustments!I21,MIN(100,MAX(0,I21+Adjustments!I5+MAX(-Assumptions!$B$6,MIN(Assumptions!$B$6,Adjustments!I13)))))</f>
        <v>38.65</v>
      </c>
      <c r="J29" s="29">
        <f>MAX(Adjustments!J21,MIN(100,MAX(0,J21+Adjustments!J5+MAX(-Assumptions!$B$6,MIN(Assumptions!$B$6,Adjustments!J13)))))</f>
        <v>54</v>
      </c>
      <c r="K29" s="29">
        <f>MAX(Adjustments!K21,MIN(100,MAX(0,K21+Adjustments!K5+MAX(-Assumptions!$B$6,MIN(Assumptions!$B$6,Adjustments!K13)))))</f>
        <v>22.00489252</v>
      </c>
      <c r="L29" s="29">
        <f>MAX(Adjustments!L21,MIN(100,MAX(0,L21+Adjustments!L5+MAX(-Assumptions!$B$6,MIN(Assumptions!$B$6,Adjustments!L13)))))</f>
        <v>49.99699932</v>
      </c>
      <c r="M29" s="29">
        <f>MAX(Adjustments!M21,MIN(100,MAX(0,M21+Adjustments!M5+MAX(-Assumptions!$B$6,MIN(Assumptions!$B$6,Adjustments!M13)))))</f>
        <v>74.974</v>
      </c>
      <c r="N29" s="29">
        <f>MAX(Adjustments!N21,MIN(100,MAX(0,N21+Adjustments!N5+MAX(-Assumptions!$B$6,MIN(Assumptions!$B$6,Adjustments!N13)))))</f>
        <v>53.3019551</v>
      </c>
      <c r="O29" s="29">
        <f>MAX(Adjustments!O21,MIN(100,MAX(0,O21+Adjustments!O5+MAX(-Assumptions!$B$6,MIN(Assumptions!$B$6,Adjustments!O13)))))</f>
        <v>58.65828571</v>
      </c>
      <c r="P29" s="29">
        <f>MAX(Adjustments!P21,MIN(100,MAX(0,P21+Adjustments!P5+MAX(-Assumptions!$B$6,MIN(Assumptions!$B$6,Adjustments!P13)))))</f>
        <v>69.29621905</v>
      </c>
      <c r="Q29" s="29">
        <f>MAX(Adjustments!Q21,MIN(100,MAX(0,Q21+Adjustments!Q5+MAX(-Assumptions!$B$6,MIN(Assumptions!$B$6,Adjustments!Q13)))))</f>
        <v>43.5715</v>
      </c>
      <c r="R29" s="29">
        <f>MAX(Adjustments!R21,MIN(100,MAX(0,R21+Adjustments!R5+MAX(-Assumptions!$B$6,MIN(Assumptions!$B$6,Adjustments!R13)))))</f>
        <v>96</v>
      </c>
      <c r="S29" s="29">
        <f>MAX(Adjustments!S21,MIN(100,MAX(0,S21+Adjustments!S5+MAX(-Assumptions!$B$6,MIN(Assumptions!$B$6,Adjustments!S13)))))</f>
        <v>64.23134694</v>
      </c>
      <c r="T29" s="29">
        <f>MAX(Adjustments!T21,MIN(100,MAX(0,T21+Adjustments!T5+MAX(-Assumptions!$B$6,MIN(Assumptions!$B$6,Adjustments!T13)))))</f>
        <v>81.94666667</v>
      </c>
      <c r="U29" s="29">
        <f>MAX(Adjustments!U21,MIN(100,MAX(0,U21+Adjustments!U5+MAX(-Assumptions!$B$6,MIN(Assumptions!$B$6,Adjustments!U13)))))</f>
        <v>67.85333333</v>
      </c>
      <c r="V29" s="29">
        <f>MAX(Adjustments!V21,MIN(100,MAX(0,V21+Adjustments!V5+MAX(-Assumptions!$B$6,MIN(Assumptions!$B$6,Adjustments!V13)))))</f>
        <v>90</v>
      </c>
    </row>
    <row r="30">
      <c r="A30" s="7" t="s">
        <v>1182</v>
      </c>
      <c r="B30" s="3">
        <v>2.0</v>
      </c>
      <c r="C30" s="7" t="s">
        <v>99</v>
      </c>
      <c r="E30" s="29">
        <f>MAX(Adjustments!E22,MIN(100,MAX(0,E22+Adjustments!E6+MAX(-Assumptions!$B$6,MIN(Assumptions!$B$6,Adjustments!E14)))))</f>
        <v>37.8</v>
      </c>
      <c r="F30" s="29">
        <f>MAX(Adjustments!F22,MIN(100,MAX(0,F22+Adjustments!F6+MAX(-Assumptions!$B$6,MIN(Assumptions!$B$6,Adjustments!F14)))))</f>
        <v>23.4925</v>
      </c>
      <c r="G30" s="29">
        <f>MAX(Adjustments!G22,MIN(100,MAX(0,G22+Adjustments!G6+MAX(-Assumptions!$B$6,MIN(Assumptions!$B$6,Adjustments!G14)))))</f>
        <v>27.37333333</v>
      </c>
      <c r="H30" s="29">
        <f>MAX(Adjustments!H22,MIN(100,MAX(0,H22+Adjustments!H6+MAX(-Assumptions!$B$6,MIN(Assumptions!$B$6,Adjustments!H14)))))</f>
        <v>34.54333333</v>
      </c>
      <c r="I30" s="29">
        <f>MAX(Adjustments!I22,MIN(100,MAX(0,I22+Adjustments!I6+MAX(-Assumptions!$B$6,MIN(Assumptions!$B$6,Adjustments!I14)))))</f>
        <v>17.93333333</v>
      </c>
      <c r="J30" s="29">
        <f>MAX(Adjustments!J22,MIN(100,MAX(0,J22+Adjustments!J6+MAX(-Assumptions!$B$6,MIN(Assumptions!$B$6,Adjustments!J14)))))</f>
        <v>4.533333333</v>
      </c>
      <c r="K30" s="29">
        <f>MAX(Adjustments!K22,MIN(100,MAX(0,K22+Adjustments!K6+MAX(-Assumptions!$B$6,MIN(Assumptions!$B$6,Adjustments!K14)))))</f>
        <v>22.93333333</v>
      </c>
      <c r="L30" s="29">
        <f>MAX(Adjustments!L22,MIN(100,MAX(0,L22+Adjustments!L6+MAX(-Assumptions!$B$6,MIN(Assumptions!$B$6,Adjustments!L14)))))</f>
        <v>11.71</v>
      </c>
      <c r="M30" s="29">
        <f>MAX(Adjustments!M22,MIN(100,MAX(0,M22+Adjustments!M6+MAX(-Assumptions!$B$6,MIN(Assumptions!$B$6,Adjustments!M14)))))</f>
        <v>66.85833333</v>
      </c>
      <c r="N30" s="29">
        <f>MAX(Adjustments!N22,MIN(100,MAX(0,N22+Adjustments!N6+MAX(-Assumptions!$B$6,MIN(Assumptions!$B$6,Adjustments!N14)))))</f>
        <v>57.66666667</v>
      </c>
      <c r="O30" s="29">
        <f>MAX(Adjustments!O22,MIN(100,MAX(0,O22+Adjustments!O6+MAX(-Assumptions!$B$6,MIN(Assumptions!$B$6,Adjustments!O14)))))</f>
        <v>24.84916667</v>
      </c>
      <c r="P30" s="29">
        <f>MAX(Adjustments!P22,MIN(100,MAX(0,P22+Adjustments!P6+MAX(-Assumptions!$B$6,MIN(Assumptions!$B$6,Adjustments!P14)))))</f>
        <v>76.37738095</v>
      </c>
      <c r="Q30" s="29">
        <f>MAX(Adjustments!Q22,MIN(100,MAX(0,Q22+Adjustments!Q6+MAX(-Assumptions!$B$6,MIN(Assumptions!$B$6,Adjustments!Q14)))))</f>
        <v>33.73333333</v>
      </c>
      <c r="R30" s="29">
        <f>MAX(Adjustments!R22,MIN(100,MAX(0,R22+Adjustments!R6+MAX(-Assumptions!$B$6,MIN(Assumptions!$B$6,Adjustments!R14)))))</f>
        <v>88.85416667</v>
      </c>
      <c r="S30" s="29">
        <f>MAX(Adjustments!S22,MIN(100,MAX(0,S22+Adjustments!S6+MAX(-Assumptions!$B$6,MIN(Assumptions!$B$6,Adjustments!S14)))))</f>
        <v>43.8125</v>
      </c>
      <c r="T30" s="29">
        <f>MAX(Adjustments!T22,MIN(100,MAX(0,T22+Adjustments!T6+MAX(-Assumptions!$B$6,MIN(Assumptions!$B$6,Adjustments!T14)))))</f>
        <v>67.59166667</v>
      </c>
      <c r="U30" s="29">
        <f>MAX(Adjustments!U22,MIN(100,MAX(0,U22+Adjustments!U6+MAX(-Assumptions!$B$6,MIN(Assumptions!$B$6,Adjustments!U14)))))</f>
        <v>51.66666667</v>
      </c>
      <c r="V30" s="29">
        <f>MAX(Adjustments!V22,MIN(100,MAX(0,V22+Adjustments!V6+MAX(-Assumptions!$B$6,MIN(Assumptions!$B$6,Adjustments!V14)))))</f>
        <v>85</v>
      </c>
    </row>
    <row r="31">
      <c r="A31" s="7" t="s">
        <v>1182</v>
      </c>
      <c r="B31" s="3">
        <v>3.0</v>
      </c>
      <c r="C31" s="7" t="s">
        <v>101</v>
      </c>
      <c r="E31" s="29">
        <f>MAX(Adjustments!E23,MIN(100,MAX(0,E23+Adjustments!E7+MAX(-Assumptions!$B$6,MIN(Assumptions!$B$6,Adjustments!E15)))))</f>
        <v>47.53333333</v>
      </c>
      <c r="F31" s="29">
        <f>MAX(Adjustments!F23,MIN(100,MAX(0,F23+Adjustments!F7+MAX(-Assumptions!$B$6,MIN(Assumptions!$B$6,Adjustments!F15)))))</f>
        <v>34.5</v>
      </c>
      <c r="G31" s="29">
        <f>MAX(Adjustments!G23,MIN(100,MAX(0,G23+Adjustments!G7+MAX(-Assumptions!$B$6,MIN(Assumptions!$B$6,Adjustments!G15)))))</f>
        <v>54.53333333</v>
      </c>
      <c r="H31" s="29">
        <f>MAX(Adjustments!H23,MIN(100,MAX(0,H23+Adjustments!H7+MAX(-Assumptions!$B$6,MIN(Assumptions!$B$6,Adjustments!H15)))))</f>
        <v>24.2</v>
      </c>
      <c r="I31" s="29">
        <f>MAX(Adjustments!I23,MIN(100,MAX(0,I23+Adjustments!I7+MAX(-Assumptions!$B$6,MIN(Assumptions!$B$6,Adjustments!I15)))))</f>
        <v>15.25</v>
      </c>
      <c r="J31" s="29">
        <f>MAX(Adjustments!J23,MIN(100,MAX(0,J23+Adjustments!J7+MAX(-Assumptions!$B$6,MIN(Assumptions!$B$6,Adjustments!J15)))))</f>
        <v>8</v>
      </c>
      <c r="K31" s="29">
        <f>MAX(Adjustments!K23,MIN(100,MAX(0,K23+Adjustments!K7+MAX(-Assumptions!$B$6,MIN(Assumptions!$B$6,Adjustments!K15)))))</f>
        <v>16.33333333</v>
      </c>
      <c r="L31" s="29">
        <f>MAX(Adjustments!L23,MIN(100,MAX(0,L23+Adjustments!L7+MAX(-Assumptions!$B$6,MIN(Assumptions!$B$6,Adjustments!L15)))))</f>
        <v>50.7</v>
      </c>
      <c r="M31" s="29">
        <f>MAX(Adjustments!M23,MIN(100,MAX(0,M23+Adjustments!M7+MAX(-Assumptions!$B$6,MIN(Assumptions!$B$6,Adjustments!M15)))))</f>
        <v>61.96666667</v>
      </c>
      <c r="N31" s="29">
        <f>MAX(Adjustments!N23,MIN(100,MAX(0,N23+Adjustments!N7+MAX(-Assumptions!$B$6,MIN(Assumptions!$B$6,Adjustments!N15)))))</f>
        <v>60</v>
      </c>
      <c r="O31" s="29">
        <f>MAX(Adjustments!O23,MIN(100,MAX(0,O23+Adjustments!O7+MAX(-Assumptions!$B$6,MIN(Assumptions!$B$6,Adjustments!O15)))))</f>
        <v>28.4</v>
      </c>
      <c r="P31" s="29">
        <f>MAX(Adjustments!P23,MIN(100,MAX(0,P23+Adjustments!P7+MAX(-Assumptions!$B$6,MIN(Assumptions!$B$6,Adjustments!P15)))))</f>
        <v>48.8</v>
      </c>
      <c r="Q31" s="29">
        <f>MAX(Adjustments!Q23,MIN(100,MAX(0,Q23+Adjustments!Q7+MAX(-Assumptions!$B$6,MIN(Assumptions!$B$6,Adjustments!Q15)))))</f>
        <v>32.9</v>
      </c>
      <c r="R31" s="29">
        <f>MAX(Adjustments!R23,MIN(100,MAX(0,R23+Adjustments!R7+MAX(-Assumptions!$B$6,MIN(Assumptions!$B$6,Adjustments!R15)))))</f>
        <v>95.33333333</v>
      </c>
      <c r="S31" s="29">
        <f>MAX(Adjustments!S23,MIN(100,MAX(0,S23+Adjustments!S7+MAX(-Assumptions!$B$6,MIN(Assumptions!$B$6,Adjustments!S15)))))</f>
        <v>61.16666667</v>
      </c>
      <c r="T31" s="29">
        <f>MAX(Adjustments!T23,MIN(100,MAX(0,T23+Adjustments!T7+MAX(-Assumptions!$B$6,MIN(Assumptions!$B$6,Adjustments!T15)))))</f>
        <v>62.8</v>
      </c>
      <c r="U31" s="29">
        <f>MAX(Adjustments!U23,MIN(100,MAX(0,U23+Adjustments!U7+MAX(-Assumptions!$B$6,MIN(Assumptions!$B$6,Adjustments!U15)))))</f>
        <v>63.36666667</v>
      </c>
      <c r="V31" s="29">
        <f>MAX(Adjustments!V23,MIN(100,MAX(0,V23+Adjustments!V7+MAX(-Assumptions!$B$6,MIN(Assumptions!$B$6,Adjustments!V15)))))</f>
        <v>89.73333333</v>
      </c>
    </row>
    <row r="32">
      <c r="A32" s="7" t="s">
        <v>1182</v>
      </c>
      <c r="B32" s="3">
        <v>4.0</v>
      </c>
      <c r="C32" s="7" t="s">
        <v>102</v>
      </c>
      <c r="E32" s="29">
        <f>MAX(Adjustments!E24,MIN(100,MAX(0,E24+Adjustments!E8+MAX(-Assumptions!$B$6,MIN(Assumptions!$B$6,Adjustments!E16)))))</f>
        <v>13</v>
      </c>
      <c r="F32" s="29">
        <f>MAX(Adjustments!F24,MIN(100,MAX(0,F24+Adjustments!F8+MAX(-Assumptions!$B$6,MIN(Assumptions!$B$6,Adjustments!F16)))))</f>
        <v>48</v>
      </c>
      <c r="G32" s="29">
        <f>MAX(Adjustments!G24,MIN(100,MAX(0,G24+Adjustments!G8+MAX(-Assumptions!$B$6,MIN(Assumptions!$B$6,Adjustments!G16)))))</f>
        <v>32</v>
      </c>
      <c r="H32" s="29">
        <f>MAX(Adjustments!H24,MIN(100,MAX(0,H24+Adjustments!H8+MAX(-Assumptions!$B$6,MIN(Assumptions!$B$6,Adjustments!H16)))))</f>
        <v>32</v>
      </c>
      <c r="I32" s="29">
        <f>MAX(Adjustments!I24,MIN(100,MAX(0,I24+Adjustments!I8+MAX(-Assumptions!$B$6,MIN(Assumptions!$B$6,Adjustments!I16)))))</f>
        <v>15</v>
      </c>
      <c r="J32" s="29">
        <f>MAX(Adjustments!J24,MIN(100,MAX(0,J24+Adjustments!J8+MAX(-Assumptions!$B$6,MIN(Assumptions!$B$6,Adjustments!J16)))))</f>
        <v>19</v>
      </c>
      <c r="K32" s="29">
        <f>MAX(Adjustments!K24,MIN(100,MAX(0,K24+Adjustments!K8+MAX(-Assumptions!$B$6,MIN(Assumptions!$B$6,Adjustments!K16)))))</f>
        <v>35</v>
      </c>
      <c r="L32" s="29">
        <f>MAX(Adjustments!L24,MIN(100,MAX(0,L24+Adjustments!L8+MAX(-Assumptions!$B$6,MIN(Assumptions!$B$6,Adjustments!L16)))))</f>
        <v>32</v>
      </c>
      <c r="M32" s="29">
        <f>MAX(Adjustments!M24,MIN(100,MAX(0,M24+Adjustments!M8+MAX(-Assumptions!$B$6,MIN(Assumptions!$B$6,Adjustments!M16)))))</f>
        <v>59</v>
      </c>
      <c r="N32" s="29">
        <f>MAX(Adjustments!N24,MIN(100,MAX(0,N24+Adjustments!N8+MAX(-Assumptions!$B$6,MIN(Assumptions!$B$6,Adjustments!N16)))))</f>
        <v>12</v>
      </c>
      <c r="O32" s="29">
        <f>MAX(Adjustments!O24,MIN(100,MAX(0,O24+Adjustments!O8+MAX(-Assumptions!$B$6,MIN(Assumptions!$B$6,Adjustments!O16)))))</f>
        <v>54</v>
      </c>
      <c r="P32" s="29">
        <f>MAX(Adjustments!P24,MIN(100,MAX(0,P24+Adjustments!P8+MAX(-Assumptions!$B$6,MIN(Assumptions!$B$6,Adjustments!P16)))))</f>
        <v>44</v>
      </c>
      <c r="Q32" s="29">
        <f>MAX(Adjustments!Q24,MIN(100,MAX(0,Q24+Adjustments!Q8+MAX(-Assumptions!$B$6,MIN(Assumptions!$B$6,Adjustments!Q16)))))</f>
        <v>39</v>
      </c>
      <c r="R32" s="29">
        <f>MAX(Adjustments!R24,MIN(100,MAX(0,R24+Adjustments!R8+MAX(-Assumptions!$B$6,MIN(Assumptions!$B$6,Adjustments!R16)))))</f>
        <v>75</v>
      </c>
      <c r="S32" s="29">
        <f>MAX(Adjustments!S24,MIN(100,MAX(0,S24+Adjustments!S8+MAX(-Assumptions!$B$6,MIN(Assumptions!$B$6,Adjustments!S16)))))</f>
        <v>51</v>
      </c>
      <c r="T32" s="29">
        <f>MAX(Adjustments!T24,MIN(100,MAX(0,T24+Adjustments!T8+MAX(-Assumptions!$B$6,MIN(Assumptions!$B$6,Adjustments!T16)))))</f>
        <v>45</v>
      </c>
      <c r="U32" s="29">
        <f>MAX(Adjustments!U24,MIN(100,MAX(0,U24+Adjustments!U8+MAX(-Assumptions!$B$6,MIN(Assumptions!$B$6,Adjustments!U16)))))</f>
        <v>33</v>
      </c>
      <c r="V32" s="29">
        <f>MAX(Adjustments!V24,MIN(100,MAX(0,V24+Adjustments!V8+MAX(-Assumptions!$B$6,MIN(Assumptions!$B$6,Adjustments!V16)))))</f>
        <v>59</v>
      </c>
    </row>
    <row r="33">
      <c r="A33" s="7" t="s">
        <v>1182</v>
      </c>
      <c r="B33" s="3">
        <v>5.0</v>
      </c>
      <c r="C33" s="7" t="s">
        <v>103</v>
      </c>
      <c r="E33" s="29">
        <f>MAX(Adjustments!E25,MIN(100,MAX(0,E25+Adjustments!E9+MAX(-Assumptions!$B$6,MIN(Assumptions!$B$6,Adjustments!E17)))))</f>
        <v>35.30238095</v>
      </c>
      <c r="F33" s="29">
        <f>MAX(Adjustments!F25,MIN(100,MAX(0,F25+Adjustments!F9+MAX(-Assumptions!$B$6,MIN(Assumptions!$B$6,Adjustments!F17)))))</f>
        <v>23.68571429</v>
      </c>
      <c r="G33" s="29">
        <f>MAX(Adjustments!G25,MIN(100,MAX(0,G25+Adjustments!G9+MAX(-Assumptions!$B$6,MIN(Assumptions!$B$6,Adjustments!G17)))))</f>
        <v>39.80858</v>
      </c>
      <c r="H33" s="29">
        <f>MAX(Adjustments!H25,MIN(100,MAX(0,H25+Adjustments!H9+MAX(-Assumptions!$B$6,MIN(Assumptions!$B$6,Adjustments!H17)))))</f>
        <v>26.36666667</v>
      </c>
      <c r="I33" s="29">
        <f>MAX(Adjustments!I25,MIN(100,MAX(0,I25+Adjustments!I9+MAX(-Assumptions!$B$6,MIN(Assumptions!$B$6,Adjustments!I17)))))</f>
        <v>28.51666667</v>
      </c>
      <c r="J33" s="29">
        <f>MAX(Adjustments!J25,MIN(100,MAX(0,J25+Adjustments!J9+MAX(-Assumptions!$B$6,MIN(Assumptions!$B$6,Adjustments!J17)))))</f>
        <v>36.35</v>
      </c>
      <c r="K33" s="29">
        <f>MAX(Adjustments!K25,MIN(100,MAX(0,K25+Adjustments!K9+MAX(-Assumptions!$B$6,MIN(Assumptions!$B$6,Adjustments!K17)))))</f>
        <v>30.75</v>
      </c>
      <c r="L33" s="29">
        <f>MAX(Adjustments!L25,MIN(100,MAX(0,L25+Adjustments!L9+MAX(-Assumptions!$B$6,MIN(Assumptions!$B$6,Adjustments!L17)))))</f>
        <v>29.76904762</v>
      </c>
      <c r="M33" s="29">
        <f>MAX(Adjustments!M25,MIN(100,MAX(0,M25+Adjustments!M9+MAX(-Assumptions!$B$6,MIN(Assumptions!$B$6,Adjustments!M17)))))</f>
        <v>48.06666667</v>
      </c>
      <c r="N33" s="29">
        <f>MAX(Adjustments!N25,MIN(100,MAX(0,N25+Adjustments!N9+MAX(-Assumptions!$B$6,MIN(Assumptions!$B$6,Adjustments!N17)))))</f>
        <v>30.58575556</v>
      </c>
      <c r="O33" s="29">
        <f>MAX(Adjustments!O25,MIN(100,MAX(0,O25+Adjustments!O9+MAX(-Assumptions!$B$6,MIN(Assumptions!$B$6,Adjustments!O17)))))</f>
        <v>44.68586667</v>
      </c>
      <c r="P33" s="29">
        <f>MAX(Adjustments!P25,MIN(100,MAX(0,P25+Adjustments!P9+MAX(-Assumptions!$B$6,MIN(Assumptions!$B$6,Adjustments!P17)))))</f>
        <v>56.04856667</v>
      </c>
      <c r="Q33" s="29">
        <f>MAX(Adjustments!Q25,MIN(100,MAX(0,Q25+Adjustments!Q9+MAX(-Assumptions!$B$6,MIN(Assumptions!$B$6,Adjustments!Q17)))))</f>
        <v>39.27494444</v>
      </c>
      <c r="R33" s="29">
        <f>MAX(Adjustments!R25,MIN(100,MAX(0,R25+Adjustments!R9+MAX(-Assumptions!$B$6,MIN(Assumptions!$B$6,Adjustments!R17)))))</f>
        <v>90</v>
      </c>
      <c r="S33" s="29">
        <f>MAX(Adjustments!S25,MIN(100,MAX(0,S25+Adjustments!S9+MAX(-Assumptions!$B$6,MIN(Assumptions!$B$6,Adjustments!S17)))))</f>
        <v>58.13333333</v>
      </c>
      <c r="T33" s="29">
        <f>MAX(Adjustments!T25,MIN(100,MAX(0,T25+Adjustments!T9+MAX(-Assumptions!$B$6,MIN(Assumptions!$B$6,Adjustments!T17)))))</f>
        <v>27.36666667</v>
      </c>
      <c r="U33" s="29">
        <f>MAX(Adjustments!U25,MIN(100,MAX(0,U25+Adjustments!U9+MAX(-Assumptions!$B$6,MIN(Assumptions!$B$6,Adjustments!U17)))))</f>
        <v>53.43333333</v>
      </c>
      <c r="V33" s="29">
        <f>MAX(Adjustments!V25,MIN(100,MAX(0,V25+Adjustments!V9+MAX(-Assumptions!$B$6,MIN(Assumptions!$B$6,Adjustments!V17)))))</f>
        <v>68.58333333</v>
      </c>
    </row>
    <row r="34">
      <c r="A34" s="7" t="s">
        <v>1182</v>
      </c>
      <c r="B34" s="3">
        <v>6.0</v>
      </c>
      <c r="C34" s="7" t="s">
        <v>106</v>
      </c>
      <c r="E34" s="29">
        <f>MAX(Adjustments!E26,MIN(100,MAX(0,E26+Adjustments!E10+MAX(-Assumptions!$B$6,MIN(Assumptions!$B$6,Adjustments!E18)))))</f>
        <v>7.333333333</v>
      </c>
      <c r="F34" s="29">
        <f>MAX(Adjustments!F26,MIN(100,MAX(0,F26+Adjustments!F10+MAX(-Assumptions!$B$6,MIN(Assumptions!$B$6,Adjustments!F18)))))</f>
        <v>34.83333333</v>
      </c>
      <c r="G34" s="29">
        <f>MAX(Adjustments!G26,MIN(100,MAX(0,G26+Adjustments!G10+MAX(-Assumptions!$B$6,MIN(Assumptions!$B$6,Adjustments!G18)))))</f>
        <v>25.56666667</v>
      </c>
      <c r="H34" s="29">
        <f>MAX(Adjustments!H26,MIN(100,MAX(0,H26+Adjustments!H10+MAX(-Assumptions!$B$6,MIN(Assumptions!$B$6,Adjustments!H18)))))</f>
        <v>12.58333333</v>
      </c>
      <c r="I34" s="29">
        <f>MAX(Adjustments!I26,MIN(100,MAX(0,I26+Adjustments!I10+MAX(-Assumptions!$B$6,MIN(Assumptions!$B$6,Adjustments!I18)))))</f>
        <v>3.5</v>
      </c>
      <c r="J34" s="29">
        <f>MAX(Adjustments!J26,MIN(100,MAX(0,J26+Adjustments!J10+MAX(-Assumptions!$B$6,MIN(Assumptions!$B$6,Adjustments!J18)))))</f>
        <v>3.2</v>
      </c>
      <c r="K34" s="29">
        <f>MAX(Adjustments!K26,MIN(100,MAX(0,K26+Adjustments!K10+MAX(-Assumptions!$B$6,MIN(Assumptions!$B$6,Adjustments!K18)))))</f>
        <v>5.133333333</v>
      </c>
      <c r="L34" s="29">
        <f>MAX(Adjustments!L26,MIN(100,MAX(0,L26+Adjustments!L10+MAX(-Assumptions!$B$6,MIN(Assumptions!$B$6,Adjustments!L18)))))</f>
        <v>37.13333333</v>
      </c>
      <c r="M34" s="29">
        <f>MAX(Adjustments!M26,MIN(100,MAX(0,M26+Adjustments!M10+MAX(-Assumptions!$B$6,MIN(Assumptions!$B$6,Adjustments!M18)))))</f>
        <v>85</v>
      </c>
      <c r="N34" s="29">
        <f>MAX(Adjustments!N26,MIN(100,MAX(0,N26+Adjustments!N10+MAX(-Assumptions!$B$6,MIN(Assumptions!$B$6,Adjustments!N18)))))</f>
        <v>41.83333333</v>
      </c>
      <c r="O34" s="29">
        <f>MAX(Adjustments!O26,MIN(100,MAX(0,O26+Adjustments!O10+MAX(-Assumptions!$B$6,MIN(Assumptions!$B$6,Adjustments!O18)))))</f>
        <v>47.66666667</v>
      </c>
      <c r="P34" s="29">
        <f>MAX(Adjustments!P26,MIN(100,MAX(0,P26+Adjustments!P10+MAX(-Assumptions!$B$6,MIN(Assumptions!$B$6,Adjustments!P18)))))</f>
        <v>24</v>
      </c>
      <c r="Q34" s="29">
        <f>MAX(Adjustments!Q26,MIN(100,MAX(0,Q26+Adjustments!Q10+MAX(-Assumptions!$B$6,MIN(Assumptions!$B$6,Adjustments!Q18)))))</f>
        <v>66.1547619</v>
      </c>
      <c r="R34" s="29">
        <f>MAX(Adjustments!R26,MIN(100,MAX(0,R26+Adjustments!R10+MAX(-Assumptions!$B$6,MIN(Assumptions!$B$6,Adjustments!R18)))))</f>
        <v>55.16666667</v>
      </c>
      <c r="S34" s="29">
        <f>MAX(Adjustments!S26,MIN(100,MAX(0,S26+Adjustments!S10+MAX(-Assumptions!$B$6,MIN(Assumptions!$B$6,Adjustments!S18)))))</f>
        <v>85</v>
      </c>
      <c r="T34" s="29">
        <f>MAX(Adjustments!T26,MIN(100,MAX(0,T26+Adjustments!T10+MAX(-Assumptions!$B$6,MIN(Assumptions!$B$6,Adjustments!T18)))))</f>
        <v>8.533333333</v>
      </c>
      <c r="U34" s="29">
        <f>MAX(Adjustments!U26,MIN(100,MAX(0,U26+Adjustments!U10+MAX(-Assumptions!$B$6,MIN(Assumptions!$B$6,Adjustments!U18)))))</f>
        <v>24</v>
      </c>
      <c r="V34" s="29">
        <f>MAX(Adjustments!V26,MIN(100,MAX(0,V26+Adjustments!V10+MAX(-Assumptions!$B$6,MIN(Assumptions!$B$6,Adjustments!V18)))))</f>
        <v>30.26666667</v>
      </c>
    </row>
    <row r="35">
      <c r="A35" s="7" t="s">
        <v>1182</v>
      </c>
      <c r="B35" s="3">
        <v>7.0</v>
      </c>
      <c r="C35" s="7" t="s">
        <v>108</v>
      </c>
      <c r="E35" s="29">
        <f>MAX(Adjustments!E27,MIN(100,MAX(0,E27+Adjustments!E11+MAX(-Assumptions!$B$6,MIN(Assumptions!$B$6,Adjustments!E19)))))</f>
        <v>58.09649123</v>
      </c>
      <c r="F35" s="29">
        <f>MAX(Adjustments!F27,MIN(100,MAX(0,F27+Adjustments!F11+MAX(-Assumptions!$B$6,MIN(Assumptions!$B$6,Adjustments!F19)))))</f>
        <v>56.83809524</v>
      </c>
      <c r="G35" s="29">
        <f>MAX(Adjustments!G27,MIN(100,MAX(0,G27+Adjustments!G11+MAX(-Assumptions!$B$6,MIN(Assumptions!$B$6,Adjustments!G19)))))</f>
        <v>34.27260459</v>
      </c>
      <c r="H35" s="29">
        <f>MAX(Adjustments!H27,MIN(100,MAX(0,H27+Adjustments!H11+MAX(-Assumptions!$B$6,MIN(Assumptions!$B$6,Adjustments!H19)))))</f>
        <v>34.30769231</v>
      </c>
      <c r="I35" s="29">
        <f>MAX(Adjustments!I27,MIN(100,MAX(0,I27+Adjustments!I11+MAX(-Assumptions!$B$6,MIN(Assumptions!$B$6,Adjustments!I19)))))</f>
        <v>11.62280702</v>
      </c>
      <c r="J35" s="29">
        <f>MAX(Adjustments!J27,MIN(100,MAX(0,J27+Adjustments!J11+MAX(-Assumptions!$B$6,MIN(Assumptions!$B$6,Adjustments!J19)))))</f>
        <v>28.9122807</v>
      </c>
      <c r="K35" s="29">
        <f>MAX(Adjustments!K27,MIN(100,MAX(0,K27+Adjustments!K11+MAX(-Assumptions!$B$6,MIN(Assumptions!$B$6,Adjustments!K19)))))</f>
        <v>11.84210526</v>
      </c>
      <c r="L35" s="29">
        <f>MAX(Adjustments!L27,MIN(100,MAX(0,L27+Adjustments!L11+MAX(-Assumptions!$B$6,MIN(Assumptions!$B$6,Adjustments!L19)))))</f>
        <v>48.49373434</v>
      </c>
      <c r="M35" s="29">
        <f>MAX(Adjustments!M27,MIN(100,MAX(0,M27+Adjustments!M11+MAX(-Assumptions!$B$6,MIN(Assumptions!$B$6,Adjustments!M19)))))</f>
        <v>66.86591479</v>
      </c>
      <c r="N35" s="29">
        <f>MAX(Adjustments!N27,MIN(100,MAX(0,N27+Adjustments!N11+MAX(-Assumptions!$B$6,MIN(Assumptions!$B$6,Adjustments!N19)))))</f>
        <v>69.77142857</v>
      </c>
      <c r="O35" s="29">
        <f>MAX(Adjustments!O27,MIN(100,MAX(0,O27+Adjustments!O11+MAX(-Assumptions!$B$6,MIN(Assumptions!$B$6,Adjustments!O19)))))</f>
        <v>34.97031039</v>
      </c>
      <c r="P35" s="29">
        <f>MAX(Adjustments!P27,MIN(100,MAX(0,P27+Adjustments!P11+MAX(-Assumptions!$B$6,MIN(Assumptions!$B$6,Adjustments!P19)))))</f>
        <v>38.16059379</v>
      </c>
      <c r="Q35" s="29">
        <f>MAX(Adjustments!Q27,MIN(100,MAX(0,Q27+Adjustments!Q11+MAX(-Assumptions!$B$6,MIN(Assumptions!$B$6,Adjustments!Q19)))))</f>
        <v>35.39230769</v>
      </c>
      <c r="R35" s="29">
        <f>MAX(Adjustments!R27,MIN(100,MAX(0,R27+Adjustments!R11+MAX(-Assumptions!$B$6,MIN(Assumptions!$B$6,Adjustments!R19)))))</f>
        <v>52.9122807</v>
      </c>
      <c r="S35" s="29">
        <f>MAX(Adjustments!S27,MIN(100,MAX(0,S27+Adjustments!S11+MAX(-Assumptions!$B$6,MIN(Assumptions!$B$6,Adjustments!S19)))))</f>
        <v>57.89473684</v>
      </c>
      <c r="T35" s="29">
        <f>MAX(Adjustments!T27,MIN(100,MAX(0,T27+Adjustments!T11+MAX(-Assumptions!$B$6,MIN(Assumptions!$B$6,Adjustments!T19)))))</f>
        <v>53.75</v>
      </c>
      <c r="U35" s="29">
        <f>MAX(Adjustments!U27,MIN(100,MAX(0,U27+Adjustments!U11+MAX(-Assumptions!$B$6,MIN(Assumptions!$B$6,Adjustments!U19)))))</f>
        <v>59.37719298</v>
      </c>
      <c r="V35" s="29">
        <f>MAX(Adjustments!V27,MIN(100,MAX(0,V27+Adjustments!V11+MAX(-Assumptions!$B$6,MIN(Assumptions!$B$6,Adjustments!V19)))))</f>
        <v>65.39473684</v>
      </c>
    </row>
    <row r="37">
      <c r="A37" s="7" t="s">
        <v>1183</v>
      </c>
      <c r="C37" s="7" t="s">
        <v>1184</v>
      </c>
      <c r="D37" s="7" t="s">
        <v>1185</v>
      </c>
      <c r="E37" s="26">
        <f>IF(OR('Country Profile'!E7&lt;Assumptions!$B$9,Inputs!E76&gt;=Assumptions!$B$10),1,0)</f>
        <v>0</v>
      </c>
      <c r="F37" s="26">
        <f>IF(OR('Country Profile'!F7&lt;Assumptions!$B$9,Inputs!F76&gt;=Assumptions!$B$10),1,0)</f>
        <v>0</v>
      </c>
      <c r="G37" s="26">
        <f>IF(OR('Country Profile'!G7&lt;Assumptions!$B$9,Inputs!G76&gt;=Assumptions!$B$10),1,0)</f>
        <v>0</v>
      </c>
      <c r="H37" s="26">
        <f>IF(OR('Country Profile'!H7&lt;Assumptions!$B$9,Inputs!H76&gt;=Assumptions!$B$10),1,0)</f>
        <v>0</v>
      </c>
      <c r="I37" s="26">
        <f>IF(OR('Country Profile'!I7&lt;Assumptions!$B$9,Inputs!I76&gt;=Assumptions!$B$10),1,0)</f>
        <v>0</v>
      </c>
      <c r="J37" s="26">
        <f>IF(OR('Country Profile'!J7&lt;Assumptions!$B$9,Inputs!J76&gt;=Assumptions!$B$10),1,0)</f>
        <v>0</v>
      </c>
      <c r="K37" s="26">
        <f>IF(OR('Country Profile'!K7&lt;Assumptions!$B$9,Inputs!K76&gt;=Assumptions!$B$10),1,0)</f>
        <v>0</v>
      </c>
      <c r="L37" s="26">
        <f>IF(OR('Country Profile'!L7&lt;Assumptions!$B$9,Inputs!L76&gt;=Assumptions!$B$10),1,0)</f>
        <v>0</v>
      </c>
      <c r="M37" s="26">
        <f>IF(OR('Country Profile'!M7&lt;Assumptions!$B$9,Inputs!M76&gt;=Assumptions!$B$10),1,0)</f>
        <v>0</v>
      </c>
      <c r="N37" s="26">
        <f>IF(OR('Country Profile'!N7&lt;Assumptions!$B$9,Inputs!N76&gt;=Assumptions!$B$10),1,0)</f>
        <v>1</v>
      </c>
      <c r="O37" s="26">
        <f>IF(OR('Country Profile'!O7&lt;Assumptions!$B$9,Inputs!O76&gt;=Assumptions!$B$10),1,0)</f>
        <v>0</v>
      </c>
      <c r="P37" s="26">
        <f>IF(OR('Country Profile'!P7&lt;Assumptions!$B$9,Inputs!P76&gt;=Assumptions!$B$10),1,0)</f>
        <v>0</v>
      </c>
      <c r="Q37" s="26">
        <f>IF(OR('Country Profile'!Q7&lt;Assumptions!$B$9,Inputs!Q76&gt;=Assumptions!$B$10),1,0)</f>
        <v>0</v>
      </c>
      <c r="R37" s="26">
        <f>IF(OR('Country Profile'!R7&lt;Assumptions!$B$9,Inputs!R76&gt;=Assumptions!$B$10),1,0)</f>
        <v>0</v>
      </c>
      <c r="S37" s="26">
        <f>IF(OR('Country Profile'!S7&lt;Assumptions!$B$9,Inputs!S76&gt;=Assumptions!$B$10),1,0)</f>
        <v>0</v>
      </c>
      <c r="T37" s="26">
        <f>IF(OR('Country Profile'!T7&lt;Assumptions!$B$9,Inputs!T76&gt;=Assumptions!$B$10),1,0)</f>
        <v>0</v>
      </c>
      <c r="U37" s="26">
        <f>IF(OR('Country Profile'!U7&lt;Assumptions!$B$9,Inputs!U76&gt;=Assumptions!$B$10),1,0)</f>
        <v>0</v>
      </c>
      <c r="V37" s="26">
        <f>IF(OR('Country Profile'!V7&lt;Assumptions!$B$9,Inputs!V76&gt;=Assumptions!$B$10),1,0)</f>
        <v>0</v>
      </c>
    </row>
    <row r="38">
      <c r="A38" s="7" t="s">
        <v>1186</v>
      </c>
      <c r="B38" s="3">
        <v>1.0</v>
      </c>
      <c r="C38" s="7" t="s">
        <v>51</v>
      </c>
      <c r="E38" s="22">
        <f t="array" ref="E38">IF(E$37=1,INDEX(Assumptions!$D$14:$D$20,$B38),INDEX(Assumptions!$C$14:$C$20,$B38))</f>
        <v>0.25</v>
      </c>
      <c r="F38" s="22">
        <f t="array" ref="F38">IF(F$37=1,INDEX(Assumptions!$D$14:$D$20,$B38),INDEX(Assumptions!$C$14:$C$20,$B38))</f>
        <v>0.25</v>
      </c>
      <c r="G38" s="22">
        <f t="array" ref="G38">IF(G$37=1,INDEX(Assumptions!$D$14:$D$20,$B38),INDEX(Assumptions!$C$14:$C$20,$B38))</f>
        <v>0.25</v>
      </c>
      <c r="H38" s="22">
        <f t="array" ref="H38">IF(H$37=1,INDEX(Assumptions!$D$14:$D$20,$B38),INDEX(Assumptions!$C$14:$C$20,$B38))</f>
        <v>0.25</v>
      </c>
      <c r="I38" s="22">
        <f t="array" ref="I38">IF(I$37=1,INDEX(Assumptions!$D$14:$D$20,$B38),INDEX(Assumptions!$C$14:$C$20,$B38))</f>
        <v>0.25</v>
      </c>
      <c r="J38" s="22">
        <f t="array" ref="J38">IF(J$37=1,INDEX(Assumptions!$D$14:$D$20,$B38),INDEX(Assumptions!$C$14:$C$20,$B38))</f>
        <v>0.25</v>
      </c>
      <c r="K38" s="22">
        <f t="array" ref="K38">IF(K$37=1,INDEX(Assumptions!$D$14:$D$20,$B38),INDEX(Assumptions!$C$14:$C$20,$B38))</f>
        <v>0.25</v>
      </c>
      <c r="L38" s="22">
        <f t="array" ref="L38">IF(L$37=1,INDEX(Assumptions!$D$14:$D$20,$B38),INDEX(Assumptions!$C$14:$C$20,$B38))</f>
        <v>0.25</v>
      </c>
      <c r="M38" s="22">
        <f t="array" ref="M38">IF(M$37=1,INDEX(Assumptions!$D$14:$D$20,$B38),INDEX(Assumptions!$C$14:$C$20,$B38))</f>
        <v>0.25</v>
      </c>
      <c r="N38" s="22">
        <f t="array" ref="N38">IF(N$37=1,INDEX(Assumptions!$D$14:$D$20,$B38),INDEX(Assumptions!$C$14:$C$20,$B38))</f>
        <v>0.2236842105</v>
      </c>
      <c r="O38" s="22">
        <f t="array" ref="O38">IF(O$37=1,INDEX(Assumptions!$D$14:$D$20,$B38),INDEX(Assumptions!$C$14:$C$20,$B38))</f>
        <v>0.25</v>
      </c>
      <c r="P38" s="22">
        <f t="array" ref="P38">IF(P$37=1,INDEX(Assumptions!$D$14:$D$20,$B38),INDEX(Assumptions!$C$14:$C$20,$B38))</f>
        <v>0.25</v>
      </c>
      <c r="Q38" s="22">
        <f t="array" ref="Q38">IF(Q$37=1,INDEX(Assumptions!$D$14:$D$20,$B38),INDEX(Assumptions!$C$14:$C$20,$B38))</f>
        <v>0.25</v>
      </c>
      <c r="R38" s="22">
        <f t="array" ref="R38">IF(R$37=1,INDEX(Assumptions!$D$14:$D$20,$B38),INDEX(Assumptions!$C$14:$C$20,$B38))</f>
        <v>0.25</v>
      </c>
      <c r="S38" s="22">
        <f t="array" ref="S38">IF(S$37=1,INDEX(Assumptions!$D$14:$D$20,$B38),INDEX(Assumptions!$C$14:$C$20,$B38))</f>
        <v>0.25</v>
      </c>
      <c r="T38" s="22">
        <f t="array" ref="T38">IF(T$37=1,INDEX(Assumptions!$D$14:$D$20,$B38),INDEX(Assumptions!$C$14:$C$20,$B38))</f>
        <v>0.25</v>
      </c>
      <c r="U38" s="22">
        <f t="array" ref="U38">IF(U$37=1,INDEX(Assumptions!$D$14:$D$20,$B38),INDEX(Assumptions!$C$14:$C$20,$B38))</f>
        <v>0.25</v>
      </c>
      <c r="V38" s="22">
        <f t="array" ref="V38">IF(V$37=1,INDEX(Assumptions!$D$14:$D$20,$B38),INDEX(Assumptions!$C$14:$C$20,$B38))</f>
        <v>0.25</v>
      </c>
    </row>
    <row r="39">
      <c r="A39" s="7" t="s">
        <v>1186</v>
      </c>
      <c r="B39" s="3">
        <v>2.0</v>
      </c>
      <c r="C39" s="7" t="s">
        <v>99</v>
      </c>
      <c r="E39" s="22">
        <f t="array" ref="E39">IF(E$37=1,INDEX(Assumptions!$D$14:$D$20,$B39),INDEX(Assumptions!$C$14:$C$20,$B39))</f>
        <v>0.2</v>
      </c>
      <c r="F39" s="22">
        <f t="array" ref="F39">IF(F$37=1,INDEX(Assumptions!$D$14:$D$20,$B39),INDEX(Assumptions!$C$14:$C$20,$B39))</f>
        <v>0.2</v>
      </c>
      <c r="G39" s="22">
        <f t="array" ref="G39">IF(G$37=1,INDEX(Assumptions!$D$14:$D$20,$B39),INDEX(Assumptions!$C$14:$C$20,$B39))</f>
        <v>0.2</v>
      </c>
      <c r="H39" s="22">
        <f t="array" ref="H39">IF(H$37=1,INDEX(Assumptions!$D$14:$D$20,$B39),INDEX(Assumptions!$C$14:$C$20,$B39))</f>
        <v>0.2</v>
      </c>
      <c r="I39" s="22">
        <f t="array" ref="I39">IF(I$37=1,INDEX(Assumptions!$D$14:$D$20,$B39),INDEX(Assumptions!$C$14:$C$20,$B39))</f>
        <v>0.2</v>
      </c>
      <c r="J39" s="22">
        <f t="array" ref="J39">IF(J$37=1,INDEX(Assumptions!$D$14:$D$20,$B39),INDEX(Assumptions!$C$14:$C$20,$B39))</f>
        <v>0.2</v>
      </c>
      <c r="K39" s="22">
        <f t="array" ref="K39">IF(K$37=1,INDEX(Assumptions!$D$14:$D$20,$B39),INDEX(Assumptions!$C$14:$C$20,$B39))</f>
        <v>0.2</v>
      </c>
      <c r="L39" s="22">
        <f t="array" ref="L39">IF(L$37=1,INDEX(Assumptions!$D$14:$D$20,$B39),INDEX(Assumptions!$C$14:$C$20,$B39))</f>
        <v>0.2</v>
      </c>
      <c r="M39" s="22">
        <f t="array" ref="M39">IF(M$37=1,INDEX(Assumptions!$D$14:$D$20,$B39),INDEX(Assumptions!$C$14:$C$20,$B39))</f>
        <v>0.2</v>
      </c>
      <c r="N39" s="22">
        <f t="array" ref="N39">IF(N$37=1,INDEX(Assumptions!$D$14:$D$20,$B39),INDEX(Assumptions!$C$14:$C$20,$B39))</f>
        <v>0.1789473684</v>
      </c>
      <c r="O39" s="22">
        <f t="array" ref="O39">IF(O$37=1,INDEX(Assumptions!$D$14:$D$20,$B39),INDEX(Assumptions!$C$14:$C$20,$B39))</f>
        <v>0.2</v>
      </c>
      <c r="P39" s="22">
        <f t="array" ref="P39">IF(P$37=1,INDEX(Assumptions!$D$14:$D$20,$B39),INDEX(Assumptions!$C$14:$C$20,$B39))</f>
        <v>0.2</v>
      </c>
      <c r="Q39" s="22">
        <f t="array" ref="Q39">IF(Q$37=1,INDEX(Assumptions!$D$14:$D$20,$B39),INDEX(Assumptions!$C$14:$C$20,$B39))</f>
        <v>0.2</v>
      </c>
      <c r="R39" s="22">
        <f t="array" ref="R39">IF(R$37=1,INDEX(Assumptions!$D$14:$D$20,$B39),INDEX(Assumptions!$C$14:$C$20,$B39))</f>
        <v>0.2</v>
      </c>
      <c r="S39" s="22">
        <f t="array" ref="S39">IF(S$37=1,INDEX(Assumptions!$D$14:$D$20,$B39),INDEX(Assumptions!$C$14:$C$20,$B39))</f>
        <v>0.2</v>
      </c>
      <c r="T39" s="22">
        <f t="array" ref="T39">IF(T$37=1,INDEX(Assumptions!$D$14:$D$20,$B39),INDEX(Assumptions!$C$14:$C$20,$B39))</f>
        <v>0.2</v>
      </c>
      <c r="U39" s="22">
        <f t="array" ref="U39">IF(U$37=1,INDEX(Assumptions!$D$14:$D$20,$B39),INDEX(Assumptions!$C$14:$C$20,$B39))</f>
        <v>0.2</v>
      </c>
      <c r="V39" s="22">
        <f t="array" ref="V39">IF(V$37=1,INDEX(Assumptions!$D$14:$D$20,$B39),INDEX(Assumptions!$C$14:$C$20,$B39))</f>
        <v>0.2</v>
      </c>
    </row>
    <row r="40">
      <c r="A40" s="7" t="s">
        <v>1186</v>
      </c>
      <c r="B40" s="3">
        <v>3.0</v>
      </c>
      <c r="C40" s="7" t="s">
        <v>101</v>
      </c>
      <c r="E40" s="22">
        <f t="array" ref="E40">IF(E$37=1,INDEX(Assumptions!$D$14:$D$20,$B40),INDEX(Assumptions!$C$14:$C$20,$B40))</f>
        <v>0.15</v>
      </c>
      <c r="F40" s="22">
        <f t="array" ref="F40">IF(F$37=1,INDEX(Assumptions!$D$14:$D$20,$B40),INDEX(Assumptions!$C$14:$C$20,$B40))</f>
        <v>0.15</v>
      </c>
      <c r="G40" s="22">
        <f t="array" ref="G40">IF(G$37=1,INDEX(Assumptions!$D$14:$D$20,$B40),INDEX(Assumptions!$C$14:$C$20,$B40))</f>
        <v>0.15</v>
      </c>
      <c r="H40" s="22">
        <f t="array" ref="H40">IF(H$37=1,INDEX(Assumptions!$D$14:$D$20,$B40),INDEX(Assumptions!$C$14:$C$20,$B40))</f>
        <v>0.15</v>
      </c>
      <c r="I40" s="22">
        <f t="array" ref="I40">IF(I$37=1,INDEX(Assumptions!$D$14:$D$20,$B40),INDEX(Assumptions!$C$14:$C$20,$B40))</f>
        <v>0.15</v>
      </c>
      <c r="J40" s="22">
        <f t="array" ref="J40">IF(J$37=1,INDEX(Assumptions!$D$14:$D$20,$B40),INDEX(Assumptions!$C$14:$C$20,$B40))</f>
        <v>0.15</v>
      </c>
      <c r="K40" s="22">
        <f t="array" ref="K40">IF(K$37=1,INDEX(Assumptions!$D$14:$D$20,$B40),INDEX(Assumptions!$C$14:$C$20,$B40))</f>
        <v>0.15</v>
      </c>
      <c r="L40" s="22">
        <f t="array" ref="L40">IF(L$37=1,INDEX(Assumptions!$D$14:$D$20,$B40),INDEX(Assumptions!$C$14:$C$20,$B40))</f>
        <v>0.15</v>
      </c>
      <c r="M40" s="22">
        <f t="array" ref="M40">IF(M$37=1,INDEX(Assumptions!$D$14:$D$20,$B40),INDEX(Assumptions!$C$14:$C$20,$B40))</f>
        <v>0.15</v>
      </c>
      <c r="N40" s="22">
        <f t="array" ref="N40">IF(N$37=1,INDEX(Assumptions!$D$14:$D$20,$B40),INDEX(Assumptions!$C$14:$C$20,$B40))</f>
        <v>0.1342105263</v>
      </c>
      <c r="O40" s="22">
        <f t="array" ref="O40">IF(O$37=1,INDEX(Assumptions!$D$14:$D$20,$B40),INDEX(Assumptions!$C$14:$C$20,$B40))</f>
        <v>0.15</v>
      </c>
      <c r="P40" s="22">
        <f t="array" ref="P40">IF(P$37=1,INDEX(Assumptions!$D$14:$D$20,$B40),INDEX(Assumptions!$C$14:$C$20,$B40))</f>
        <v>0.15</v>
      </c>
      <c r="Q40" s="22">
        <f t="array" ref="Q40">IF(Q$37=1,INDEX(Assumptions!$D$14:$D$20,$B40),INDEX(Assumptions!$C$14:$C$20,$B40))</f>
        <v>0.15</v>
      </c>
      <c r="R40" s="22">
        <f t="array" ref="R40">IF(R$37=1,INDEX(Assumptions!$D$14:$D$20,$B40),INDEX(Assumptions!$C$14:$C$20,$B40))</f>
        <v>0.15</v>
      </c>
      <c r="S40" s="22">
        <f t="array" ref="S40">IF(S$37=1,INDEX(Assumptions!$D$14:$D$20,$B40),INDEX(Assumptions!$C$14:$C$20,$B40))</f>
        <v>0.15</v>
      </c>
      <c r="T40" s="22">
        <f t="array" ref="T40">IF(T$37=1,INDEX(Assumptions!$D$14:$D$20,$B40),INDEX(Assumptions!$C$14:$C$20,$B40))</f>
        <v>0.15</v>
      </c>
      <c r="U40" s="22">
        <f t="array" ref="U40">IF(U$37=1,INDEX(Assumptions!$D$14:$D$20,$B40),INDEX(Assumptions!$C$14:$C$20,$B40))</f>
        <v>0.15</v>
      </c>
      <c r="V40" s="22">
        <f t="array" ref="V40">IF(V$37=1,INDEX(Assumptions!$D$14:$D$20,$B40),INDEX(Assumptions!$C$14:$C$20,$B40))</f>
        <v>0.15</v>
      </c>
    </row>
    <row r="41">
      <c r="A41" s="7" t="s">
        <v>1186</v>
      </c>
      <c r="B41" s="3">
        <v>4.0</v>
      </c>
      <c r="C41" s="7" t="s">
        <v>102</v>
      </c>
      <c r="E41" s="22">
        <f t="array" ref="E41">IF(E$37=1,INDEX(Assumptions!$D$14:$D$20,$B41),INDEX(Assumptions!$C$14:$C$20,$B41))</f>
        <v>0.15</v>
      </c>
      <c r="F41" s="22">
        <f t="array" ref="F41">IF(F$37=1,INDEX(Assumptions!$D$14:$D$20,$B41),INDEX(Assumptions!$C$14:$C$20,$B41))</f>
        <v>0.15</v>
      </c>
      <c r="G41" s="22">
        <f t="array" ref="G41">IF(G$37=1,INDEX(Assumptions!$D$14:$D$20,$B41),INDEX(Assumptions!$C$14:$C$20,$B41))</f>
        <v>0.15</v>
      </c>
      <c r="H41" s="22">
        <f t="array" ref="H41">IF(H$37=1,INDEX(Assumptions!$D$14:$D$20,$B41),INDEX(Assumptions!$C$14:$C$20,$B41))</f>
        <v>0.15</v>
      </c>
      <c r="I41" s="22">
        <f t="array" ref="I41">IF(I$37=1,INDEX(Assumptions!$D$14:$D$20,$B41),INDEX(Assumptions!$C$14:$C$20,$B41))</f>
        <v>0.15</v>
      </c>
      <c r="J41" s="22">
        <f t="array" ref="J41">IF(J$37=1,INDEX(Assumptions!$D$14:$D$20,$B41),INDEX(Assumptions!$C$14:$C$20,$B41))</f>
        <v>0.15</v>
      </c>
      <c r="K41" s="22">
        <f t="array" ref="K41">IF(K$37=1,INDEX(Assumptions!$D$14:$D$20,$B41),INDEX(Assumptions!$C$14:$C$20,$B41))</f>
        <v>0.15</v>
      </c>
      <c r="L41" s="22">
        <f t="array" ref="L41">IF(L$37=1,INDEX(Assumptions!$D$14:$D$20,$B41),INDEX(Assumptions!$C$14:$C$20,$B41))</f>
        <v>0.15</v>
      </c>
      <c r="M41" s="22">
        <f t="array" ref="M41">IF(M$37=1,INDEX(Assumptions!$D$14:$D$20,$B41),INDEX(Assumptions!$C$14:$C$20,$B41))</f>
        <v>0.15</v>
      </c>
      <c r="N41" s="22">
        <f t="array" ref="N41">IF(N$37=1,INDEX(Assumptions!$D$14:$D$20,$B41),INDEX(Assumptions!$C$14:$C$20,$B41))</f>
        <v>0.1342105263</v>
      </c>
      <c r="O41" s="22">
        <f t="array" ref="O41">IF(O$37=1,INDEX(Assumptions!$D$14:$D$20,$B41),INDEX(Assumptions!$C$14:$C$20,$B41))</f>
        <v>0.15</v>
      </c>
      <c r="P41" s="22">
        <f t="array" ref="P41">IF(P$37=1,INDEX(Assumptions!$D$14:$D$20,$B41),INDEX(Assumptions!$C$14:$C$20,$B41))</f>
        <v>0.15</v>
      </c>
      <c r="Q41" s="22">
        <f t="array" ref="Q41">IF(Q$37=1,INDEX(Assumptions!$D$14:$D$20,$B41),INDEX(Assumptions!$C$14:$C$20,$B41))</f>
        <v>0.15</v>
      </c>
      <c r="R41" s="22">
        <f t="array" ref="R41">IF(R$37=1,INDEX(Assumptions!$D$14:$D$20,$B41),INDEX(Assumptions!$C$14:$C$20,$B41))</f>
        <v>0.15</v>
      </c>
      <c r="S41" s="22">
        <f t="array" ref="S41">IF(S$37=1,INDEX(Assumptions!$D$14:$D$20,$B41),INDEX(Assumptions!$C$14:$C$20,$B41))</f>
        <v>0.15</v>
      </c>
      <c r="T41" s="22">
        <f t="array" ref="T41">IF(T$37=1,INDEX(Assumptions!$D$14:$D$20,$B41),INDEX(Assumptions!$C$14:$C$20,$B41))</f>
        <v>0.15</v>
      </c>
      <c r="U41" s="22">
        <f t="array" ref="U41">IF(U$37=1,INDEX(Assumptions!$D$14:$D$20,$B41),INDEX(Assumptions!$C$14:$C$20,$B41))</f>
        <v>0.15</v>
      </c>
      <c r="V41" s="22">
        <f t="array" ref="V41">IF(V$37=1,INDEX(Assumptions!$D$14:$D$20,$B41),INDEX(Assumptions!$C$14:$C$20,$B41))</f>
        <v>0.15</v>
      </c>
    </row>
    <row r="42">
      <c r="A42" s="7" t="s">
        <v>1186</v>
      </c>
      <c r="B42" s="3">
        <v>5.0</v>
      </c>
      <c r="C42" s="7" t="s">
        <v>103</v>
      </c>
      <c r="E42" s="22">
        <f t="array" ref="E42">IF(E$37=1,INDEX(Assumptions!$D$14:$D$20,$B42),INDEX(Assumptions!$C$14:$C$20,$B42))</f>
        <v>0.1</v>
      </c>
      <c r="F42" s="22">
        <f t="array" ref="F42">IF(F$37=1,INDEX(Assumptions!$D$14:$D$20,$B42),INDEX(Assumptions!$C$14:$C$20,$B42))</f>
        <v>0.1</v>
      </c>
      <c r="G42" s="22">
        <f t="array" ref="G42">IF(G$37=1,INDEX(Assumptions!$D$14:$D$20,$B42),INDEX(Assumptions!$C$14:$C$20,$B42))</f>
        <v>0.1</v>
      </c>
      <c r="H42" s="22">
        <f t="array" ref="H42">IF(H$37=1,INDEX(Assumptions!$D$14:$D$20,$B42),INDEX(Assumptions!$C$14:$C$20,$B42))</f>
        <v>0.1</v>
      </c>
      <c r="I42" s="22">
        <f t="array" ref="I42">IF(I$37=1,INDEX(Assumptions!$D$14:$D$20,$B42),INDEX(Assumptions!$C$14:$C$20,$B42))</f>
        <v>0.1</v>
      </c>
      <c r="J42" s="22">
        <f t="array" ref="J42">IF(J$37=1,INDEX(Assumptions!$D$14:$D$20,$B42),INDEX(Assumptions!$C$14:$C$20,$B42))</f>
        <v>0.1</v>
      </c>
      <c r="K42" s="22">
        <f t="array" ref="K42">IF(K$37=1,INDEX(Assumptions!$D$14:$D$20,$B42),INDEX(Assumptions!$C$14:$C$20,$B42))</f>
        <v>0.1</v>
      </c>
      <c r="L42" s="22">
        <f t="array" ref="L42">IF(L$37=1,INDEX(Assumptions!$D$14:$D$20,$B42),INDEX(Assumptions!$C$14:$C$20,$B42))</f>
        <v>0.1</v>
      </c>
      <c r="M42" s="22">
        <f t="array" ref="M42">IF(M$37=1,INDEX(Assumptions!$D$14:$D$20,$B42),INDEX(Assumptions!$C$14:$C$20,$B42))</f>
        <v>0.1</v>
      </c>
      <c r="N42" s="22">
        <f t="array" ref="N42">IF(N$37=1,INDEX(Assumptions!$D$14:$D$20,$B42),INDEX(Assumptions!$C$14:$C$20,$B42))</f>
        <v>0.08947368421</v>
      </c>
      <c r="O42" s="22">
        <f t="array" ref="O42">IF(O$37=1,INDEX(Assumptions!$D$14:$D$20,$B42),INDEX(Assumptions!$C$14:$C$20,$B42))</f>
        <v>0.1</v>
      </c>
      <c r="P42" s="22">
        <f t="array" ref="P42">IF(P$37=1,INDEX(Assumptions!$D$14:$D$20,$B42),INDEX(Assumptions!$C$14:$C$20,$B42))</f>
        <v>0.1</v>
      </c>
      <c r="Q42" s="22">
        <f t="array" ref="Q42">IF(Q$37=1,INDEX(Assumptions!$D$14:$D$20,$B42),INDEX(Assumptions!$C$14:$C$20,$B42))</f>
        <v>0.1</v>
      </c>
      <c r="R42" s="22">
        <f t="array" ref="R42">IF(R$37=1,INDEX(Assumptions!$D$14:$D$20,$B42),INDEX(Assumptions!$C$14:$C$20,$B42))</f>
        <v>0.1</v>
      </c>
      <c r="S42" s="22">
        <f t="array" ref="S42">IF(S$37=1,INDEX(Assumptions!$D$14:$D$20,$B42),INDEX(Assumptions!$C$14:$C$20,$B42))</f>
        <v>0.1</v>
      </c>
      <c r="T42" s="22">
        <f t="array" ref="T42">IF(T$37=1,INDEX(Assumptions!$D$14:$D$20,$B42),INDEX(Assumptions!$C$14:$C$20,$B42))</f>
        <v>0.1</v>
      </c>
      <c r="U42" s="22">
        <f t="array" ref="U42">IF(U$37=1,INDEX(Assumptions!$D$14:$D$20,$B42),INDEX(Assumptions!$C$14:$C$20,$B42))</f>
        <v>0.1</v>
      </c>
      <c r="V42" s="22">
        <f t="array" ref="V42">IF(V$37=1,INDEX(Assumptions!$D$14:$D$20,$B42),INDEX(Assumptions!$C$14:$C$20,$B42))</f>
        <v>0.1</v>
      </c>
    </row>
    <row r="43">
      <c r="A43" s="7" t="s">
        <v>1186</v>
      </c>
      <c r="B43" s="3">
        <v>6.0</v>
      </c>
      <c r="C43" s="7" t="s">
        <v>106</v>
      </c>
      <c r="E43" s="22">
        <f t="array" ref="E43">IF(E$37=1,INDEX(Assumptions!$D$14:$D$20,$B43),INDEX(Assumptions!$C$14:$C$20,$B43))</f>
        <v>0.1</v>
      </c>
      <c r="F43" s="22">
        <f t="array" ref="F43">IF(F$37=1,INDEX(Assumptions!$D$14:$D$20,$B43),INDEX(Assumptions!$C$14:$C$20,$B43))</f>
        <v>0.1</v>
      </c>
      <c r="G43" s="22">
        <f t="array" ref="G43">IF(G$37=1,INDEX(Assumptions!$D$14:$D$20,$B43),INDEX(Assumptions!$C$14:$C$20,$B43))</f>
        <v>0.1</v>
      </c>
      <c r="H43" s="22">
        <f t="array" ref="H43">IF(H$37=1,INDEX(Assumptions!$D$14:$D$20,$B43),INDEX(Assumptions!$C$14:$C$20,$B43))</f>
        <v>0.1</v>
      </c>
      <c r="I43" s="22">
        <f t="array" ref="I43">IF(I$37=1,INDEX(Assumptions!$D$14:$D$20,$B43),INDEX(Assumptions!$C$14:$C$20,$B43))</f>
        <v>0.1</v>
      </c>
      <c r="J43" s="22">
        <f t="array" ref="J43">IF(J$37=1,INDEX(Assumptions!$D$14:$D$20,$B43),INDEX(Assumptions!$C$14:$C$20,$B43))</f>
        <v>0.1</v>
      </c>
      <c r="K43" s="22">
        <f t="array" ref="K43">IF(K$37=1,INDEX(Assumptions!$D$14:$D$20,$B43),INDEX(Assumptions!$C$14:$C$20,$B43))</f>
        <v>0.1</v>
      </c>
      <c r="L43" s="22">
        <f t="array" ref="L43">IF(L$37=1,INDEX(Assumptions!$D$14:$D$20,$B43),INDEX(Assumptions!$C$14:$C$20,$B43))</f>
        <v>0.1</v>
      </c>
      <c r="M43" s="22">
        <f t="array" ref="M43">IF(M$37=1,INDEX(Assumptions!$D$14:$D$20,$B43),INDEX(Assumptions!$C$14:$C$20,$B43))</f>
        <v>0.1</v>
      </c>
      <c r="N43" s="22">
        <f t="array" ref="N43">IF(N$37=1,INDEX(Assumptions!$D$14:$D$20,$B43),INDEX(Assumptions!$C$14:$C$20,$B43))</f>
        <v>0.08947368421</v>
      </c>
      <c r="O43" s="22">
        <f t="array" ref="O43">IF(O$37=1,INDEX(Assumptions!$D$14:$D$20,$B43),INDEX(Assumptions!$C$14:$C$20,$B43))</f>
        <v>0.1</v>
      </c>
      <c r="P43" s="22">
        <f t="array" ref="P43">IF(P$37=1,INDEX(Assumptions!$D$14:$D$20,$B43),INDEX(Assumptions!$C$14:$C$20,$B43))</f>
        <v>0.1</v>
      </c>
      <c r="Q43" s="22">
        <f t="array" ref="Q43">IF(Q$37=1,INDEX(Assumptions!$D$14:$D$20,$B43),INDEX(Assumptions!$C$14:$C$20,$B43))</f>
        <v>0.1</v>
      </c>
      <c r="R43" s="22">
        <f t="array" ref="R43">IF(R$37=1,INDEX(Assumptions!$D$14:$D$20,$B43),INDEX(Assumptions!$C$14:$C$20,$B43))</f>
        <v>0.1</v>
      </c>
      <c r="S43" s="22">
        <f t="array" ref="S43">IF(S$37=1,INDEX(Assumptions!$D$14:$D$20,$B43),INDEX(Assumptions!$C$14:$C$20,$B43))</f>
        <v>0.1</v>
      </c>
      <c r="T43" s="22">
        <f t="array" ref="T43">IF(T$37=1,INDEX(Assumptions!$D$14:$D$20,$B43),INDEX(Assumptions!$C$14:$C$20,$B43))</f>
        <v>0.1</v>
      </c>
      <c r="U43" s="22">
        <f t="array" ref="U43">IF(U$37=1,INDEX(Assumptions!$D$14:$D$20,$B43),INDEX(Assumptions!$C$14:$C$20,$B43))</f>
        <v>0.1</v>
      </c>
      <c r="V43" s="22">
        <f t="array" ref="V43">IF(V$37=1,INDEX(Assumptions!$D$14:$D$20,$B43),INDEX(Assumptions!$C$14:$C$20,$B43))</f>
        <v>0.1</v>
      </c>
    </row>
    <row r="44">
      <c r="A44" s="7" t="s">
        <v>1186</v>
      </c>
      <c r="B44" s="3">
        <v>7.0</v>
      </c>
      <c r="C44" s="7" t="s">
        <v>108</v>
      </c>
      <c r="E44" s="22">
        <f t="array" ref="E44">IF(E$37=1,INDEX(Assumptions!$D$14:$D$20,$B44),INDEX(Assumptions!$C$14:$C$20,$B44))</f>
        <v>0.05</v>
      </c>
      <c r="F44" s="22">
        <f t="array" ref="F44">IF(F$37=1,INDEX(Assumptions!$D$14:$D$20,$B44),INDEX(Assumptions!$C$14:$C$20,$B44))</f>
        <v>0.05</v>
      </c>
      <c r="G44" s="22">
        <f t="array" ref="G44">IF(G$37=1,INDEX(Assumptions!$D$14:$D$20,$B44),INDEX(Assumptions!$C$14:$C$20,$B44))</f>
        <v>0.05</v>
      </c>
      <c r="H44" s="22">
        <f t="array" ref="H44">IF(H$37=1,INDEX(Assumptions!$D$14:$D$20,$B44),INDEX(Assumptions!$C$14:$C$20,$B44))</f>
        <v>0.05</v>
      </c>
      <c r="I44" s="22">
        <f t="array" ref="I44">IF(I$37=1,INDEX(Assumptions!$D$14:$D$20,$B44),INDEX(Assumptions!$C$14:$C$20,$B44))</f>
        <v>0.05</v>
      </c>
      <c r="J44" s="22">
        <f t="array" ref="J44">IF(J$37=1,INDEX(Assumptions!$D$14:$D$20,$B44),INDEX(Assumptions!$C$14:$C$20,$B44))</f>
        <v>0.05</v>
      </c>
      <c r="K44" s="22">
        <f t="array" ref="K44">IF(K$37=1,INDEX(Assumptions!$D$14:$D$20,$B44),INDEX(Assumptions!$C$14:$C$20,$B44))</f>
        <v>0.05</v>
      </c>
      <c r="L44" s="22">
        <f t="array" ref="L44">IF(L$37=1,INDEX(Assumptions!$D$14:$D$20,$B44),INDEX(Assumptions!$C$14:$C$20,$B44))</f>
        <v>0.05</v>
      </c>
      <c r="M44" s="22">
        <f t="array" ref="M44">IF(M$37=1,INDEX(Assumptions!$D$14:$D$20,$B44),INDEX(Assumptions!$C$14:$C$20,$B44))</f>
        <v>0.05</v>
      </c>
      <c r="N44" s="22">
        <f t="array" ref="N44">IF(N$37=1,INDEX(Assumptions!$D$14:$D$20,$B44),INDEX(Assumptions!$C$14:$C$20,$B44))</f>
        <v>0.15</v>
      </c>
      <c r="O44" s="22">
        <f t="array" ref="O44">IF(O$37=1,INDEX(Assumptions!$D$14:$D$20,$B44),INDEX(Assumptions!$C$14:$C$20,$B44))</f>
        <v>0.05</v>
      </c>
      <c r="P44" s="22">
        <f t="array" ref="P44">IF(P$37=1,INDEX(Assumptions!$D$14:$D$20,$B44),INDEX(Assumptions!$C$14:$C$20,$B44))</f>
        <v>0.05</v>
      </c>
      <c r="Q44" s="22">
        <f t="array" ref="Q44">IF(Q$37=1,INDEX(Assumptions!$D$14:$D$20,$B44),INDEX(Assumptions!$C$14:$C$20,$B44))</f>
        <v>0.05</v>
      </c>
      <c r="R44" s="22">
        <f t="array" ref="R44">IF(R$37=1,INDEX(Assumptions!$D$14:$D$20,$B44),INDEX(Assumptions!$C$14:$C$20,$B44))</f>
        <v>0.05</v>
      </c>
      <c r="S44" s="22">
        <f t="array" ref="S44">IF(S$37=1,INDEX(Assumptions!$D$14:$D$20,$B44),INDEX(Assumptions!$C$14:$C$20,$B44))</f>
        <v>0.05</v>
      </c>
      <c r="T44" s="22">
        <f t="array" ref="T44">IF(T$37=1,INDEX(Assumptions!$D$14:$D$20,$B44),INDEX(Assumptions!$C$14:$C$20,$B44))</f>
        <v>0.05</v>
      </c>
      <c r="U44" s="22">
        <f t="array" ref="U44">IF(U$37=1,INDEX(Assumptions!$D$14:$D$20,$B44),INDEX(Assumptions!$C$14:$C$20,$B44))</f>
        <v>0.05</v>
      </c>
      <c r="V44" s="22">
        <f t="array" ref="V44">IF(V$37=1,INDEX(Assumptions!$D$14:$D$20,$B44),INDEX(Assumptions!$C$14:$C$20,$B44))</f>
        <v>0.05</v>
      </c>
    </row>
    <row r="46">
      <c r="A46" s="7" t="s">
        <v>1187</v>
      </c>
      <c r="C46" s="7" t="s">
        <v>1188</v>
      </c>
      <c r="D46" s="7" t="s">
        <v>1189</v>
      </c>
      <c r="E46" s="58">
        <f t="shared" ref="E46:V46" si="1">SUMPRODUCT(E29:E35,E38:E44)</f>
        <v>29.12027864</v>
      </c>
      <c r="F46" s="58">
        <f t="shared" si="1"/>
        <v>36.49909524</v>
      </c>
      <c r="G46" s="58">
        <f t="shared" si="1"/>
        <v>40.31802156</v>
      </c>
      <c r="H46" s="58">
        <f t="shared" si="1"/>
        <v>30.99237237</v>
      </c>
      <c r="I46" s="58">
        <f t="shared" si="1"/>
        <v>21.56947368</v>
      </c>
      <c r="J46" s="58">
        <f t="shared" si="1"/>
        <v>23.8572807</v>
      </c>
      <c r="K46" s="58">
        <f t="shared" si="1"/>
        <v>21.96832839</v>
      </c>
      <c r="L46" s="58">
        <f t="shared" si="1"/>
        <v>36.36117464</v>
      </c>
      <c r="M46" s="58">
        <f t="shared" si="1"/>
        <v>66.91012907</v>
      </c>
      <c r="N46" s="58">
        <f t="shared" si="1"/>
        <v>48.85057886</v>
      </c>
      <c r="O46" s="58">
        <f t="shared" si="1"/>
        <v>42.97817361</v>
      </c>
      <c r="P46" s="58">
        <f t="shared" si="1"/>
        <v>56.43241731</v>
      </c>
      <c r="Q46" s="58">
        <f t="shared" si="1"/>
        <v>40.73712769</v>
      </c>
      <c r="R46" s="58">
        <f t="shared" si="1"/>
        <v>84.48311404</v>
      </c>
      <c r="S46" s="58">
        <f t="shared" si="1"/>
        <v>58.85340691</v>
      </c>
      <c r="T46" s="58">
        <f t="shared" si="1"/>
        <v>56.4525</v>
      </c>
      <c r="U46" s="58">
        <f t="shared" si="1"/>
        <v>52.46385965</v>
      </c>
      <c r="V46" s="58">
        <f t="shared" si="1"/>
        <v>74.96473684</v>
      </c>
    </row>
    <row r="47">
      <c r="A47" s="7" t="s">
        <v>1187</v>
      </c>
      <c r="C47" s="7" t="s">
        <v>1190</v>
      </c>
      <c r="D47" s="7" t="s">
        <v>1191</v>
      </c>
      <c r="E47" s="59">
        <f t="shared" ref="E47:V47" si="2">MIN(10,INT(E46/10)+1)</f>
        <v>3</v>
      </c>
      <c r="F47" s="59">
        <f t="shared" si="2"/>
        <v>4</v>
      </c>
      <c r="G47" s="59">
        <f t="shared" si="2"/>
        <v>5</v>
      </c>
      <c r="H47" s="59">
        <f t="shared" si="2"/>
        <v>4</v>
      </c>
      <c r="I47" s="59">
        <f t="shared" si="2"/>
        <v>3</v>
      </c>
      <c r="J47" s="59">
        <f t="shared" si="2"/>
        <v>3</v>
      </c>
      <c r="K47" s="59">
        <f t="shared" si="2"/>
        <v>3</v>
      </c>
      <c r="L47" s="59">
        <f t="shared" si="2"/>
        <v>4</v>
      </c>
      <c r="M47" s="59">
        <f t="shared" si="2"/>
        <v>7</v>
      </c>
      <c r="N47" s="59">
        <f t="shared" si="2"/>
        <v>5</v>
      </c>
      <c r="O47" s="59">
        <f t="shared" si="2"/>
        <v>5</v>
      </c>
      <c r="P47" s="59">
        <f t="shared" si="2"/>
        <v>6</v>
      </c>
      <c r="Q47" s="59">
        <f t="shared" si="2"/>
        <v>5</v>
      </c>
      <c r="R47" s="59">
        <f t="shared" si="2"/>
        <v>9</v>
      </c>
      <c r="S47" s="59">
        <f t="shared" si="2"/>
        <v>6</v>
      </c>
      <c r="T47" s="59">
        <f t="shared" si="2"/>
        <v>6</v>
      </c>
      <c r="U47" s="59">
        <f t="shared" si="2"/>
        <v>6</v>
      </c>
      <c r="V47" s="59">
        <f t="shared" si="2"/>
        <v>8</v>
      </c>
    </row>
  </sheetData>
  <conditionalFormatting sqref="E29:V35 E46:V46">
    <cfRule type="colorScale" priority="1">
      <colorScale>
        <cfvo type="formula" val="0"/>
        <cfvo type="formula" val="50"/>
        <cfvo type="formula" val="100"/>
        <color rgb="FF56BA89"/>
        <color rgb="FFFFD566"/>
        <color rgb="FFE67B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6.38"/>
    <col customWidth="1" min="2" max="2" width="12.63"/>
    <col customWidth="1" min="3" max="3" width="37.63"/>
    <col customWidth="1" min="4" max="4" width="32.63"/>
    <col customWidth="1" min="5" max="22" width="11.63"/>
  </cols>
  <sheetData>
    <row r="1">
      <c r="A1" s="2" t="s">
        <v>879</v>
      </c>
    </row>
    <row r="2">
      <c r="A2" s="5" t="s">
        <v>880</v>
      </c>
    </row>
    <row r="4">
      <c r="A4" s="20" t="s">
        <v>59</v>
      </c>
      <c r="B4" s="20" t="s">
        <v>143</v>
      </c>
      <c r="C4" s="20" t="s">
        <v>876</v>
      </c>
      <c r="D4" s="20" t="s">
        <v>9</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7" t="s">
        <v>881</v>
      </c>
      <c r="B5" s="7" t="s">
        <v>882</v>
      </c>
      <c r="C5" s="7" t="s">
        <v>835</v>
      </c>
      <c r="D5" s="7" t="s">
        <v>21</v>
      </c>
      <c r="E5" s="29">
        <f>'Pillar Scores'!E46</f>
        <v>29.12027864</v>
      </c>
      <c r="F5" s="29">
        <f>'Pillar Scores'!F46</f>
        <v>36.49909524</v>
      </c>
      <c r="G5" s="29">
        <f>'Pillar Scores'!G46</f>
        <v>40.31802156</v>
      </c>
      <c r="H5" s="29">
        <f>'Pillar Scores'!H46</f>
        <v>30.99237237</v>
      </c>
      <c r="I5" s="29">
        <f>'Pillar Scores'!I46</f>
        <v>21.56947368</v>
      </c>
      <c r="J5" s="29">
        <f>'Pillar Scores'!J46</f>
        <v>23.8572807</v>
      </c>
      <c r="K5" s="29">
        <f>'Pillar Scores'!K46</f>
        <v>21.96832839</v>
      </c>
      <c r="L5" s="29">
        <f>'Pillar Scores'!L46</f>
        <v>36.36117464</v>
      </c>
      <c r="M5" s="29">
        <f>'Pillar Scores'!M46</f>
        <v>66.91012907</v>
      </c>
      <c r="N5" s="29">
        <f>'Pillar Scores'!N46</f>
        <v>48.85057886</v>
      </c>
      <c r="O5" s="29">
        <f>'Pillar Scores'!O46</f>
        <v>42.97817361</v>
      </c>
      <c r="P5" s="29">
        <f>'Pillar Scores'!P46</f>
        <v>56.43241731</v>
      </c>
      <c r="Q5" s="29">
        <f>'Pillar Scores'!Q46</f>
        <v>40.73712769</v>
      </c>
      <c r="R5" s="29">
        <f>'Pillar Scores'!R46</f>
        <v>84.48311404</v>
      </c>
      <c r="S5" s="29">
        <f>'Pillar Scores'!S46</f>
        <v>58.85340691</v>
      </c>
      <c r="T5" s="29">
        <f>'Pillar Scores'!T46</f>
        <v>56.4525</v>
      </c>
      <c r="U5" s="29">
        <f>'Pillar Scores'!U46</f>
        <v>52.46385965</v>
      </c>
      <c r="V5" s="29">
        <f>'Pillar Scores'!V46</f>
        <v>74.96473684</v>
      </c>
    </row>
    <row r="6">
      <c r="A6" s="7" t="s">
        <v>883</v>
      </c>
      <c r="B6" s="7" t="s">
        <v>884</v>
      </c>
      <c r="C6" s="7" t="s">
        <v>836</v>
      </c>
      <c r="D6" s="46">
        <v>46032.0</v>
      </c>
      <c r="E6" s="35">
        <f>'Pillar Scores'!E47</f>
        <v>3</v>
      </c>
      <c r="F6" s="35">
        <f>'Pillar Scores'!F47</f>
        <v>4</v>
      </c>
      <c r="G6" s="35">
        <f>'Pillar Scores'!G47</f>
        <v>5</v>
      </c>
      <c r="H6" s="35">
        <f>'Pillar Scores'!H47</f>
        <v>4</v>
      </c>
      <c r="I6" s="35">
        <f>'Pillar Scores'!I47</f>
        <v>3</v>
      </c>
      <c r="J6" s="35">
        <f>'Pillar Scores'!J47</f>
        <v>3</v>
      </c>
      <c r="K6" s="35">
        <f>'Pillar Scores'!K47</f>
        <v>3</v>
      </c>
      <c r="L6" s="35">
        <f>'Pillar Scores'!L47</f>
        <v>4</v>
      </c>
      <c r="M6" s="35">
        <f>'Pillar Scores'!M47</f>
        <v>7</v>
      </c>
      <c r="N6" s="35">
        <f>'Pillar Scores'!N47</f>
        <v>5</v>
      </c>
      <c r="O6" s="35">
        <f>'Pillar Scores'!O47</f>
        <v>5</v>
      </c>
      <c r="P6" s="35">
        <f>'Pillar Scores'!P47</f>
        <v>6</v>
      </c>
      <c r="Q6" s="35">
        <f>'Pillar Scores'!Q47</f>
        <v>5</v>
      </c>
      <c r="R6" s="35">
        <f>'Pillar Scores'!R47</f>
        <v>9</v>
      </c>
      <c r="S6" s="35">
        <f>'Pillar Scores'!S47</f>
        <v>6</v>
      </c>
      <c r="T6" s="35">
        <f>'Pillar Scores'!T47</f>
        <v>6</v>
      </c>
      <c r="U6" s="35">
        <f>'Pillar Scores'!U47</f>
        <v>6</v>
      </c>
      <c r="V6" s="35">
        <f>'Pillar Scores'!V47</f>
        <v>8</v>
      </c>
    </row>
    <row r="7">
      <c r="A7" s="7" t="s">
        <v>885</v>
      </c>
      <c r="B7" s="7" t="s">
        <v>886</v>
      </c>
      <c r="C7" s="7" t="s">
        <v>887</v>
      </c>
      <c r="D7" s="7" t="s">
        <v>888</v>
      </c>
      <c r="E7" s="26" t="str">
        <f>IFS(OR('Country Profile'!E21="Yes",'Country Profile'!E15&gt;=Assumptions!$B$46,'Country Profile'!E16&gt;=Assumptions!$B$48),"Crisis",OR('Country Profile'!E15&gt;=Assumptions!$B$45,'Country Profile'!E16&gt;=Assumptions!$B$47,'Country Profile'!E17&lt;=Assumptions!$B$49),"Stressed",TRUE,"Calm")</f>
        <v>Calm</v>
      </c>
      <c r="F7" s="26" t="str">
        <f>IFS(OR('Country Profile'!F21="Yes",'Country Profile'!F15&gt;=Assumptions!$B$46,'Country Profile'!F16&gt;=Assumptions!$B$48),"Crisis",OR('Country Profile'!F15&gt;=Assumptions!$B$45,'Country Profile'!F16&gt;=Assumptions!$B$47,'Country Profile'!F17&lt;=Assumptions!$B$49),"Stressed",TRUE,"Calm")</f>
        <v>Calm</v>
      </c>
      <c r="G7" s="26" t="str">
        <f>IFS(OR('Country Profile'!G21="Yes",'Country Profile'!G15&gt;=Assumptions!$B$46,'Country Profile'!G16&gt;=Assumptions!$B$48),"Crisis",OR('Country Profile'!G15&gt;=Assumptions!$B$45,'Country Profile'!G16&gt;=Assumptions!$B$47,'Country Profile'!G17&lt;=Assumptions!$B$49),"Stressed",TRUE,"Calm")</f>
        <v>Calm</v>
      </c>
      <c r="H7" s="26" t="str">
        <f>IFS(OR('Country Profile'!H21="Yes",'Country Profile'!H15&gt;=Assumptions!$B$46,'Country Profile'!H16&gt;=Assumptions!$B$48),"Crisis",OR('Country Profile'!H15&gt;=Assumptions!$B$45,'Country Profile'!H16&gt;=Assumptions!$B$47,'Country Profile'!H17&lt;=Assumptions!$B$49),"Stressed",TRUE,"Calm")</f>
        <v>Calm</v>
      </c>
      <c r="I7" s="26" t="str">
        <f>IFS(OR('Country Profile'!I21="Yes",'Country Profile'!I15&gt;=Assumptions!$B$46,'Country Profile'!I16&gt;=Assumptions!$B$48),"Crisis",OR('Country Profile'!I15&gt;=Assumptions!$B$45,'Country Profile'!I16&gt;=Assumptions!$B$47,'Country Profile'!I17&lt;=Assumptions!$B$49),"Stressed",TRUE,"Calm")</f>
        <v>Calm</v>
      </c>
      <c r="J7" s="26" t="str">
        <f>IFS(OR('Country Profile'!J21="Yes",'Country Profile'!J15&gt;=Assumptions!$B$46,'Country Profile'!J16&gt;=Assumptions!$B$48),"Crisis",OR('Country Profile'!J15&gt;=Assumptions!$B$45,'Country Profile'!J16&gt;=Assumptions!$B$47,'Country Profile'!J17&lt;=Assumptions!$B$49),"Stressed",TRUE,"Calm")</f>
        <v>Calm</v>
      </c>
      <c r="K7" s="26" t="str">
        <f>IFS(OR('Country Profile'!K21="Yes",'Country Profile'!K15&gt;=Assumptions!$B$46,'Country Profile'!K16&gt;=Assumptions!$B$48),"Crisis",OR('Country Profile'!K15&gt;=Assumptions!$B$45,'Country Profile'!K16&gt;=Assumptions!$B$47,'Country Profile'!K17&lt;=Assumptions!$B$49),"Stressed",TRUE,"Calm")</f>
        <v>Calm</v>
      </c>
      <c r="L7" s="26" t="str">
        <f>IFS(OR('Country Profile'!L21="Yes",'Country Profile'!L15&gt;=Assumptions!$B$46,'Country Profile'!L16&gt;=Assumptions!$B$48),"Crisis",OR('Country Profile'!L15&gt;=Assumptions!$B$45,'Country Profile'!L16&gt;=Assumptions!$B$47,'Country Profile'!L17&lt;=Assumptions!$B$49),"Stressed",TRUE,"Calm")</f>
        <v>Calm</v>
      </c>
      <c r="M7" s="26" t="str">
        <f>IFS(OR('Country Profile'!M21="Yes",'Country Profile'!M15&gt;=Assumptions!$B$46,'Country Profile'!M16&gt;=Assumptions!$B$48),"Crisis",OR('Country Profile'!M15&gt;=Assumptions!$B$45,'Country Profile'!M16&gt;=Assumptions!$B$47,'Country Profile'!M17&lt;=Assumptions!$B$49),"Stressed",TRUE,"Calm")</f>
        <v>Stressed</v>
      </c>
      <c r="N7" s="26" t="str">
        <f>IFS(OR('Country Profile'!N21="Yes",'Country Profile'!N15&gt;=Assumptions!$B$46,'Country Profile'!N16&gt;=Assumptions!$B$48),"Crisis",OR('Country Profile'!N15&gt;=Assumptions!$B$45,'Country Profile'!N16&gt;=Assumptions!$B$47,'Country Profile'!N17&lt;=Assumptions!$B$49),"Stressed",TRUE,"Calm")</f>
        <v>Stressed</v>
      </c>
      <c r="O7" s="26" t="str">
        <f>IFS(OR('Country Profile'!O21="Yes",'Country Profile'!O15&gt;=Assumptions!$B$46,'Country Profile'!O16&gt;=Assumptions!$B$48),"Crisis",OR('Country Profile'!O15&gt;=Assumptions!$B$45,'Country Profile'!O16&gt;=Assumptions!$B$47,'Country Profile'!O17&lt;=Assumptions!$B$49),"Stressed",TRUE,"Calm")</f>
        <v>Calm</v>
      </c>
      <c r="P7" s="26" t="str">
        <f>IFS(OR('Country Profile'!P21="Yes",'Country Profile'!P15&gt;=Assumptions!$B$46,'Country Profile'!P16&gt;=Assumptions!$B$48),"Crisis",OR('Country Profile'!P15&gt;=Assumptions!$B$45,'Country Profile'!P16&gt;=Assumptions!$B$47,'Country Profile'!P17&lt;=Assumptions!$B$49),"Stressed",TRUE,"Calm")</f>
        <v>Stressed</v>
      </c>
      <c r="Q7" s="26" t="str">
        <f>IFS(OR('Country Profile'!Q21="Yes",'Country Profile'!Q15&gt;=Assumptions!$B$46,'Country Profile'!Q16&gt;=Assumptions!$B$48),"Crisis",OR('Country Profile'!Q15&gt;=Assumptions!$B$45,'Country Profile'!Q16&gt;=Assumptions!$B$47,'Country Profile'!Q17&lt;=Assumptions!$B$49),"Stressed",TRUE,"Calm")</f>
        <v>Calm</v>
      </c>
      <c r="R7" s="26" t="str">
        <f>IFS(OR('Country Profile'!R21="Yes",'Country Profile'!R15&gt;=Assumptions!$B$46,'Country Profile'!R16&gt;=Assumptions!$B$48),"Crisis",OR('Country Profile'!R15&gt;=Assumptions!$B$45,'Country Profile'!R16&gt;=Assumptions!$B$47,'Country Profile'!R17&lt;=Assumptions!$B$49),"Stressed",TRUE,"Calm")</f>
        <v>Crisis</v>
      </c>
      <c r="S7" s="26" t="str">
        <f>IFS(OR('Country Profile'!S21="Yes",'Country Profile'!S15&gt;=Assumptions!$B$46,'Country Profile'!S16&gt;=Assumptions!$B$48),"Crisis",OR('Country Profile'!S15&gt;=Assumptions!$B$45,'Country Profile'!S16&gt;=Assumptions!$B$47,'Country Profile'!S17&lt;=Assumptions!$B$49),"Stressed",TRUE,"Calm")</f>
        <v>Stressed</v>
      </c>
      <c r="T7" s="26" t="str">
        <f>IFS(OR('Country Profile'!T21="Yes",'Country Profile'!T15&gt;=Assumptions!$B$46,'Country Profile'!T16&gt;=Assumptions!$B$48),"Crisis",OR('Country Profile'!T15&gt;=Assumptions!$B$45,'Country Profile'!T16&gt;=Assumptions!$B$47,'Country Profile'!T17&lt;=Assumptions!$B$49),"Stressed",TRUE,"Calm")</f>
        <v>Crisis</v>
      </c>
      <c r="U7" s="26" t="str">
        <f>IFS(OR('Country Profile'!U21="Yes",'Country Profile'!U15&gt;=Assumptions!$B$46,'Country Profile'!U16&gt;=Assumptions!$B$48),"Crisis",OR('Country Profile'!U15&gt;=Assumptions!$B$45,'Country Profile'!U16&gt;=Assumptions!$B$47,'Country Profile'!U17&lt;=Assumptions!$B$49),"Stressed",TRUE,"Calm")</f>
        <v>Stressed</v>
      </c>
      <c r="V7" s="26" t="str">
        <f>IFS(OR('Country Profile'!V21="Yes",'Country Profile'!V15&gt;=Assumptions!$B$46,'Country Profile'!V16&gt;=Assumptions!$B$48),"Crisis",OR('Country Profile'!V15&gt;=Assumptions!$B$45,'Country Profile'!V16&gt;=Assumptions!$B$47,'Country Profile'!V17&lt;=Assumptions!$B$49),"Stressed",TRUE,"Calm")</f>
        <v>Crisis</v>
      </c>
    </row>
    <row r="8">
      <c r="A8" s="7" t="s">
        <v>889</v>
      </c>
      <c r="B8" s="7" t="s">
        <v>890</v>
      </c>
      <c r="C8" s="7" t="s">
        <v>891</v>
      </c>
      <c r="D8" s="7" t="s">
        <v>892</v>
      </c>
      <c r="E8" s="26" t="str">
        <f>IF(Assumptions!$B$74="All crisis","Crisis",IF(AND(Assumptions!$B$74="All stressed",E7&lt;&gt;"Crisis"),"Stressed",E7))</f>
        <v>Calm</v>
      </c>
      <c r="F8" s="26" t="str">
        <f>IF(Assumptions!$B$74="All crisis","Crisis",IF(AND(Assumptions!$B$74="All stressed",F7&lt;&gt;"Crisis"),"Stressed",F7))</f>
        <v>Calm</v>
      </c>
      <c r="G8" s="26" t="str">
        <f>IF(Assumptions!$B$74="All crisis","Crisis",IF(AND(Assumptions!$B$74="All stressed",G7&lt;&gt;"Crisis"),"Stressed",G7))</f>
        <v>Calm</v>
      </c>
      <c r="H8" s="26" t="str">
        <f>IF(Assumptions!$B$74="All crisis","Crisis",IF(AND(Assumptions!$B$74="All stressed",H7&lt;&gt;"Crisis"),"Stressed",H7))</f>
        <v>Calm</v>
      </c>
      <c r="I8" s="26" t="str">
        <f>IF(Assumptions!$B$74="All crisis","Crisis",IF(AND(Assumptions!$B$74="All stressed",I7&lt;&gt;"Crisis"),"Stressed",I7))</f>
        <v>Calm</v>
      </c>
      <c r="J8" s="26" t="str">
        <f>IF(Assumptions!$B$74="All crisis","Crisis",IF(AND(Assumptions!$B$74="All stressed",J7&lt;&gt;"Crisis"),"Stressed",J7))</f>
        <v>Calm</v>
      </c>
      <c r="K8" s="26" t="str">
        <f>IF(Assumptions!$B$74="All crisis","Crisis",IF(AND(Assumptions!$B$74="All stressed",K7&lt;&gt;"Crisis"),"Stressed",K7))</f>
        <v>Calm</v>
      </c>
      <c r="L8" s="26" t="str">
        <f>IF(Assumptions!$B$74="All crisis","Crisis",IF(AND(Assumptions!$B$74="All stressed",L7&lt;&gt;"Crisis"),"Stressed",L7))</f>
        <v>Calm</v>
      </c>
      <c r="M8" s="26" t="str">
        <f>IF(Assumptions!$B$74="All crisis","Crisis",IF(AND(Assumptions!$B$74="All stressed",M7&lt;&gt;"Crisis"),"Stressed",M7))</f>
        <v>Stressed</v>
      </c>
      <c r="N8" s="26" t="str">
        <f>IF(Assumptions!$B$74="All crisis","Crisis",IF(AND(Assumptions!$B$74="All stressed",N7&lt;&gt;"Crisis"),"Stressed",N7))</f>
        <v>Stressed</v>
      </c>
      <c r="O8" s="26" t="str">
        <f>IF(Assumptions!$B$74="All crisis","Crisis",IF(AND(Assumptions!$B$74="All stressed",O7&lt;&gt;"Crisis"),"Stressed",O7))</f>
        <v>Calm</v>
      </c>
      <c r="P8" s="26" t="str">
        <f>IF(Assumptions!$B$74="All crisis","Crisis",IF(AND(Assumptions!$B$74="All stressed",P7&lt;&gt;"Crisis"),"Stressed",P7))</f>
        <v>Stressed</v>
      </c>
      <c r="Q8" s="26" t="str">
        <f>IF(Assumptions!$B$74="All crisis","Crisis",IF(AND(Assumptions!$B$74="All stressed",Q7&lt;&gt;"Crisis"),"Stressed",Q7))</f>
        <v>Calm</v>
      </c>
      <c r="R8" s="26" t="str">
        <f>IF(Assumptions!$B$74="All crisis","Crisis",IF(AND(Assumptions!$B$74="All stressed",R7&lt;&gt;"Crisis"),"Stressed",R7))</f>
        <v>Crisis</v>
      </c>
      <c r="S8" s="26" t="str">
        <f>IF(Assumptions!$B$74="All crisis","Crisis",IF(AND(Assumptions!$B$74="All stressed",S7&lt;&gt;"Crisis"),"Stressed",S7))</f>
        <v>Stressed</v>
      </c>
      <c r="T8" s="26" t="str">
        <f>IF(Assumptions!$B$74="All crisis","Crisis",IF(AND(Assumptions!$B$74="All stressed",T7&lt;&gt;"Crisis"),"Stressed",T7))</f>
        <v>Crisis</v>
      </c>
      <c r="U8" s="26" t="str">
        <f>IF(Assumptions!$B$74="All crisis","Crisis",IF(AND(Assumptions!$B$74="All stressed",U7&lt;&gt;"Crisis"),"Stressed",U7))</f>
        <v>Stressed</v>
      </c>
      <c r="V8" s="26" t="str">
        <f>IF(Assumptions!$B$74="All crisis","Crisis",IF(AND(Assumptions!$B$74="All stressed",V7&lt;&gt;"Crisis"),"Stressed",V7))</f>
        <v>Crisis</v>
      </c>
    </row>
    <row r="9">
      <c r="A9" s="7" t="s">
        <v>893</v>
      </c>
      <c r="B9" s="7" t="s">
        <v>894</v>
      </c>
      <c r="C9" s="7" t="s">
        <v>895</v>
      </c>
      <c r="D9" s="7" t="s">
        <v>896</v>
      </c>
      <c r="E9" s="47">
        <f t="array" ref="E9">INDEX(Assumptions!$B$52:$B$54,MATCH(E8,Assumptions!$A$52:$A$54,0))</f>
        <v>1</v>
      </c>
      <c r="F9" s="47">
        <f t="array" ref="F9">INDEX(Assumptions!$B$52:$B$54,MATCH(F8,Assumptions!$A$52:$A$54,0))</f>
        <v>1</v>
      </c>
      <c r="G9" s="47">
        <f t="array" ref="G9">INDEX(Assumptions!$B$52:$B$54,MATCH(G8,Assumptions!$A$52:$A$54,0))</f>
        <v>1</v>
      </c>
      <c r="H9" s="47">
        <f t="array" ref="H9">INDEX(Assumptions!$B$52:$B$54,MATCH(H8,Assumptions!$A$52:$A$54,0))</f>
        <v>1</v>
      </c>
      <c r="I9" s="47">
        <f t="array" ref="I9">INDEX(Assumptions!$B$52:$B$54,MATCH(I8,Assumptions!$A$52:$A$54,0))</f>
        <v>1</v>
      </c>
      <c r="J9" s="47">
        <f t="array" ref="J9">INDEX(Assumptions!$B$52:$B$54,MATCH(J8,Assumptions!$A$52:$A$54,0))</f>
        <v>1</v>
      </c>
      <c r="K9" s="47">
        <f t="array" ref="K9">INDEX(Assumptions!$B$52:$B$54,MATCH(K8,Assumptions!$A$52:$A$54,0))</f>
        <v>1</v>
      </c>
      <c r="L9" s="47">
        <f t="array" ref="L9">INDEX(Assumptions!$B$52:$B$54,MATCH(L8,Assumptions!$A$52:$A$54,0))</f>
        <v>1</v>
      </c>
      <c r="M9" s="47">
        <f t="array" ref="M9">INDEX(Assumptions!$B$52:$B$54,MATCH(M8,Assumptions!$A$52:$A$54,0))</f>
        <v>1.25</v>
      </c>
      <c r="N9" s="47">
        <f t="array" ref="N9">INDEX(Assumptions!$B$52:$B$54,MATCH(N8,Assumptions!$A$52:$A$54,0))</f>
        <v>1.25</v>
      </c>
      <c r="O9" s="47">
        <f t="array" ref="O9">INDEX(Assumptions!$B$52:$B$54,MATCH(O8,Assumptions!$A$52:$A$54,0))</f>
        <v>1</v>
      </c>
      <c r="P9" s="47">
        <f t="array" ref="P9">INDEX(Assumptions!$B$52:$B$54,MATCH(P8,Assumptions!$A$52:$A$54,0))</f>
        <v>1.25</v>
      </c>
      <c r="Q9" s="47">
        <f t="array" ref="Q9">INDEX(Assumptions!$B$52:$B$54,MATCH(Q8,Assumptions!$A$52:$A$54,0))</f>
        <v>1</v>
      </c>
      <c r="R9" s="47">
        <f t="array" ref="R9">INDEX(Assumptions!$B$52:$B$54,MATCH(R8,Assumptions!$A$52:$A$54,0))</f>
        <v>1.6</v>
      </c>
      <c r="S9" s="47">
        <f t="array" ref="S9">INDEX(Assumptions!$B$52:$B$54,MATCH(S8,Assumptions!$A$52:$A$54,0))</f>
        <v>1.25</v>
      </c>
      <c r="T9" s="47">
        <f t="array" ref="T9">INDEX(Assumptions!$B$52:$B$54,MATCH(T8,Assumptions!$A$52:$A$54,0))</f>
        <v>1.6</v>
      </c>
      <c r="U9" s="47">
        <f t="array" ref="U9">INDEX(Assumptions!$B$52:$B$54,MATCH(U8,Assumptions!$A$52:$A$54,0))</f>
        <v>1.25</v>
      </c>
      <c r="V9" s="47">
        <f t="array" ref="V9">INDEX(Assumptions!$B$52:$B$54,MATCH(V8,Assumptions!$A$52:$A$54,0))</f>
        <v>1.6</v>
      </c>
    </row>
    <row r="10">
      <c r="A10" s="7" t="s">
        <v>897</v>
      </c>
      <c r="B10" s="7" t="s">
        <v>898</v>
      </c>
      <c r="C10" s="7" t="s">
        <v>899</v>
      </c>
      <c r="D10" s="7" t="s">
        <v>896</v>
      </c>
      <c r="E10" s="47">
        <f t="array" ref="E10">INDEX(Assumptions!$C$52:$C$54,MATCH(E8,Assumptions!$A$52:$A$54,0))</f>
        <v>1</v>
      </c>
      <c r="F10" s="47">
        <f t="array" ref="F10">INDEX(Assumptions!$C$52:$C$54,MATCH(F8,Assumptions!$A$52:$A$54,0))</f>
        <v>1</v>
      </c>
      <c r="G10" s="47">
        <f t="array" ref="G10">INDEX(Assumptions!$C$52:$C$54,MATCH(G8,Assumptions!$A$52:$A$54,0))</f>
        <v>1</v>
      </c>
      <c r="H10" s="47">
        <f t="array" ref="H10">INDEX(Assumptions!$C$52:$C$54,MATCH(H8,Assumptions!$A$52:$A$54,0))</f>
        <v>1</v>
      </c>
      <c r="I10" s="47">
        <f t="array" ref="I10">INDEX(Assumptions!$C$52:$C$54,MATCH(I8,Assumptions!$A$52:$A$54,0))</f>
        <v>1</v>
      </c>
      <c r="J10" s="47">
        <f t="array" ref="J10">INDEX(Assumptions!$C$52:$C$54,MATCH(J8,Assumptions!$A$52:$A$54,0))</f>
        <v>1</v>
      </c>
      <c r="K10" s="47">
        <f t="array" ref="K10">INDEX(Assumptions!$C$52:$C$54,MATCH(K8,Assumptions!$A$52:$A$54,0))</f>
        <v>1</v>
      </c>
      <c r="L10" s="47">
        <f t="array" ref="L10">INDEX(Assumptions!$C$52:$C$54,MATCH(L8,Assumptions!$A$52:$A$54,0))</f>
        <v>1</v>
      </c>
      <c r="M10" s="47">
        <f t="array" ref="M10">INDEX(Assumptions!$C$52:$C$54,MATCH(M8,Assumptions!$A$52:$A$54,0))</f>
        <v>1.1</v>
      </c>
      <c r="N10" s="47">
        <f t="array" ref="N10">INDEX(Assumptions!$C$52:$C$54,MATCH(N8,Assumptions!$A$52:$A$54,0))</f>
        <v>1.1</v>
      </c>
      <c r="O10" s="47">
        <f t="array" ref="O10">INDEX(Assumptions!$C$52:$C$54,MATCH(O8,Assumptions!$A$52:$A$54,0))</f>
        <v>1</v>
      </c>
      <c r="P10" s="47">
        <f t="array" ref="P10">INDEX(Assumptions!$C$52:$C$54,MATCH(P8,Assumptions!$A$52:$A$54,0))</f>
        <v>1.1</v>
      </c>
      <c r="Q10" s="47">
        <f t="array" ref="Q10">INDEX(Assumptions!$C$52:$C$54,MATCH(Q8,Assumptions!$A$52:$A$54,0))</f>
        <v>1</v>
      </c>
      <c r="R10" s="47">
        <f t="array" ref="R10">INDEX(Assumptions!$C$52:$C$54,MATCH(R8,Assumptions!$A$52:$A$54,0))</f>
        <v>1.25</v>
      </c>
      <c r="S10" s="47">
        <f t="array" ref="S10">INDEX(Assumptions!$C$52:$C$54,MATCH(S8,Assumptions!$A$52:$A$54,0))</f>
        <v>1.1</v>
      </c>
      <c r="T10" s="47">
        <f t="array" ref="T10">INDEX(Assumptions!$C$52:$C$54,MATCH(T8,Assumptions!$A$52:$A$54,0))</f>
        <v>1.25</v>
      </c>
      <c r="U10" s="47">
        <f t="array" ref="U10">INDEX(Assumptions!$C$52:$C$54,MATCH(U8,Assumptions!$A$52:$A$54,0))</f>
        <v>1.1</v>
      </c>
      <c r="V10" s="47">
        <f t="array" ref="V10">INDEX(Assumptions!$C$52:$C$54,MATCH(V8,Assumptions!$A$52:$A$54,0))</f>
        <v>1.25</v>
      </c>
    </row>
    <row r="11">
      <c r="A11" s="7" t="s">
        <v>900</v>
      </c>
      <c r="B11" s="7" t="s">
        <v>367</v>
      </c>
      <c r="C11" s="7" t="s">
        <v>901</v>
      </c>
      <c r="E11" s="26" t="str">
        <f>'Country Profile'!E14</f>
        <v>BB+</v>
      </c>
      <c r="F11" s="26" t="str">
        <f>'Country Profile'!F14</f>
        <v>BBB+</v>
      </c>
      <c r="G11" s="26" t="str">
        <f>'Country Profile'!G14</f>
        <v>A+</v>
      </c>
      <c r="H11" s="26" t="str">
        <f>'Country Profile'!H14</f>
        <v>A-</v>
      </c>
      <c r="I11" s="26" t="str">
        <f>'Country Profile'!I14</f>
        <v>AAA</v>
      </c>
      <c r="J11" s="26" t="str">
        <f>'Country Profile'!J14</f>
        <v>A+</v>
      </c>
      <c r="K11" s="26" t="str">
        <f>'Country Profile'!K14</f>
        <v>AA</v>
      </c>
      <c r="L11" s="26" t="str">
        <f>'Country Profile'!L14</f>
        <v>BBB</v>
      </c>
      <c r="M11" s="26" t="str">
        <f>'Country Profile'!M14</f>
        <v>B-</v>
      </c>
      <c r="N11" s="26" t="str">
        <f>'Country Profile'!N14</f>
        <v>B-</v>
      </c>
      <c r="O11" s="26" t="str">
        <f>'Country Profile'!O14</f>
        <v>BB</v>
      </c>
      <c r="P11" s="26" t="str">
        <f>'Country Profile'!P14</f>
        <v>B-</v>
      </c>
      <c r="Q11" s="26" t="str">
        <f>'Country Profile'!Q14</f>
        <v>BB</v>
      </c>
      <c r="R11" s="26" t="str">
        <f>'Country Profile'!R14</f>
        <v>SD</v>
      </c>
      <c r="S11" s="26" t="str">
        <f>'Country Profile'!S14</f>
        <v>B</v>
      </c>
      <c r="T11" s="26" t="str">
        <f>'Country Profile'!T14</f>
        <v>CCC+</v>
      </c>
      <c r="U11" s="26" t="str">
        <f>'Country Profile'!U14</f>
        <v>CCC+</v>
      </c>
      <c r="V11" s="26" t="str">
        <f>'Country Profile'!V14</f>
        <v>SD</v>
      </c>
    </row>
    <row r="12">
      <c r="A12" s="7" t="s">
        <v>902</v>
      </c>
      <c r="B12" s="7" t="s">
        <v>903</v>
      </c>
      <c r="C12" s="7" t="s">
        <v>904</v>
      </c>
      <c r="D12" s="7" t="s">
        <v>210</v>
      </c>
      <c r="E12" s="48">
        <f>VLOOKUP(E11,Assumptions!$A$77:$B$98,2,FALSE)</f>
        <v>0.0042</v>
      </c>
      <c r="F12" s="48">
        <f>VLOOKUP(F11,Assumptions!$A$77:$B$98,2,FALSE)</f>
        <v>0.0013</v>
      </c>
      <c r="G12" s="48">
        <f>VLOOKUP(G11,Assumptions!$A$77:$B$98,2,FALSE)</f>
        <v>0.0005</v>
      </c>
      <c r="H12" s="48">
        <f>VLOOKUP(H11,Assumptions!$A$77:$B$98,2,FALSE)</f>
        <v>0.0009</v>
      </c>
      <c r="I12" s="48">
        <f>VLOOKUP(I11,Assumptions!$A$77:$B$98,2,FALSE)</f>
        <v>0.0001</v>
      </c>
      <c r="J12" s="48">
        <f>VLOOKUP(J11,Assumptions!$A$77:$B$98,2,FALSE)</f>
        <v>0.0005</v>
      </c>
      <c r="K12" s="48">
        <f>VLOOKUP(K11,Assumptions!$A$77:$B$98,2,FALSE)</f>
        <v>0.0003</v>
      </c>
      <c r="L12" s="48">
        <f>VLOOKUP(L11,Assumptions!$A$77:$B$98,2,FALSE)</f>
        <v>0.0019</v>
      </c>
      <c r="M12" s="48">
        <f>VLOOKUP(M11,Assumptions!$A$77:$B$98,2,FALSE)</f>
        <v>0.05</v>
      </c>
      <c r="N12" s="48">
        <f>VLOOKUP(N11,Assumptions!$A$77:$B$98,2,FALSE)</f>
        <v>0.05</v>
      </c>
      <c r="O12" s="48">
        <f>VLOOKUP(O11,Assumptions!$A$77:$B$98,2,FALSE)</f>
        <v>0.0065</v>
      </c>
      <c r="P12" s="48">
        <f>VLOOKUP(P11,Assumptions!$A$77:$B$98,2,FALSE)</f>
        <v>0.05</v>
      </c>
      <c r="Q12" s="48">
        <f>VLOOKUP(Q11,Assumptions!$A$77:$B$98,2,FALSE)</f>
        <v>0.0065</v>
      </c>
      <c r="R12" s="48">
        <f>VLOOKUP(R11,Assumptions!$A$77:$B$98,2,FALSE)</f>
        <v>0.6</v>
      </c>
      <c r="S12" s="48">
        <f>VLOOKUP(S11,Assumptions!$A$77:$B$98,2,FALSE)</f>
        <v>0.03</v>
      </c>
      <c r="T12" s="48">
        <f>VLOOKUP(T11,Assumptions!$A$77:$B$98,2,FALSE)</f>
        <v>0.12</v>
      </c>
      <c r="U12" s="48">
        <f>VLOOKUP(U11,Assumptions!$A$77:$B$98,2,FALSE)</f>
        <v>0.12</v>
      </c>
      <c r="V12" s="48">
        <f>VLOOKUP(V11,Assumptions!$A$77:$B$98,2,FALSE)</f>
        <v>0.6</v>
      </c>
    </row>
    <row r="13">
      <c r="A13" s="7" t="s">
        <v>905</v>
      </c>
      <c r="B13" s="7" t="s">
        <v>394</v>
      </c>
      <c r="C13" s="7" t="s">
        <v>906</v>
      </c>
      <c r="D13" s="7" t="s">
        <v>224</v>
      </c>
      <c r="E13" s="49">
        <f>'Country Profile'!E15</f>
        <v>100</v>
      </c>
      <c r="F13" s="49">
        <f>'Country Profile'!F15</f>
        <v>65</v>
      </c>
      <c r="G13" s="49">
        <f>'Country Profile'!G15</f>
        <v>60</v>
      </c>
      <c r="H13" s="49">
        <f>'Country Profile'!H15</f>
        <v>45</v>
      </c>
      <c r="I13" s="49">
        <f>'Country Profile'!I15</f>
        <v>15</v>
      </c>
      <c r="J13" s="49">
        <f>'Country Profile'!J15</f>
        <v>20</v>
      </c>
      <c r="K13" s="49">
        <f>'Country Profile'!K15</f>
        <v>25</v>
      </c>
      <c r="L13" s="49">
        <f>'Country Profile'!L15</f>
        <v>70</v>
      </c>
      <c r="M13" s="49">
        <f>'Country Profile'!M15</f>
        <v>450</v>
      </c>
      <c r="N13" s="49">
        <f>'Country Profile'!N15</f>
        <v>650</v>
      </c>
      <c r="O13" s="49">
        <f>'Country Profile'!O15</f>
        <v>160</v>
      </c>
      <c r="P13" s="49">
        <f>'Country Profile'!P15</f>
        <v>650</v>
      </c>
      <c r="Q13" s="49">
        <f>'Country Profile'!Q15</f>
        <v>220</v>
      </c>
      <c r="R13" s="49">
        <f>'Country Profile'!R15</f>
        <v>6000</v>
      </c>
      <c r="S13" s="49">
        <f>'Country Profile'!S15</f>
        <v>400</v>
      </c>
      <c r="T13" s="49">
        <f>'Country Profile'!T15</f>
        <v>1200</v>
      </c>
      <c r="U13" s="49">
        <f>'Country Profile'!U15</f>
        <v>450</v>
      </c>
      <c r="V13" s="49">
        <f>'Country Profile'!V15</f>
        <v>3000</v>
      </c>
    </row>
    <row r="14">
      <c r="A14" s="7" t="s">
        <v>907</v>
      </c>
      <c r="B14" s="7" t="s">
        <v>908</v>
      </c>
      <c r="C14" s="7" t="s">
        <v>838</v>
      </c>
      <c r="D14" s="7" t="s">
        <v>210</v>
      </c>
      <c r="E14" s="48">
        <f>MIN(0.95,E13/10000/Assumptions!$B$41)</f>
        <v>0.01666666667</v>
      </c>
      <c r="F14" s="48">
        <f>MIN(0.95,F13/10000/Assumptions!$B$41)</f>
        <v>0.01083333333</v>
      </c>
      <c r="G14" s="48">
        <f>MIN(0.95,G13/10000/Assumptions!$B$41)</f>
        <v>0.01</v>
      </c>
      <c r="H14" s="48">
        <f>MIN(0.95,H13/10000/Assumptions!$B$41)</f>
        <v>0.0075</v>
      </c>
      <c r="I14" s="48">
        <f>MIN(0.95,I13/10000/Assumptions!$B$41)</f>
        <v>0.0025</v>
      </c>
      <c r="J14" s="48">
        <f>MIN(0.95,J13/10000/Assumptions!$B$41)</f>
        <v>0.003333333333</v>
      </c>
      <c r="K14" s="48">
        <f>MIN(0.95,K13/10000/Assumptions!$B$41)</f>
        <v>0.004166666667</v>
      </c>
      <c r="L14" s="48">
        <f>MIN(0.95,L13/10000/Assumptions!$B$41)</f>
        <v>0.01166666667</v>
      </c>
      <c r="M14" s="48">
        <f>MIN(0.95,M13/10000/Assumptions!$B$41)</f>
        <v>0.075</v>
      </c>
      <c r="N14" s="48">
        <f>MIN(0.95,N13/10000/Assumptions!$B$41)</f>
        <v>0.1083333333</v>
      </c>
      <c r="O14" s="48">
        <f>MIN(0.95,O13/10000/Assumptions!$B$41)</f>
        <v>0.02666666667</v>
      </c>
      <c r="P14" s="48">
        <f>MIN(0.95,P13/10000/Assumptions!$B$41)</f>
        <v>0.1083333333</v>
      </c>
      <c r="Q14" s="48">
        <f>MIN(0.95,Q13/10000/Assumptions!$B$41)</f>
        <v>0.03666666667</v>
      </c>
      <c r="R14" s="48">
        <f>MIN(0.95,R13/10000/Assumptions!$B$41)</f>
        <v>0.95</v>
      </c>
      <c r="S14" s="48">
        <f>MIN(0.95,S13/10000/Assumptions!$B$41)</f>
        <v>0.06666666667</v>
      </c>
      <c r="T14" s="48">
        <f>MIN(0.95,T13/10000/Assumptions!$B$41)</f>
        <v>0.2</v>
      </c>
      <c r="U14" s="48">
        <f>MIN(0.95,U13/10000/Assumptions!$B$41)</f>
        <v>0.075</v>
      </c>
      <c r="V14" s="48">
        <f>MIN(0.95,V13/10000/Assumptions!$B$41)</f>
        <v>0.5</v>
      </c>
    </row>
    <row r="15">
      <c r="A15" s="7" t="s">
        <v>909</v>
      </c>
      <c r="B15" s="7" t="s">
        <v>565</v>
      </c>
      <c r="C15" s="7" t="s">
        <v>97</v>
      </c>
      <c r="D15" s="7" t="s">
        <v>910</v>
      </c>
      <c r="E15" s="29">
        <f>'Country Profile'!E30</f>
        <v>0</v>
      </c>
      <c r="F15" s="29">
        <f>'Country Profile'!F30</f>
        <v>0</v>
      </c>
      <c r="G15" s="29">
        <f>'Country Profile'!G30</f>
        <v>0</v>
      </c>
      <c r="H15" s="29">
        <f>'Country Profile'!H30</f>
        <v>0</v>
      </c>
      <c r="I15" s="29">
        <f>'Country Profile'!I30</f>
        <v>0</v>
      </c>
      <c r="J15" s="29">
        <f>'Country Profile'!J30</f>
        <v>0</v>
      </c>
      <c r="K15" s="29">
        <f>'Country Profile'!K30</f>
        <v>0</v>
      </c>
      <c r="L15" s="29">
        <f>'Country Profile'!L30</f>
        <v>0</v>
      </c>
      <c r="M15" s="29">
        <f>'Country Profile'!M30</f>
        <v>0</v>
      </c>
      <c r="N15" s="29">
        <f>'Country Profile'!N30</f>
        <v>0</v>
      </c>
      <c r="O15" s="29">
        <f>'Country Profile'!O30</f>
        <v>0</v>
      </c>
      <c r="P15" s="29">
        <f>'Country Profile'!P30</f>
        <v>0</v>
      </c>
      <c r="Q15" s="29">
        <f>'Country Profile'!Q30</f>
        <v>0</v>
      </c>
      <c r="R15" s="29">
        <f>'Country Profile'!R30</f>
        <v>0</v>
      </c>
      <c r="S15" s="29">
        <f>'Country Profile'!S30</f>
        <v>0</v>
      </c>
      <c r="T15" s="29">
        <f>'Country Profile'!T30</f>
        <v>0</v>
      </c>
      <c r="U15" s="29">
        <f>'Country Profile'!U30</f>
        <v>0</v>
      </c>
      <c r="V15" s="29">
        <f>'Country Profile'!V30</f>
        <v>0</v>
      </c>
    </row>
    <row r="16">
      <c r="A16" s="7" t="s">
        <v>911</v>
      </c>
      <c r="B16" s="7" t="s">
        <v>912</v>
      </c>
      <c r="C16" s="7" t="s">
        <v>913</v>
      </c>
      <c r="D16" s="7" t="s">
        <v>21</v>
      </c>
      <c r="E16" s="29">
        <f>E5-Assumptions!$B$37</f>
        <v>-16.64705854</v>
      </c>
      <c r="F16" s="29">
        <f>F5-Assumptions!$B$37</f>
        <v>-9.268241941</v>
      </c>
      <c r="G16" s="29">
        <f>G5-Assumptions!$B$37</f>
        <v>-5.449315616</v>
      </c>
      <c r="H16" s="29">
        <f>H5-Assumptions!$B$37</f>
        <v>-14.77496481</v>
      </c>
      <c r="I16" s="29">
        <f>I5-Assumptions!$B$37</f>
        <v>-24.19786349</v>
      </c>
      <c r="J16" s="29">
        <f>J5-Assumptions!$B$37</f>
        <v>-21.91005648</v>
      </c>
      <c r="K16" s="29">
        <f>K5-Assumptions!$B$37</f>
        <v>-23.79900879</v>
      </c>
      <c r="L16" s="29">
        <f>L5-Assumptions!$B$37</f>
        <v>-9.406162537</v>
      </c>
      <c r="M16" s="29">
        <f>M5-Assumptions!$B$37</f>
        <v>21.14279189</v>
      </c>
      <c r="N16" s="29">
        <f>N5-Assumptions!$B$37</f>
        <v>3.083241684</v>
      </c>
      <c r="O16" s="29">
        <f>O5-Assumptions!$B$37</f>
        <v>-2.789163564</v>
      </c>
      <c r="P16" s="29">
        <f>P5-Assumptions!$B$37</f>
        <v>10.66508013</v>
      </c>
      <c r="Q16" s="29">
        <f>Q5-Assumptions!$B$37</f>
        <v>-5.030209492</v>
      </c>
      <c r="R16" s="29">
        <f>R5-Assumptions!$B$37</f>
        <v>38.71577686</v>
      </c>
      <c r="S16" s="29">
        <f>S5-Assumptions!$B$37</f>
        <v>13.08606973</v>
      </c>
      <c r="T16" s="29">
        <f>T5-Assumptions!$B$37</f>
        <v>10.68516282</v>
      </c>
      <c r="U16" s="29">
        <f>U5-Assumptions!$B$37</f>
        <v>6.69652247</v>
      </c>
      <c r="V16" s="29">
        <f>V5-Assumptions!$B$37</f>
        <v>29.19739966</v>
      </c>
    </row>
    <row r="17">
      <c r="A17" s="7" t="s">
        <v>914</v>
      </c>
      <c r="B17" s="7" t="s">
        <v>915</v>
      </c>
      <c r="C17" s="7" t="s">
        <v>916</v>
      </c>
      <c r="D17" s="7" t="s">
        <v>917</v>
      </c>
      <c r="E17" s="50">
        <f>LN(E12/(1-E12))+Assumptions!$B$38*E16+Assumptions!$B$39*(LN(E14/(1-E14))-LN(E12/(1-E12)))+Assumptions!$B$40*E15</f>
        <v>-5.438882018</v>
      </c>
      <c r="F17" s="50">
        <f>LN(F12/(1-F12))+Assumptions!$B$38*F16+Assumptions!$B$39*(LN(F14/(1-F14))-LN(F12/(1-F12)))+Assumptions!$B$40*F15</f>
        <v>-5.949892281</v>
      </c>
      <c r="G17" s="50">
        <f>LN(G12/(1-G12))+Assumptions!$B$38*G16+Assumptions!$B$39*(LN(G14/(1-G14))-LN(G12/(1-G12)))+Assumptions!$B$40*G15</f>
        <v>-6.315733717</v>
      </c>
      <c r="H17" s="50">
        <f>LN(H12/(1-H12))+Assumptions!$B$38*H16+Assumptions!$B$39*(LN(H14/(1-H14))-LN(H12/(1-H12)))+Assumptions!$B$40*H15</f>
        <v>-6.539768283</v>
      </c>
      <c r="I17" s="50">
        <f>LN(I12/(1-I12))+Assumptions!$B$38*I16+Assumptions!$B$39*(LN(I14/(1-I14))-LN(I12/(1-I12)))+Assumptions!$B$40*I15</f>
        <v>-8.567515432</v>
      </c>
      <c r="J17" s="50">
        <f>LN(J12/(1-J12))+Assumptions!$B$38*J16+Assumptions!$B$39*(LN(J14/(1-J14))-LN(J12/(1-J12)))+Assumptions!$B$40*J15</f>
        <v>-7.526825213</v>
      </c>
      <c r="K17" s="50">
        <f>LN(K12/(1-K12))+Assumptions!$B$38*K16+Assumptions!$B$39*(LN(K14/(1-K14))-LN(K12/(1-K12)))+Assumptions!$B$40*K15</f>
        <v>-7.745906147</v>
      </c>
      <c r="L17" s="50">
        <f>LN(L12/(1-L12))+Assumptions!$B$38*L16+Assumptions!$B$39*(LN(L14/(1-L14))-LN(L12/(1-L12)))+Assumptions!$B$40*L15</f>
        <v>-5.727888419</v>
      </c>
      <c r="M17" s="50">
        <f>LN(M12/(1-M12))+Assumptions!$B$38*M16+Assumptions!$B$39*(LN(M14/(1-M14))-LN(M12/(1-M12)))+Assumptions!$B$40*M15</f>
        <v>-1.882660626</v>
      </c>
      <c r="N17" s="50">
        <f>LN(N12/(1-N12))+Assumptions!$B$38*N16+Assumptions!$B$39*(LN(N14/(1-N14))-LN(N12/(1-N12)))+Assumptions!$B$40*N15</f>
        <v>-2.402829561</v>
      </c>
      <c r="O17" s="50">
        <f>LN(O12/(1-O12))+Assumptions!$B$38*O16+Assumptions!$B$39*(LN(O14/(1-O14))-LN(O12/(1-O12)))+Assumptions!$B$40*O15</f>
        <v>-4.424938615</v>
      </c>
      <c r="P17" s="50">
        <f>LN(P12/(1-P12))+Assumptions!$B$38*P16+Assumptions!$B$39*(LN(P14/(1-P14))-LN(P12/(1-P12)))+Assumptions!$B$40*P15</f>
        <v>-2.099556023</v>
      </c>
      <c r="Q17" s="50">
        <f>LN(Q12/(1-Q12))+Assumptions!$B$38*Q16+Assumptions!$B$39*(LN(Q14/(1-Q14))-LN(Q12/(1-Q12)))+Assumptions!$B$40*Q15</f>
        <v>-4.35019003</v>
      </c>
      <c r="R17" s="50">
        <f>LN(R12/(1-R12))+Assumptions!$B$38*R16+Assumptions!$B$39*(LN(R14/(1-R14))-LN(R12/(1-R12)))+Assumptions!$B$40*R15</f>
        <v>3.223583118</v>
      </c>
      <c r="S17" s="50">
        <f>LN(S12/(1-S12))+Assumptions!$B$38*S16+Assumptions!$B$39*(LN(S14/(1-S14))-LN(S12/(1-S12)))+Assumptions!$B$40*S15</f>
        <v>-2.53413522</v>
      </c>
      <c r="T17" s="50">
        <f>LN(T12/(1-T12))+Assumptions!$B$38*T16+Assumptions!$B$39*(LN(T14/(1-T14))-LN(T12/(1-T12)))+Assumptions!$B$40*T15</f>
        <v>-1.26195575</v>
      </c>
      <c r="U17" s="50">
        <f>LN(U12/(1-U12))+Assumptions!$B$38*U16+Assumptions!$B$39*(LN(U14/(1-U14))-LN(U12/(1-U12)))+Assumptions!$B$40*U15</f>
        <v>-1.984506996</v>
      </c>
      <c r="V17" s="50">
        <f>LN(V12/(1-V12))+Assumptions!$B$38*V16+Assumptions!$B$39*(LN(V14/(1-V14))-LN(V12/(1-V12)))+Assumptions!$B$40*V15</f>
        <v>1.370628541</v>
      </c>
    </row>
    <row r="18">
      <c r="A18" s="7" t="s">
        <v>918</v>
      </c>
      <c r="B18" s="7" t="s">
        <v>919</v>
      </c>
      <c r="C18" s="7" t="s">
        <v>920</v>
      </c>
      <c r="D18" s="7" t="s">
        <v>210</v>
      </c>
      <c r="E18" s="48">
        <f t="shared" ref="E18:V18" si="1">1/(1+EXP(-E17))</f>
        <v>0.004325545818</v>
      </c>
      <c r="F18" s="48">
        <f t="shared" si="1"/>
        <v>0.00259934702</v>
      </c>
      <c r="G18" s="48">
        <f t="shared" si="1"/>
        <v>0.001804377316</v>
      </c>
      <c r="H18" s="48">
        <f t="shared" si="1"/>
        <v>0.001442738748</v>
      </c>
      <c r="I18" s="48">
        <f t="shared" si="1"/>
        <v>0.0001901484266</v>
      </c>
      <c r="J18" s="48">
        <f t="shared" si="1"/>
        <v>0.0005381552272</v>
      </c>
      <c r="K18" s="48">
        <f t="shared" si="1"/>
        <v>0.0004323225682</v>
      </c>
      <c r="L18" s="48">
        <f t="shared" si="1"/>
        <v>0.003243387153</v>
      </c>
      <c r="M18" s="48">
        <f t="shared" si="1"/>
        <v>0.1320835674</v>
      </c>
      <c r="N18" s="48">
        <f t="shared" si="1"/>
        <v>0.08295718267</v>
      </c>
      <c r="O18" s="48">
        <f t="shared" si="1"/>
        <v>0.01183324389</v>
      </c>
      <c r="P18" s="48">
        <f t="shared" si="1"/>
        <v>0.1091399809</v>
      </c>
      <c r="Q18" s="48">
        <f t="shared" si="1"/>
        <v>0.01273995911</v>
      </c>
      <c r="R18" s="48">
        <f t="shared" si="1"/>
        <v>0.9617121701</v>
      </c>
      <c r="S18" s="48">
        <f t="shared" si="1"/>
        <v>0.07349955185</v>
      </c>
      <c r="T18" s="48">
        <f t="shared" si="1"/>
        <v>0.2206374045</v>
      </c>
      <c r="U18" s="48">
        <f t="shared" si="1"/>
        <v>0.120839209</v>
      </c>
      <c r="V18" s="48">
        <f t="shared" si="1"/>
        <v>0.7974816848</v>
      </c>
    </row>
    <row r="19">
      <c r="A19" s="51" t="s">
        <v>921</v>
      </c>
      <c r="B19" s="51" t="s">
        <v>922</v>
      </c>
      <c r="C19" s="51" t="s">
        <v>923</v>
      </c>
      <c r="D19" s="51" t="s">
        <v>210</v>
      </c>
      <c r="E19" s="52">
        <f t="shared" ref="E19:V19" si="2">MIN(0.99,E18*E9)</f>
        <v>0.004325545818</v>
      </c>
      <c r="F19" s="52">
        <f t="shared" si="2"/>
        <v>0.00259934702</v>
      </c>
      <c r="G19" s="52">
        <f t="shared" si="2"/>
        <v>0.001804377316</v>
      </c>
      <c r="H19" s="52">
        <f t="shared" si="2"/>
        <v>0.001442738748</v>
      </c>
      <c r="I19" s="52">
        <f t="shared" si="2"/>
        <v>0.0001901484266</v>
      </c>
      <c r="J19" s="52">
        <f t="shared" si="2"/>
        <v>0.0005381552272</v>
      </c>
      <c r="K19" s="52">
        <f t="shared" si="2"/>
        <v>0.0004323225682</v>
      </c>
      <c r="L19" s="52">
        <f t="shared" si="2"/>
        <v>0.003243387153</v>
      </c>
      <c r="M19" s="52">
        <f t="shared" si="2"/>
        <v>0.1651044592</v>
      </c>
      <c r="N19" s="52">
        <f t="shared" si="2"/>
        <v>0.1036964783</v>
      </c>
      <c r="O19" s="52">
        <f t="shared" si="2"/>
        <v>0.01183324389</v>
      </c>
      <c r="P19" s="52">
        <f t="shared" si="2"/>
        <v>0.1364249761</v>
      </c>
      <c r="Q19" s="52">
        <f t="shared" si="2"/>
        <v>0.01273995911</v>
      </c>
      <c r="R19" s="52">
        <f t="shared" si="2"/>
        <v>0.99</v>
      </c>
      <c r="S19" s="52">
        <f t="shared" si="2"/>
        <v>0.09187443982</v>
      </c>
      <c r="T19" s="52">
        <f t="shared" si="2"/>
        <v>0.3530198472</v>
      </c>
      <c r="U19" s="52">
        <f t="shared" si="2"/>
        <v>0.1510490112</v>
      </c>
      <c r="V19" s="52">
        <f t="shared" si="2"/>
        <v>0.99</v>
      </c>
    </row>
    <row r="20">
      <c r="A20" s="7" t="s">
        <v>924</v>
      </c>
      <c r="B20" s="7" t="s">
        <v>745</v>
      </c>
      <c r="C20" s="7" t="s">
        <v>925</v>
      </c>
      <c r="D20" s="7" t="s">
        <v>896</v>
      </c>
      <c r="E20" s="47">
        <f t="shared" ref="E20:V20" si="3">IF(E14=0,0,E19/E14)</f>
        <v>0.2595327491</v>
      </c>
      <c r="F20" s="47">
        <f t="shared" si="3"/>
        <v>0.2399397249</v>
      </c>
      <c r="G20" s="47">
        <f t="shared" si="3"/>
        <v>0.1804377316</v>
      </c>
      <c r="H20" s="47">
        <f t="shared" si="3"/>
        <v>0.1923651664</v>
      </c>
      <c r="I20" s="47">
        <f t="shared" si="3"/>
        <v>0.07605937063</v>
      </c>
      <c r="J20" s="47">
        <f t="shared" si="3"/>
        <v>0.1614465681</v>
      </c>
      <c r="K20" s="47">
        <f t="shared" si="3"/>
        <v>0.1037574164</v>
      </c>
      <c r="L20" s="47">
        <f t="shared" si="3"/>
        <v>0.2780046131</v>
      </c>
      <c r="M20" s="47">
        <f t="shared" si="3"/>
        <v>2.20139279</v>
      </c>
      <c r="N20" s="47">
        <f t="shared" si="3"/>
        <v>0.9571982616</v>
      </c>
      <c r="O20" s="47">
        <f t="shared" si="3"/>
        <v>0.4437466461</v>
      </c>
      <c r="P20" s="47">
        <f t="shared" si="3"/>
        <v>1.259307472</v>
      </c>
      <c r="Q20" s="47">
        <f t="shared" si="3"/>
        <v>0.3474534303</v>
      </c>
      <c r="R20" s="47">
        <f t="shared" si="3"/>
        <v>1.042105263</v>
      </c>
      <c r="S20" s="47">
        <f t="shared" si="3"/>
        <v>1.378116597</v>
      </c>
      <c r="T20" s="47">
        <f t="shared" si="3"/>
        <v>1.765099236</v>
      </c>
      <c r="U20" s="47">
        <f t="shared" si="3"/>
        <v>2.013986816</v>
      </c>
      <c r="V20" s="47">
        <f t="shared" si="3"/>
        <v>1.98</v>
      </c>
    </row>
    <row r="21">
      <c r="A21" s="7" t="s">
        <v>926</v>
      </c>
      <c r="B21" s="7" t="s">
        <v>927</v>
      </c>
      <c r="C21" s="7" t="s">
        <v>928</v>
      </c>
      <c r="D21" s="7" t="s">
        <v>21</v>
      </c>
      <c r="E21" s="29">
        <f>'Pillar Scores'!E30</f>
        <v>37.8</v>
      </c>
      <c r="F21" s="29">
        <f>'Pillar Scores'!F30</f>
        <v>23.4925</v>
      </c>
      <c r="G21" s="29">
        <f>'Pillar Scores'!G30</f>
        <v>27.37333333</v>
      </c>
      <c r="H21" s="29">
        <f>'Pillar Scores'!H30</f>
        <v>34.54333333</v>
      </c>
      <c r="I21" s="29">
        <f>'Pillar Scores'!I30</f>
        <v>17.93333333</v>
      </c>
      <c r="J21" s="29">
        <f>'Pillar Scores'!J30</f>
        <v>4.533333333</v>
      </c>
      <c r="K21" s="29">
        <f>'Pillar Scores'!K30</f>
        <v>22.93333333</v>
      </c>
      <c r="L21" s="29">
        <f>'Pillar Scores'!L30</f>
        <v>11.71</v>
      </c>
      <c r="M21" s="29">
        <f>'Pillar Scores'!M30</f>
        <v>66.85833333</v>
      </c>
      <c r="N21" s="29">
        <f>'Pillar Scores'!N30</f>
        <v>57.66666667</v>
      </c>
      <c r="O21" s="29">
        <f>'Pillar Scores'!O30</f>
        <v>24.84916667</v>
      </c>
      <c r="P21" s="29">
        <f>'Pillar Scores'!P30</f>
        <v>76.37738095</v>
      </c>
      <c r="Q21" s="29">
        <f>'Pillar Scores'!Q30</f>
        <v>33.73333333</v>
      </c>
      <c r="R21" s="29">
        <f>'Pillar Scores'!R30</f>
        <v>88.85416667</v>
      </c>
      <c r="S21" s="29">
        <f>'Pillar Scores'!S30</f>
        <v>43.8125</v>
      </c>
      <c r="T21" s="29">
        <f>'Pillar Scores'!T30</f>
        <v>67.59166667</v>
      </c>
      <c r="U21" s="29">
        <f>'Pillar Scores'!U30</f>
        <v>51.66666667</v>
      </c>
      <c r="V21" s="29">
        <f>'Pillar Scores'!V30</f>
        <v>85</v>
      </c>
    </row>
    <row r="22">
      <c r="A22" s="7" t="s">
        <v>929</v>
      </c>
      <c r="B22" s="7" t="s">
        <v>930</v>
      </c>
      <c r="C22" s="7" t="s">
        <v>931</v>
      </c>
      <c r="D22" s="7" t="s">
        <v>21</v>
      </c>
      <c r="E22" s="29">
        <f>'Pillar Scores'!E31</f>
        <v>47.53333333</v>
      </c>
      <c r="F22" s="29">
        <f>'Pillar Scores'!F31</f>
        <v>34.5</v>
      </c>
      <c r="G22" s="29">
        <f>'Pillar Scores'!G31</f>
        <v>54.53333333</v>
      </c>
      <c r="H22" s="29">
        <f>'Pillar Scores'!H31</f>
        <v>24.2</v>
      </c>
      <c r="I22" s="29">
        <f>'Pillar Scores'!I31</f>
        <v>15.25</v>
      </c>
      <c r="J22" s="29">
        <f>'Pillar Scores'!J31</f>
        <v>8</v>
      </c>
      <c r="K22" s="29">
        <f>'Pillar Scores'!K31</f>
        <v>16.33333333</v>
      </c>
      <c r="L22" s="29">
        <f>'Pillar Scores'!L31</f>
        <v>50.7</v>
      </c>
      <c r="M22" s="29">
        <f>'Pillar Scores'!M31</f>
        <v>61.96666667</v>
      </c>
      <c r="N22" s="29">
        <f>'Pillar Scores'!N31</f>
        <v>60</v>
      </c>
      <c r="O22" s="29">
        <f>'Pillar Scores'!O31</f>
        <v>28.4</v>
      </c>
      <c r="P22" s="29">
        <f>'Pillar Scores'!P31</f>
        <v>48.8</v>
      </c>
      <c r="Q22" s="29">
        <f>'Pillar Scores'!Q31</f>
        <v>32.9</v>
      </c>
      <c r="R22" s="29">
        <f>'Pillar Scores'!R31</f>
        <v>95.33333333</v>
      </c>
      <c r="S22" s="29">
        <f>'Pillar Scores'!S31</f>
        <v>61.16666667</v>
      </c>
      <c r="T22" s="29">
        <f>'Pillar Scores'!T31</f>
        <v>62.8</v>
      </c>
      <c r="U22" s="29">
        <f>'Pillar Scores'!U31</f>
        <v>63.36666667</v>
      </c>
      <c r="V22" s="29">
        <f>'Pillar Scores'!V31</f>
        <v>89.73333333</v>
      </c>
    </row>
    <row r="23">
      <c r="A23" s="7" t="s">
        <v>932</v>
      </c>
      <c r="B23" s="7" t="s">
        <v>933</v>
      </c>
      <c r="C23" s="7" t="s">
        <v>934</v>
      </c>
      <c r="D23" s="7" t="s">
        <v>21</v>
      </c>
      <c r="E23" s="29">
        <f>AVERAGE('Pillar Scores'!E32,'Pillar Scores'!E34)</f>
        <v>10.16666667</v>
      </c>
      <c r="F23" s="29">
        <f>AVERAGE('Pillar Scores'!F32,'Pillar Scores'!F34)</f>
        <v>41.41666667</v>
      </c>
      <c r="G23" s="29">
        <f>AVERAGE('Pillar Scores'!G32,'Pillar Scores'!G34)</f>
        <v>28.78333333</v>
      </c>
      <c r="H23" s="29">
        <f>AVERAGE('Pillar Scores'!H32,'Pillar Scores'!H34)</f>
        <v>22.29166667</v>
      </c>
      <c r="I23" s="29">
        <f>AVERAGE('Pillar Scores'!I32,'Pillar Scores'!I34)</f>
        <v>9.25</v>
      </c>
      <c r="J23" s="29">
        <f>AVERAGE('Pillar Scores'!J32,'Pillar Scores'!J34)</f>
        <v>11.1</v>
      </c>
      <c r="K23" s="29">
        <f>AVERAGE('Pillar Scores'!K32,'Pillar Scores'!K34)</f>
        <v>20.06666667</v>
      </c>
      <c r="L23" s="29">
        <f>AVERAGE('Pillar Scores'!L32,'Pillar Scores'!L34)</f>
        <v>34.56666667</v>
      </c>
      <c r="M23" s="29">
        <f>AVERAGE('Pillar Scores'!M32,'Pillar Scores'!M34)</f>
        <v>72</v>
      </c>
      <c r="N23" s="29">
        <f>AVERAGE('Pillar Scores'!N32,'Pillar Scores'!N34)</f>
        <v>26.91666667</v>
      </c>
      <c r="O23" s="29">
        <f>AVERAGE('Pillar Scores'!O32,'Pillar Scores'!O34)</f>
        <v>50.83333333</v>
      </c>
      <c r="P23" s="29">
        <f>AVERAGE('Pillar Scores'!P32,'Pillar Scores'!P34)</f>
        <v>34</v>
      </c>
      <c r="Q23" s="29">
        <f>AVERAGE('Pillar Scores'!Q32,'Pillar Scores'!Q34)</f>
        <v>52.57738095</v>
      </c>
      <c r="R23" s="29">
        <f>AVERAGE('Pillar Scores'!R32,'Pillar Scores'!R34)</f>
        <v>65.08333333</v>
      </c>
      <c r="S23" s="29">
        <f>AVERAGE('Pillar Scores'!S32,'Pillar Scores'!S34)</f>
        <v>68</v>
      </c>
      <c r="T23" s="29">
        <f>AVERAGE('Pillar Scores'!T32,'Pillar Scores'!T34)</f>
        <v>26.76666667</v>
      </c>
      <c r="U23" s="29">
        <f>AVERAGE('Pillar Scores'!U32,'Pillar Scores'!U34)</f>
        <v>28.5</v>
      </c>
      <c r="V23" s="29">
        <f>AVERAGE('Pillar Scores'!V32,'Pillar Scores'!V34)</f>
        <v>44.63333333</v>
      </c>
    </row>
    <row r="24">
      <c r="A24" s="7" t="s">
        <v>935</v>
      </c>
      <c r="B24" s="7" t="s">
        <v>936</v>
      </c>
      <c r="C24" s="7" t="s">
        <v>937</v>
      </c>
      <c r="D24" s="7" t="s">
        <v>21</v>
      </c>
      <c r="E24" s="29">
        <f>AVERAGE('Indicator Scores'!E20,'Indicator Scores'!E45)</f>
        <v>50</v>
      </c>
      <c r="F24" s="29">
        <f>AVERAGE('Indicator Scores'!F20,'Indicator Scores'!F45)</f>
        <v>25</v>
      </c>
      <c r="G24" s="29">
        <f>AVERAGE('Indicator Scores'!G20,'Indicator Scores'!G45)</f>
        <v>50</v>
      </c>
      <c r="H24" s="29">
        <f>AVERAGE('Indicator Scores'!H20,'Indicator Scores'!H45)</f>
        <v>12.5</v>
      </c>
      <c r="I24" s="29">
        <f>AVERAGE('Indicator Scores'!I20,'Indicator Scores'!I45)</f>
        <v>12.5</v>
      </c>
      <c r="J24" s="29">
        <f>AVERAGE('Indicator Scores'!J20,'Indicator Scores'!J45)</f>
        <v>25</v>
      </c>
      <c r="K24" s="29">
        <f>AVERAGE('Indicator Scores'!K20,'Indicator Scores'!K45)</f>
        <v>25</v>
      </c>
      <c r="L24" s="29">
        <f>AVERAGE('Indicator Scores'!L20,'Indicator Scores'!L45)</f>
        <v>37.5</v>
      </c>
      <c r="M24" s="29">
        <f>AVERAGE('Indicator Scores'!M20,'Indicator Scores'!M45)</f>
        <v>50</v>
      </c>
      <c r="N24" s="29">
        <f>AVERAGE('Indicator Scores'!N20,'Indicator Scores'!N45)</f>
        <v>37.5</v>
      </c>
      <c r="O24" s="29">
        <f>AVERAGE('Indicator Scores'!O20,'Indicator Scores'!O45)</f>
        <v>37.5</v>
      </c>
      <c r="P24" s="29">
        <f>AVERAGE('Indicator Scores'!P20,'Indicator Scores'!P45)</f>
        <v>0</v>
      </c>
      <c r="Q24" s="29">
        <f>AVERAGE('Indicator Scores'!Q20,'Indicator Scores'!Q45)</f>
        <v>25</v>
      </c>
      <c r="R24" s="29">
        <f>AVERAGE('Indicator Scores'!R20,'Indicator Scores'!R45)</f>
        <v>100</v>
      </c>
      <c r="S24" s="29">
        <f>AVERAGE('Indicator Scores'!S20,'Indicator Scores'!S45)</f>
        <v>37.5</v>
      </c>
      <c r="T24" s="29">
        <f>AVERAGE('Indicator Scores'!T20,'Indicator Scores'!T45)</f>
        <v>0</v>
      </c>
      <c r="U24" s="29">
        <f>AVERAGE('Indicator Scores'!U20,'Indicator Scores'!U45)</f>
        <v>25</v>
      </c>
      <c r="V24" s="29">
        <f>AVERAGE('Indicator Scores'!V20,'Indicator Scores'!V45)</f>
        <v>75</v>
      </c>
    </row>
    <row r="25">
      <c r="A25" s="7" t="s">
        <v>938</v>
      </c>
      <c r="B25" s="7" t="s">
        <v>939</v>
      </c>
      <c r="C25" s="7" t="s">
        <v>940</v>
      </c>
      <c r="D25" s="7" t="s">
        <v>210</v>
      </c>
      <c r="E25" s="48">
        <f>MIN(0.99,E$9/(1+EXP(-(LN(Assumptions!$C$59/(1-Assumptions!$C$59))+Assumptions!$D$59*(E21-50)/10))))</f>
        <v>0.01096718045</v>
      </c>
      <c r="F25" s="48">
        <f>MIN(0.99,F$9/(1+EXP(-(LN(Assumptions!$C$59/(1-Assumptions!$C$59))+Assumptions!$D$59*(F21-50)/10))))</f>
        <v>0.005393271259</v>
      </c>
      <c r="G25" s="48">
        <f>MIN(0.99,G$9/(1+EXP(-(LN(Assumptions!$C$59/(1-Assumptions!$C$59))+Assumptions!$D$59*(G21-50)/10))))</f>
        <v>0.006540669265</v>
      </c>
      <c r="H25" s="48">
        <f>MIN(0.99,H$9/(1+EXP(-(LN(Assumptions!$C$59/(1-Assumptions!$C$59))+Assumptions!$D$59*(H21-50)/10))))</f>
        <v>0.009334556357</v>
      </c>
      <c r="I25" s="48">
        <f>MIN(0.99,I$9/(1+EXP(-(LN(Assumptions!$C$59/(1-Assumptions!$C$59))+Assumptions!$D$59*(I21-50)/10))))</f>
        <v>0.00408983011</v>
      </c>
      <c r="J25" s="48">
        <f>MIN(0.99,J$9/(1+EXP(-(LN(Assumptions!$C$59/(1-Assumptions!$C$59))+Assumptions!$D$59*(J21-50)/10))))</f>
        <v>0.002096988896</v>
      </c>
      <c r="K25" s="48">
        <f>MIN(0.99,K$9/(1+EXP(-(LN(Assumptions!$C$59/(1-Assumptions!$C$59))+Assumptions!$D$59*(K21-50)/10))))</f>
        <v>0.005245352727</v>
      </c>
      <c r="L25" s="48">
        <f>MIN(0.99,L$9/(1+EXP(-(LN(Assumptions!$C$59/(1-Assumptions!$C$59))+Assumptions!$D$59*(L21-50)/10))))</f>
        <v>0.002999456235</v>
      </c>
      <c r="M25" s="48">
        <f>MIN(0.99,M$9/(1+EXP(-(LN(Assumptions!$C$59/(1-Assumptions!$C$59))+Assumptions!$D$59*(M21-50)/10))))</f>
        <v>0.05658103806</v>
      </c>
      <c r="N25" s="48">
        <f>MIN(0.99,N$9/(1+EXP(-(LN(Assumptions!$C$59/(1-Assumptions!$C$59))+Assumptions!$D$59*(N21-50)/10))))</f>
        <v>0.03633964148</v>
      </c>
      <c r="O25" s="48">
        <f>MIN(0.99,O$9/(1+EXP(-(LN(Assumptions!$C$59/(1-Assumptions!$C$59))+Assumptions!$D$59*(O21-50)/10))))</f>
        <v>0.005769624389</v>
      </c>
      <c r="P25" s="48">
        <f>MIN(0.99,P$9/(1+EXP(-(LN(Assumptions!$C$59/(1-Assumptions!$C$59))+Assumptions!$D$59*(P21-50)/10))))</f>
        <v>0.0886245629</v>
      </c>
      <c r="Q25" s="48">
        <f>MIN(0.99,Q$9/(1+EXP(-(LN(Assumptions!$C$59/(1-Assumptions!$C$59))+Assumptions!$D$59*(Q21-50)/10))))</f>
        <v>0.008967382399</v>
      </c>
      <c r="R25" s="48">
        <f>MIN(0.99,R$9/(1+EXP(-(LN(Assumptions!$C$59/(1-Assumptions!$C$59))+Assumptions!$D$59*(R21-50)/10))))</f>
        <v>0.1994403547</v>
      </c>
      <c r="S25" s="48">
        <f>MIN(0.99,S$9/(1+EXP(-(LN(Assumptions!$C$59/(1-Assumptions!$C$59))+Assumptions!$D$59*(S21-50)/10))))</f>
        <v>0.01844580414</v>
      </c>
      <c r="T25" s="48">
        <f>MIN(0.99,T$9/(1+EXP(-(LN(Assumptions!$C$59/(1-Assumptions!$C$59))+Assumptions!$D$59*(T21-50)/10))))</f>
        <v>0.0750017593</v>
      </c>
      <c r="U25" s="48">
        <f>MIN(0.99,U$9/(1+EXP(-(LN(Assumptions!$C$59/(1-Assumptions!$C$59))+Assumptions!$D$59*(U21-50)/10))))</f>
        <v>0.027125455</v>
      </c>
      <c r="V25" s="48">
        <f>MIN(0.99,V$9/(1+EXP(-(LN(Assumptions!$C$59/(1-Assumptions!$C$59))+Assumptions!$D$59*(V21-50)/10))))</f>
        <v>0.1681569006</v>
      </c>
    </row>
    <row r="26">
      <c r="A26" s="7" t="s">
        <v>941</v>
      </c>
      <c r="B26" s="7" t="s">
        <v>942</v>
      </c>
      <c r="C26" s="7" t="s">
        <v>943</v>
      </c>
      <c r="D26" s="7" t="s">
        <v>210</v>
      </c>
      <c r="E26" s="48">
        <f>MIN(0.99,E$9/(1+EXP(-(LN(Assumptions!$C$60/(1-Assumptions!$C$60))+Assumptions!$D$60*(E22-50)/10))))</f>
        <v>0.00884995827</v>
      </c>
      <c r="F26" s="48">
        <f>MIN(0.99,F$9/(1+EXP(-(LN(Assumptions!$C$60/(1-Assumptions!$C$60))+Assumptions!$D$60*(F22-50)/10))))</f>
        <v>0.004632018109</v>
      </c>
      <c r="G26" s="48">
        <f>MIN(0.99,G$9/(1+EXP(-(LN(Assumptions!$C$60/(1-Assumptions!$C$60))+Assumptions!$D$60*(G22-50)/10))))</f>
        <v>0.0125122839</v>
      </c>
      <c r="H26" s="48">
        <f>MIN(0.99,H$9/(1+EXP(-(LN(Assumptions!$C$60/(1-Assumptions!$C$60))+Assumptions!$D$60*(H22-50)/10))))</f>
        <v>0.002772803145</v>
      </c>
      <c r="I26" s="48">
        <f>MIN(0.99,I$9/(1+EXP(-(LN(Assumptions!$C$60/(1-Assumptions!$C$60))+Assumptions!$D$60*(I22-50)/10))))</f>
        <v>0.001774217774</v>
      </c>
      <c r="J26" s="48">
        <f>MIN(0.99,J$9/(1+EXP(-(LN(Assumptions!$C$60/(1-Assumptions!$C$60))+Assumptions!$D$60*(J22-50)/10))))</f>
        <v>0.001235405504</v>
      </c>
      <c r="K26" s="48">
        <f>MIN(0.99,K$9/(1+EXP(-(LN(Assumptions!$C$60/(1-Assumptions!$C$60))+Assumptions!$D$60*(K22-50)/10))))</f>
        <v>0.001872786733</v>
      </c>
      <c r="L26" s="48">
        <f>MIN(0.99,L$9/(1+EXP(-(LN(Assumptions!$C$60/(1-Assumptions!$C$60))+Assumptions!$D$60*(L22-50)/10))))</f>
        <v>0.01035250955</v>
      </c>
      <c r="M26" s="48">
        <f>MIN(0.99,M$9/(1+EXP(-(LN(Assumptions!$C$60/(1-Assumptions!$C$60))+Assumptions!$D$60*(M22-50)/10))))</f>
        <v>0.02255382097</v>
      </c>
      <c r="N26" s="48">
        <f>MIN(0.99,N$9/(1+EXP(-(LN(Assumptions!$C$60/(1-Assumptions!$C$60))+Assumptions!$D$60*(N22-50)/10))))</f>
        <v>0.02047618253</v>
      </c>
      <c r="O26" s="48">
        <f>MIN(0.99,O$9/(1+EXP(-(LN(Assumptions!$C$60/(1-Assumptions!$C$60))+Assumptions!$D$60*(O22-50)/10))))</f>
        <v>0.003418531391</v>
      </c>
      <c r="P26" s="48">
        <f>MIN(0.99,P$9/(1+EXP(-(LN(Assumptions!$C$60/(1-Assumptions!$C$60))+Assumptions!$D$60*(P22-50)/10))))</f>
        <v>0.01177891618</v>
      </c>
      <c r="Q26" s="48">
        <f>MIN(0.99,Q$9/(1+EXP(-(LN(Assumptions!$C$60/(1-Assumptions!$C$60))+Assumptions!$D$60*(Q22-50)/10))))</f>
        <v>0.004277414933</v>
      </c>
      <c r="R26" s="48">
        <f>MIN(0.99,R$9/(1+EXP(-(LN(Assumptions!$C$60/(1-Assumptions!$C$60))+Assumptions!$D$60*(R22-50)/10))))</f>
        <v>0.1420699771</v>
      </c>
      <c r="S26" s="48">
        <f>MIN(0.99,S$9/(1+EXP(-(LN(Assumptions!$C$60/(1-Assumptions!$C$60))+Assumptions!$D$60*(S22-50)/10))))</f>
        <v>0.02168481454</v>
      </c>
      <c r="T26" s="48">
        <f>MIN(0.99,T$9/(1+EXP(-(LN(Assumptions!$C$60/(1-Assumptions!$C$60))+Assumptions!$D$60*(T22-50)/10))))</f>
        <v>0.03007408564</v>
      </c>
      <c r="U26" s="48">
        <f>MIN(0.99,U$9/(1+EXP(-(LN(Assumptions!$C$60/(1-Assumptions!$C$60))+Assumptions!$D$60*(U22-50)/10))))</f>
        <v>0.02415755292</v>
      </c>
      <c r="V26" s="48">
        <f>MIN(0.99,V$9/(1+EXP(-(LN(Assumptions!$C$60/(1-Assumptions!$C$60))+Assumptions!$D$60*(V22-50)/10))))</f>
        <v>0.1097541845</v>
      </c>
    </row>
    <row r="27">
      <c r="A27" s="7" t="s">
        <v>944</v>
      </c>
      <c r="B27" s="7" t="s">
        <v>945</v>
      </c>
      <c r="C27" s="7" t="s">
        <v>946</v>
      </c>
      <c r="D27" s="7" t="s">
        <v>210</v>
      </c>
      <c r="E27" s="48">
        <f>MIN(0.99,E$9/(1+EXP(-(LN(Assumptions!$C$61/(1-Assumptions!$C$61))+Assumptions!$D$61*(E23-50)/10))))</f>
        <v>0.002777321929</v>
      </c>
      <c r="F27" s="48">
        <f>MIN(0.99,F$9/(1+EXP(-(LN(Assumptions!$C$61/(1-Assumptions!$C$61))+Assumptions!$D$61*(F23-50)/10))))</f>
        <v>0.01311254028</v>
      </c>
      <c r="G27" s="48">
        <f>MIN(0.99,G$9/(1+EXP(-(LN(Assumptions!$C$61/(1-Assumptions!$C$61))+Assumptions!$D$61*(G23-50)/10))))</f>
        <v>0.007015078109</v>
      </c>
      <c r="H27" s="48">
        <f>MIN(0.99,H$9/(1+EXP(-(LN(Assumptions!$C$61/(1-Assumptions!$C$61))+Assumptions!$D$61*(H23-50)/10))))</f>
        <v>0.005080576744</v>
      </c>
      <c r="I27" s="48">
        <f>MIN(0.99,I$9/(1+EXP(-(LN(Assumptions!$C$61/(1-Assumptions!$C$61))+Assumptions!$D$61*(I23-50)/10))))</f>
        <v>0.002653231215</v>
      </c>
      <c r="J27" s="48">
        <f>MIN(0.99,J$9/(1+EXP(-(LN(Assumptions!$C$61/(1-Assumptions!$C$61))+Assumptions!$D$61*(J23-50)/10))))</f>
        <v>0.002909616029</v>
      </c>
      <c r="K27" s="48">
        <f>MIN(0.99,K$9/(1+EXP(-(LN(Assumptions!$C$61/(1-Assumptions!$C$61))+Assumptions!$D$61*(K23-50)/10))))</f>
        <v>0.004548101253</v>
      </c>
      <c r="L27" s="48">
        <f>MIN(0.99,L$9/(1+EXP(-(LN(Assumptions!$C$61/(1-Assumptions!$C$61))+Assumptions!$D$61*(L23-50)/10))))</f>
        <v>0.009345351195</v>
      </c>
      <c r="M27" s="48">
        <f>MIN(0.99,M$9/(1+EXP(-(LN(Assumptions!$C$61/(1-Assumptions!$C$61))+Assumptions!$D$61*(M23-50)/10))))</f>
        <v>0.07220974428</v>
      </c>
      <c r="N27" s="48">
        <f>MIN(0.99,N$9/(1+EXP(-(LN(Assumptions!$C$61/(1-Assumptions!$C$61))+Assumptions!$D$61*(N23-50)/10))))</f>
        <v>0.007992450242</v>
      </c>
      <c r="O27" s="48">
        <f>MIN(0.99,O$9/(1+EXP(-(LN(Assumptions!$C$61/(1-Assumptions!$C$61))+Assumptions!$D$61*(O23-50)/10))))</f>
        <v>0.02083321033</v>
      </c>
      <c r="P27" s="48">
        <f>MIN(0.99,P$9/(1+EXP(-(LN(Assumptions!$C$61/(1-Assumptions!$C$61))+Assumptions!$D$61*(P23-50)/10))))</f>
        <v>0.01135831804</v>
      </c>
      <c r="Q27" s="48">
        <f>MIN(0.99,Q$9/(1+EXP(-(LN(Assumptions!$C$61/(1-Assumptions!$C$61))+Assumptions!$D$61*(Q23-50)/10))))</f>
        <v>0.02268841121</v>
      </c>
      <c r="R27" s="48">
        <f>MIN(0.99,R$9/(1+EXP(-(LN(Assumptions!$C$61/(1-Assumptions!$C$61))+Assumptions!$D$61*(R23-50)/10))))</f>
        <v>0.06652884047</v>
      </c>
      <c r="S27" s="48">
        <f>MIN(0.99,S$9/(1+EXP(-(LN(Assumptions!$C$61/(1-Assumptions!$C$61))+Assumptions!$D$61*(S23-50)/10))))</f>
        <v>0.05974596971</v>
      </c>
      <c r="T27" s="48">
        <f>MIN(0.99,T$9/(1+EXP(-(LN(Assumptions!$C$61/(1-Assumptions!$C$61))+Assumptions!$D$61*(T23-50)/10))))</f>
        <v>0.01015438093</v>
      </c>
      <c r="U27" s="48">
        <f>MIN(0.99,U$9/(1+EXP(-(LN(Assumptions!$C$61/(1-Assumptions!$C$61))+Assumptions!$D$61*(U23-50)/10))))</f>
        <v>0.008646351303</v>
      </c>
      <c r="V27" s="48">
        <f>MIN(0.99,V$9/(1+EXP(-(LN(Assumptions!$C$61/(1-Assumptions!$C$61))+Assumptions!$D$61*(V23-50)/10))))</f>
        <v>0.02458460969</v>
      </c>
    </row>
    <row r="28">
      <c r="A28" s="7" t="s">
        <v>947</v>
      </c>
      <c r="B28" s="7" t="s">
        <v>948</v>
      </c>
      <c r="C28" s="7" t="s">
        <v>949</v>
      </c>
      <c r="D28" s="7" t="s">
        <v>210</v>
      </c>
      <c r="E28" s="48">
        <f>MIN(0.99,E$9/(1+EXP(-(LN(Assumptions!$C$62/(1-Assumptions!$C$62))+Assumptions!$D$62*(E24-50)/10))))</f>
        <v>0.01</v>
      </c>
      <c r="F28" s="48">
        <f>MIN(0.99,F$9/(1+EXP(-(LN(Assumptions!$C$62/(1-Assumptions!$C$62))+Assumptions!$D$62*(F24-50)/10))))</f>
        <v>0.002885636849</v>
      </c>
      <c r="G28" s="48">
        <f>MIN(0.99,G$9/(1+EXP(-(LN(Assumptions!$C$62/(1-Assumptions!$C$62))+Assumptions!$D$62*(G24-50)/10))))</f>
        <v>0.01</v>
      </c>
      <c r="H28" s="48">
        <f>MIN(0.99,H$9/(1+EXP(-(LN(Assumptions!$C$62/(1-Assumptions!$C$62))+Assumptions!$D$62*(H24-50)/10))))</f>
        <v>0.001546644255</v>
      </c>
      <c r="I28" s="48">
        <f>MIN(0.99,I$9/(1+EXP(-(LN(Assumptions!$C$62/(1-Assumptions!$C$62))+Assumptions!$D$62*(I24-50)/10))))</f>
        <v>0.001546644255</v>
      </c>
      <c r="J28" s="48">
        <f>MIN(0.99,J$9/(1+EXP(-(LN(Assumptions!$C$62/(1-Assumptions!$C$62))+Assumptions!$D$62*(J24-50)/10))))</f>
        <v>0.002885636849</v>
      </c>
      <c r="K28" s="48">
        <f>MIN(0.99,K$9/(1+EXP(-(LN(Assumptions!$C$62/(1-Assumptions!$C$62))+Assumptions!$D$62*(K24-50)/10))))</f>
        <v>0.002885636849</v>
      </c>
      <c r="L28" s="48">
        <f>MIN(0.99,L$9/(1+EXP(-(LN(Assumptions!$C$62/(1-Assumptions!$C$62))+Assumptions!$D$62*(L24-50)/10))))</f>
        <v>0.005377606095</v>
      </c>
      <c r="M28" s="48">
        <f>MIN(0.99,M$9/(1+EXP(-(LN(Assumptions!$C$62/(1-Assumptions!$C$62))+Assumptions!$D$62*(M24-50)/10))))</f>
        <v>0.0125</v>
      </c>
      <c r="N28" s="48">
        <f>MIN(0.99,N$9/(1+EXP(-(LN(Assumptions!$C$62/(1-Assumptions!$C$62))+Assumptions!$D$62*(N24-50)/10))))</f>
        <v>0.006722007619</v>
      </c>
      <c r="O28" s="48">
        <f>MIN(0.99,O$9/(1+EXP(-(LN(Assumptions!$C$62/(1-Assumptions!$C$62))+Assumptions!$D$62*(O24-50)/10))))</f>
        <v>0.005377606095</v>
      </c>
      <c r="P28" s="48">
        <f>MIN(0.99,P$9/(1+EXP(-(LN(Assumptions!$C$62/(1-Assumptions!$C$62))+Assumptions!$D$62*(P24-50)/10))))</f>
        <v>0.001035568118</v>
      </c>
      <c r="Q28" s="48">
        <f>MIN(0.99,Q$9/(1+EXP(-(LN(Assumptions!$C$62/(1-Assumptions!$C$62))+Assumptions!$D$62*(Q24-50)/10))))</f>
        <v>0.002885636849</v>
      </c>
      <c r="R28" s="48">
        <f>MIN(0.99,R$9/(1+EXP(-(LN(Assumptions!$C$62/(1-Assumptions!$C$62))+Assumptions!$D$62*(R24-50)/10))))</f>
        <v>0.1753152825</v>
      </c>
      <c r="S28" s="48">
        <f>MIN(0.99,S$9/(1+EXP(-(LN(Assumptions!$C$62/(1-Assumptions!$C$62))+Assumptions!$D$62*(S24-50)/10))))</f>
        <v>0.006722007619</v>
      </c>
      <c r="T28" s="48">
        <f>MIN(0.99,T$9/(1+EXP(-(LN(Assumptions!$C$62/(1-Assumptions!$C$62))+Assumptions!$D$62*(T24-50)/10))))</f>
        <v>0.001325527191</v>
      </c>
      <c r="U28" s="48">
        <f>MIN(0.99,U$9/(1+EXP(-(LN(Assumptions!$C$62/(1-Assumptions!$C$62))+Assumptions!$D$62*(U24-50)/10))))</f>
        <v>0.003607046061</v>
      </c>
      <c r="V28" s="48">
        <f>MIN(0.99,V$9/(1+EXP(-(LN(Assumptions!$C$62/(1-Assumptions!$C$62))+Assumptions!$D$62*(V24-50)/10))))</f>
        <v>0.0544885359</v>
      </c>
    </row>
    <row r="29">
      <c r="A29" s="7" t="s">
        <v>950</v>
      </c>
      <c r="B29" s="7" t="s">
        <v>951</v>
      </c>
      <c r="C29" s="7" t="s">
        <v>952</v>
      </c>
      <c r="D29" s="7" t="s">
        <v>210</v>
      </c>
      <c r="E29" s="48">
        <f t="shared" ref="E29:V29" si="4">1-(1-E19)*(1-E25)*(1-E26)*(1-E27)*(1-E28)</f>
        <v>0.03640439071</v>
      </c>
      <c r="F29" s="48">
        <f t="shared" si="4"/>
        <v>0.0283333196</v>
      </c>
      <c r="G29" s="48">
        <f t="shared" si="4"/>
        <v>0.0373347289</v>
      </c>
      <c r="H29" s="48">
        <f t="shared" si="4"/>
        <v>0.02003674179</v>
      </c>
      <c r="I29" s="48">
        <f t="shared" si="4"/>
        <v>0.01021623136</v>
      </c>
      <c r="J29" s="48">
        <f t="shared" si="4"/>
        <v>0.009630650873</v>
      </c>
      <c r="K29" s="48">
        <f t="shared" si="4"/>
        <v>0.01490224609</v>
      </c>
      <c r="L29" s="48">
        <f t="shared" si="4"/>
        <v>0.03095138872</v>
      </c>
      <c r="M29" s="48">
        <f t="shared" si="4"/>
        <v>0.2946307762</v>
      </c>
      <c r="N29" s="48">
        <f t="shared" si="4"/>
        <v>0.1663574222</v>
      </c>
      <c r="O29" s="48">
        <f t="shared" si="4"/>
        <v>0.04644668068</v>
      </c>
      <c r="P29" s="48">
        <f t="shared" si="4"/>
        <v>0.2318598775</v>
      </c>
      <c r="Q29" s="48">
        <f t="shared" si="4"/>
        <v>0.05062916333</v>
      </c>
      <c r="R29" s="48">
        <f t="shared" si="4"/>
        <v>0.9947126944</v>
      </c>
      <c r="S29" s="48">
        <f t="shared" si="4"/>
        <v>0.1855676894</v>
      </c>
      <c r="T29" s="48">
        <f t="shared" si="4"/>
        <v>0.4261982848</v>
      </c>
      <c r="U29" s="48">
        <f t="shared" si="4"/>
        <v>0.2038802077</v>
      </c>
      <c r="V29" s="48">
        <f t="shared" si="4"/>
        <v>0.9931702035</v>
      </c>
    </row>
    <row r="30">
      <c r="A30" s="7" t="s">
        <v>953</v>
      </c>
      <c r="B30" s="7" t="s">
        <v>954</v>
      </c>
      <c r="C30" s="7" t="s">
        <v>955</v>
      </c>
      <c r="D30" s="7" t="s">
        <v>956</v>
      </c>
      <c r="E30" s="48">
        <f>E19*MIN(1,Assumptions!$E$58*E10)</f>
        <v>0.001946495618</v>
      </c>
      <c r="F30" s="48">
        <f>F19*MIN(1,Assumptions!$E$58*F10)</f>
        <v>0.001169706159</v>
      </c>
      <c r="G30" s="48">
        <f>G19*MIN(1,Assumptions!$E$58*G10)</f>
        <v>0.0008119697921</v>
      </c>
      <c r="H30" s="48">
        <f>H19*MIN(1,Assumptions!$E$58*H10)</f>
        <v>0.0006492324365</v>
      </c>
      <c r="I30" s="48">
        <f>I19*MIN(1,Assumptions!$E$58*I10)</f>
        <v>0.00008556679196</v>
      </c>
      <c r="J30" s="48">
        <f>J19*MIN(1,Assumptions!$E$58*J10)</f>
        <v>0.0002421698522</v>
      </c>
      <c r="K30" s="48">
        <f>K19*MIN(1,Assumptions!$E$58*K10)</f>
        <v>0.0001945451557</v>
      </c>
      <c r="L30" s="48">
        <f>L19*MIN(1,Assumptions!$E$58*L10)</f>
        <v>0.001459524219</v>
      </c>
      <c r="M30" s="48">
        <f>M19*MIN(1,Assumptions!$E$58*M10)</f>
        <v>0.08172670731</v>
      </c>
      <c r="N30" s="48">
        <f>N19*MIN(1,Assumptions!$E$58*N10)</f>
        <v>0.05132975678</v>
      </c>
      <c r="O30" s="48">
        <f>O19*MIN(1,Assumptions!$E$58*O10)</f>
        <v>0.005324959753</v>
      </c>
      <c r="P30" s="48">
        <f>P19*MIN(1,Assumptions!$E$58*P10)</f>
        <v>0.06753036319</v>
      </c>
      <c r="Q30" s="48">
        <f>Q19*MIN(1,Assumptions!$E$58*Q10)</f>
        <v>0.005732981601</v>
      </c>
      <c r="R30" s="48">
        <f>R19*MIN(1,Assumptions!$E$58*R10)</f>
        <v>0.556875</v>
      </c>
      <c r="S30" s="48">
        <f>S19*MIN(1,Assumptions!$E$58*S10)</f>
        <v>0.04547784771</v>
      </c>
      <c r="T30" s="48">
        <f>T19*MIN(1,Assumptions!$E$58*T10)</f>
        <v>0.198573664</v>
      </c>
      <c r="U30" s="48">
        <f>U19*MIN(1,Assumptions!$E$58*U10)</f>
        <v>0.07476926055</v>
      </c>
      <c r="V30" s="48">
        <f>V19*MIN(1,Assumptions!$E$58*V10)</f>
        <v>0.556875</v>
      </c>
    </row>
  </sheetData>
  <conditionalFormatting sqref="E8:V8">
    <cfRule type="cellIs" dxfId="0" priority="1" stopIfTrue="1" operator="equal">
      <formula>"Calm"</formula>
    </cfRule>
  </conditionalFormatting>
  <conditionalFormatting sqref="E8:V8">
    <cfRule type="cellIs" dxfId="1" priority="2" stopIfTrue="1" operator="equal">
      <formula>"Stressed"</formula>
    </cfRule>
  </conditionalFormatting>
  <conditionalFormatting sqref="E8:V8">
    <cfRule type="cellIs" dxfId="2" priority="3" stopIfTrue="1" operator="equal">
      <formula>"Crisis"</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5.75"/>
    <col customWidth="1" min="2" max="2" width="27.63"/>
    <col customWidth="1" min="3" max="3" width="53.88"/>
    <col customWidth="1" min="4" max="4" width="13.88"/>
    <col customWidth="1" min="5" max="22" width="11.63"/>
  </cols>
  <sheetData>
    <row r="1">
      <c r="A1" s="2" t="s">
        <v>957</v>
      </c>
    </row>
    <row r="2">
      <c r="A2" s="5" t="s">
        <v>958</v>
      </c>
    </row>
    <row r="4">
      <c r="A4" s="20" t="s">
        <v>143</v>
      </c>
      <c r="B4" s="20" t="s">
        <v>959</v>
      </c>
      <c r="C4" s="20" t="s">
        <v>960</v>
      </c>
      <c r="D4" s="20" t="s">
        <v>961</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3">
        <v>1.0</v>
      </c>
      <c r="B5" s="7" t="s">
        <v>962</v>
      </c>
      <c r="C5" s="7" t="s">
        <v>963</v>
      </c>
      <c r="D5" s="7" t="s">
        <v>964</v>
      </c>
      <c r="E5" s="35">
        <f>MAX('Indicator Scores'!E5,'Indicator Scores'!E6)</f>
        <v>12.5</v>
      </c>
      <c r="F5" s="35">
        <f>MAX('Indicator Scores'!F5,'Indicator Scores'!F6)</f>
        <v>66.66666667</v>
      </c>
      <c r="G5" s="35">
        <f>MAX('Indicator Scores'!G5,'Indicator Scores'!G6)</f>
        <v>5</v>
      </c>
      <c r="H5" s="35">
        <f>MAX('Indicator Scores'!H5,'Indicator Scores'!H6)</f>
        <v>50</v>
      </c>
      <c r="I5" s="35">
        <f>MAX('Indicator Scores'!I5,'Indicator Scores'!I6)</f>
        <v>0</v>
      </c>
      <c r="J5" s="35">
        <f>MAX('Indicator Scores'!J5,'Indicator Scores'!J6)</f>
        <v>50</v>
      </c>
      <c r="K5" s="35">
        <f>MAX('Indicator Scores'!K5,'Indicator Scores'!K6)</f>
        <v>0</v>
      </c>
      <c r="L5" s="35">
        <f>MAX('Indicator Scores'!L5,'Indicator Scores'!L6)</f>
        <v>75</v>
      </c>
      <c r="M5" s="35">
        <f>MAX('Indicator Scores'!M5,'Indicator Scores'!M6)</f>
        <v>100</v>
      </c>
      <c r="N5" s="35">
        <f>MAX('Indicator Scores'!N5,'Indicator Scores'!N6)</f>
        <v>30</v>
      </c>
      <c r="O5" s="35">
        <f>MAX('Indicator Scores'!O5,'Indicator Scores'!O6)</f>
        <v>66.66666667</v>
      </c>
      <c r="P5" s="35">
        <f>MAX('Indicator Scores'!P5,'Indicator Scores'!P6)</f>
        <v>90</v>
      </c>
      <c r="Q5" s="35">
        <f>MAX('Indicator Scores'!Q5,'Indicator Scores'!Q6)</f>
        <v>58.33333333</v>
      </c>
      <c r="R5" s="35">
        <f>MAX('Indicator Scores'!R5,'Indicator Scores'!R6)</f>
        <v>100</v>
      </c>
      <c r="S5" s="35">
        <f>MAX('Indicator Scores'!S5,'Indicator Scores'!S6)</f>
        <v>100</v>
      </c>
      <c r="T5" s="35">
        <f>MAX('Indicator Scores'!T5,'Indicator Scores'!T6)</f>
        <v>80</v>
      </c>
      <c r="U5" s="35">
        <f>MAX('Indicator Scores'!U5,'Indicator Scores'!U6)</f>
        <v>66.66666667</v>
      </c>
      <c r="V5" s="35">
        <f>MAX('Indicator Scores'!V5,'Indicator Scores'!V6)</f>
        <v>100</v>
      </c>
    </row>
    <row r="6">
      <c r="A6" s="3">
        <v>2.0</v>
      </c>
      <c r="B6" s="7" t="s">
        <v>965</v>
      </c>
      <c r="C6" s="7" t="s">
        <v>966</v>
      </c>
      <c r="D6" s="7" t="s">
        <v>964</v>
      </c>
      <c r="E6" s="35">
        <f>'Pillar Scores'!E29</f>
        <v>21.24753061</v>
      </c>
      <c r="F6" s="35">
        <f>'Pillar Scores'!F29</f>
        <v>42.92714286</v>
      </c>
      <c r="G6" s="35">
        <f>'Pillar Scores'!G29</f>
        <v>54.4488</v>
      </c>
      <c r="H6" s="35">
        <f>'Pillar Scores'!H29</f>
        <v>40.17328435</v>
      </c>
      <c r="I6" s="35">
        <f>'Pillar Scores'!I29</f>
        <v>38.65</v>
      </c>
      <c r="J6" s="35">
        <f>'Pillar Scores'!J29</f>
        <v>54</v>
      </c>
      <c r="K6" s="35">
        <f>'Pillar Scores'!K29</f>
        <v>22.00489252</v>
      </c>
      <c r="L6" s="35">
        <f>'Pillar Scores'!L29</f>
        <v>49.99699932</v>
      </c>
      <c r="M6" s="35">
        <f>'Pillar Scores'!M29</f>
        <v>74.974</v>
      </c>
      <c r="N6" s="35">
        <f>'Pillar Scores'!N29</f>
        <v>53.3019551</v>
      </c>
      <c r="O6" s="35">
        <f>'Pillar Scores'!O29</f>
        <v>58.65828571</v>
      </c>
      <c r="P6" s="35">
        <f>'Pillar Scores'!P29</f>
        <v>69.29621905</v>
      </c>
      <c r="Q6" s="35">
        <f>'Pillar Scores'!Q29</f>
        <v>43.5715</v>
      </c>
      <c r="R6" s="35">
        <f>'Pillar Scores'!R29</f>
        <v>96</v>
      </c>
      <c r="S6" s="35">
        <f>'Pillar Scores'!S29</f>
        <v>64.23134694</v>
      </c>
      <c r="T6" s="35">
        <f>'Pillar Scores'!T29</f>
        <v>81.94666667</v>
      </c>
      <c r="U6" s="35">
        <f>'Pillar Scores'!U29</f>
        <v>67.85333333</v>
      </c>
      <c r="V6" s="35">
        <f>'Pillar Scores'!V29</f>
        <v>90</v>
      </c>
    </row>
    <row r="7">
      <c r="A7" s="3">
        <v>3.0</v>
      </c>
      <c r="B7" s="7" t="s">
        <v>967</v>
      </c>
      <c r="C7" s="7" t="s">
        <v>968</v>
      </c>
      <c r="D7" s="7" t="s">
        <v>964</v>
      </c>
      <c r="E7" s="35">
        <f>'Pillar Scores'!E30</f>
        <v>37.8</v>
      </c>
      <c r="F7" s="35">
        <f>'Pillar Scores'!F30</f>
        <v>23.4925</v>
      </c>
      <c r="G7" s="35">
        <f>'Pillar Scores'!G30</f>
        <v>27.37333333</v>
      </c>
      <c r="H7" s="35">
        <f>'Pillar Scores'!H30</f>
        <v>34.54333333</v>
      </c>
      <c r="I7" s="35">
        <f>'Pillar Scores'!I30</f>
        <v>17.93333333</v>
      </c>
      <c r="J7" s="35">
        <f>'Pillar Scores'!J30</f>
        <v>4.533333333</v>
      </c>
      <c r="K7" s="35">
        <f>'Pillar Scores'!K30</f>
        <v>22.93333333</v>
      </c>
      <c r="L7" s="35">
        <f>'Pillar Scores'!L30</f>
        <v>11.71</v>
      </c>
      <c r="M7" s="35">
        <f>'Pillar Scores'!M30</f>
        <v>66.85833333</v>
      </c>
      <c r="N7" s="35">
        <f>'Pillar Scores'!N30</f>
        <v>57.66666667</v>
      </c>
      <c r="O7" s="35">
        <f>'Pillar Scores'!O30</f>
        <v>24.84916667</v>
      </c>
      <c r="P7" s="35">
        <f>'Pillar Scores'!P30</f>
        <v>76.37738095</v>
      </c>
      <c r="Q7" s="35">
        <f>'Pillar Scores'!Q30</f>
        <v>33.73333333</v>
      </c>
      <c r="R7" s="35">
        <f>'Pillar Scores'!R30</f>
        <v>88.85416667</v>
      </c>
      <c r="S7" s="35">
        <f>'Pillar Scores'!S30</f>
        <v>43.8125</v>
      </c>
      <c r="T7" s="35">
        <f>'Pillar Scores'!T30</f>
        <v>67.59166667</v>
      </c>
      <c r="U7" s="35">
        <f>'Pillar Scores'!U30</f>
        <v>51.66666667</v>
      </c>
      <c r="V7" s="35">
        <f>'Pillar Scores'!V30</f>
        <v>85</v>
      </c>
    </row>
    <row r="8">
      <c r="A8" s="3">
        <v>4.0</v>
      </c>
      <c r="B8" s="7" t="s">
        <v>969</v>
      </c>
      <c r="C8" s="7" t="s">
        <v>970</v>
      </c>
      <c r="D8" s="7" t="s">
        <v>964</v>
      </c>
      <c r="E8" s="35">
        <f>AVERAGE('Indicator Scores'!E14,'Indicator Scores'!E18,'Indicator Scores'!E25)</f>
        <v>50</v>
      </c>
      <c r="F8" s="35">
        <f>AVERAGE('Indicator Scores'!F14,'Indicator Scores'!F18,'Indicator Scores'!F25)</f>
        <v>8.333333333</v>
      </c>
      <c r="G8" s="35">
        <f>AVERAGE('Indicator Scores'!G14,'Indicator Scores'!G18,'Indicator Scores'!G25)</f>
        <v>35</v>
      </c>
      <c r="H8" s="35">
        <f>AVERAGE('Indicator Scores'!H14,'Indicator Scores'!H18,'Indicator Scores'!H25)</f>
        <v>21.66666667</v>
      </c>
      <c r="I8" s="35">
        <f>AVERAGE('Indicator Scores'!I14,'Indicator Scores'!I18,'Indicator Scores'!I25)</f>
        <v>21.66666667</v>
      </c>
      <c r="J8" s="35">
        <f>AVERAGE('Indicator Scores'!J14,'Indicator Scores'!J18,'Indicator Scores'!J25)</f>
        <v>0</v>
      </c>
      <c r="K8" s="35">
        <f>AVERAGE('Indicator Scores'!K14,'Indicator Scores'!K18,'Indicator Scores'!K25)</f>
        <v>16.66666667</v>
      </c>
      <c r="L8" s="35">
        <f>AVERAGE('Indicator Scores'!L14,'Indicator Scores'!L18,'Indicator Scores'!L25)</f>
        <v>8.333333333</v>
      </c>
      <c r="M8" s="35">
        <f>AVERAGE('Indicator Scores'!M14,'Indicator Scores'!M18,'Indicator Scores'!M25)</f>
        <v>58.33333333</v>
      </c>
      <c r="N8" s="35">
        <f>AVERAGE('Indicator Scores'!N14,'Indicator Scores'!N18,'Indicator Scores'!N25)</f>
        <v>58.33333333</v>
      </c>
      <c r="O8" s="35">
        <f>AVERAGE('Indicator Scores'!O14,'Indicator Scores'!O18,'Indicator Scores'!O25)</f>
        <v>3.333333333</v>
      </c>
      <c r="P8" s="35">
        <f>AVERAGE('Indicator Scores'!P14,'Indicator Scores'!P18,'Indicator Scores'!P25)</f>
        <v>85.71428571</v>
      </c>
      <c r="Q8" s="35">
        <f>AVERAGE('Indicator Scores'!Q14,'Indicator Scores'!Q18,'Indicator Scores'!Q25)</f>
        <v>10</v>
      </c>
      <c r="R8" s="35">
        <f>AVERAGE('Indicator Scores'!R14,'Indicator Scores'!R18,'Indicator Scores'!R25)</f>
        <v>100</v>
      </c>
      <c r="S8" s="35">
        <f>AVERAGE('Indicator Scores'!S14,'Indicator Scores'!S18,'Indicator Scores'!S25)</f>
        <v>36.66666667</v>
      </c>
      <c r="T8" s="35">
        <f>AVERAGE('Indicator Scores'!T14,'Indicator Scores'!T18,'Indicator Scores'!T25)</f>
        <v>49.79166667</v>
      </c>
      <c r="U8" s="35">
        <f>AVERAGE('Indicator Scores'!U14,'Indicator Scores'!U18,'Indicator Scores'!U25)</f>
        <v>26.66666667</v>
      </c>
      <c r="V8" s="35">
        <f>AVERAGE('Indicator Scores'!V14,'Indicator Scores'!V18,'Indicator Scores'!V25)</f>
        <v>94.04761905</v>
      </c>
    </row>
    <row r="9">
      <c r="A9" s="3">
        <v>5.0</v>
      </c>
      <c r="B9" s="7" t="s">
        <v>971</v>
      </c>
      <c r="C9" s="7" t="s">
        <v>972</v>
      </c>
      <c r="D9" s="7" t="s">
        <v>964</v>
      </c>
      <c r="E9" s="35">
        <f>'Indicator Scores'!E51</f>
        <v>37.5</v>
      </c>
      <c r="F9" s="35">
        <f>'Indicator Scores'!F51</f>
        <v>40.625</v>
      </c>
      <c r="G9" s="35">
        <f>'Indicator Scores'!G51</f>
        <v>20.83333333</v>
      </c>
      <c r="H9" s="35">
        <f>'Indicator Scores'!H51</f>
        <v>38.75</v>
      </c>
      <c r="I9" s="35">
        <f>'Indicator Scores'!I51</f>
        <v>25</v>
      </c>
      <c r="J9" s="35">
        <f>'Indicator Scores'!J51</f>
        <v>40.625</v>
      </c>
      <c r="K9" s="35">
        <f>'Indicator Scores'!K51</f>
        <v>37.5</v>
      </c>
      <c r="L9" s="35">
        <f>'Indicator Scores'!L51</f>
        <v>39.375</v>
      </c>
      <c r="M9" s="35">
        <f>'Indicator Scores'!M51</f>
        <v>51.25</v>
      </c>
      <c r="N9" s="35">
        <f>'Indicator Scores'!N51</f>
        <v>4.166666667</v>
      </c>
      <c r="O9" s="35">
        <f>'Indicator Scores'!O51</f>
        <v>51</v>
      </c>
      <c r="P9" s="35">
        <f>'Indicator Scores'!P51</f>
        <v>96.25</v>
      </c>
      <c r="Q9" s="35">
        <f>'Indicator Scores'!Q51</f>
        <v>55</v>
      </c>
      <c r="R9" s="35">
        <f>'Indicator Scores'!R51</f>
        <v>100</v>
      </c>
      <c r="S9" s="35">
        <f>'Indicator Scores'!S51</f>
        <v>85</v>
      </c>
      <c r="T9" s="35">
        <f>'Indicator Scores'!T51</f>
        <v>0</v>
      </c>
      <c r="U9" s="35">
        <f>'Indicator Scores'!U51</f>
        <v>70</v>
      </c>
      <c r="V9" s="35">
        <f>'Indicator Scores'!V51</f>
        <v>93.125</v>
      </c>
    </row>
    <row r="10">
      <c r="A10" s="3">
        <v>6.0</v>
      </c>
      <c r="B10" s="7" t="s">
        <v>973</v>
      </c>
      <c r="C10" s="7" t="s">
        <v>974</v>
      </c>
      <c r="D10" s="7" t="s">
        <v>964</v>
      </c>
      <c r="E10" s="35">
        <f>'Indicator Scores'!E52</f>
        <v>16.66666667</v>
      </c>
      <c r="F10" s="35">
        <f>'Indicator Scores'!F52</f>
        <v>20</v>
      </c>
      <c r="G10" s="35">
        <f>'Indicator Scores'!G52</f>
        <v>50</v>
      </c>
      <c r="H10" s="35">
        <f>'Indicator Scores'!H52</f>
        <v>46.66666667</v>
      </c>
      <c r="I10" s="35">
        <f>'Indicator Scores'!I52</f>
        <v>71.25</v>
      </c>
      <c r="J10" s="35">
        <f>'Indicator Scores'!J52</f>
        <v>92.5</v>
      </c>
      <c r="K10" s="35">
        <f>'Indicator Scores'!K52</f>
        <v>76.25</v>
      </c>
      <c r="L10" s="35">
        <f>'Indicator Scores'!L52</f>
        <v>10</v>
      </c>
      <c r="M10" s="35">
        <f>'Indicator Scores'!M52</f>
        <v>52.5</v>
      </c>
      <c r="N10" s="35">
        <f>'Indicator Scores'!N52</f>
        <v>75</v>
      </c>
      <c r="O10" s="35">
        <f>'Indicator Scores'!O52</f>
        <v>76.25</v>
      </c>
      <c r="P10" s="35">
        <f>'Indicator Scores'!P52</f>
        <v>56.25</v>
      </c>
      <c r="Q10" s="35">
        <f>'Indicator Scores'!Q52</f>
        <v>71.25</v>
      </c>
      <c r="R10" s="35">
        <f>'Indicator Scores'!R52</f>
        <v>87.5</v>
      </c>
      <c r="S10" s="35">
        <f>'Indicator Scores'!S52</f>
        <v>56.25</v>
      </c>
      <c r="T10" s="35">
        <f>'Indicator Scores'!T52</f>
        <v>41.66666667</v>
      </c>
      <c r="U10" s="35">
        <f>'Indicator Scores'!U52</f>
        <v>25</v>
      </c>
      <c r="V10" s="35">
        <f>'Indicator Scores'!V52</f>
        <v>62.5</v>
      </c>
    </row>
    <row r="11">
      <c r="A11" s="3">
        <v>7.0</v>
      </c>
      <c r="B11" s="7" t="s">
        <v>975</v>
      </c>
      <c r="C11" s="7" t="s">
        <v>976</v>
      </c>
      <c r="D11" s="7" t="s">
        <v>964</v>
      </c>
      <c r="E11" s="35">
        <f>AVERAGE('Indicator Scores'!E47,'Indicator Scores'!E49,'Indicator Scores'!E56)</f>
        <v>31.25</v>
      </c>
      <c r="F11" s="35">
        <f>AVERAGE('Indicator Scores'!F47,'Indicator Scores'!F49,'Indicator Scores'!F56)</f>
        <v>24.58333333</v>
      </c>
      <c r="G11" s="35">
        <f>AVERAGE('Indicator Scores'!G47,'Indicator Scores'!G49,'Indicator Scores'!G56)</f>
        <v>37.5</v>
      </c>
      <c r="H11" s="35">
        <f>AVERAGE('Indicator Scores'!H47,'Indicator Scores'!H49,'Indicator Scores'!H56)</f>
        <v>16.66666667</v>
      </c>
      <c r="I11" s="35">
        <f>AVERAGE('Indicator Scores'!I47,'Indicator Scores'!I49,'Indicator Scores'!I56)</f>
        <v>0</v>
      </c>
      <c r="J11" s="35">
        <f>AVERAGE('Indicator Scores'!J47,'Indicator Scores'!J49,'Indicator Scores'!J56)</f>
        <v>20.83333333</v>
      </c>
      <c r="K11" s="35">
        <f>AVERAGE('Indicator Scores'!K47,'Indicator Scores'!K49,'Indicator Scores'!K56)</f>
        <v>8.333333333</v>
      </c>
      <c r="L11" s="35">
        <f>AVERAGE('Indicator Scores'!L47,'Indicator Scores'!L49,'Indicator Scores'!L56)</f>
        <v>27.5</v>
      </c>
      <c r="M11" s="35">
        <f>AVERAGE('Indicator Scores'!M47,'Indicator Scores'!M49,'Indicator Scores'!M56)</f>
        <v>56.94444444</v>
      </c>
      <c r="N11" s="35">
        <f>AVERAGE('Indicator Scores'!N47,'Indicator Scores'!N49,'Indicator Scores'!N56)</f>
        <v>18.75</v>
      </c>
      <c r="O11" s="35">
        <f>AVERAGE('Indicator Scores'!O47,'Indicator Scores'!O49,'Indicator Scores'!O56)</f>
        <v>25.83333333</v>
      </c>
      <c r="P11" s="35">
        <f>AVERAGE('Indicator Scores'!P47,'Indicator Scores'!P49,'Indicator Scores'!P56)</f>
        <v>29.16666667</v>
      </c>
      <c r="Q11" s="35">
        <f>AVERAGE('Indicator Scores'!Q47,'Indicator Scores'!Q49,'Indicator Scores'!Q56)</f>
        <v>22.91666667</v>
      </c>
      <c r="R11" s="35">
        <f>AVERAGE('Indicator Scores'!R47,'Indicator Scores'!R49,'Indicator Scores'!R56)</f>
        <v>33.33333333</v>
      </c>
      <c r="S11" s="35">
        <f>AVERAGE('Indicator Scores'!S47,'Indicator Scores'!S49,'Indicator Scores'!S56)</f>
        <v>41.66666667</v>
      </c>
      <c r="T11" s="35">
        <f>AVERAGE('Indicator Scores'!T47,'Indicator Scores'!T49,'Indicator Scores'!T56)</f>
        <v>45.83333333</v>
      </c>
      <c r="U11" s="35">
        <f>AVERAGE('Indicator Scores'!U47,'Indicator Scores'!U49,'Indicator Scores'!U56)</f>
        <v>45.83333333</v>
      </c>
      <c r="V11" s="35">
        <f>AVERAGE('Indicator Scores'!V47,'Indicator Scores'!V49,'Indicator Scores'!V56)</f>
        <v>33.33333333</v>
      </c>
    </row>
    <row r="12">
      <c r="A12" s="3">
        <v>8.0</v>
      </c>
      <c r="B12" s="7" t="s">
        <v>977</v>
      </c>
      <c r="C12" s="7" t="s">
        <v>978</v>
      </c>
      <c r="D12" s="7" t="s">
        <v>979</v>
      </c>
      <c r="E12" s="35">
        <f>IF('Country Profile'!E20&lt;=Assumptions!$B$66,MAX(Assumptions!$B$65,'Indicator Scores'!E40),'Indicator Scores'!E40/2)</f>
        <v>0</v>
      </c>
      <c r="F12" s="35">
        <f>IF('Country Profile'!F20&lt;=Assumptions!$B$66,MAX(Assumptions!$B$65,'Indicator Scores'!F40),'Indicator Scores'!F40/2)</f>
        <v>12.5</v>
      </c>
      <c r="G12" s="35">
        <f>IF('Country Profile'!G20&lt;=Assumptions!$B$66,MAX(Assumptions!$B$65,'Indicator Scores'!G40),'Indicator Scores'!G40/2)</f>
        <v>0</v>
      </c>
      <c r="H12" s="35">
        <f>IF('Country Profile'!H20&lt;=Assumptions!$B$66,MAX(Assumptions!$B$65,'Indicator Scores'!H40),'Indicator Scores'!H40/2)</f>
        <v>12.5</v>
      </c>
      <c r="I12" s="35">
        <f>IF('Country Profile'!I20&lt;=Assumptions!$B$66,MAX(Assumptions!$B$65,'Indicator Scores'!I40),'Indicator Scores'!I40/2)</f>
        <v>0</v>
      </c>
      <c r="J12" s="35">
        <f>IF('Country Profile'!J20&lt;=Assumptions!$B$66,MAX(Assumptions!$B$65,'Indicator Scores'!J40),'Indicator Scores'!J40/2)</f>
        <v>12.5</v>
      </c>
      <c r="K12" s="35">
        <f>IF('Country Profile'!K20&lt;=Assumptions!$B$66,MAX(Assumptions!$B$65,'Indicator Scores'!K40),'Indicator Scores'!K40/2)</f>
        <v>0</v>
      </c>
      <c r="L12" s="35">
        <f>IF('Country Profile'!L20&lt;=Assumptions!$B$66,MAX(Assumptions!$B$65,'Indicator Scores'!L40),'Indicator Scores'!L40/2)</f>
        <v>0</v>
      </c>
      <c r="M12" s="35">
        <f>IF('Country Profile'!M20&lt;=Assumptions!$B$66,MAX(Assumptions!$B$65,'Indicator Scores'!M40),'Indicator Scores'!M40/2)</f>
        <v>37.5</v>
      </c>
      <c r="N12" s="35">
        <f>IF('Country Profile'!N20&lt;=Assumptions!$B$66,MAX(Assumptions!$B$65,'Indicator Scores'!N40),'Indicator Scores'!N40/2)</f>
        <v>0</v>
      </c>
      <c r="O12" s="35">
        <f>IF('Country Profile'!O20&lt;=Assumptions!$B$66,MAX(Assumptions!$B$65,'Indicator Scores'!O40),'Indicator Scores'!O40/2)</f>
        <v>60</v>
      </c>
      <c r="P12" s="35">
        <f>IF('Country Profile'!P20&lt;=Assumptions!$B$66,MAX(Assumptions!$B$65,'Indicator Scores'!P40),'Indicator Scores'!P40/2)</f>
        <v>60</v>
      </c>
      <c r="Q12" s="35">
        <f>IF('Country Profile'!Q20&lt;=Assumptions!$B$66,MAX(Assumptions!$B$65,'Indicator Scores'!Q40),'Indicator Scores'!Q40/2)</f>
        <v>0</v>
      </c>
      <c r="R12" s="35">
        <f>IF('Country Profile'!R20&lt;=Assumptions!$B$66,MAX(Assumptions!$B$65,'Indicator Scores'!R40),'Indicator Scores'!R40/2)</f>
        <v>50</v>
      </c>
      <c r="S12" s="35">
        <f>IF('Country Profile'!S20&lt;=Assumptions!$B$66,MAX(Assumptions!$B$65,'Indicator Scores'!S40),'Indicator Scores'!S40/2)</f>
        <v>60</v>
      </c>
      <c r="T12" s="35">
        <f>IF('Country Profile'!T20&lt;=Assumptions!$B$66,MAX(Assumptions!$B$65,'Indicator Scores'!T40),'Indicator Scores'!T40/2)</f>
        <v>0</v>
      </c>
      <c r="U12" s="35">
        <f>IF('Country Profile'!U20&lt;=Assumptions!$B$66,MAX(Assumptions!$B$65,'Indicator Scores'!U40),'Indicator Scores'!U40/2)</f>
        <v>0</v>
      </c>
      <c r="V12" s="35">
        <f>IF('Country Profile'!V20&lt;=Assumptions!$B$66,MAX(Assumptions!$B$65,'Indicator Scores'!V40),'Indicator Scores'!V40/2)</f>
        <v>37.5</v>
      </c>
    </row>
    <row r="13">
      <c r="A13" s="3">
        <v>9.0</v>
      </c>
      <c r="B13" s="7" t="s">
        <v>980</v>
      </c>
      <c r="C13" s="7" t="s">
        <v>981</v>
      </c>
      <c r="D13" s="7" t="s">
        <v>964</v>
      </c>
      <c r="E13" s="35">
        <f>'Pillar Scores'!E32</f>
        <v>13</v>
      </c>
      <c r="F13" s="35">
        <f>'Pillar Scores'!F32</f>
        <v>48</v>
      </c>
      <c r="G13" s="35">
        <f>'Pillar Scores'!G32</f>
        <v>32</v>
      </c>
      <c r="H13" s="35">
        <f>'Pillar Scores'!H32</f>
        <v>32</v>
      </c>
      <c r="I13" s="35">
        <f>'Pillar Scores'!I32</f>
        <v>15</v>
      </c>
      <c r="J13" s="35">
        <f>'Pillar Scores'!J32</f>
        <v>19</v>
      </c>
      <c r="K13" s="35">
        <f>'Pillar Scores'!K32</f>
        <v>35</v>
      </c>
      <c r="L13" s="35">
        <f>'Pillar Scores'!L32</f>
        <v>32</v>
      </c>
      <c r="M13" s="35">
        <f>'Pillar Scores'!M32</f>
        <v>59</v>
      </c>
      <c r="N13" s="35">
        <f>'Pillar Scores'!N32</f>
        <v>12</v>
      </c>
      <c r="O13" s="35">
        <f>'Pillar Scores'!O32</f>
        <v>54</v>
      </c>
      <c r="P13" s="35">
        <f>'Pillar Scores'!P32</f>
        <v>44</v>
      </c>
      <c r="Q13" s="35">
        <f>'Pillar Scores'!Q32</f>
        <v>39</v>
      </c>
      <c r="R13" s="35">
        <f>'Pillar Scores'!R32</f>
        <v>75</v>
      </c>
      <c r="S13" s="35">
        <f>'Pillar Scores'!S32</f>
        <v>51</v>
      </c>
      <c r="T13" s="35">
        <f>'Pillar Scores'!T32</f>
        <v>45</v>
      </c>
      <c r="U13" s="35">
        <f>'Pillar Scores'!U32</f>
        <v>33</v>
      </c>
      <c r="V13" s="35">
        <f>'Pillar Scores'!V32</f>
        <v>59</v>
      </c>
    </row>
    <row r="14">
      <c r="A14" s="3">
        <v>10.0</v>
      </c>
      <c r="B14" s="7" t="s">
        <v>982</v>
      </c>
      <c r="C14" s="7" t="s">
        <v>983</v>
      </c>
      <c r="D14" s="7" t="s">
        <v>964</v>
      </c>
      <c r="E14" s="35">
        <f>'Pillar Scores'!E31</f>
        <v>47.53333333</v>
      </c>
      <c r="F14" s="35">
        <f>'Pillar Scores'!F31</f>
        <v>34.5</v>
      </c>
      <c r="G14" s="35">
        <f>'Pillar Scores'!G31</f>
        <v>54.53333333</v>
      </c>
      <c r="H14" s="35">
        <f>'Pillar Scores'!H31</f>
        <v>24.2</v>
      </c>
      <c r="I14" s="35">
        <f>'Pillar Scores'!I31</f>
        <v>15.25</v>
      </c>
      <c r="J14" s="35">
        <f>'Pillar Scores'!J31</f>
        <v>8</v>
      </c>
      <c r="K14" s="35">
        <f>'Pillar Scores'!K31</f>
        <v>16.33333333</v>
      </c>
      <c r="L14" s="35">
        <f>'Pillar Scores'!L31</f>
        <v>50.7</v>
      </c>
      <c r="M14" s="35">
        <f>'Pillar Scores'!M31</f>
        <v>61.96666667</v>
      </c>
      <c r="N14" s="35">
        <f>'Pillar Scores'!N31</f>
        <v>60</v>
      </c>
      <c r="O14" s="35">
        <f>'Pillar Scores'!O31</f>
        <v>28.4</v>
      </c>
      <c r="P14" s="35">
        <f>'Pillar Scores'!P31</f>
        <v>48.8</v>
      </c>
      <c r="Q14" s="35">
        <f>'Pillar Scores'!Q31</f>
        <v>32.9</v>
      </c>
      <c r="R14" s="35">
        <f>'Pillar Scores'!R31</f>
        <v>95.33333333</v>
      </c>
      <c r="S14" s="35">
        <f>'Pillar Scores'!S31</f>
        <v>61.16666667</v>
      </c>
      <c r="T14" s="35">
        <f>'Pillar Scores'!T31</f>
        <v>62.8</v>
      </c>
      <c r="U14" s="35">
        <f>'Pillar Scores'!U31</f>
        <v>63.36666667</v>
      </c>
      <c r="V14" s="35">
        <f>'Pillar Scores'!V31</f>
        <v>89.73333333</v>
      </c>
    </row>
    <row r="15">
      <c r="A15" s="3">
        <v>11.0</v>
      </c>
      <c r="B15" s="7" t="s">
        <v>984</v>
      </c>
      <c r="C15" s="7" t="s">
        <v>985</v>
      </c>
      <c r="D15" s="7" t="s">
        <v>964</v>
      </c>
      <c r="E15" s="35">
        <f>'Pillar Scores'!E34</f>
        <v>7.333333333</v>
      </c>
      <c r="F15" s="35">
        <f>'Pillar Scores'!F34</f>
        <v>34.83333333</v>
      </c>
      <c r="G15" s="35">
        <f>'Pillar Scores'!G34</f>
        <v>25.56666667</v>
      </c>
      <c r="H15" s="35">
        <f>'Pillar Scores'!H34</f>
        <v>12.58333333</v>
      </c>
      <c r="I15" s="35">
        <f>'Pillar Scores'!I34</f>
        <v>3.5</v>
      </c>
      <c r="J15" s="35">
        <f>'Pillar Scores'!J34</f>
        <v>3.2</v>
      </c>
      <c r="K15" s="35">
        <f>'Pillar Scores'!K34</f>
        <v>5.133333333</v>
      </c>
      <c r="L15" s="35">
        <f>'Pillar Scores'!L34</f>
        <v>37.13333333</v>
      </c>
      <c r="M15" s="35">
        <f>'Pillar Scores'!M34</f>
        <v>85</v>
      </c>
      <c r="N15" s="35">
        <f>'Pillar Scores'!N34</f>
        <v>41.83333333</v>
      </c>
      <c r="O15" s="35">
        <f>'Pillar Scores'!O34</f>
        <v>47.66666667</v>
      </c>
      <c r="P15" s="35">
        <f>'Pillar Scores'!P34</f>
        <v>24</v>
      </c>
      <c r="Q15" s="35">
        <f>'Pillar Scores'!Q34</f>
        <v>66.1547619</v>
      </c>
      <c r="R15" s="35">
        <f>'Pillar Scores'!R34</f>
        <v>55.16666667</v>
      </c>
      <c r="S15" s="35">
        <f>'Pillar Scores'!S34</f>
        <v>85</v>
      </c>
      <c r="T15" s="35">
        <f>'Pillar Scores'!T34</f>
        <v>8.533333333</v>
      </c>
      <c r="U15" s="35">
        <f>'Pillar Scores'!U34</f>
        <v>24</v>
      </c>
      <c r="V15" s="35">
        <f>'Pillar Scores'!V34</f>
        <v>30.26666667</v>
      </c>
    </row>
    <row r="16">
      <c r="A16" s="3">
        <v>12.0</v>
      </c>
      <c r="B16" s="7" t="s">
        <v>986</v>
      </c>
      <c r="C16" s="7" t="s">
        <v>987</v>
      </c>
      <c r="D16" s="7" t="s">
        <v>964</v>
      </c>
      <c r="E16" s="35">
        <f>IF('Country Profile'!E11="Commodity",'Indicator Scores'!E24,0)</f>
        <v>0</v>
      </c>
      <c r="F16" s="35">
        <f>IF('Country Profile'!F11="Commodity",'Indicator Scores'!F24,0)</f>
        <v>0</v>
      </c>
      <c r="G16" s="35">
        <f>IF('Country Profile'!G11="Commodity",'Indicator Scores'!G24,0)</f>
        <v>0</v>
      </c>
      <c r="H16" s="35">
        <f>IF('Country Profile'!H11="Commodity",'Indicator Scores'!H24,0)</f>
        <v>0</v>
      </c>
      <c r="I16" s="35">
        <f>IF('Country Profile'!I11="Commodity",'Indicator Scores'!I24,0)</f>
        <v>0</v>
      </c>
      <c r="J16" s="35">
        <f>IF('Country Profile'!J11="Commodity",'Indicator Scores'!J24,0)</f>
        <v>0</v>
      </c>
      <c r="K16" s="35">
        <f>IF('Country Profile'!K11="Commodity",'Indicator Scores'!K24,0)</f>
        <v>0</v>
      </c>
      <c r="L16" s="35">
        <f>IF('Country Profile'!L11="Commodity",'Indicator Scores'!L24,0)</f>
        <v>0</v>
      </c>
      <c r="M16" s="35">
        <f>IF('Country Profile'!M11="Commodity",'Indicator Scores'!M24,0)</f>
        <v>0</v>
      </c>
      <c r="N16" s="35">
        <f>IF('Country Profile'!N11="Commodity",'Indicator Scores'!N24,0)</f>
        <v>0</v>
      </c>
      <c r="O16" s="35">
        <f>IF('Country Profile'!O11="Commodity",'Indicator Scores'!O24,0)</f>
        <v>0</v>
      </c>
      <c r="P16" s="35">
        <f>IF('Country Profile'!P11="Commodity",'Indicator Scores'!P24,0)</f>
        <v>8.333333333</v>
      </c>
      <c r="Q16" s="35">
        <f>IF('Country Profile'!Q11="Commodity",'Indicator Scores'!Q24,0)</f>
        <v>33.33333333</v>
      </c>
      <c r="R16" s="35">
        <f>IF('Country Profile'!R11="Commodity",'Indicator Scores'!R24,0)</f>
        <v>100</v>
      </c>
      <c r="S16" s="35">
        <f>IF('Country Profile'!S11="Commodity",'Indicator Scores'!S24,0)</f>
        <v>100</v>
      </c>
      <c r="T16" s="35">
        <f>IF('Country Profile'!T11="Commodity",'Indicator Scores'!T24,0)</f>
        <v>8.333333333</v>
      </c>
      <c r="U16" s="35">
        <f>IF('Country Profile'!U11="Commodity",'Indicator Scores'!U24,0)</f>
        <v>91.66666667</v>
      </c>
      <c r="V16" s="35">
        <f>IF('Country Profile'!V11="Commodity",'Indicator Scores'!V24,0)</f>
        <v>50</v>
      </c>
    </row>
    <row r="17">
      <c r="A17" s="3">
        <v>13.0</v>
      </c>
      <c r="B17" s="7" t="s">
        <v>108</v>
      </c>
      <c r="C17" s="7" t="s">
        <v>988</v>
      </c>
      <c r="D17" s="7" t="s">
        <v>964</v>
      </c>
      <c r="E17" s="35">
        <f>'Pillar Scores'!E35</f>
        <v>58.09649123</v>
      </c>
      <c r="F17" s="35">
        <f>'Pillar Scores'!F35</f>
        <v>56.83809524</v>
      </c>
      <c r="G17" s="35">
        <f>'Pillar Scores'!G35</f>
        <v>34.27260459</v>
      </c>
      <c r="H17" s="35">
        <f>'Pillar Scores'!H35</f>
        <v>34.30769231</v>
      </c>
      <c r="I17" s="35">
        <f>'Pillar Scores'!I35</f>
        <v>11.62280702</v>
      </c>
      <c r="J17" s="35">
        <f>'Pillar Scores'!J35</f>
        <v>28.9122807</v>
      </c>
      <c r="K17" s="35">
        <f>'Pillar Scores'!K35</f>
        <v>11.84210526</v>
      </c>
      <c r="L17" s="35">
        <f>'Pillar Scores'!L35</f>
        <v>48.49373434</v>
      </c>
      <c r="M17" s="35">
        <f>'Pillar Scores'!M35</f>
        <v>66.86591479</v>
      </c>
      <c r="N17" s="35">
        <f>'Pillar Scores'!N35</f>
        <v>69.77142857</v>
      </c>
      <c r="O17" s="35">
        <f>'Pillar Scores'!O35</f>
        <v>34.97031039</v>
      </c>
      <c r="P17" s="35">
        <f>'Pillar Scores'!P35</f>
        <v>38.16059379</v>
      </c>
      <c r="Q17" s="35">
        <f>'Pillar Scores'!Q35</f>
        <v>35.39230769</v>
      </c>
      <c r="R17" s="35">
        <f>'Pillar Scores'!R35</f>
        <v>52.9122807</v>
      </c>
      <c r="S17" s="35">
        <f>'Pillar Scores'!S35</f>
        <v>57.89473684</v>
      </c>
      <c r="T17" s="35">
        <f>'Pillar Scores'!T35</f>
        <v>53.75</v>
      </c>
      <c r="U17" s="35">
        <f>'Pillar Scores'!U35</f>
        <v>59.37719298</v>
      </c>
      <c r="V17" s="35">
        <f>'Pillar Scores'!V35</f>
        <v>65.39473684</v>
      </c>
    </row>
    <row r="18">
      <c r="A18" s="3">
        <v>14.0</v>
      </c>
      <c r="B18" s="7" t="s">
        <v>989</v>
      </c>
      <c r="C18" s="7" t="s">
        <v>990</v>
      </c>
      <c r="D18" s="7" t="s">
        <v>964</v>
      </c>
      <c r="E18" s="35">
        <f>MAX('Indicator Scores'!E20,'Indicator Scores'!E45)</f>
        <v>50</v>
      </c>
      <c r="F18" s="35">
        <f>MAX('Indicator Scores'!F20,'Indicator Scores'!F45)</f>
        <v>50</v>
      </c>
      <c r="G18" s="35">
        <f>MAX('Indicator Scores'!G20,'Indicator Scores'!G45)</f>
        <v>75</v>
      </c>
      <c r="H18" s="35">
        <f>MAX('Indicator Scores'!H20,'Indicator Scores'!H45)</f>
        <v>25</v>
      </c>
      <c r="I18" s="35">
        <f>MAX('Indicator Scores'!I20,'Indicator Scores'!I45)</f>
        <v>25</v>
      </c>
      <c r="J18" s="35">
        <f>MAX('Indicator Scores'!J20,'Indicator Scores'!J45)</f>
        <v>50</v>
      </c>
      <c r="K18" s="35">
        <f>MAX('Indicator Scores'!K20,'Indicator Scores'!K45)</f>
        <v>50</v>
      </c>
      <c r="L18" s="35">
        <f>MAX('Indicator Scores'!L20,'Indicator Scores'!L45)</f>
        <v>75</v>
      </c>
      <c r="M18" s="35">
        <f>MAX('Indicator Scores'!M20,'Indicator Scores'!M45)</f>
        <v>75</v>
      </c>
      <c r="N18" s="35">
        <f>MAX('Indicator Scores'!N20,'Indicator Scores'!N45)</f>
        <v>50</v>
      </c>
      <c r="O18" s="35">
        <f>MAX('Indicator Scores'!O20,'Indicator Scores'!O45)</f>
        <v>75</v>
      </c>
      <c r="P18" s="35">
        <f>MAX('Indicator Scores'!P20,'Indicator Scores'!P45)</f>
        <v>0</v>
      </c>
      <c r="Q18" s="35">
        <f>MAX('Indicator Scores'!Q20,'Indicator Scores'!Q45)</f>
        <v>50</v>
      </c>
      <c r="R18" s="35">
        <f>MAX('Indicator Scores'!R20,'Indicator Scores'!R45)</f>
        <v>100</v>
      </c>
      <c r="S18" s="35">
        <f>MAX('Indicator Scores'!S20,'Indicator Scores'!S45)</f>
        <v>50</v>
      </c>
      <c r="T18" s="35">
        <f>MAX('Indicator Scores'!T20,'Indicator Scores'!T45)</f>
        <v>0</v>
      </c>
      <c r="U18" s="35">
        <f>MAX('Indicator Scores'!U20,'Indicator Scores'!U45)</f>
        <v>25</v>
      </c>
      <c r="V18" s="35">
        <f>MAX('Indicator Scores'!V20,'Indicator Scores'!V45)</f>
        <v>75</v>
      </c>
    </row>
    <row r="19">
      <c r="A19" s="3">
        <v>15.0</v>
      </c>
      <c r="B19" s="7" t="s">
        <v>991</v>
      </c>
      <c r="C19" s="7" t="s">
        <v>992</v>
      </c>
      <c r="D19" s="7" t="s">
        <v>993</v>
      </c>
      <c r="E19" s="35">
        <f>IF(OR('Risk Engine'!E20&lt;=0,'Risk Engine'!E14&lt;Assumptions!$B$43),50,MAX(0,MIN(100,50+50*LOG('Risk Engine'!E20,2))))</f>
        <v>50</v>
      </c>
      <c r="F19" s="35">
        <f>IF(OR('Risk Engine'!F20&lt;=0,'Risk Engine'!F14&lt;Assumptions!$B$43),50,MAX(0,MIN(100,50+50*LOG('Risk Engine'!F20,2))))</f>
        <v>50</v>
      </c>
      <c r="G19" s="35">
        <f>IF(OR('Risk Engine'!G20&lt;=0,'Risk Engine'!G14&lt;Assumptions!$B$43),50,MAX(0,MIN(100,50+50*LOG('Risk Engine'!G20,2))))</f>
        <v>50</v>
      </c>
      <c r="H19" s="35">
        <f>IF(OR('Risk Engine'!H20&lt;=0,'Risk Engine'!H14&lt;Assumptions!$B$43),50,MAX(0,MIN(100,50+50*LOG('Risk Engine'!H20,2))))</f>
        <v>50</v>
      </c>
      <c r="I19" s="35">
        <f>IF(OR('Risk Engine'!I20&lt;=0,'Risk Engine'!I14&lt;Assumptions!$B$43),50,MAX(0,MIN(100,50+50*LOG('Risk Engine'!I20,2))))</f>
        <v>50</v>
      </c>
      <c r="J19" s="35">
        <f>IF(OR('Risk Engine'!J20&lt;=0,'Risk Engine'!J14&lt;Assumptions!$B$43),50,MAX(0,MIN(100,50+50*LOG('Risk Engine'!J20,2))))</f>
        <v>50</v>
      </c>
      <c r="K19" s="35">
        <f>IF(OR('Risk Engine'!K20&lt;=0,'Risk Engine'!K14&lt;Assumptions!$B$43),50,MAX(0,MIN(100,50+50*LOG('Risk Engine'!K20,2))))</f>
        <v>50</v>
      </c>
      <c r="L19" s="35">
        <f>IF(OR('Risk Engine'!L20&lt;=0,'Risk Engine'!L14&lt;Assumptions!$B$43),50,MAX(0,MIN(100,50+50*LOG('Risk Engine'!L20,2))))</f>
        <v>50</v>
      </c>
      <c r="M19" s="35">
        <f>IF(OR('Risk Engine'!M20&lt;=0,'Risk Engine'!M14&lt;Assumptions!$B$43),50,MAX(0,MIN(100,50+50*LOG('Risk Engine'!M20,2))))</f>
        <v>100</v>
      </c>
      <c r="N19" s="35">
        <f>IF(OR('Risk Engine'!N20&lt;=0,'Risk Engine'!N14&lt;Assumptions!$B$43),50,MAX(0,MIN(100,50+50*LOG('Risk Engine'!N20,2))))</f>
        <v>46.84448409</v>
      </c>
      <c r="O19" s="35">
        <f>IF(OR('Risk Engine'!O20&lt;=0,'Risk Engine'!O14&lt;Assumptions!$B$43),50,MAX(0,MIN(100,50+50*LOG('Risk Engine'!O20,2))))</f>
        <v>0</v>
      </c>
      <c r="P19" s="35">
        <f>IF(OR('Risk Engine'!P20&lt;=0,'Risk Engine'!P14&lt;Assumptions!$B$43),50,MAX(0,MIN(100,50+50*LOG('Risk Engine'!P20,2))))</f>
        <v>66.6315287</v>
      </c>
      <c r="Q19" s="35">
        <f>IF(OR('Risk Engine'!Q20&lt;=0,'Risk Engine'!Q14&lt;Assumptions!$B$43),50,MAX(0,MIN(100,50+50*LOG('Risk Engine'!Q20,2))))</f>
        <v>0</v>
      </c>
      <c r="R19" s="35">
        <f>IF(OR('Risk Engine'!R20&lt;=0,'Risk Engine'!R14&lt;Assumptions!$B$43),50,MAX(0,MIN(100,50+50*LOG('Risk Engine'!R20,2))))</f>
        <v>52.97505059</v>
      </c>
      <c r="S19" s="35">
        <f>IF(OR('Risk Engine'!S20&lt;=0,'Risk Engine'!S14&lt;Assumptions!$B$43),50,MAX(0,MIN(100,50+50*LOG('Risk Engine'!S20,2))))</f>
        <v>73.13489771</v>
      </c>
      <c r="T19" s="35">
        <f>IF(OR('Risk Engine'!T20&lt;=0,'Risk Engine'!T14&lt;Assumptions!$B$43),50,MAX(0,MIN(100,50+50*LOG('Risk Engine'!T20,2))))</f>
        <v>90.98746478</v>
      </c>
      <c r="U19" s="35">
        <f>IF(OR('Risk Engine'!U20&lt;=0,'Risk Engine'!U14&lt;Assumptions!$B$43),50,MAX(0,MIN(100,50+50*LOG('Risk Engine'!U20,2))))</f>
        <v>100</v>
      </c>
      <c r="V19" s="35">
        <f>IF(OR('Risk Engine'!V20&lt;=0,'Risk Engine'!V14&lt;Assumptions!$B$43),50,MAX(0,MIN(100,50+50*LOG('Risk Engine'!V20,2))))</f>
        <v>99.27502152</v>
      </c>
    </row>
    <row r="20">
      <c r="A20" s="3">
        <v>16.0</v>
      </c>
      <c r="B20" s="7" t="s">
        <v>994</v>
      </c>
      <c r="C20" s="7" t="s">
        <v>995</v>
      </c>
      <c r="D20" s="7" t="s">
        <v>979</v>
      </c>
      <c r="E20" s="35">
        <f>IF(OR('Country Profile'!E21="Yes",'Risk Engine'!E12&gt;=Assumptions!$B$42),100,0)</f>
        <v>0</v>
      </c>
      <c r="F20" s="35">
        <f>IF(OR('Country Profile'!F21="Yes",'Risk Engine'!F12&gt;=Assumptions!$B$42),100,0)</f>
        <v>0</v>
      </c>
      <c r="G20" s="35">
        <f>IF(OR('Country Profile'!G21="Yes",'Risk Engine'!G12&gt;=Assumptions!$B$42),100,0)</f>
        <v>0</v>
      </c>
      <c r="H20" s="35">
        <f>IF(OR('Country Profile'!H21="Yes",'Risk Engine'!H12&gt;=Assumptions!$B$42),100,0)</f>
        <v>0</v>
      </c>
      <c r="I20" s="35">
        <f>IF(OR('Country Profile'!I21="Yes",'Risk Engine'!I12&gt;=Assumptions!$B$42),100,0)</f>
        <v>0</v>
      </c>
      <c r="J20" s="35">
        <f>IF(OR('Country Profile'!J21="Yes",'Risk Engine'!J12&gt;=Assumptions!$B$42),100,0)</f>
        <v>0</v>
      </c>
      <c r="K20" s="35">
        <f>IF(OR('Country Profile'!K21="Yes",'Risk Engine'!K12&gt;=Assumptions!$B$42),100,0)</f>
        <v>0</v>
      </c>
      <c r="L20" s="35">
        <f>IF(OR('Country Profile'!L21="Yes",'Risk Engine'!L12&gt;=Assumptions!$B$42),100,0)</f>
        <v>0</v>
      </c>
      <c r="M20" s="35">
        <f>IF(OR('Country Profile'!M21="Yes",'Risk Engine'!M12&gt;=Assumptions!$B$42),100,0)</f>
        <v>0</v>
      </c>
      <c r="N20" s="35">
        <f>IF(OR('Country Profile'!N21="Yes",'Risk Engine'!N12&gt;=Assumptions!$B$42),100,0)</f>
        <v>0</v>
      </c>
      <c r="O20" s="35">
        <f>IF(OR('Country Profile'!O21="Yes",'Risk Engine'!O12&gt;=Assumptions!$B$42),100,0)</f>
        <v>0</v>
      </c>
      <c r="P20" s="35">
        <f>IF(OR('Country Profile'!P21="Yes",'Risk Engine'!P12&gt;=Assumptions!$B$42),100,0)</f>
        <v>0</v>
      </c>
      <c r="Q20" s="35">
        <f>IF(OR('Country Profile'!Q21="Yes",'Risk Engine'!Q12&gt;=Assumptions!$B$42),100,0)</f>
        <v>0</v>
      </c>
      <c r="R20" s="35">
        <f>IF(OR('Country Profile'!R21="Yes",'Risk Engine'!R12&gt;=Assumptions!$B$42),100,0)</f>
        <v>100</v>
      </c>
      <c r="S20" s="35">
        <f>IF(OR('Country Profile'!S21="Yes",'Risk Engine'!S12&gt;=Assumptions!$B$42),100,0)</f>
        <v>0</v>
      </c>
      <c r="T20" s="35">
        <f>IF(OR('Country Profile'!T21="Yes",'Risk Engine'!T12&gt;=Assumptions!$B$42),100,0)</f>
        <v>100</v>
      </c>
      <c r="U20" s="35">
        <f>IF(OR('Country Profile'!U21="Yes",'Risk Engine'!U12&gt;=Assumptions!$B$42),100,0)</f>
        <v>100</v>
      </c>
      <c r="V20" s="35">
        <f>IF(OR('Country Profile'!V21="Yes",'Risk Engine'!V12&gt;=Assumptions!$B$42),100,0)</f>
        <v>100</v>
      </c>
    </row>
    <row r="21">
      <c r="A21" s="3">
        <v>17.0</v>
      </c>
      <c r="B21" s="7" t="s">
        <v>996</v>
      </c>
      <c r="C21" s="7" t="s">
        <v>997</v>
      </c>
      <c r="D21" s="7" t="s">
        <v>964</v>
      </c>
      <c r="E21" s="35">
        <f>IF('Country Profile'!E31="",0,MAX(0,MIN(100,50+Assumptions!$B$67*('Risk Engine'!E5-'Country Profile'!E31))))</f>
        <v>0</v>
      </c>
      <c r="F21" s="35">
        <f>IF('Country Profile'!F31="",0,MAX(0,MIN(100,50+Assumptions!$B$67*('Risk Engine'!F5-'Country Profile'!F31))))</f>
        <v>0</v>
      </c>
      <c r="G21" s="35">
        <f>IF('Country Profile'!G31="",0,MAX(0,MIN(100,50+Assumptions!$B$67*('Risk Engine'!G5-'Country Profile'!G31))))</f>
        <v>0</v>
      </c>
      <c r="H21" s="35">
        <f>IF('Country Profile'!H31="",0,MAX(0,MIN(100,50+Assumptions!$B$67*('Risk Engine'!H5-'Country Profile'!H31))))</f>
        <v>0</v>
      </c>
      <c r="I21" s="35">
        <f>IF('Country Profile'!I31="",0,MAX(0,MIN(100,50+Assumptions!$B$67*('Risk Engine'!I5-'Country Profile'!I31))))</f>
        <v>0</v>
      </c>
      <c r="J21" s="35">
        <f>IF('Country Profile'!J31="",0,MAX(0,MIN(100,50+Assumptions!$B$67*('Risk Engine'!J5-'Country Profile'!J31))))</f>
        <v>0</v>
      </c>
      <c r="K21" s="35">
        <f>IF('Country Profile'!K31="",0,MAX(0,MIN(100,50+Assumptions!$B$67*('Risk Engine'!K5-'Country Profile'!K31))))</f>
        <v>0</v>
      </c>
      <c r="L21" s="35">
        <f>IF('Country Profile'!L31="",0,MAX(0,MIN(100,50+Assumptions!$B$67*('Risk Engine'!L5-'Country Profile'!L31))))</f>
        <v>0</v>
      </c>
      <c r="M21" s="35">
        <f>IF('Country Profile'!M31="",0,MAX(0,MIN(100,50+Assumptions!$B$67*('Risk Engine'!M5-'Country Profile'!M31))))</f>
        <v>0</v>
      </c>
      <c r="N21" s="35">
        <f>IF('Country Profile'!N31="",0,MAX(0,MIN(100,50+Assumptions!$B$67*('Risk Engine'!N5-'Country Profile'!N31))))</f>
        <v>0</v>
      </c>
      <c r="O21" s="35">
        <f>IF('Country Profile'!O31="",0,MAX(0,MIN(100,50+Assumptions!$B$67*('Risk Engine'!O5-'Country Profile'!O31))))</f>
        <v>0</v>
      </c>
      <c r="P21" s="35">
        <f>IF('Country Profile'!P31="",0,MAX(0,MIN(100,50+Assumptions!$B$67*('Risk Engine'!P5-'Country Profile'!P31))))</f>
        <v>0</v>
      </c>
      <c r="Q21" s="35">
        <f>IF('Country Profile'!Q31="",0,MAX(0,MIN(100,50+Assumptions!$B$67*('Risk Engine'!Q5-'Country Profile'!Q31))))</f>
        <v>0</v>
      </c>
      <c r="R21" s="35">
        <f>IF('Country Profile'!R31="",0,MAX(0,MIN(100,50+Assumptions!$B$67*('Risk Engine'!R5-'Country Profile'!R31))))</f>
        <v>0</v>
      </c>
      <c r="S21" s="35">
        <f>IF('Country Profile'!S31="",0,MAX(0,MIN(100,50+Assumptions!$B$67*('Risk Engine'!S5-'Country Profile'!S31))))</f>
        <v>0</v>
      </c>
      <c r="T21" s="35">
        <f>IF('Country Profile'!T31="",0,MAX(0,MIN(100,50+Assumptions!$B$67*('Risk Engine'!T5-'Country Profile'!T31))))</f>
        <v>0</v>
      </c>
      <c r="U21" s="35">
        <f>IF('Country Profile'!U31="",0,MAX(0,MIN(100,50+Assumptions!$B$67*('Risk Engine'!U5-'Country Profile'!U31))))</f>
        <v>0</v>
      </c>
      <c r="V21" s="35">
        <f>IF('Country Profile'!V31="",0,MAX(0,MIN(100,50+Assumptions!$B$67*('Risk Engine'!V5-'Country Profile'!V31))))</f>
        <v>0</v>
      </c>
    </row>
    <row r="22">
      <c r="A22" s="3">
        <v>18.0</v>
      </c>
      <c r="B22" s="7" t="s">
        <v>998</v>
      </c>
      <c r="C22" s="7" t="s">
        <v>999</v>
      </c>
      <c r="D22" s="7" t="s">
        <v>979</v>
      </c>
      <c r="E22" s="35">
        <f>'Indicator Scores'!E19</f>
        <v>50</v>
      </c>
      <c r="F22" s="35">
        <f>'Indicator Scores'!F19</f>
        <v>50</v>
      </c>
      <c r="G22" s="35">
        <f>'Indicator Scores'!G19</f>
        <v>0</v>
      </c>
      <c r="H22" s="35">
        <f>'Indicator Scores'!H19</f>
        <v>50</v>
      </c>
      <c r="I22" s="35">
        <f>'Indicator Scores'!I19</f>
        <v>0</v>
      </c>
      <c r="J22" s="35">
        <f>'Indicator Scores'!J19</f>
        <v>0</v>
      </c>
      <c r="K22" s="35">
        <f>'Indicator Scores'!K19</f>
        <v>25</v>
      </c>
      <c r="L22" s="35">
        <f>'Indicator Scores'!L19</f>
        <v>25</v>
      </c>
      <c r="M22" s="35">
        <f>'Indicator Scores'!M19</f>
        <v>75</v>
      </c>
      <c r="N22" s="35">
        <f>'Indicator Scores'!N19</f>
        <v>50</v>
      </c>
      <c r="O22" s="35">
        <f>'Indicator Scores'!O19</f>
        <v>50</v>
      </c>
      <c r="P22" s="35">
        <f>'Indicator Scores'!P19</f>
        <v>75</v>
      </c>
      <c r="Q22" s="35">
        <f>'Indicator Scores'!Q19</f>
        <v>50</v>
      </c>
      <c r="R22" s="35">
        <f>'Indicator Scores'!R19</f>
        <v>100</v>
      </c>
      <c r="S22" s="35">
        <f>'Indicator Scores'!S19</f>
        <v>50</v>
      </c>
      <c r="T22" s="35">
        <f>'Indicator Scores'!T19</f>
        <v>100</v>
      </c>
      <c r="U22" s="35">
        <f>'Indicator Scores'!U19</f>
        <v>25</v>
      </c>
      <c r="V22" s="35">
        <f>'Indicator Scores'!V19</f>
        <v>75</v>
      </c>
    </row>
    <row r="23">
      <c r="A23" s="3">
        <v>19.0</v>
      </c>
      <c r="B23" s="7" t="s">
        <v>1000</v>
      </c>
      <c r="C23" s="7" t="s">
        <v>1001</v>
      </c>
      <c r="D23" s="7" t="s">
        <v>1002</v>
      </c>
      <c r="E23" s="35">
        <f t="shared" ref="E23:V23" si="1">100-E19</f>
        <v>50</v>
      </c>
      <c r="F23" s="35">
        <f t="shared" si="1"/>
        <v>50</v>
      </c>
      <c r="G23" s="35">
        <f t="shared" si="1"/>
        <v>50</v>
      </c>
      <c r="H23" s="35">
        <f t="shared" si="1"/>
        <v>50</v>
      </c>
      <c r="I23" s="35">
        <f t="shared" si="1"/>
        <v>50</v>
      </c>
      <c r="J23" s="35">
        <f t="shared" si="1"/>
        <v>50</v>
      </c>
      <c r="K23" s="35">
        <f t="shared" si="1"/>
        <v>50</v>
      </c>
      <c r="L23" s="35">
        <f t="shared" si="1"/>
        <v>50</v>
      </c>
      <c r="M23" s="35">
        <f t="shared" si="1"/>
        <v>0</v>
      </c>
      <c r="N23" s="35">
        <f t="shared" si="1"/>
        <v>53.15551591</v>
      </c>
      <c r="O23" s="35">
        <f t="shared" si="1"/>
        <v>100</v>
      </c>
      <c r="P23" s="35">
        <f t="shared" si="1"/>
        <v>33.3684713</v>
      </c>
      <c r="Q23" s="35">
        <f t="shared" si="1"/>
        <v>100</v>
      </c>
      <c r="R23" s="35">
        <f t="shared" si="1"/>
        <v>47.02494941</v>
      </c>
      <c r="S23" s="35">
        <f t="shared" si="1"/>
        <v>26.86510229</v>
      </c>
      <c r="T23" s="35">
        <f t="shared" si="1"/>
        <v>9.012535218</v>
      </c>
      <c r="U23" s="35">
        <f t="shared" si="1"/>
        <v>0</v>
      </c>
      <c r="V23" s="35">
        <f t="shared" si="1"/>
        <v>0.7249784848</v>
      </c>
    </row>
    <row r="24">
      <c r="A24" s="3">
        <v>20.0</v>
      </c>
      <c r="B24" s="7" t="s">
        <v>1003</v>
      </c>
      <c r="C24" s="7" t="s">
        <v>1004</v>
      </c>
      <c r="D24" s="7" t="s">
        <v>1002</v>
      </c>
      <c r="E24" s="35">
        <f>IF(AND('Risk Engine'!E8="Calm",Inputs!E59&gt;=Assumptions!$B$69),100-'Risk Engine'!E5,0)</f>
        <v>0</v>
      </c>
      <c r="F24" s="35">
        <f>IF(AND('Risk Engine'!F8="Calm",Inputs!F59&gt;=Assumptions!$B$69),100-'Risk Engine'!F5,0)</f>
        <v>63.50090476</v>
      </c>
      <c r="G24" s="35">
        <f>IF(AND('Risk Engine'!G8="Calm",Inputs!G59&gt;=Assumptions!$B$69),100-'Risk Engine'!G5,0)</f>
        <v>0</v>
      </c>
      <c r="H24" s="35">
        <f>IF(AND('Risk Engine'!H8="Calm",Inputs!H59&gt;=Assumptions!$B$69),100-'Risk Engine'!H5,0)</f>
        <v>0</v>
      </c>
      <c r="I24" s="35">
        <f>IF(AND('Risk Engine'!I8="Calm",Inputs!I59&gt;=Assumptions!$B$69),100-'Risk Engine'!I5,0)</f>
        <v>0</v>
      </c>
      <c r="J24" s="35">
        <f>IF(AND('Risk Engine'!J8="Calm",Inputs!J59&gt;=Assumptions!$B$69),100-'Risk Engine'!J5,0)</f>
        <v>0</v>
      </c>
      <c r="K24" s="35">
        <f>IF(AND('Risk Engine'!K8="Calm",Inputs!K59&gt;=Assumptions!$B$69),100-'Risk Engine'!K5,0)</f>
        <v>0</v>
      </c>
      <c r="L24" s="35">
        <f>IF(AND('Risk Engine'!L8="Calm",Inputs!L59&gt;=Assumptions!$B$69),100-'Risk Engine'!L5,0)</f>
        <v>63.63882536</v>
      </c>
      <c r="M24" s="35">
        <f>IF(AND('Risk Engine'!M8="Calm",Inputs!M59&gt;=Assumptions!$B$69),100-'Risk Engine'!M5,0)</f>
        <v>0</v>
      </c>
      <c r="N24" s="35">
        <f>IF(AND('Risk Engine'!N8="Calm",Inputs!N59&gt;=Assumptions!$B$69),100-'Risk Engine'!N5,0)</f>
        <v>0</v>
      </c>
      <c r="O24" s="35">
        <f>IF(AND('Risk Engine'!O8="Calm",Inputs!O59&gt;=Assumptions!$B$69),100-'Risk Engine'!O5,0)</f>
        <v>57.02182639</v>
      </c>
      <c r="P24" s="35">
        <f>IF(AND('Risk Engine'!P8="Calm",Inputs!P59&gt;=Assumptions!$B$69),100-'Risk Engine'!P5,0)</f>
        <v>0</v>
      </c>
      <c r="Q24" s="35">
        <f>IF(AND('Risk Engine'!Q8="Calm",Inputs!Q59&gt;=Assumptions!$B$69),100-'Risk Engine'!Q5,0)</f>
        <v>59.26287231</v>
      </c>
      <c r="R24" s="35">
        <f>IF(AND('Risk Engine'!R8="Calm",Inputs!R59&gt;=Assumptions!$B$69),100-'Risk Engine'!R5,0)</f>
        <v>0</v>
      </c>
      <c r="S24" s="35">
        <f>IF(AND('Risk Engine'!S8="Calm",Inputs!S59&gt;=Assumptions!$B$69),100-'Risk Engine'!S5,0)</f>
        <v>0</v>
      </c>
      <c r="T24" s="35">
        <f>IF(AND('Risk Engine'!T8="Calm",Inputs!T59&gt;=Assumptions!$B$69),100-'Risk Engine'!T5,0)</f>
        <v>0</v>
      </c>
      <c r="U24" s="35">
        <f>IF(AND('Risk Engine'!U8="Calm",Inputs!U59&gt;=Assumptions!$B$69),100-'Risk Engine'!U5,0)</f>
        <v>0</v>
      </c>
      <c r="V24" s="35">
        <f>IF(AND('Risk Engine'!V8="Calm",Inputs!V59&gt;=Assumptions!$B$69),100-'Risk Engine'!V5,0)</f>
        <v>0</v>
      </c>
    </row>
    <row r="25">
      <c r="A25" s="3">
        <v>21.0</v>
      </c>
      <c r="B25" s="7" t="s">
        <v>1005</v>
      </c>
      <c r="C25" s="7" t="s">
        <v>1006</v>
      </c>
      <c r="D25" s="7" t="s">
        <v>1002</v>
      </c>
      <c r="E25" s="35">
        <f>IF('Risk Engine'!E8="Calm",100-'Risk Engine'!E5,0)</f>
        <v>70.87972136</v>
      </c>
      <c r="F25" s="35">
        <f>IF('Risk Engine'!F8="Calm",100-'Risk Engine'!F5,0)</f>
        <v>63.50090476</v>
      </c>
      <c r="G25" s="35">
        <f>IF('Risk Engine'!G8="Calm",100-'Risk Engine'!G5,0)</f>
        <v>59.68197844</v>
      </c>
      <c r="H25" s="35">
        <f>IF('Risk Engine'!H8="Calm",100-'Risk Engine'!H5,0)</f>
        <v>69.00762763</v>
      </c>
      <c r="I25" s="35">
        <f>IF('Risk Engine'!I8="Calm",100-'Risk Engine'!I5,0)</f>
        <v>78.43052632</v>
      </c>
      <c r="J25" s="35">
        <f>IF('Risk Engine'!J8="Calm",100-'Risk Engine'!J5,0)</f>
        <v>76.1427193</v>
      </c>
      <c r="K25" s="35">
        <f>IF('Risk Engine'!K8="Calm",100-'Risk Engine'!K5,0)</f>
        <v>78.03167161</v>
      </c>
      <c r="L25" s="35">
        <f>IF('Risk Engine'!L8="Calm",100-'Risk Engine'!L5,0)</f>
        <v>63.63882536</v>
      </c>
      <c r="M25" s="35">
        <f>IF('Risk Engine'!M8="Calm",100-'Risk Engine'!M5,0)</f>
        <v>0</v>
      </c>
      <c r="N25" s="35">
        <f>IF('Risk Engine'!N8="Calm",100-'Risk Engine'!N5,0)</f>
        <v>0</v>
      </c>
      <c r="O25" s="35">
        <f>IF('Risk Engine'!O8="Calm",100-'Risk Engine'!O5,0)</f>
        <v>57.02182639</v>
      </c>
      <c r="P25" s="35">
        <f>IF('Risk Engine'!P8="Calm",100-'Risk Engine'!P5,0)</f>
        <v>0</v>
      </c>
      <c r="Q25" s="35">
        <f>IF('Risk Engine'!Q8="Calm",100-'Risk Engine'!Q5,0)</f>
        <v>59.26287231</v>
      </c>
      <c r="R25" s="35">
        <f>IF('Risk Engine'!R8="Calm",100-'Risk Engine'!R5,0)</f>
        <v>0</v>
      </c>
      <c r="S25" s="35">
        <f>IF('Risk Engine'!S8="Calm",100-'Risk Engine'!S5,0)</f>
        <v>0</v>
      </c>
      <c r="T25" s="35">
        <f>IF('Risk Engine'!T8="Calm",100-'Risk Engine'!T5,0)</f>
        <v>0</v>
      </c>
      <c r="U25" s="35">
        <f>IF('Risk Engine'!U8="Calm",100-'Risk Engine'!U5,0)</f>
        <v>0</v>
      </c>
      <c r="V25" s="35">
        <f>IF('Risk Engine'!V8="Calm",100-'Risk Engine'!V5,0)</f>
        <v>0</v>
      </c>
    </row>
  </sheetData>
  <conditionalFormatting sqref="E5:V25">
    <cfRule type="colorScale" priority="1">
      <colorScale>
        <cfvo type="formula" val="0"/>
        <cfvo type="formula" val="50"/>
        <cfvo type="formula" val="100"/>
        <color rgb="FF56BA89"/>
        <color rgb="FFFFD566"/>
        <color rgb="FFE67B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5.75"/>
    <col customWidth="1" min="2" max="2" width="37.63"/>
    <col customWidth="1" min="3" max="9" width="12.0"/>
    <col customWidth="1" min="10" max="10" width="17.63"/>
    <col customWidth="1" min="11" max="11" width="47.63"/>
    <col customWidth="1" min="12" max="13" width="37.63"/>
    <col customWidth="1" min="14" max="14" width="13.88"/>
    <col customWidth="1" min="15" max="15" width="35.13"/>
  </cols>
  <sheetData>
    <row r="1">
      <c r="A1" s="2" t="s">
        <v>1007</v>
      </c>
    </row>
    <row r="2">
      <c r="A2" s="5" t="s">
        <v>1008</v>
      </c>
    </row>
    <row r="4">
      <c r="A4" s="20" t="s">
        <v>59</v>
      </c>
      <c r="B4" s="20" t="s">
        <v>1009</v>
      </c>
      <c r="C4" s="20" t="s">
        <v>1010</v>
      </c>
      <c r="D4" s="20" t="s">
        <v>1011</v>
      </c>
      <c r="E4" s="20" t="s">
        <v>1012</v>
      </c>
      <c r="F4" s="20" t="s">
        <v>1013</v>
      </c>
      <c r="G4" s="20" t="s">
        <v>1014</v>
      </c>
      <c r="H4" s="20" t="s">
        <v>1015</v>
      </c>
      <c r="I4" s="20" t="s">
        <v>961</v>
      </c>
      <c r="J4" s="20" t="s">
        <v>1016</v>
      </c>
      <c r="K4" s="20" t="s">
        <v>1017</v>
      </c>
      <c r="L4" s="20" t="s">
        <v>1018</v>
      </c>
      <c r="M4" s="20" t="s">
        <v>1019</v>
      </c>
      <c r="N4" s="20" t="s">
        <v>1020</v>
      </c>
      <c r="O4" s="20" t="s">
        <v>1021</v>
      </c>
    </row>
    <row r="5">
      <c r="A5" s="53" t="s">
        <v>1022</v>
      </c>
      <c r="B5" s="53" t="s">
        <v>1023</v>
      </c>
      <c r="C5" s="54">
        <v>2.0</v>
      </c>
      <c r="D5" s="55">
        <v>60.0</v>
      </c>
      <c r="E5" s="56"/>
      <c r="F5" s="56"/>
      <c r="G5" s="56"/>
      <c r="H5" s="57" t="s">
        <v>580</v>
      </c>
      <c r="I5" s="53" t="s">
        <v>964</v>
      </c>
      <c r="J5" s="53" t="s">
        <v>1024</v>
      </c>
      <c r="K5" s="12" t="s">
        <v>1025</v>
      </c>
      <c r="L5" s="12" t="s">
        <v>1026</v>
      </c>
      <c r="M5" s="12" t="s">
        <v>1027</v>
      </c>
      <c r="N5" s="12" t="s">
        <v>1028</v>
      </c>
      <c r="O5" s="12" t="s">
        <v>1029</v>
      </c>
    </row>
    <row r="6">
      <c r="A6" s="53" t="s">
        <v>1030</v>
      </c>
      <c r="B6" s="53" t="s">
        <v>1031</v>
      </c>
      <c r="C6" s="54">
        <v>1.0</v>
      </c>
      <c r="D6" s="55">
        <v>75.0</v>
      </c>
      <c r="E6" s="55">
        <v>2.0</v>
      </c>
      <c r="F6" s="57" t="s">
        <v>1032</v>
      </c>
      <c r="G6" s="55">
        <v>50.0</v>
      </c>
      <c r="H6" s="57" t="s">
        <v>580</v>
      </c>
      <c r="I6" s="53" t="s">
        <v>979</v>
      </c>
      <c r="J6" s="53" t="s">
        <v>1024</v>
      </c>
      <c r="K6" s="12" t="s">
        <v>1033</v>
      </c>
      <c r="L6" s="12" t="s">
        <v>1034</v>
      </c>
      <c r="M6" s="12" t="s">
        <v>1035</v>
      </c>
      <c r="N6" s="12" t="s">
        <v>1036</v>
      </c>
      <c r="O6" s="12" t="s">
        <v>1037</v>
      </c>
    </row>
    <row r="7">
      <c r="A7" s="53" t="s">
        <v>1038</v>
      </c>
      <c r="B7" s="53" t="s">
        <v>1039</v>
      </c>
      <c r="C7" s="54">
        <v>3.0</v>
      </c>
      <c r="D7" s="55">
        <v>60.0</v>
      </c>
      <c r="E7" s="56"/>
      <c r="F7" s="56"/>
      <c r="G7" s="56"/>
      <c r="H7" s="57" t="s">
        <v>590</v>
      </c>
      <c r="I7" s="53" t="s">
        <v>964</v>
      </c>
      <c r="J7" s="53" t="s">
        <v>1024</v>
      </c>
      <c r="K7" s="12" t="s">
        <v>1040</v>
      </c>
      <c r="L7" s="12" t="s">
        <v>1041</v>
      </c>
      <c r="M7" s="12" t="s">
        <v>1042</v>
      </c>
      <c r="N7" s="12" t="s">
        <v>1028</v>
      </c>
      <c r="O7" s="12" t="s">
        <v>1043</v>
      </c>
    </row>
    <row r="8">
      <c r="A8" s="53" t="s">
        <v>1044</v>
      </c>
      <c r="B8" s="53" t="s">
        <v>1045</v>
      </c>
      <c r="C8" s="54">
        <v>4.0</v>
      </c>
      <c r="D8" s="55">
        <v>60.0</v>
      </c>
      <c r="E8" s="56"/>
      <c r="F8" s="56"/>
      <c r="G8" s="56"/>
      <c r="H8" s="57" t="s">
        <v>601</v>
      </c>
      <c r="I8" s="53" t="s">
        <v>964</v>
      </c>
      <c r="J8" s="53" t="s">
        <v>601</v>
      </c>
      <c r="K8" s="12" t="s">
        <v>1046</v>
      </c>
      <c r="L8" s="12" t="s">
        <v>1047</v>
      </c>
      <c r="M8" s="12" t="s">
        <v>1048</v>
      </c>
      <c r="N8" s="12" t="s">
        <v>1049</v>
      </c>
      <c r="O8" s="12" t="s">
        <v>1050</v>
      </c>
    </row>
    <row r="9">
      <c r="A9" s="53" t="s">
        <v>1051</v>
      </c>
      <c r="B9" s="53" t="s">
        <v>1052</v>
      </c>
      <c r="C9" s="54">
        <v>4.0</v>
      </c>
      <c r="D9" s="55">
        <v>70.0</v>
      </c>
      <c r="E9" s="55">
        <v>3.0</v>
      </c>
      <c r="F9" s="57" t="s">
        <v>1032</v>
      </c>
      <c r="G9" s="55">
        <v>60.0</v>
      </c>
      <c r="H9" s="57" t="s">
        <v>611</v>
      </c>
      <c r="I9" s="53" t="s">
        <v>1053</v>
      </c>
      <c r="J9" s="53" t="s">
        <v>601</v>
      </c>
      <c r="K9" s="12" t="s">
        <v>1054</v>
      </c>
      <c r="L9" s="12" t="s">
        <v>1055</v>
      </c>
      <c r="M9" s="12" t="s">
        <v>1056</v>
      </c>
      <c r="N9" s="12" t="s">
        <v>1049</v>
      </c>
      <c r="O9" s="12" t="s">
        <v>1057</v>
      </c>
    </row>
    <row r="10">
      <c r="A10" s="53" t="s">
        <v>1058</v>
      </c>
      <c r="B10" s="53" t="s">
        <v>1059</v>
      </c>
      <c r="C10" s="54">
        <v>5.0</v>
      </c>
      <c r="D10" s="55">
        <v>50.0</v>
      </c>
      <c r="E10" s="56"/>
      <c r="F10" s="56"/>
      <c r="G10" s="56"/>
      <c r="H10" s="57" t="s">
        <v>620</v>
      </c>
      <c r="I10" s="53" t="s">
        <v>964</v>
      </c>
      <c r="J10" s="53" t="s">
        <v>620</v>
      </c>
      <c r="K10" s="12" t="s">
        <v>1060</v>
      </c>
      <c r="L10" s="12" t="s">
        <v>1061</v>
      </c>
      <c r="M10" s="12" t="s">
        <v>1062</v>
      </c>
      <c r="N10" s="12" t="s">
        <v>1063</v>
      </c>
      <c r="O10" s="12" t="s">
        <v>1064</v>
      </c>
    </row>
    <row r="11">
      <c r="A11" s="53" t="s">
        <v>1065</v>
      </c>
      <c r="B11" s="53" t="s">
        <v>1066</v>
      </c>
      <c r="C11" s="54">
        <v>6.0</v>
      </c>
      <c r="D11" s="55">
        <v>50.0</v>
      </c>
      <c r="E11" s="55">
        <v>5.0</v>
      </c>
      <c r="F11" s="57" t="s">
        <v>1067</v>
      </c>
      <c r="G11" s="55">
        <v>50.0</v>
      </c>
      <c r="H11" s="57" t="s">
        <v>620</v>
      </c>
      <c r="I11" s="53" t="s">
        <v>1002</v>
      </c>
      <c r="J11" s="53" t="s">
        <v>620</v>
      </c>
      <c r="K11" s="12" t="s">
        <v>1068</v>
      </c>
      <c r="L11" s="12" t="s">
        <v>1069</v>
      </c>
      <c r="M11" s="12" t="s">
        <v>1070</v>
      </c>
      <c r="N11" s="12" t="s">
        <v>1028</v>
      </c>
      <c r="O11" s="12" t="s">
        <v>1071</v>
      </c>
    </row>
    <row r="12">
      <c r="A12" s="53" t="s">
        <v>1072</v>
      </c>
      <c r="B12" s="53" t="s">
        <v>1073</v>
      </c>
      <c r="C12" s="54">
        <v>7.0</v>
      </c>
      <c r="D12" s="55">
        <v>55.0</v>
      </c>
      <c r="E12" s="56"/>
      <c r="F12" s="56"/>
      <c r="G12" s="56"/>
      <c r="H12" s="57" t="s">
        <v>632</v>
      </c>
      <c r="I12" s="53" t="s">
        <v>964</v>
      </c>
      <c r="J12" s="53" t="s">
        <v>1074</v>
      </c>
      <c r="K12" s="12" t="s">
        <v>1075</v>
      </c>
      <c r="L12" s="12" t="s">
        <v>1076</v>
      </c>
      <c r="M12" s="12" t="s">
        <v>1077</v>
      </c>
      <c r="N12" s="12" t="s">
        <v>1036</v>
      </c>
      <c r="O12" s="12" t="s">
        <v>1078</v>
      </c>
    </row>
    <row r="13">
      <c r="A13" s="53" t="s">
        <v>1079</v>
      </c>
      <c r="B13" s="53" t="s">
        <v>1080</v>
      </c>
      <c r="C13" s="54">
        <v>8.0</v>
      </c>
      <c r="D13" s="55">
        <v>60.0</v>
      </c>
      <c r="E13" s="56"/>
      <c r="F13" s="56"/>
      <c r="G13" s="56"/>
      <c r="H13" s="57" t="s">
        <v>611</v>
      </c>
      <c r="I13" s="53" t="s">
        <v>979</v>
      </c>
      <c r="J13" s="53" t="s">
        <v>601</v>
      </c>
      <c r="K13" s="12" t="s">
        <v>1081</v>
      </c>
      <c r="L13" s="12" t="s">
        <v>1082</v>
      </c>
      <c r="M13" s="12" t="s">
        <v>1083</v>
      </c>
      <c r="N13" s="12" t="s">
        <v>1084</v>
      </c>
      <c r="O13" s="12" t="s">
        <v>1085</v>
      </c>
    </row>
    <row r="14">
      <c r="A14" s="53" t="s">
        <v>1086</v>
      </c>
      <c r="B14" s="53" t="s">
        <v>1087</v>
      </c>
      <c r="C14" s="54">
        <v>9.0</v>
      </c>
      <c r="D14" s="55">
        <v>60.0</v>
      </c>
      <c r="E14" s="56"/>
      <c r="F14" s="56"/>
      <c r="G14" s="56"/>
      <c r="H14" s="57" t="s">
        <v>632</v>
      </c>
      <c r="I14" s="53" t="s">
        <v>964</v>
      </c>
      <c r="J14" s="53" t="s">
        <v>1088</v>
      </c>
      <c r="K14" s="12" t="s">
        <v>1089</v>
      </c>
      <c r="L14" s="12" t="s">
        <v>1090</v>
      </c>
      <c r="M14" s="12" t="s">
        <v>1091</v>
      </c>
      <c r="N14" s="12" t="s">
        <v>1092</v>
      </c>
      <c r="O14" s="12" t="s">
        <v>1093</v>
      </c>
    </row>
    <row r="15">
      <c r="A15" s="53" t="s">
        <v>1094</v>
      </c>
      <c r="B15" s="53" t="s">
        <v>1095</v>
      </c>
      <c r="C15" s="54">
        <v>10.0</v>
      </c>
      <c r="D15" s="55">
        <v>60.0</v>
      </c>
      <c r="E15" s="56"/>
      <c r="F15" s="56"/>
      <c r="G15" s="56"/>
      <c r="H15" s="57" t="s">
        <v>1096</v>
      </c>
      <c r="I15" s="53" t="s">
        <v>1053</v>
      </c>
      <c r="J15" s="53" t="s">
        <v>1097</v>
      </c>
      <c r="K15" s="12" t="s">
        <v>1098</v>
      </c>
      <c r="L15" s="12" t="s">
        <v>1099</v>
      </c>
      <c r="M15" s="12" t="s">
        <v>1100</v>
      </c>
      <c r="N15" s="12" t="s">
        <v>1101</v>
      </c>
      <c r="O15" s="12" t="s">
        <v>1102</v>
      </c>
    </row>
    <row r="16">
      <c r="A16" s="53" t="s">
        <v>1103</v>
      </c>
      <c r="B16" s="53" t="s">
        <v>1104</v>
      </c>
      <c r="C16" s="54">
        <v>11.0</v>
      </c>
      <c r="D16" s="55">
        <v>60.0</v>
      </c>
      <c r="E16" s="56"/>
      <c r="F16" s="56"/>
      <c r="G16" s="56"/>
      <c r="H16" s="57" t="s">
        <v>1096</v>
      </c>
      <c r="I16" s="53" t="s">
        <v>1053</v>
      </c>
      <c r="J16" s="53" t="s">
        <v>1105</v>
      </c>
      <c r="K16" s="12" t="s">
        <v>1106</v>
      </c>
      <c r="L16" s="12" t="s">
        <v>1107</v>
      </c>
      <c r="M16" s="12" t="s">
        <v>1108</v>
      </c>
      <c r="N16" s="12" t="s">
        <v>1028</v>
      </c>
      <c r="O16" s="12" t="s">
        <v>1109</v>
      </c>
    </row>
    <row r="17">
      <c r="A17" s="53" t="s">
        <v>1110</v>
      </c>
      <c r="B17" s="53" t="s">
        <v>1111</v>
      </c>
      <c r="C17" s="54">
        <v>12.0</v>
      </c>
      <c r="D17" s="55">
        <v>65.0</v>
      </c>
      <c r="E17" s="56"/>
      <c r="F17" s="56"/>
      <c r="G17" s="56"/>
      <c r="H17" s="57" t="s">
        <v>1096</v>
      </c>
      <c r="I17" s="53" t="s">
        <v>1053</v>
      </c>
      <c r="J17" s="53" t="s">
        <v>1112</v>
      </c>
      <c r="K17" s="12" t="s">
        <v>1113</v>
      </c>
      <c r="L17" s="12" t="s">
        <v>1114</v>
      </c>
      <c r="M17" s="12" t="s">
        <v>1115</v>
      </c>
      <c r="N17" s="12" t="s">
        <v>1063</v>
      </c>
      <c r="O17" s="12" t="s">
        <v>1116</v>
      </c>
    </row>
    <row r="18">
      <c r="A18" s="53" t="s">
        <v>1117</v>
      </c>
      <c r="B18" s="53" t="s">
        <v>1118</v>
      </c>
      <c r="C18" s="54">
        <v>13.0</v>
      </c>
      <c r="D18" s="55">
        <v>60.0</v>
      </c>
      <c r="E18" s="56"/>
      <c r="F18" s="56"/>
      <c r="G18" s="56"/>
      <c r="H18" s="57" t="s">
        <v>1096</v>
      </c>
      <c r="I18" s="53" t="s">
        <v>1053</v>
      </c>
      <c r="J18" s="53" t="s">
        <v>1119</v>
      </c>
      <c r="K18" s="12" t="s">
        <v>1120</v>
      </c>
      <c r="L18" s="12" t="s">
        <v>1121</v>
      </c>
      <c r="M18" s="12" t="s">
        <v>1122</v>
      </c>
      <c r="N18" s="12" t="s">
        <v>1123</v>
      </c>
      <c r="O18" s="12" t="s">
        <v>1124</v>
      </c>
    </row>
    <row r="19">
      <c r="A19" s="53" t="s">
        <v>1125</v>
      </c>
      <c r="B19" s="53" t="s">
        <v>1126</v>
      </c>
      <c r="C19" s="54">
        <v>14.0</v>
      </c>
      <c r="D19" s="55">
        <v>75.0</v>
      </c>
      <c r="E19" s="56"/>
      <c r="F19" s="56"/>
      <c r="G19" s="56"/>
      <c r="H19" s="57" t="s">
        <v>1096</v>
      </c>
      <c r="I19" s="53" t="s">
        <v>964</v>
      </c>
      <c r="J19" s="53" t="s">
        <v>1127</v>
      </c>
      <c r="K19" s="12" t="s">
        <v>1128</v>
      </c>
      <c r="L19" s="12" t="s">
        <v>1129</v>
      </c>
      <c r="M19" s="12" t="s">
        <v>1130</v>
      </c>
      <c r="N19" s="12" t="s">
        <v>1131</v>
      </c>
      <c r="O19" s="12" t="s">
        <v>1132</v>
      </c>
    </row>
    <row r="20">
      <c r="A20" s="53" t="s">
        <v>1133</v>
      </c>
      <c r="B20" s="53" t="s">
        <v>1134</v>
      </c>
      <c r="C20" s="54">
        <v>15.0</v>
      </c>
      <c r="D20" s="55">
        <v>70.0</v>
      </c>
      <c r="E20" s="55">
        <v>2.0</v>
      </c>
      <c r="F20" s="57" t="s">
        <v>1032</v>
      </c>
      <c r="G20" s="55">
        <v>50.0</v>
      </c>
      <c r="H20" s="57" t="s">
        <v>580</v>
      </c>
      <c r="I20" s="53" t="s">
        <v>993</v>
      </c>
      <c r="J20" s="53" t="s">
        <v>1024</v>
      </c>
      <c r="K20" s="12" t="s">
        <v>1135</v>
      </c>
      <c r="L20" s="12" t="s">
        <v>1136</v>
      </c>
      <c r="M20" s="12" t="s">
        <v>1137</v>
      </c>
      <c r="N20" s="12" t="s">
        <v>1063</v>
      </c>
      <c r="O20" s="12" t="s">
        <v>1138</v>
      </c>
    </row>
    <row r="21">
      <c r="A21" s="53" t="s">
        <v>1139</v>
      </c>
      <c r="B21" s="53" t="s">
        <v>1140</v>
      </c>
      <c r="C21" s="54">
        <v>19.0</v>
      </c>
      <c r="D21" s="55">
        <v>70.0</v>
      </c>
      <c r="E21" s="55">
        <v>16.0</v>
      </c>
      <c r="F21" s="57" t="s">
        <v>1067</v>
      </c>
      <c r="G21" s="55">
        <v>50.0</v>
      </c>
      <c r="H21" s="57" t="s">
        <v>590</v>
      </c>
      <c r="I21" s="53" t="s">
        <v>1002</v>
      </c>
      <c r="J21" s="53" t="s">
        <v>1024</v>
      </c>
      <c r="K21" s="12" t="s">
        <v>1141</v>
      </c>
      <c r="L21" s="12" t="s">
        <v>1142</v>
      </c>
      <c r="M21" s="12" t="s">
        <v>1143</v>
      </c>
      <c r="N21" s="12" t="s">
        <v>1036</v>
      </c>
      <c r="O21" s="12" t="s">
        <v>1144</v>
      </c>
    </row>
    <row r="22">
      <c r="A22" s="53" t="s">
        <v>1145</v>
      </c>
      <c r="B22" s="53" t="s">
        <v>1146</v>
      </c>
      <c r="C22" s="54">
        <v>16.0</v>
      </c>
      <c r="D22" s="55">
        <v>100.0</v>
      </c>
      <c r="E22" s="56"/>
      <c r="F22" s="56"/>
      <c r="G22" s="56"/>
      <c r="H22" s="57" t="s">
        <v>590</v>
      </c>
      <c r="I22" s="53" t="s">
        <v>979</v>
      </c>
      <c r="J22" s="53" t="s">
        <v>1147</v>
      </c>
      <c r="K22" s="12" t="s">
        <v>1148</v>
      </c>
      <c r="L22" s="12" t="s">
        <v>1149</v>
      </c>
      <c r="M22" s="12" t="s">
        <v>1150</v>
      </c>
      <c r="N22" s="12" t="s">
        <v>1151</v>
      </c>
      <c r="O22" s="12" t="s">
        <v>1152</v>
      </c>
    </row>
    <row r="23">
      <c r="A23" s="53" t="s">
        <v>1153</v>
      </c>
      <c r="B23" s="53" t="s">
        <v>1154</v>
      </c>
      <c r="C23" s="54">
        <v>20.0</v>
      </c>
      <c r="D23" s="55">
        <v>55.0</v>
      </c>
      <c r="E23" s="55">
        <v>4.0</v>
      </c>
      <c r="F23" s="57" t="s">
        <v>1067</v>
      </c>
      <c r="G23" s="55">
        <v>40.0</v>
      </c>
      <c r="H23" s="57" t="s">
        <v>601</v>
      </c>
      <c r="I23" s="53" t="s">
        <v>1002</v>
      </c>
      <c r="J23" s="53" t="s">
        <v>601</v>
      </c>
      <c r="K23" s="12" t="s">
        <v>1155</v>
      </c>
      <c r="L23" s="12" t="s">
        <v>1156</v>
      </c>
      <c r="M23" s="12" t="s">
        <v>1157</v>
      </c>
      <c r="N23" s="12" t="s">
        <v>1092</v>
      </c>
      <c r="O23" s="12" t="s">
        <v>1158</v>
      </c>
    </row>
    <row r="24">
      <c r="A24" s="53" t="s">
        <v>1159</v>
      </c>
      <c r="B24" s="53" t="s">
        <v>1160</v>
      </c>
      <c r="C24" s="54">
        <v>21.0</v>
      </c>
      <c r="D24" s="55">
        <v>60.0</v>
      </c>
      <c r="E24" s="55">
        <v>9.0</v>
      </c>
      <c r="F24" s="57" t="s">
        <v>1067</v>
      </c>
      <c r="G24" s="55">
        <v>40.0</v>
      </c>
      <c r="H24" s="57" t="s">
        <v>632</v>
      </c>
      <c r="I24" s="53" t="s">
        <v>1002</v>
      </c>
      <c r="J24" s="53" t="s">
        <v>1088</v>
      </c>
      <c r="K24" s="12" t="s">
        <v>1161</v>
      </c>
      <c r="L24" s="12" t="s">
        <v>1162</v>
      </c>
      <c r="M24" s="12" t="s">
        <v>1163</v>
      </c>
      <c r="N24" s="12" t="s">
        <v>1028</v>
      </c>
      <c r="O24" s="12" t="s">
        <v>1164</v>
      </c>
    </row>
    <row r="25">
      <c r="A25" s="53" t="s">
        <v>1165</v>
      </c>
      <c r="B25" s="53" t="s">
        <v>1166</v>
      </c>
      <c r="C25" s="54">
        <v>17.0</v>
      </c>
      <c r="D25" s="55">
        <v>60.0</v>
      </c>
      <c r="E25" s="56"/>
      <c r="F25" s="56"/>
      <c r="G25" s="56"/>
      <c r="H25" s="57" t="s">
        <v>580</v>
      </c>
      <c r="I25" s="53" t="s">
        <v>964</v>
      </c>
      <c r="J25" s="53" t="s">
        <v>1024</v>
      </c>
      <c r="K25" s="12" t="s">
        <v>1167</v>
      </c>
      <c r="L25" s="12" t="s">
        <v>1168</v>
      </c>
      <c r="M25" s="12" t="s">
        <v>1169</v>
      </c>
      <c r="N25" s="12" t="s">
        <v>1092</v>
      </c>
      <c r="O25" s="12" t="s">
        <v>1170</v>
      </c>
    </row>
    <row r="26">
      <c r="A26" s="53" t="s">
        <v>1171</v>
      </c>
      <c r="B26" s="53" t="s">
        <v>1172</v>
      </c>
      <c r="C26" s="54">
        <v>18.0</v>
      </c>
      <c r="D26" s="55">
        <v>75.0</v>
      </c>
      <c r="E26" s="56"/>
      <c r="F26" s="56"/>
      <c r="G26" s="56"/>
      <c r="H26" s="57" t="s">
        <v>590</v>
      </c>
      <c r="I26" s="53" t="s">
        <v>979</v>
      </c>
      <c r="J26" s="53" t="s">
        <v>1024</v>
      </c>
      <c r="K26" s="12" t="s">
        <v>1173</v>
      </c>
      <c r="L26" s="12" t="s">
        <v>1174</v>
      </c>
      <c r="M26" s="12" t="s">
        <v>1175</v>
      </c>
      <c r="N26" s="12" t="s">
        <v>1176</v>
      </c>
      <c r="O26" s="12" t="s">
        <v>1177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5.75"/>
    <col customWidth="1" min="2" max="2" width="41.38"/>
    <col customWidth="1" min="3" max="3" width="8.88"/>
    <col customWidth="1" min="4" max="4" width="13.88"/>
    <col customWidth="1" min="5" max="22" width="11.63"/>
  </cols>
  <sheetData>
    <row r="1">
      <c r="A1" s="2" t="s">
        <v>1178</v>
      </c>
    </row>
    <row r="2">
      <c r="A2" s="5" t="s">
        <v>1179</v>
      </c>
    </row>
    <row r="4">
      <c r="A4" s="20" t="s">
        <v>59</v>
      </c>
      <c r="B4" s="20" t="s">
        <v>1009</v>
      </c>
      <c r="C4" s="20" t="s">
        <v>1010</v>
      </c>
      <c r="D4" s="20" t="s">
        <v>961</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26" t="str">
        <f t="array" ref="A5:C26">Playbook!A5:C26</f>
        <v>T01</v>
      </c>
      <c r="B5" s="26" t="s">
        <v>1023</v>
      </c>
      <c r="C5" s="26">
        <v>2.0</v>
      </c>
      <c r="D5" s="26" t="str">
        <f t="array" ref="D5:D26">Playbook!I5:I26</f>
        <v>Risk-off</v>
      </c>
      <c r="E5" s="26" t="str">
        <f t="array" ref="E5">LET(s,INDEX(Signals!E$5:E$25,Playbook!$C5),kk,Playbook!$E5,sb,IF(kk="",0,INDEX(Signals!E$5:E$25,kk)),okb,IF(kk="",TRUE,IF(Playbook!$F5="&lt;",sb&lt;Playbook!$G5,sb&gt;=Playbook!$G5)),inst,IF(Playbook!$H5="Any","Yes",INDEX('Country Profile'!E$32:E$37,MATCH(Playbook!$H5,'Country Profile'!$B$32:$B$37,0))),IF(AND(s&gt;=Playbook!$D5,okb,inst="Yes"),ROUND(s,0),""))</f>
        <v/>
      </c>
      <c r="F5" s="26" t="str">
        <f t="array" ref="F5">LET(s,INDEX(Signals!F$5:F$25,Playbook!$C5),kk,Playbook!$E5,sb,IF(kk="",0,INDEX(Signals!F$5:F$25,kk)),okb,IF(kk="",TRUE,IF(Playbook!$F5="&lt;",sb&lt;Playbook!$G5,sb&gt;=Playbook!$G5)),inst,IF(Playbook!$H5="Any","Yes",INDEX('Country Profile'!F$32:F$37,MATCH(Playbook!$H5,'Country Profile'!$B$32:$B$37,0))),IF(AND(s&gt;=Playbook!$D5,okb,inst="Yes"),ROUND(s,0),""))</f>
        <v/>
      </c>
      <c r="G5" s="26" t="str">
        <f t="array" ref="G5">LET(s,INDEX(Signals!G$5:G$25,Playbook!$C5),kk,Playbook!$E5,sb,IF(kk="",0,INDEX(Signals!G$5:G$25,kk)),okb,IF(kk="",TRUE,IF(Playbook!$F5="&lt;",sb&lt;Playbook!$G5,sb&gt;=Playbook!$G5)),inst,IF(Playbook!$H5="Any","Yes",INDEX('Country Profile'!G$32:G$37,MATCH(Playbook!$H5,'Country Profile'!$B$32:$B$37,0))),IF(AND(s&gt;=Playbook!$D5,okb,inst="Yes"),ROUND(s,0),""))</f>
        <v/>
      </c>
      <c r="H5" s="26" t="str">
        <f t="array" ref="H5">LET(s,INDEX(Signals!H$5:H$25,Playbook!$C5),kk,Playbook!$E5,sb,IF(kk="",0,INDEX(Signals!H$5:H$25,kk)),okb,IF(kk="",TRUE,IF(Playbook!$F5="&lt;",sb&lt;Playbook!$G5,sb&gt;=Playbook!$G5)),inst,IF(Playbook!$H5="Any","Yes",INDEX('Country Profile'!H$32:H$37,MATCH(Playbook!$H5,'Country Profile'!$B$32:$B$37,0))),IF(AND(s&gt;=Playbook!$D5,okb,inst="Yes"),ROUND(s,0),""))</f>
        <v/>
      </c>
      <c r="I5" s="26" t="str">
        <f t="array" ref="I5">LET(s,INDEX(Signals!I$5:I$25,Playbook!$C5),kk,Playbook!$E5,sb,IF(kk="",0,INDEX(Signals!I$5:I$25,kk)),okb,IF(kk="",TRUE,IF(Playbook!$F5="&lt;",sb&lt;Playbook!$G5,sb&gt;=Playbook!$G5)),inst,IF(Playbook!$H5="Any","Yes",INDEX('Country Profile'!I$32:I$37,MATCH(Playbook!$H5,'Country Profile'!$B$32:$B$37,0))),IF(AND(s&gt;=Playbook!$D5,okb,inst="Yes"),ROUND(s,0),""))</f>
        <v/>
      </c>
      <c r="J5" s="26" t="str">
        <f t="array" ref="J5">LET(s,INDEX(Signals!J$5:J$25,Playbook!$C5),kk,Playbook!$E5,sb,IF(kk="",0,INDEX(Signals!J$5:J$25,kk)),okb,IF(kk="",TRUE,IF(Playbook!$F5="&lt;",sb&lt;Playbook!$G5,sb&gt;=Playbook!$G5)),inst,IF(Playbook!$H5="Any","Yes",INDEX('Country Profile'!J$32:J$37,MATCH(Playbook!$H5,'Country Profile'!$B$32:$B$37,0))),IF(AND(s&gt;=Playbook!$D5,okb,inst="Yes"),ROUND(s,0),""))</f>
        <v/>
      </c>
      <c r="K5" s="26" t="str">
        <f t="array" ref="K5">LET(s,INDEX(Signals!K$5:K$25,Playbook!$C5),kk,Playbook!$E5,sb,IF(kk="",0,INDEX(Signals!K$5:K$25,kk)),okb,IF(kk="",TRUE,IF(Playbook!$F5="&lt;",sb&lt;Playbook!$G5,sb&gt;=Playbook!$G5)),inst,IF(Playbook!$H5="Any","Yes",INDEX('Country Profile'!K$32:K$37,MATCH(Playbook!$H5,'Country Profile'!$B$32:$B$37,0))),IF(AND(s&gt;=Playbook!$D5,okb,inst="Yes"),ROUND(s,0),""))</f>
        <v/>
      </c>
      <c r="L5" s="26" t="str">
        <f t="array" ref="L5">LET(s,INDEX(Signals!L$5:L$25,Playbook!$C5),kk,Playbook!$E5,sb,IF(kk="",0,INDEX(Signals!L$5:L$25,kk)),okb,IF(kk="",TRUE,IF(Playbook!$F5="&lt;",sb&lt;Playbook!$G5,sb&gt;=Playbook!$G5)),inst,IF(Playbook!$H5="Any","Yes",INDEX('Country Profile'!L$32:L$37,MATCH(Playbook!$H5,'Country Profile'!$B$32:$B$37,0))),IF(AND(s&gt;=Playbook!$D5,okb,inst="Yes"),ROUND(s,0),""))</f>
        <v/>
      </c>
      <c r="M5" s="35">
        <f t="array" ref="M5">LET(s,INDEX(Signals!M$5:M$25,Playbook!$C5),kk,Playbook!$E5,sb,IF(kk="",0,INDEX(Signals!M$5:M$25,kk)),okb,IF(kk="",TRUE,IF(Playbook!$F5="&lt;",sb&lt;Playbook!$G5,sb&gt;=Playbook!$G5)),inst,IF(Playbook!$H5="Any","Yes",INDEX('Country Profile'!M$32:M$37,MATCH(Playbook!$H5,'Country Profile'!$B$32:$B$37,0))),IF(AND(s&gt;=Playbook!$D5,okb,inst="Yes"),ROUND(s,0),""))</f>
        <v>75</v>
      </c>
      <c r="N5" s="26" t="str">
        <f t="array" ref="N5">LET(s,INDEX(Signals!N$5:N$25,Playbook!$C5),kk,Playbook!$E5,sb,IF(kk="",0,INDEX(Signals!N$5:N$25,kk)),okb,IF(kk="",TRUE,IF(Playbook!$F5="&lt;",sb&lt;Playbook!$G5,sb&gt;=Playbook!$G5)),inst,IF(Playbook!$H5="Any","Yes",INDEX('Country Profile'!N$32:N$37,MATCH(Playbook!$H5,'Country Profile'!$B$32:$B$37,0))),IF(AND(s&gt;=Playbook!$D5,okb,inst="Yes"),ROUND(s,0),""))</f>
        <v/>
      </c>
      <c r="O5" s="26" t="str">
        <f t="array" ref="O5">LET(s,INDEX(Signals!O$5:O$25,Playbook!$C5),kk,Playbook!$E5,sb,IF(kk="",0,INDEX(Signals!O$5:O$25,kk)),okb,IF(kk="",TRUE,IF(Playbook!$F5="&lt;",sb&lt;Playbook!$G5,sb&gt;=Playbook!$G5)),inst,IF(Playbook!$H5="Any","Yes",INDEX('Country Profile'!O$32:O$37,MATCH(Playbook!$H5,'Country Profile'!$B$32:$B$37,0))),IF(AND(s&gt;=Playbook!$D5,okb,inst="Yes"),ROUND(s,0),""))</f>
        <v/>
      </c>
      <c r="P5" s="35">
        <f t="array" ref="P5">LET(s,INDEX(Signals!P$5:P$25,Playbook!$C5),kk,Playbook!$E5,sb,IF(kk="",0,INDEX(Signals!P$5:P$25,kk)),okb,IF(kk="",TRUE,IF(Playbook!$F5="&lt;",sb&lt;Playbook!$G5,sb&gt;=Playbook!$G5)),inst,IF(Playbook!$H5="Any","Yes",INDEX('Country Profile'!P$32:P$37,MATCH(Playbook!$H5,'Country Profile'!$B$32:$B$37,0))),IF(AND(s&gt;=Playbook!$D5,okb,inst="Yes"),ROUND(s,0),""))</f>
        <v>69</v>
      </c>
      <c r="Q5" s="26" t="str">
        <f t="array" ref="Q5">LET(s,INDEX(Signals!Q$5:Q$25,Playbook!$C5),kk,Playbook!$E5,sb,IF(kk="",0,INDEX(Signals!Q$5:Q$25,kk)),okb,IF(kk="",TRUE,IF(Playbook!$F5="&lt;",sb&lt;Playbook!$G5,sb&gt;=Playbook!$G5)),inst,IF(Playbook!$H5="Any","Yes",INDEX('Country Profile'!Q$32:Q$37,MATCH(Playbook!$H5,'Country Profile'!$B$32:$B$37,0))),IF(AND(s&gt;=Playbook!$D5,okb,inst="Yes"),ROUND(s,0),""))</f>
        <v/>
      </c>
      <c r="R5" s="26" t="str">
        <f t="array" ref="R5">LET(s,INDEX(Signals!R$5:R$25,Playbook!$C5),kk,Playbook!$E5,sb,IF(kk="",0,INDEX(Signals!R$5:R$25,kk)),okb,IF(kk="",TRUE,IF(Playbook!$F5="&lt;",sb&lt;Playbook!$G5,sb&gt;=Playbook!$G5)),inst,IF(Playbook!$H5="Any","Yes",INDEX('Country Profile'!R$32:R$37,MATCH(Playbook!$H5,'Country Profile'!$B$32:$B$37,0))),IF(AND(s&gt;=Playbook!$D5,okb,inst="Yes"),ROUND(s,0),""))</f>
        <v/>
      </c>
      <c r="S5" s="35">
        <f t="array" ref="S5">LET(s,INDEX(Signals!S$5:S$25,Playbook!$C5),kk,Playbook!$E5,sb,IF(kk="",0,INDEX(Signals!S$5:S$25,kk)),okb,IF(kk="",TRUE,IF(Playbook!$F5="&lt;",sb&lt;Playbook!$G5,sb&gt;=Playbook!$G5)),inst,IF(Playbook!$H5="Any","Yes",INDEX('Country Profile'!S$32:S$37,MATCH(Playbook!$H5,'Country Profile'!$B$32:$B$37,0))),IF(AND(s&gt;=Playbook!$D5,okb,inst="Yes"),ROUND(s,0),""))</f>
        <v>64</v>
      </c>
      <c r="T5" s="26" t="str">
        <f t="array" ref="T5">LET(s,INDEX(Signals!T$5:T$25,Playbook!$C5),kk,Playbook!$E5,sb,IF(kk="",0,INDEX(Signals!T$5:T$25,kk)),okb,IF(kk="",TRUE,IF(Playbook!$F5="&lt;",sb&lt;Playbook!$G5,sb&gt;=Playbook!$G5)),inst,IF(Playbook!$H5="Any","Yes",INDEX('Country Profile'!T$32:T$37,MATCH(Playbook!$H5,'Country Profile'!$B$32:$B$37,0))),IF(AND(s&gt;=Playbook!$D5,okb,inst="Yes"),ROUND(s,0),""))</f>
        <v/>
      </c>
      <c r="U5" s="26" t="str">
        <f t="array" ref="U5">LET(s,INDEX(Signals!U$5:U$25,Playbook!$C5),kk,Playbook!$E5,sb,IF(kk="",0,INDEX(Signals!U$5:U$25,kk)),okb,IF(kk="",TRUE,IF(Playbook!$F5="&lt;",sb&lt;Playbook!$G5,sb&gt;=Playbook!$G5)),inst,IF(Playbook!$H5="Any","Yes",INDEX('Country Profile'!U$32:U$37,MATCH(Playbook!$H5,'Country Profile'!$B$32:$B$37,0))),IF(AND(s&gt;=Playbook!$D5,okb,inst="Yes"),ROUND(s,0),""))</f>
        <v/>
      </c>
      <c r="V5" s="26" t="str">
        <f t="array" ref="V5">LET(s,INDEX(Signals!V$5:V$25,Playbook!$C5),kk,Playbook!$E5,sb,IF(kk="",0,INDEX(Signals!V$5:V$25,kk)),okb,IF(kk="",TRUE,IF(Playbook!$F5="&lt;",sb&lt;Playbook!$G5,sb&gt;=Playbook!$G5)),inst,IF(Playbook!$H5="Any","Yes",INDEX('Country Profile'!V$32:V$37,MATCH(Playbook!$H5,'Country Profile'!$B$32:$B$37,0))),IF(AND(s&gt;=Playbook!$D5,okb,inst="Yes"),ROUND(s,0),""))</f>
        <v/>
      </c>
    </row>
    <row r="6">
      <c r="A6" s="26" t="s">
        <v>1030</v>
      </c>
      <c r="B6" s="26" t="s">
        <v>1031</v>
      </c>
      <c r="C6" s="26">
        <v>1.0</v>
      </c>
      <c r="D6" s="26" t="s">
        <v>979</v>
      </c>
      <c r="E6" s="26" t="str">
        <f t="array" ref="E6">LET(s,INDEX(Signals!E$5:E$25,Playbook!$C6),kk,Playbook!$E6,sb,IF(kk="",0,INDEX(Signals!E$5:E$25,kk)),okb,IF(kk="",TRUE,IF(Playbook!$F6="&lt;",sb&lt;Playbook!$G6,sb&gt;=Playbook!$G6)),inst,IF(Playbook!$H6="Any","Yes",INDEX('Country Profile'!E$32:E$37,MATCH(Playbook!$H6,'Country Profile'!$B$32:$B$37,0))),IF(AND(s&gt;=Playbook!$D6,okb,inst="Yes"),ROUND(s,0),""))</f>
        <v/>
      </c>
      <c r="F6" s="26" t="str">
        <f t="array" ref="F6">LET(s,INDEX(Signals!F$5:F$25,Playbook!$C6),kk,Playbook!$E6,sb,IF(kk="",0,INDEX(Signals!F$5:F$25,kk)),okb,IF(kk="",TRUE,IF(Playbook!$F6="&lt;",sb&lt;Playbook!$G6,sb&gt;=Playbook!$G6)),inst,IF(Playbook!$H6="Any","Yes",INDEX('Country Profile'!F$32:F$37,MATCH(Playbook!$H6,'Country Profile'!$B$32:$B$37,0))),IF(AND(s&gt;=Playbook!$D6,okb,inst="Yes"),ROUND(s,0),""))</f>
        <v/>
      </c>
      <c r="G6" s="26" t="str">
        <f t="array" ref="G6">LET(s,INDEX(Signals!G$5:G$25,Playbook!$C6),kk,Playbook!$E6,sb,IF(kk="",0,INDEX(Signals!G$5:G$25,kk)),okb,IF(kk="",TRUE,IF(Playbook!$F6="&lt;",sb&lt;Playbook!$G6,sb&gt;=Playbook!$G6)),inst,IF(Playbook!$H6="Any","Yes",INDEX('Country Profile'!G$32:G$37,MATCH(Playbook!$H6,'Country Profile'!$B$32:$B$37,0))),IF(AND(s&gt;=Playbook!$D6,okb,inst="Yes"),ROUND(s,0),""))</f>
        <v/>
      </c>
      <c r="H6" s="26" t="str">
        <f t="array" ref="H6">LET(s,INDEX(Signals!H$5:H$25,Playbook!$C6),kk,Playbook!$E6,sb,IF(kk="",0,INDEX(Signals!H$5:H$25,kk)),okb,IF(kk="",TRUE,IF(Playbook!$F6="&lt;",sb&lt;Playbook!$G6,sb&gt;=Playbook!$G6)),inst,IF(Playbook!$H6="Any","Yes",INDEX('Country Profile'!H$32:H$37,MATCH(Playbook!$H6,'Country Profile'!$B$32:$B$37,0))),IF(AND(s&gt;=Playbook!$D6,okb,inst="Yes"),ROUND(s,0),""))</f>
        <v/>
      </c>
      <c r="I6" s="26" t="str">
        <f t="array" ref="I6">LET(s,INDEX(Signals!I$5:I$25,Playbook!$C6),kk,Playbook!$E6,sb,IF(kk="",0,INDEX(Signals!I$5:I$25,kk)),okb,IF(kk="",TRUE,IF(Playbook!$F6="&lt;",sb&lt;Playbook!$G6,sb&gt;=Playbook!$G6)),inst,IF(Playbook!$H6="Any","Yes",INDEX('Country Profile'!I$32:I$37,MATCH(Playbook!$H6,'Country Profile'!$B$32:$B$37,0))),IF(AND(s&gt;=Playbook!$D6,okb,inst="Yes"),ROUND(s,0),""))</f>
        <v/>
      </c>
      <c r="J6" s="26" t="str">
        <f t="array" ref="J6">LET(s,INDEX(Signals!J$5:J$25,Playbook!$C6),kk,Playbook!$E6,sb,IF(kk="",0,INDEX(Signals!J$5:J$25,kk)),okb,IF(kk="",TRUE,IF(Playbook!$F6="&lt;",sb&lt;Playbook!$G6,sb&gt;=Playbook!$G6)),inst,IF(Playbook!$H6="Any","Yes",INDEX('Country Profile'!J$32:J$37,MATCH(Playbook!$H6,'Country Profile'!$B$32:$B$37,0))),IF(AND(s&gt;=Playbook!$D6,okb,inst="Yes"),ROUND(s,0),""))</f>
        <v/>
      </c>
      <c r="K6" s="26" t="str">
        <f t="array" ref="K6">LET(s,INDEX(Signals!K$5:K$25,Playbook!$C6),kk,Playbook!$E6,sb,IF(kk="",0,INDEX(Signals!K$5:K$25,kk)),okb,IF(kk="",TRUE,IF(Playbook!$F6="&lt;",sb&lt;Playbook!$G6,sb&gt;=Playbook!$G6)),inst,IF(Playbook!$H6="Any","Yes",INDEX('Country Profile'!K$32:K$37,MATCH(Playbook!$H6,'Country Profile'!$B$32:$B$37,0))),IF(AND(s&gt;=Playbook!$D6,okb,inst="Yes"),ROUND(s,0),""))</f>
        <v/>
      </c>
      <c r="L6" s="26" t="str">
        <f t="array" ref="L6">LET(s,INDEX(Signals!L$5:L$25,Playbook!$C6),kk,Playbook!$E6,sb,IF(kk="",0,INDEX(Signals!L$5:L$25,kk)),okb,IF(kk="",TRUE,IF(Playbook!$F6="&lt;",sb&lt;Playbook!$G6,sb&gt;=Playbook!$G6)),inst,IF(Playbook!$H6="Any","Yes",INDEX('Country Profile'!L$32:L$37,MATCH(Playbook!$H6,'Country Profile'!$B$32:$B$37,0))),IF(AND(s&gt;=Playbook!$D6,okb,inst="Yes"),ROUND(s,0),""))</f>
        <v/>
      </c>
      <c r="M6" s="35">
        <f t="array" ref="M6">LET(s,INDEX(Signals!M$5:M$25,Playbook!$C6),kk,Playbook!$E6,sb,IF(kk="",0,INDEX(Signals!M$5:M$25,kk)),okb,IF(kk="",TRUE,IF(Playbook!$F6="&lt;",sb&lt;Playbook!$G6,sb&gt;=Playbook!$G6)),inst,IF(Playbook!$H6="Any","Yes",INDEX('Country Profile'!M$32:M$37,MATCH(Playbook!$H6,'Country Profile'!$B$32:$B$37,0))),IF(AND(s&gt;=Playbook!$D6,okb,inst="Yes"),ROUND(s,0),""))</f>
        <v>100</v>
      </c>
      <c r="N6" s="26" t="str">
        <f t="array" ref="N6">LET(s,INDEX(Signals!N$5:N$25,Playbook!$C6),kk,Playbook!$E6,sb,IF(kk="",0,INDEX(Signals!N$5:N$25,kk)),okb,IF(kk="",TRUE,IF(Playbook!$F6="&lt;",sb&lt;Playbook!$G6,sb&gt;=Playbook!$G6)),inst,IF(Playbook!$H6="Any","Yes",INDEX('Country Profile'!N$32:N$37,MATCH(Playbook!$H6,'Country Profile'!$B$32:$B$37,0))),IF(AND(s&gt;=Playbook!$D6,okb,inst="Yes"),ROUND(s,0),""))</f>
        <v/>
      </c>
      <c r="O6" s="26" t="str">
        <f t="array" ref="O6">LET(s,INDEX(Signals!O$5:O$25,Playbook!$C6),kk,Playbook!$E6,sb,IF(kk="",0,INDEX(Signals!O$5:O$25,kk)),okb,IF(kk="",TRUE,IF(Playbook!$F6="&lt;",sb&lt;Playbook!$G6,sb&gt;=Playbook!$G6)),inst,IF(Playbook!$H6="Any","Yes",INDEX('Country Profile'!O$32:O$37,MATCH(Playbook!$H6,'Country Profile'!$B$32:$B$37,0))),IF(AND(s&gt;=Playbook!$D6,okb,inst="Yes"),ROUND(s,0),""))</f>
        <v/>
      </c>
      <c r="P6" s="35">
        <f t="array" ref="P6">LET(s,INDEX(Signals!P$5:P$25,Playbook!$C6),kk,Playbook!$E6,sb,IF(kk="",0,INDEX(Signals!P$5:P$25,kk)),okb,IF(kk="",TRUE,IF(Playbook!$F6="&lt;",sb&lt;Playbook!$G6,sb&gt;=Playbook!$G6)),inst,IF(Playbook!$H6="Any","Yes",INDEX('Country Profile'!P$32:P$37,MATCH(Playbook!$H6,'Country Profile'!$B$32:$B$37,0))),IF(AND(s&gt;=Playbook!$D6,okb,inst="Yes"),ROUND(s,0),""))</f>
        <v>90</v>
      </c>
      <c r="Q6" s="26" t="str">
        <f t="array" ref="Q6">LET(s,INDEX(Signals!Q$5:Q$25,Playbook!$C6),kk,Playbook!$E6,sb,IF(kk="",0,INDEX(Signals!Q$5:Q$25,kk)),okb,IF(kk="",TRUE,IF(Playbook!$F6="&lt;",sb&lt;Playbook!$G6,sb&gt;=Playbook!$G6)),inst,IF(Playbook!$H6="Any","Yes",INDEX('Country Profile'!Q$32:Q$37,MATCH(Playbook!$H6,'Country Profile'!$B$32:$B$37,0))),IF(AND(s&gt;=Playbook!$D6,okb,inst="Yes"),ROUND(s,0),""))</f>
        <v/>
      </c>
      <c r="R6" s="26" t="str">
        <f t="array" ref="R6">LET(s,INDEX(Signals!R$5:R$25,Playbook!$C6),kk,Playbook!$E6,sb,IF(kk="",0,INDEX(Signals!R$5:R$25,kk)),okb,IF(kk="",TRUE,IF(Playbook!$F6="&lt;",sb&lt;Playbook!$G6,sb&gt;=Playbook!$G6)),inst,IF(Playbook!$H6="Any","Yes",INDEX('Country Profile'!R$32:R$37,MATCH(Playbook!$H6,'Country Profile'!$B$32:$B$37,0))),IF(AND(s&gt;=Playbook!$D6,okb,inst="Yes"),ROUND(s,0),""))</f>
        <v/>
      </c>
      <c r="S6" s="35">
        <f t="array" ref="S6">LET(s,INDEX(Signals!S$5:S$25,Playbook!$C6),kk,Playbook!$E6,sb,IF(kk="",0,INDEX(Signals!S$5:S$25,kk)),okb,IF(kk="",TRUE,IF(Playbook!$F6="&lt;",sb&lt;Playbook!$G6,sb&gt;=Playbook!$G6)),inst,IF(Playbook!$H6="Any","Yes",INDEX('Country Profile'!S$32:S$37,MATCH(Playbook!$H6,'Country Profile'!$B$32:$B$37,0))),IF(AND(s&gt;=Playbook!$D6,okb,inst="Yes"),ROUND(s,0),""))</f>
        <v>100</v>
      </c>
      <c r="T6" s="26" t="str">
        <f t="array" ref="T6">LET(s,INDEX(Signals!T$5:T$25,Playbook!$C6),kk,Playbook!$E6,sb,IF(kk="",0,INDEX(Signals!T$5:T$25,kk)),okb,IF(kk="",TRUE,IF(Playbook!$F6="&lt;",sb&lt;Playbook!$G6,sb&gt;=Playbook!$G6)),inst,IF(Playbook!$H6="Any","Yes",INDEX('Country Profile'!T$32:T$37,MATCH(Playbook!$H6,'Country Profile'!$B$32:$B$37,0))),IF(AND(s&gt;=Playbook!$D6,okb,inst="Yes"),ROUND(s,0),""))</f>
        <v/>
      </c>
      <c r="U6" s="26" t="str">
        <f t="array" ref="U6">LET(s,INDEX(Signals!U$5:U$25,Playbook!$C6),kk,Playbook!$E6,sb,IF(kk="",0,INDEX(Signals!U$5:U$25,kk)),okb,IF(kk="",TRUE,IF(Playbook!$F6="&lt;",sb&lt;Playbook!$G6,sb&gt;=Playbook!$G6)),inst,IF(Playbook!$H6="Any","Yes",INDEX('Country Profile'!U$32:U$37,MATCH(Playbook!$H6,'Country Profile'!$B$32:$B$37,0))),IF(AND(s&gt;=Playbook!$D6,okb,inst="Yes"),ROUND(s,0),""))</f>
        <v/>
      </c>
      <c r="V6" s="26" t="str">
        <f t="array" ref="V6">LET(s,INDEX(Signals!V$5:V$25,Playbook!$C6),kk,Playbook!$E6,sb,IF(kk="",0,INDEX(Signals!V$5:V$25,kk)),okb,IF(kk="",TRUE,IF(Playbook!$F6="&lt;",sb&lt;Playbook!$G6,sb&gt;=Playbook!$G6)),inst,IF(Playbook!$H6="Any","Yes",INDEX('Country Profile'!V$32:V$37,MATCH(Playbook!$H6,'Country Profile'!$B$32:$B$37,0))),IF(AND(s&gt;=Playbook!$D6,okb,inst="Yes"),ROUND(s,0),""))</f>
        <v/>
      </c>
    </row>
    <row r="7">
      <c r="A7" s="26" t="s">
        <v>1038</v>
      </c>
      <c r="B7" s="26" t="s">
        <v>1039</v>
      </c>
      <c r="C7" s="26">
        <v>3.0</v>
      </c>
      <c r="D7" s="26" t="s">
        <v>964</v>
      </c>
      <c r="E7" s="26" t="str">
        <f t="array" ref="E7">LET(s,INDEX(Signals!E$5:E$25,Playbook!$C7),kk,Playbook!$E7,sb,IF(kk="",0,INDEX(Signals!E$5:E$25,kk)),okb,IF(kk="",TRUE,IF(Playbook!$F7="&lt;",sb&lt;Playbook!$G7,sb&gt;=Playbook!$G7)),inst,IF(Playbook!$H7="Any","Yes",INDEX('Country Profile'!E$32:E$37,MATCH(Playbook!$H7,'Country Profile'!$B$32:$B$37,0))),IF(AND(s&gt;=Playbook!$D7,okb,inst="Yes"),ROUND(s,0),""))</f>
        <v/>
      </c>
      <c r="F7" s="26" t="str">
        <f t="array" ref="F7">LET(s,INDEX(Signals!F$5:F$25,Playbook!$C7),kk,Playbook!$E7,sb,IF(kk="",0,INDEX(Signals!F$5:F$25,kk)),okb,IF(kk="",TRUE,IF(Playbook!$F7="&lt;",sb&lt;Playbook!$G7,sb&gt;=Playbook!$G7)),inst,IF(Playbook!$H7="Any","Yes",INDEX('Country Profile'!F$32:F$37,MATCH(Playbook!$H7,'Country Profile'!$B$32:$B$37,0))),IF(AND(s&gt;=Playbook!$D7,okb,inst="Yes"),ROUND(s,0),""))</f>
        <v/>
      </c>
      <c r="G7" s="26" t="str">
        <f t="array" ref="G7">LET(s,INDEX(Signals!G$5:G$25,Playbook!$C7),kk,Playbook!$E7,sb,IF(kk="",0,INDEX(Signals!G$5:G$25,kk)),okb,IF(kk="",TRUE,IF(Playbook!$F7="&lt;",sb&lt;Playbook!$G7,sb&gt;=Playbook!$G7)),inst,IF(Playbook!$H7="Any","Yes",INDEX('Country Profile'!G$32:G$37,MATCH(Playbook!$H7,'Country Profile'!$B$32:$B$37,0))),IF(AND(s&gt;=Playbook!$D7,okb,inst="Yes"),ROUND(s,0),""))</f>
        <v/>
      </c>
      <c r="H7" s="26" t="str">
        <f t="array" ref="H7">LET(s,INDEX(Signals!H$5:H$25,Playbook!$C7),kk,Playbook!$E7,sb,IF(kk="",0,INDEX(Signals!H$5:H$25,kk)),okb,IF(kk="",TRUE,IF(Playbook!$F7="&lt;",sb&lt;Playbook!$G7,sb&gt;=Playbook!$G7)),inst,IF(Playbook!$H7="Any","Yes",INDEX('Country Profile'!H$32:H$37,MATCH(Playbook!$H7,'Country Profile'!$B$32:$B$37,0))),IF(AND(s&gt;=Playbook!$D7,okb,inst="Yes"),ROUND(s,0),""))</f>
        <v/>
      </c>
      <c r="I7" s="26" t="str">
        <f t="array" ref="I7">LET(s,INDEX(Signals!I$5:I$25,Playbook!$C7),kk,Playbook!$E7,sb,IF(kk="",0,INDEX(Signals!I$5:I$25,kk)),okb,IF(kk="",TRUE,IF(Playbook!$F7="&lt;",sb&lt;Playbook!$G7,sb&gt;=Playbook!$G7)),inst,IF(Playbook!$H7="Any","Yes",INDEX('Country Profile'!I$32:I$37,MATCH(Playbook!$H7,'Country Profile'!$B$32:$B$37,0))),IF(AND(s&gt;=Playbook!$D7,okb,inst="Yes"),ROUND(s,0),""))</f>
        <v/>
      </c>
      <c r="J7" s="26" t="str">
        <f t="array" ref="J7">LET(s,INDEX(Signals!J$5:J$25,Playbook!$C7),kk,Playbook!$E7,sb,IF(kk="",0,INDEX(Signals!J$5:J$25,kk)),okb,IF(kk="",TRUE,IF(Playbook!$F7="&lt;",sb&lt;Playbook!$G7,sb&gt;=Playbook!$G7)),inst,IF(Playbook!$H7="Any","Yes",INDEX('Country Profile'!J$32:J$37,MATCH(Playbook!$H7,'Country Profile'!$B$32:$B$37,0))),IF(AND(s&gt;=Playbook!$D7,okb,inst="Yes"),ROUND(s,0),""))</f>
        <v/>
      </c>
      <c r="K7" s="26" t="str">
        <f t="array" ref="K7">LET(s,INDEX(Signals!K$5:K$25,Playbook!$C7),kk,Playbook!$E7,sb,IF(kk="",0,INDEX(Signals!K$5:K$25,kk)),okb,IF(kk="",TRUE,IF(Playbook!$F7="&lt;",sb&lt;Playbook!$G7,sb&gt;=Playbook!$G7)),inst,IF(Playbook!$H7="Any","Yes",INDEX('Country Profile'!K$32:K$37,MATCH(Playbook!$H7,'Country Profile'!$B$32:$B$37,0))),IF(AND(s&gt;=Playbook!$D7,okb,inst="Yes"),ROUND(s,0),""))</f>
        <v/>
      </c>
      <c r="L7" s="26" t="str">
        <f t="array" ref="L7">LET(s,INDEX(Signals!L$5:L$25,Playbook!$C7),kk,Playbook!$E7,sb,IF(kk="",0,INDEX(Signals!L$5:L$25,kk)),okb,IF(kk="",TRUE,IF(Playbook!$F7="&lt;",sb&lt;Playbook!$G7,sb&gt;=Playbook!$G7)),inst,IF(Playbook!$H7="Any","Yes",INDEX('Country Profile'!L$32:L$37,MATCH(Playbook!$H7,'Country Profile'!$B$32:$B$37,0))),IF(AND(s&gt;=Playbook!$D7,okb,inst="Yes"),ROUND(s,0),""))</f>
        <v/>
      </c>
      <c r="M7" s="35">
        <f t="array" ref="M7">LET(s,INDEX(Signals!M$5:M$25,Playbook!$C7),kk,Playbook!$E7,sb,IF(kk="",0,INDEX(Signals!M$5:M$25,kk)),okb,IF(kk="",TRUE,IF(Playbook!$F7="&lt;",sb&lt;Playbook!$G7,sb&gt;=Playbook!$G7)),inst,IF(Playbook!$H7="Any","Yes",INDEX('Country Profile'!M$32:M$37,MATCH(Playbook!$H7,'Country Profile'!$B$32:$B$37,0))),IF(AND(s&gt;=Playbook!$D7,okb,inst="Yes"),ROUND(s,0),""))</f>
        <v>67</v>
      </c>
      <c r="N7" s="26" t="str">
        <f t="array" ref="N7">LET(s,INDEX(Signals!N$5:N$25,Playbook!$C7),kk,Playbook!$E7,sb,IF(kk="",0,INDEX(Signals!N$5:N$25,kk)),okb,IF(kk="",TRUE,IF(Playbook!$F7="&lt;",sb&lt;Playbook!$G7,sb&gt;=Playbook!$G7)),inst,IF(Playbook!$H7="Any","Yes",INDEX('Country Profile'!N$32:N$37,MATCH(Playbook!$H7,'Country Profile'!$B$32:$B$37,0))),IF(AND(s&gt;=Playbook!$D7,okb,inst="Yes"),ROUND(s,0),""))</f>
        <v/>
      </c>
      <c r="O7" s="26" t="str">
        <f t="array" ref="O7">LET(s,INDEX(Signals!O$5:O$25,Playbook!$C7),kk,Playbook!$E7,sb,IF(kk="",0,INDEX(Signals!O$5:O$25,kk)),okb,IF(kk="",TRUE,IF(Playbook!$F7="&lt;",sb&lt;Playbook!$G7,sb&gt;=Playbook!$G7)),inst,IF(Playbook!$H7="Any","Yes",INDEX('Country Profile'!O$32:O$37,MATCH(Playbook!$H7,'Country Profile'!$B$32:$B$37,0))),IF(AND(s&gt;=Playbook!$D7,okb,inst="Yes"),ROUND(s,0),""))</f>
        <v/>
      </c>
      <c r="P7" s="35">
        <f t="array" ref="P7">LET(s,INDEX(Signals!P$5:P$25,Playbook!$C7),kk,Playbook!$E7,sb,IF(kk="",0,INDEX(Signals!P$5:P$25,kk)),okb,IF(kk="",TRUE,IF(Playbook!$F7="&lt;",sb&lt;Playbook!$G7,sb&gt;=Playbook!$G7)),inst,IF(Playbook!$H7="Any","Yes",INDEX('Country Profile'!P$32:P$37,MATCH(Playbook!$H7,'Country Profile'!$B$32:$B$37,0))),IF(AND(s&gt;=Playbook!$D7,okb,inst="Yes"),ROUND(s,0),""))</f>
        <v>76</v>
      </c>
      <c r="Q7" s="26" t="str">
        <f t="array" ref="Q7">LET(s,INDEX(Signals!Q$5:Q$25,Playbook!$C7),kk,Playbook!$E7,sb,IF(kk="",0,INDEX(Signals!Q$5:Q$25,kk)),okb,IF(kk="",TRUE,IF(Playbook!$F7="&lt;",sb&lt;Playbook!$G7,sb&gt;=Playbook!$G7)),inst,IF(Playbook!$H7="Any","Yes",INDEX('Country Profile'!Q$32:Q$37,MATCH(Playbook!$H7,'Country Profile'!$B$32:$B$37,0))),IF(AND(s&gt;=Playbook!$D7,okb,inst="Yes"),ROUND(s,0),""))</f>
        <v/>
      </c>
      <c r="R7" s="35">
        <f t="array" ref="R7">LET(s,INDEX(Signals!R$5:R$25,Playbook!$C7),kk,Playbook!$E7,sb,IF(kk="",0,INDEX(Signals!R$5:R$25,kk)),okb,IF(kk="",TRUE,IF(Playbook!$F7="&lt;",sb&lt;Playbook!$G7,sb&gt;=Playbook!$G7)),inst,IF(Playbook!$H7="Any","Yes",INDEX('Country Profile'!R$32:R$37,MATCH(Playbook!$H7,'Country Profile'!$B$32:$B$37,0))),IF(AND(s&gt;=Playbook!$D7,okb,inst="Yes"),ROUND(s,0),""))</f>
        <v>89</v>
      </c>
      <c r="S7" s="26" t="str">
        <f t="array" ref="S7">LET(s,INDEX(Signals!S$5:S$25,Playbook!$C7),kk,Playbook!$E7,sb,IF(kk="",0,INDEX(Signals!S$5:S$25,kk)),okb,IF(kk="",TRUE,IF(Playbook!$F7="&lt;",sb&lt;Playbook!$G7,sb&gt;=Playbook!$G7)),inst,IF(Playbook!$H7="Any","Yes",INDEX('Country Profile'!S$32:S$37,MATCH(Playbook!$H7,'Country Profile'!$B$32:$B$37,0))),IF(AND(s&gt;=Playbook!$D7,okb,inst="Yes"),ROUND(s,0),""))</f>
        <v/>
      </c>
      <c r="T7" s="35">
        <f t="array" ref="T7">LET(s,INDEX(Signals!T$5:T$25,Playbook!$C7),kk,Playbook!$E7,sb,IF(kk="",0,INDEX(Signals!T$5:T$25,kk)),okb,IF(kk="",TRUE,IF(Playbook!$F7="&lt;",sb&lt;Playbook!$G7,sb&gt;=Playbook!$G7)),inst,IF(Playbook!$H7="Any","Yes",INDEX('Country Profile'!T$32:T$37,MATCH(Playbook!$H7,'Country Profile'!$B$32:$B$37,0))),IF(AND(s&gt;=Playbook!$D7,okb,inst="Yes"),ROUND(s,0),""))</f>
        <v>68</v>
      </c>
      <c r="U7" s="26" t="str">
        <f t="array" ref="U7">LET(s,INDEX(Signals!U$5:U$25,Playbook!$C7),kk,Playbook!$E7,sb,IF(kk="",0,INDEX(Signals!U$5:U$25,kk)),okb,IF(kk="",TRUE,IF(Playbook!$F7="&lt;",sb&lt;Playbook!$G7,sb&gt;=Playbook!$G7)),inst,IF(Playbook!$H7="Any","Yes",INDEX('Country Profile'!U$32:U$37,MATCH(Playbook!$H7,'Country Profile'!$B$32:$B$37,0))),IF(AND(s&gt;=Playbook!$D7,okb,inst="Yes"),ROUND(s,0),""))</f>
        <v/>
      </c>
      <c r="V7" s="26" t="str">
        <f t="array" ref="V7">LET(s,INDEX(Signals!V$5:V$25,Playbook!$C7),kk,Playbook!$E7,sb,IF(kk="",0,INDEX(Signals!V$5:V$25,kk)),okb,IF(kk="",TRUE,IF(Playbook!$F7="&lt;",sb&lt;Playbook!$G7,sb&gt;=Playbook!$G7)),inst,IF(Playbook!$H7="Any","Yes",INDEX('Country Profile'!V$32:V$37,MATCH(Playbook!$H7,'Country Profile'!$B$32:$B$37,0))),IF(AND(s&gt;=Playbook!$D7,okb,inst="Yes"),ROUND(s,0),""))</f>
        <v/>
      </c>
    </row>
    <row r="8">
      <c r="A8" s="26" t="s">
        <v>1044</v>
      </c>
      <c r="B8" s="26" t="s">
        <v>1045</v>
      </c>
      <c r="C8" s="26">
        <v>4.0</v>
      </c>
      <c r="D8" s="26" t="s">
        <v>964</v>
      </c>
      <c r="E8" s="26" t="str">
        <f t="array" ref="E8">LET(s,INDEX(Signals!E$5:E$25,Playbook!$C8),kk,Playbook!$E8,sb,IF(kk="",0,INDEX(Signals!E$5:E$25,kk)),okb,IF(kk="",TRUE,IF(Playbook!$F8="&lt;",sb&lt;Playbook!$G8,sb&gt;=Playbook!$G8)),inst,IF(Playbook!$H8="Any","Yes",INDEX('Country Profile'!E$32:E$37,MATCH(Playbook!$H8,'Country Profile'!$B$32:$B$37,0))),IF(AND(s&gt;=Playbook!$D8,okb,inst="Yes"),ROUND(s,0),""))</f>
        <v/>
      </c>
      <c r="F8" s="26" t="str">
        <f t="array" ref="F8">LET(s,INDEX(Signals!F$5:F$25,Playbook!$C8),kk,Playbook!$E8,sb,IF(kk="",0,INDEX(Signals!F$5:F$25,kk)),okb,IF(kk="",TRUE,IF(Playbook!$F8="&lt;",sb&lt;Playbook!$G8,sb&gt;=Playbook!$G8)),inst,IF(Playbook!$H8="Any","Yes",INDEX('Country Profile'!F$32:F$37,MATCH(Playbook!$H8,'Country Profile'!$B$32:$B$37,0))),IF(AND(s&gt;=Playbook!$D8,okb,inst="Yes"),ROUND(s,0),""))</f>
        <v/>
      </c>
      <c r="G8" s="26" t="str">
        <f t="array" ref="G8">LET(s,INDEX(Signals!G$5:G$25,Playbook!$C8),kk,Playbook!$E8,sb,IF(kk="",0,INDEX(Signals!G$5:G$25,kk)),okb,IF(kk="",TRUE,IF(Playbook!$F8="&lt;",sb&lt;Playbook!$G8,sb&gt;=Playbook!$G8)),inst,IF(Playbook!$H8="Any","Yes",INDEX('Country Profile'!G$32:G$37,MATCH(Playbook!$H8,'Country Profile'!$B$32:$B$37,0))),IF(AND(s&gt;=Playbook!$D8,okb,inst="Yes"),ROUND(s,0),""))</f>
        <v/>
      </c>
      <c r="H8" s="26" t="str">
        <f t="array" ref="H8">LET(s,INDEX(Signals!H$5:H$25,Playbook!$C8),kk,Playbook!$E8,sb,IF(kk="",0,INDEX(Signals!H$5:H$25,kk)),okb,IF(kk="",TRUE,IF(Playbook!$F8="&lt;",sb&lt;Playbook!$G8,sb&gt;=Playbook!$G8)),inst,IF(Playbook!$H8="Any","Yes",INDEX('Country Profile'!H$32:H$37,MATCH(Playbook!$H8,'Country Profile'!$B$32:$B$37,0))),IF(AND(s&gt;=Playbook!$D8,okb,inst="Yes"),ROUND(s,0),""))</f>
        <v/>
      </c>
      <c r="I8" s="26" t="str">
        <f t="array" ref="I8">LET(s,INDEX(Signals!I$5:I$25,Playbook!$C8),kk,Playbook!$E8,sb,IF(kk="",0,INDEX(Signals!I$5:I$25,kk)),okb,IF(kk="",TRUE,IF(Playbook!$F8="&lt;",sb&lt;Playbook!$G8,sb&gt;=Playbook!$G8)),inst,IF(Playbook!$H8="Any","Yes",INDEX('Country Profile'!I$32:I$37,MATCH(Playbook!$H8,'Country Profile'!$B$32:$B$37,0))),IF(AND(s&gt;=Playbook!$D8,okb,inst="Yes"),ROUND(s,0),""))</f>
        <v/>
      </c>
      <c r="J8" s="26" t="str">
        <f t="array" ref="J8">LET(s,INDEX(Signals!J$5:J$25,Playbook!$C8),kk,Playbook!$E8,sb,IF(kk="",0,INDEX(Signals!J$5:J$25,kk)),okb,IF(kk="",TRUE,IF(Playbook!$F8="&lt;",sb&lt;Playbook!$G8,sb&gt;=Playbook!$G8)),inst,IF(Playbook!$H8="Any","Yes",INDEX('Country Profile'!J$32:J$37,MATCH(Playbook!$H8,'Country Profile'!$B$32:$B$37,0))),IF(AND(s&gt;=Playbook!$D8,okb,inst="Yes"),ROUND(s,0),""))</f>
        <v/>
      </c>
      <c r="K8" s="26" t="str">
        <f t="array" ref="K8">LET(s,INDEX(Signals!K$5:K$25,Playbook!$C8),kk,Playbook!$E8,sb,IF(kk="",0,INDEX(Signals!K$5:K$25,kk)),okb,IF(kk="",TRUE,IF(Playbook!$F8="&lt;",sb&lt;Playbook!$G8,sb&gt;=Playbook!$G8)),inst,IF(Playbook!$H8="Any","Yes",INDEX('Country Profile'!K$32:K$37,MATCH(Playbook!$H8,'Country Profile'!$B$32:$B$37,0))),IF(AND(s&gt;=Playbook!$D8,okb,inst="Yes"),ROUND(s,0),""))</f>
        <v/>
      </c>
      <c r="L8" s="26" t="str">
        <f t="array" ref="L8">LET(s,INDEX(Signals!L$5:L$25,Playbook!$C8),kk,Playbook!$E8,sb,IF(kk="",0,INDEX(Signals!L$5:L$25,kk)),okb,IF(kk="",TRUE,IF(Playbook!$F8="&lt;",sb&lt;Playbook!$G8,sb&gt;=Playbook!$G8)),inst,IF(Playbook!$H8="Any","Yes",INDEX('Country Profile'!L$32:L$37,MATCH(Playbook!$H8,'Country Profile'!$B$32:$B$37,0))),IF(AND(s&gt;=Playbook!$D8,okb,inst="Yes"),ROUND(s,0),""))</f>
        <v/>
      </c>
      <c r="M8" s="26" t="str">
        <f t="array" ref="M8">LET(s,INDEX(Signals!M$5:M$25,Playbook!$C8),kk,Playbook!$E8,sb,IF(kk="",0,INDEX(Signals!M$5:M$25,kk)),okb,IF(kk="",TRUE,IF(Playbook!$F8="&lt;",sb&lt;Playbook!$G8,sb&gt;=Playbook!$G8)),inst,IF(Playbook!$H8="Any","Yes",INDEX('Country Profile'!M$32:M$37,MATCH(Playbook!$H8,'Country Profile'!$B$32:$B$37,0))),IF(AND(s&gt;=Playbook!$D8,okb,inst="Yes"),ROUND(s,0),""))</f>
        <v/>
      </c>
      <c r="N8" s="26" t="str">
        <f t="array" ref="N8">LET(s,INDEX(Signals!N$5:N$25,Playbook!$C8),kk,Playbook!$E8,sb,IF(kk="",0,INDEX(Signals!N$5:N$25,kk)),okb,IF(kk="",TRUE,IF(Playbook!$F8="&lt;",sb&lt;Playbook!$G8,sb&gt;=Playbook!$G8)),inst,IF(Playbook!$H8="Any","Yes",INDEX('Country Profile'!N$32:N$37,MATCH(Playbook!$H8,'Country Profile'!$B$32:$B$37,0))),IF(AND(s&gt;=Playbook!$D8,okb,inst="Yes"),ROUND(s,0),""))</f>
        <v/>
      </c>
      <c r="O8" s="26" t="str">
        <f t="array" ref="O8">LET(s,INDEX(Signals!O$5:O$25,Playbook!$C8),kk,Playbook!$E8,sb,IF(kk="",0,INDEX(Signals!O$5:O$25,kk)),okb,IF(kk="",TRUE,IF(Playbook!$F8="&lt;",sb&lt;Playbook!$G8,sb&gt;=Playbook!$G8)),inst,IF(Playbook!$H8="Any","Yes",INDEX('Country Profile'!O$32:O$37,MATCH(Playbook!$H8,'Country Profile'!$B$32:$B$37,0))),IF(AND(s&gt;=Playbook!$D8,okb,inst="Yes"),ROUND(s,0),""))</f>
        <v/>
      </c>
      <c r="P8" s="35">
        <f t="array" ref="P8">LET(s,INDEX(Signals!P$5:P$25,Playbook!$C8),kk,Playbook!$E8,sb,IF(kk="",0,INDEX(Signals!P$5:P$25,kk)),okb,IF(kk="",TRUE,IF(Playbook!$F8="&lt;",sb&lt;Playbook!$G8,sb&gt;=Playbook!$G8)),inst,IF(Playbook!$H8="Any","Yes",INDEX('Country Profile'!P$32:P$37,MATCH(Playbook!$H8,'Country Profile'!$B$32:$B$37,0))),IF(AND(s&gt;=Playbook!$D8,okb,inst="Yes"),ROUND(s,0),""))</f>
        <v>86</v>
      </c>
      <c r="Q8" s="26" t="str">
        <f t="array" ref="Q8">LET(s,INDEX(Signals!Q$5:Q$25,Playbook!$C8),kk,Playbook!$E8,sb,IF(kk="",0,INDEX(Signals!Q$5:Q$25,kk)),okb,IF(kk="",TRUE,IF(Playbook!$F8="&lt;",sb&lt;Playbook!$G8,sb&gt;=Playbook!$G8)),inst,IF(Playbook!$H8="Any","Yes",INDEX('Country Profile'!Q$32:Q$37,MATCH(Playbook!$H8,'Country Profile'!$B$32:$B$37,0))),IF(AND(s&gt;=Playbook!$D8,okb,inst="Yes"),ROUND(s,0),""))</f>
        <v/>
      </c>
      <c r="R8" s="26" t="str">
        <f t="array" ref="R8">LET(s,INDEX(Signals!R$5:R$25,Playbook!$C8),kk,Playbook!$E8,sb,IF(kk="",0,INDEX(Signals!R$5:R$25,kk)),okb,IF(kk="",TRUE,IF(Playbook!$F8="&lt;",sb&lt;Playbook!$G8,sb&gt;=Playbook!$G8)),inst,IF(Playbook!$H8="Any","Yes",INDEX('Country Profile'!R$32:R$37,MATCH(Playbook!$H8,'Country Profile'!$B$32:$B$37,0))),IF(AND(s&gt;=Playbook!$D8,okb,inst="Yes"),ROUND(s,0),""))</f>
        <v/>
      </c>
      <c r="S8" s="26" t="str">
        <f t="array" ref="S8">LET(s,INDEX(Signals!S$5:S$25,Playbook!$C8),kk,Playbook!$E8,sb,IF(kk="",0,INDEX(Signals!S$5:S$25,kk)),okb,IF(kk="",TRUE,IF(Playbook!$F8="&lt;",sb&lt;Playbook!$G8,sb&gt;=Playbook!$G8)),inst,IF(Playbook!$H8="Any","Yes",INDEX('Country Profile'!S$32:S$37,MATCH(Playbook!$H8,'Country Profile'!$B$32:$B$37,0))),IF(AND(s&gt;=Playbook!$D8,okb,inst="Yes"),ROUND(s,0),""))</f>
        <v/>
      </c>
      <c r="T8" s="26" t="str">
        <f t="array" ref="T8">LET(s,INDEX(Signals!T$5:T$25,Playbook!$C8),kk,Playbook!$E8,sb,IF(kk="",0,INDEX(Signals!T$5:T$25,kk)),okb,IF(kk="",TRUE,IF(Playbook!$F8="&lt;",sb&lt;Playbook!$G8,sb&gt;=Playbook!$G8)),inst,IF(Playbook!$H8="Any","Yes",INDEX('Country Profile'!T$32:T$37,MATCH(Playbook!$H8,'Country Profile'!$B$32:$B$37,0))),IF(AND(s&gt;=Playbook!$D8,okb,inst="Yes"),ROUND(s,0),""))</f>
        <v/>
      </c>
      <c r="U8" s="26" t="str">
        <f t="array" ref="U8">LET(s,INDEX(Signals!U$5:U$25,Playbook!$C8),kk,Playbook!$E8,sb,IF(kk="",0,INDEX(Signals!U$5:U$25,kk)),okb,IF(kk="",TRUE,IF(Playbook!$F8="&lt;",sb&lt;Playbook!$G8,sb&gt;=Playbook!$G8)),inst,IF(Playbook!$H8="Any","Yes",INDEX('Country Profile'!U$32:U$37,MATCH(Playbook!$H8,'Country Profile'!$B$32:$B$37,0))),IF(AND(s&gt;=Playbook!$D8,okb,inst="Yes"),ROUND(s,0),""))</f>
        <v/>
      </c>
      <c r="V8" s="26" t="str">
        <f t="array" ref="V8">LET(s,INDEX(Signals!V$5:V$25,Playbook!$C8),kk,Playbook!$E8,sb,IF(kk="",0,INDEX(Signals!V$5:V$25,kk)),okb,IF(kk="",TRUE,IF(Playbook!$F8="&lt;",sb&lt;Playbook!$G8,sb&gt;=Playbook!$G8)),inst,IF(Playbook!$H8="Any","Yes",INDEX('Country Profile'!V$32:V$37,MATCH(Playbook!$H8,'Country Profile'!$B$32:$B$37,0))),IF(AND(s&gt;=Playbook!$D8,okb,inst="Yes"),ROUND(s,0),""))</f>
        <v/>
      </c>
    </row>
    <row r="9">
      <c r="A9" s="26" t="s">
        <v>1051</v>
      </c>
      <c r="B9" s="26" t="s">
        <v>1052</v>
      </c>
      <c r="C9" s="26">
        <v>4.0</v>
      </c>
      <c r="D9" s="26" t="s">
        <v>1053</v>
      </c>
      <c r="E9" s="26" t="str">
        <f t="array" ref="E9">LET(s,INDEX(Signals!E$5:E$25,Playbook!$C9),kk,Playbook!$E9,sb,IF(kk="",0,INDEX(Signals!E$5:E$25,kk)),okb,IF(kk="",TRUE,IF(Playbook!$F9="&lt;",sb&lt;Playbook!$G9,sb&gt;=Playbook!$G9)),inst,IF(Playbook!$H9="Any","Yes",INDEX('Country Profile'!E$32:E$37,MATCH(Playbook!$H9,'Country Profile'!$B$32:$B$37,0))),IF(AND(s&gt;=Playbook!$D9,okb,inst="Yes"),ROUND(s,0),""))</f>
        <v/>
      </c>
      <c r="F9" s="26" t="str">
        <f t="array" ref="F9">LET(s,INDEX(Signals!F$5:F$25,Playbook!$C9),kk,Playbook!$E9,sb,IF(kk="",0,INDEX(Signals!F$5:F$25,kk)),okb,IF(kk="",TRUE,IF(Playbook!$F9="&lt;",sb&lt;Playbook!$G9,sb&gt;=Playbook!$G9)),inst,IF(Playbook!$H9="Any","Yes",INDEX('Country Profile'!F$32:F$37,MATCH(Playbook!$H9,'Country Profile'!$B$32:$B$37,0))),IF(AND(s&gt;=Playbook!$D9,okb,inst="Yes"),ROUND(s,0),""))</f>
        <v/>
      </c>
      <c r="G9" s="26" t="str">
        <f t="array" ref="G9">LET(s,INDEX(Signals!G$5:G$25,Playbook!$C9),kk,Playbook!$E9,sb,IF(kk="",0,INDEX(Signals!G$5:G$25,kk)),okb,IF(kk="",TRUE,IF(Playbook!$F9="&lt;",sb&lt;Playbook!$G9,sb&gt;=Playbook!$G9)),inst,IF(Playbook!$H9="Any","Yes",INDEX('Country Profile'!G$32:G$37,MATCH(Playbook!$H9,'Country Profile'!$B$32:$B$37,0))),IF(AND(s&gt;=Playbook!$D9,okb,inst="Yes"),ROUND(s,0),""))</f>
        <v/>
      </c>
      <c r="H9" s="26" t="str">
        <f t="array" ref="H9">LET(s,INDEX(Signals!H$5:H$25,Playbook!$C9),kk,Playbook!$E9,sb,IF(kk="",0,INDEX(Signals!H$5:H$25,kk)),okb,IF(kk="",TRUE,IF(Playbook!$F9="&lt;",sb&lt;Playbook!$G9,sb&gt;=Playbook!$G9)),inst,IF(Playbook!$H9="Any","Yes",INDEX('Country Profile'!H$32:H$37,MATCH(Playbook!$H9,'Country Profile'!$B$32:$B$37,0))),IF(AND(s&gt;=Playbook!$D9,okb,inst="Yes"),ROUND(s,0),""))</f>
        <v/>
      </c>
      <c r="I9" s="26" t="str">
        <f t="array" ref="I9">LET(s,INDEX(Signals!I$5:I$25,Playbook!$C9),kk,Playbook!$E9,sb,IF(kk="",0,INDEX(Signals!I$5:I$25,kk)),okb,IF(kk="",TRUE,IF(Playbook!$F9="&lt;",sb&lt;Playbook!$G9,sb&gt;=Playbook!$G9)),inst,IF(Playbook!$H9="Any","Yes",INDEX('Country Profile'!I$32:I$37,MATCH(Playbook!$H9,'Country Profile'!$B$32:$B$37,0))),IF(AND(s&gt;=Playbook!$D9,okb,inst="Yes"),ROUND(s,0),""))</f>
        <v/>
      </c>
      <c r="J9" s="26" t="str">
        <f t="array" ref="J9">LET(s,INDEX(Signals!J$5:J$25,Playbook!$C9),kk,Playbook!$E9,sb,IF(kk="",0,INDEX(Signals!J$5:J$25,kk)),okb,IF(kk="",TRUE,IF(Playbook!$F9="&lt;",sb&lt;Playbook!$G9,sb&gt;=Playbook!$G9)),inst,IF(Playbook!$H9="Any","Yes",INDEX('Country Profile'!J$32:J$37,MATCH(Playbook!$H9,'Country Profile'!$B$32:$B$37,0))),IF(AND(s&gt;=Playbook!$D9,okb,inst="Yes"),ROUND(s,0),""))</f>
        <v/>
      </c>
      <c r="K9" s="26" t="str">
        <f t="array" ref="K9">LET(s,INDEX(Signals!K$5:K$25,Playbook!$C9),kk,Playbook!$E9,sb,IF(kk="",0,INDEX(Signals!K$5:K$25,kk)),okb,IF(kk="",TRUE,IF(Playbook!$F9="&lt;",sb&lt;Playbook!$G9,sb&gt;=Playbook!$G9)),inst,IF(Playbook!$H9="Any","Yes",INDEX('Country Profile'!K$32:K$37,MATCH(Playbook!$H9,'Country Profile'!$B$32:$B$37,0))),IF(AND(s&gt;=Playbook!$D9,okb,inst="Yes"),ROUND(s,0),""))</f>
        <v/>
      </c>
      <c r="L9" s="26" t="str">
        <f t="array" ref="L9">LET(s,INDEX(Signals!L$5:L$25,Playbook!$C9),kk,Playbook!$E9,sb,IF(kk="",0,INDEX(Signals!L$5:L$25,kk)),okb,IF(kk="",TRUE,IF(Playbook!$F9="&lt;",sb&lt;Playbook!$G9,sb&gt;=Playbook!$G9)),inst,IF(Playbook!$H9="Any","Yes",INDEX('Country Profile'!L$32:L$37,MATCH(Playbook!$H9,'Country Profile'!$B$32:$B$37,0))),IF(AND(s&gt;=Playbook!$D9,okb,inst="Yes"),ROUND(s,0),""))</f>
        <v/>
      </c>
      <c r="M9" s="26" t="str">
        <f t="array" ref="M9">LET(s,INDEX(Signals!M$5:M$25,Playbook!$C9),kk,Playbook!$E9,sb,IF(kk="",0,INDEX(Signals!M$5:M$25,kk)),okb,IF(kk="",TRUE,IF(Playbook!$F9="&lt;",sb&lt;Playbook!$G9,sb&gt;=Playbook!$G9)),inst,IF(Playbook!$H9="Any","Yes",INDEX('Country Profile'!M$32:M$37,MATCH(Playbook!$H9,'Country Profile'!$B$32:$B$37,0))),IF(AND(s&gt;=Playbook!$D9,okb,inst="Yes"),ROUND(s,0),""))</f>
        <v/>
      </c>
      <c r="N9" s="26" t="str">
        <f t="array" ref="N9">LET(s,INDEX(Signals!N$5:N$25,Playbook!$C9),kk,Playbook!$E9,sb,IF(kk="",0,INDEX(Signals!N$5:N$25,kk)),okb,IF(kk="",TRUE,IF(Playbook!$F9="&lt;",sb&lt;Playbook!$G9,sb&gt;=Playbook!$G9)),inst,IF(Playbook!$H9="Any","Yes",INDEX('Country Profile'!N$32:N$37,MATCH(Playbook!$H9,'Country Profile'!$B$32:$B$37,0))),IF(AND(s&gt;=Playbook!$D9,okb,inst="Yes"),ROUND(s,0),""))</f>
        <v/>
      </c>
      <c r="O9" s="26" t="str">
        <f t="array" ref="O9">LET(s,INDEX(Signals!O$5:O$25,Playbook!$C9),kk,Playbook!$E9,sb,IF(kk="",0,INDEX(Signals!O$5:O$25,kk)),okb,IF(kk="",TRUE,IF(Playbook!$F9="&lt;",sb&lt;Playbook!$G9,sb&gt;=Playbook!$G9)),inst,IF(Playbook!$H9="Any","Yes",INDEX('Country Profile'!O$32:O$37,MATCH(Playbook!$H9,'Country Profile'!$B$32:$B$37,0))),IF(AND(s&gt;=Playbook!$D9,okb,inst="Yes"),ROUND(s,0),""))</f>
        <v/>
      </c>
      <c r="P9" s="26" t="str">
        <f t="array" ref="P9">LET(s,INDEX(Signals!P$5:P$25,Playbook!$C9),kk,Playbook!$E9,sb,IF(kk="",0,INDEX(Signals!P$5:P$25,kk)),okb,IF(kk="",TRUE,IF(Playbook!$F9="&lt;",sb&lt;Playbook!$G9,sb&gt;=Playbook!$G9)),inst,IF(Playbook!$H9="Any","Yes",INDEX('Country Profile'!P$32:P$37,MATCH(Playbook!$H9,'Country Profile'!$B$32:$B$37,0))),IF(AND(s&gt;=Playbook!$D9,okb,inst="Yes"),ROUND(s,0),""))</f>
        <v/>
      </c>
      <c r="Q9" s="26" t="str">
        <f t="array" ref="Q9">LET(s,INDEX(Signals!Q$5:Q$25,Playbook!$C9),kk,Playbook!$E9,sb,IF(kk="",0,INDEX(Signals!Q$5:Q$25,kk)),okb,IF(kk="",TRUE,IF(Playbook!$F9="&lt;",sb&lt;Playbook!$G9,sb&gt;=Playbook!$G9)),inst,IF(Playbook!$H9="Any","Yes",INDEX('Country Profile'!Q$32:Q$37,MATCH(Playbook!$H9,'Country Profile'!$B$32:$B$37,0))),IF(AND(s&gt;=Playbook!$D9,okb,inst="Yes"),ROUND(s,0),""))</f>
        <v/>
      </c>
      <c r="R9" s="26" t="str">
        <f t="array" ref="R9">LET(s,INDEX(Signals!R$5:R$25,Playbook!$C9),kk,Playbook!$E9,sb,IF(kk="",0,INDEX(Signals!R$5:R$25,kk)),okb,IF(kk="",TRUE,IF(Playbook!$F9="&lt;",sb&lt;Playbook!$G9,sb&gt;=Playbook!$G9)),inst,IF(Playbook!$H9="Any","Yes",INDEX('Country Profile'!R$32:R$37,MATCH(Playbook!$H9,'Country Profile'!$B$32:$B$37,0))),IF(AND(s&gt;=Playbook!$D9,okb,inst="Yes"),ROUND(s,0),""))</f>
        <v/>
      </c>
      <c r="S9" s="26" t="str">
        <f t="array" ref="S9">LET(s,INDEX(Signals!S$5:S$25,Playbook!$C9),kk,Playbook!$E9,sb,IF(kk="",0,INDEX(Signals!S$5:S$25,kk)),okb,IF(kk="",TRUE,IF(Playbook!$F9="&lt;",sb&lt;Playbook!$G9,sb&gt;=Playbook!$G9)),inst,IF(Playbook!$H9="Any","Yes",INDEX('Country Profile'!S$32:S$37,MATCH(Playbook!$H9,'Country Profile'!$B$32:$B$37,0))),IF(AND(s&gt;=Playbook!$D9,okb,inst="Yes"),ROUND(s,0),""))</f>
        <v/>
      </c>
      <c r="T9" s="26" t="str">
        <f t="array" ref="T9">LET(s,INDEX(Signals!T$5:T$25,Playbook!$C9),kk,Playbook!$E9,sb,IF(kk="",0,INDEX(Signals!T$5:T$25,kk)),okb,IF(kk="",TRUE,IF(Playbook!$F9="&lt;",sb&lt;Playbook!$G9,sb&gt;=Playbook!$G9)),inst,IF(Playbook!$H9="Any","Yes",INDEX('Country Profile'!T$32:T$37,MATCH(Playbook!$H9,'Country Profile'!$B$32:$B$37,0))),IF(AND(s&gt;=Playbook!$D9,okb,inst="Yes"),ROUND(s,0),""))</f>
        <v/>
      </c>
      <c r="U9" s="26" t="str">
        <f t="array" ref="U9">LET(s,INDEX(Signals!U$5:U$25,Playbook!$C9),kk,Playbook!$E9,sb,IF(kk="",0,INDEX(Signals!U$5:U$25,kk)),okb,IF(kk="",TRUE,IF(Playbook!$F9="&lt;",sb&lt;Playbook!$G9,sb&gt;=Playbook!$G9)),inst,IF(Playbook!$H9="Any","Yes",INDEX('Country Profile'!U$32:U$37,MATCH(Playbook!$H9,'Country Profile'!$B$32:$B$37,0))),IF(AND(s&gt;=Playbook!$D9,okb,inst="Yes"),ROUND(s,0),""))</f>
        <v/>
      </c>
      <c r="V9" s="26" t="str">
        <f t="array" ref="V9">LET(s,INDEX(Signals!V$5:V$25,Playbook!$C9),kk,Playbook!$E9,sb,IF(kk="",0,INDEX(Signals!V$5:V$25,kk)),okb,IF(kk="",TRUE,IF(Playbook!$F9="&lt;",sb&lt;Playbook!$G9,sb&gt;=Playbook!$G9)),inst,IF(Playbook!$H9="Any","Yes",INDEX('Country Profile'!V$32:V$37,MATCH(Playbook!$H9,'Country Profile'!$B$32:$B$37,0))),IF(AND(s&gt;=Playbook!$D9,okb,inst="Yes"),ROUND(s,0),""))</f>
        <v/>
      </c>
    </row>
    <row r="10">
      <c r="A10" s="26" t="s">
        <v>1058</v>
      </c>
      <c r="B10" s="26" t="s">
        <v>1059</v>
      </c>
      <c r="C10" s="26">
        <v>5.0</v>
      </c>
      <c r="D10" s="26" t="s">
        <v>964</v>
      </c>
      <c r="E10" s="26" t="str">
        <f t="array" ref="E10">LET(s,INDEX(Signals!E$5:E$25,Playbook!$C10),kk,Playbook!$E10,sb,IF(kk="",0,INDEX(Signals!E$5:E$25,kk)),okb,IF(kk="",TRUE,IF(Playbook!$F10="&lt;",sb&lt;Playbook!$G10,sb&gt;=Playbook!$G10)),inst,IF(Playbook!$H10="Any","Yes",INDEX('Country Profile'!E$32:E$37,MATCH(Playbook!$H10,'Country Profile'!$B$32:$B$37,0))),IF(AND(s&gt;=Playbook!$D10,okb,inst="Yes"),ROUND(s,0),""))</f>
        <v/>
      </c>
      <c r="F10" s="26" t="str">
        <f t="array" ref="F10">LET(s,INDEX(Signals!F$5:F$25,Playbook!$C10),kk,Playbook!$E10,sb,IF(kk="",0,INDEX(Signals!F$5:F$25,kk)),okb,IF(kk="",TRUE,IF(Playbook!$F10="&lt;",sb&lt;Playbook!$G10,sb&gt;=Playbook!$G10)),inst,IF(Playbook!$H10="Any","Yes",INDEX('Country Profile'!F$32:F$37,MATCH(Playbook!$H10,'Country Profile'!$B$32:$B$37,0))),IF(AND(s&gt;=Playbook!$D10,okb,inst="Yes"),ROUND(s,0),""))</f>
        <v/>
      </c>
      <c r="G10" s="26" t="str">
        <f t="array" ref="G10">LET(s,INDEX(Signals!G$5:G$25,Playbook!$C10),kk,Playbook!$E10,sb,IF(kk="",0,INDEX(Signals!G$5:G$25,kk)),okb,IF(kk="",TRUE,IF(Playbook!$F10="&lt;",sb&lt;Playbook!$G10,sb&gt;=Playbook!$G10)),inst,IF(Playbook!$H10="Any","Yes",INDEX('Country Profile'!G$32:G$37,MATCH(Playbook!$H10,'Country Profile'!$B$32:$B$37,0))),IF(AND(s&gt;=Playbook!$D10,okb,inst="Yes"),ROUND(s,0),""))</f>
        <v/>
      </c>
      <c r="H10" s="26" t="str">
        <f t="array" ref="H10">LET(s,INDEX(Signals!H$5:H$25,Playbook!$C10),kk,Playbook!$E10,sb,IF(kk="",0,INDEX(Signals!H$5:H$25,kk)),okb,IF(kk="",TRUE,IF(Playbook!$F10="&lt;",sb&lt;Playbook!$G10,sb&gt;=Playbook!$G10)),inst,IF(Playbook!$H10="Any","Yes",INDEX('Country Profile'!H$32:H$37,MATCH(Playbook!$H10,'Country Profile'!$B$32:$B$37,0))),IF(AND(s&gt;=Playbook!$D10,okb,inst="Yes"),ROUND(s,0),""))</f>
        <v/>
      </c>
      <c r="I10" s="26" t="str">
        <f t="array" ref="I10">LET(s,INDEX(Signals!I$5:I$25,Playbook!$C10),kk,Playbook!$E10,sb,IF(kk="",0,INDEX(Signals!I$5:I$25,kk)),okb,IF(kk="",TRUE,IF(Playbook!$F10="&lt;",sb&lt;Playbook!$G10,sb&gt;=Playbook!$G10)),inst,IF(Playbook!$H10="Any","Yes",INDEX('Country Profile'!I$32:I$37,MATCH(Playbook!$H10,'Country Profile'!$B$32:$B$37,0))),IF(AND(s&gt;=Playbook!$D10,okb,inst="Yes"),ROUND(s,0),""))</f>
        <v/>
      </c>
      <c r="J10" s="26" t="str">
        <f t="array" ref="J10">LET(s,INDEX(Signals!J$5:J$25,Playbook!$C10),kk,Playbook!$E10,sb,IF(kk="",0,INDEX(Signals!J$5:J$25,kk)),okb,IF(kk="",TRUE,IF(Playbook!$F10="&lt;",sb&lt;Playbook!$G10,sb&gt;=Playbook!$G10)),inst,IF(Playbook!$H10="Any","Yes",INDEX('Country Profile'!J$32:J$37,MATCH(Playbook!$H10,'Country Profile'!$B$32:$B$37,0))),IF(AND(s&gt;=Playbook!$D10,okb,inst="Yes"),ROUND(s,0),""))</f>
        <v/>
      </c>
      <c r="K10" s="26" t="str">
        <f t="array" ref="K10">LET(s,INDEX(Signals!K$5:K$25,Playbook!$C10),kk,Playbook!$E10,sb,IF(kk="",0,INDEX(Signals!K$5:K$25,kk)),okb,IF(kk="",TRUE,IF(Playbook!$F10="&lt;",sb&lt;Playbook!$G10,sb&gt;=Playbook!$G10)),inst,IF(Playbook!$H10="Any","Yes",INDEX('Country Profile'!K$32:K$37,MATCH(Playbook!$H10,'Country Profile'!$B$32:$B$37,0))),IF(AND(s&gt;=Playbook!$D10,okb,inst="Yes"),ROUND(s,0),""))</f>
        <v/>
      </c>
      <c r="L10" s="26" t="str">
        <f t="array" ref="L10">LET(s,INDEX(Signals!L$5:L$25,Playbook!$C10),kk,Playbook!$E10,sb,IF(kk="",0,INDEX(Signals!L$5:L$25,kk)),okb,IF(kk="",TRUE,IF(Playbook!$F10="&lt;",sb&lt;Playbook!$G10,sb&gt;=Playbook!$G10)),inst,IF(Playbook!$H10="Any","Yes",INDEX('Country Profile'!L$32:L$37,MATCH(Playbook!$H10,'Country Profile'!$B$32:$B$37,0))),IF(AND(s&gt;=Playbook!$D10,okb,inst="Yes"),ROUND(s,0),""))</f>
        <v/>
      </c>
      <c r="M10" s="26" t="str">
        <f t="array" ref="M10">LET(s,INDEX(Signals!M$5:M$25,Playbook!$C10),kk,Playbook!$E10,sb,IF(kk="",0,INDEX(Signals!M$5:M$25,kk)),okb,IF(kk="",TRUE,IF(Playbook!$F10="&lt;",sb&lt;Playbook!$G10,sb&gt;=Playbook!$G10)),inst,IF(Playbook!$H10="Any","Yes",INDEX('Country Profile'!M$32:M$37,MATCH(Playbook!$H10,'Country Profile'!$B$32:$B$37,0))),IF(AND(s&gt;=Playbook!$D10,okb,inst="Yes"),ROUND(s,0),""))</f>
        <v/>
      </c>
      <c r="N10" s="26" t="str">
        <f t="array" ref="N10">LET(s,INDEX(Signals!N$5:N$25,Playbook!$C10),kk,Playbook!$E10,sb,IF(kk="",0,INDEX(Signals!N$5:N$25,kk)),okb,IF(kk="",TRUE,IF(Playbook!$F10="&lt;",sb&lt;Playbook!$G10,sb&gt;=Playbook!$G10)),inst,IF(Playbook!$H10="Any","Yes",INDEX('Country Profile'!N$32:N$37,MATCH(Playbook!$H10,'Country Profile'!$B$32:$B$37,0))),IF(AND(s&gt;=Playbook!$D10,okb,inst="Yes"),ROUND(s,0),""))</f>
        <v/>
      </c>
      <c r="O10" s="35">
        <f t="array" ref="O10">LET(s,INDEX(Signals!O$5:O$25,Playbook!$C10),kk,Playbook!$E10,sb,IF(kk="",0,INDEX(Signals!O$5:O$25,kk)),okb,IF(kk="",TRUE,IF(Playbook!$F10="&lt;",sb&lt;Playbook!$G10,sb&gt;=Playbook!$G10)),inst,IF(Playbook!$H10="Any","Yes",INDEX('Country Profile'!O$32:O$37,MATCH(Playbook!$H10,'Country Profile'!$B$32:$B$37,0))),IF(AND(s&gt;=Playbook!$D10,okb,inst="Yes"),ROUND(s,0),""))</f>
        <v>51</v>
      </c>
      <c r="P10" s="35">
        <f t="array" ref="P10">LET(s,INDEX(Signals!P$5:P$25,Playbook!$C10),kk,Playbook!$E10,sb,IF(kk="",0,INDEX(Signals!P$5:P$25,kk)),okb,IF(kk="",TRUE,IF(Playbook!$F10="&lt;",sb&lt;Playbook!$G10,sb&gt;=Playbook!$G10)),inst,IF(Playbook!$H10="Any","Yes",INDEX('Country Profile'!P$32:P$37,MATCH(Playbook!$H10,'Country Profile'!$B$32:$B$37,0))),IF(AND(s&gt;=Playbook!$D10,okb,inst="Yes"),ROUND(s,0),""))</f>
        <v>96</v>
      </c>
      <c r="Q10" s="35">
        <f t="array" ref="Q10">LET(s,INDEX(Signals!Q$5:Q$25,Playbook!$C10),kk,Playbook!$E10,sb,IF(kk="",0,INDEX(Signals!Q$5:Q$25,kk)),okb,IF(kk="",TRUE,IF(Playbook!$F10="&lt;",sb&lt;Playbook!$G10,sb&gt;=Playbook!$G10)),inst,IF(Playbook!$H10="Any","Yes",INDEX('Country Profile'!Q$32:Q$37,MATCH(Playbook!$H10,'Country Profile'!$B$32:$B$37,0))),IF(AND(s&gt;=Playbook!$D10,okb,inst="Yes"),ROUND(s,0),""))</f>
        <v>55</v>
      </c>
      <c r="R10" s="26" t="str">
        <f t="array" ref="R10">LET(s,INDEX(Signals!R$5:R$25,Playbook!$C10),kk,Playbook!$E10,sb,IF(kk="",0,INDEX(Signals!R$5:R$25,kk)),okb,IF(kk="",TRUE,IF(Playbook!$F10="&lt;",sb&lt;Playbook!$G10,sb&gt;=Playbook!$G10)),inst,IF(Playbook!$H10="Any","Yes",INDEX('Country Profile'!R$32:R$37,MATCH(Playbook!$H10,'Country Profile'!$B$32:$B$37,0))),IF(AND(s&gt;=Playbook!$D10,okb,inst="Yes"),ROUND(s,0),""))</f>
        <v/>
      </c>
      <c r="S10" s="35">
        <f t="array" ref="S10">LET(s,INDEX(Signals!S$5:S$25,Playbook!$C10),kk,Playbook!$E10,sb,IF(kk="",0,INDEX(Signals!S$5:S$25,kk)),okb,IF(kk="",TRUE,IF(Playbook!$F10="&lt;",sb&lt;Playbook!$G10,sb&gt;=Playbook!$G10)),inst,IF(Playbook!$H10="Any","Yes",INDEX('Country Profile'!S$32:S$37,MATCH(Playbook!$H10,'Country Profile'!$B$32:$B$37,0))),IF(AND(s&gt;=Playbook!$D10,okb,inst="Yes"),ROUND(s,0),""))</f>
        <v>85</v>
      </c>
      <c r="T10" s="26" t="str">
        <f t="array" ref="T10">LET(s,INDEX(Signals!T$5:T$25,Playbook!$C10),kk,Playbook!$E10,sb,IF(kk="",0,INDEX(Signals!T$5:T$25,kk)),okb,IF(kk="",TRUE,IF(Playbook!$F10="&lt;",sb&lt;Playbook!$G10,sb&gt;=Playbook!$G10)),inst,IF(Playbook!$H10="Any","Yes",INDEX('Country Profile'!T$32:T$37,MATCH(Playbook!$H10,'Country Profile'!$B$32:$B$37,0))),IF(AND(s&gt;=Playbook!$D10,okb,inst="Yes"),ROUND(s,0),""))</f>
        <v/>
      </c>
      <c r="U10" s="35">
        <f t="array" ref="U10">LET(s,INDEX(Signals!U$5:U$25,Playbook!$C10),kk,Playbook!$E10,sb,IF(kk="",0,INDEX(Signals!U$5:U$25,kk)),okb,IF(kk="",TRUE,IF(Playbook!$F10="&lt;",sb&lt;Playbook!$G10,sb&gt;=Playbook!$G10)),inst,IF(Playbook!$H10="Any","Yes",INDEX('Country Profile'!U$32:U$37,MATCH(Playbook!$H10,'Country Profile'!$B$32:$B$37,0))),IF(AND(s&gt;=Playbook!$D10,okb,inst="Yes"),ROUND(s,0),""))</f>
        <v>70</v>
      </c>
      <c r="V10" s="26" t="str">
        <f t="array" ref="V10">LET(s,INDEX(Signals!V$5:V$25,Playbook!$C10),kk,Playbook!$E10,sb,IF(kk="",0,INDEX(Signals!V$5:V$25,kk)),okb,IF(kk="",TRUE,IF(Playbook!$F10="&lt;",sb&lt;Playbook!$G10,sb&gt;=Playbook!$G10)),inst,IF(Playbook!$H10="Any","Yes",INDEX('Country Profile'!V$32:V$37,MATCH(Playbook!$H10,'Country Profile'!$B$32:$B$37,0))),IF(AND(s&gt;=Playbook!$D10,okb,inst="Yes"),ROUND(s,0),""))</f>
        <v/>
      </c>
    </row>
    <row r="11">
      <c r="A11" s="26" t="s">
        <v>1065</v>
      </c>
      <c r="B11" s="26" t="s">
        <v>1066</v>
      </c>
      <c r="C11" s="26">
        <v>6.0</v>
      </c>
      <c r="D11" s="26" t="s">
        <v>1002</v>
      </c>
      <c r="E11" s="26" t="str">
        <f t="array" ref="E11">LET(s,INDEX(Signals!E$5:E$25,Playbook!$C11),kk,Playbook!$E11,sb,IF(kk="",0,INDEX(Signals!E$5:E$25,kk)),okb,IF(kk="",TRUE,IF(Playbook!$F11="&lt;",sb&lt;Playbook!$G11,sb&gt;=Playbook!$G11)),inst,IF(Playbook!$H11="Any","Yes",INDEX('Country Profile'!E$32:E$37,MATCH(Playbook!$H11,'Country Profile'!$B$32:$B$37,0))),IF(AND(s&gt;=Playbook!$D11,okb,inst="Yes"),ROUND(s,0),""))</f>
        <v/>
      </c>
      <c r="F11" s="26" t="str">
        <f t="array" ref="F11">LET(s,INDEX(Signals!F$5:F$25,Playbook!$C11),kk,Playbook!$E11,sb,IF(kk="",0,INDEX(Signals!F$5:F$25,kk)),okb,IF(kk="",TRUE,IF(Playbook!$F11="&lt;",sb&lt;Playbook!$G11,sb&gt;=Playbook!$G11)),inst,IF(Playbook!$H11="Any","Yes",INDEX('Country Profile'!F$32:F$37,MATCH(Playbook!$H11,'Country Profile'!$B$32:$B$37,0))),IF(AND(s&gt;=Playbook!$D11,okb,inst="Yes"),ROUND(s,0),""))</f>
        <v/>
      </c>
      <c r="G11" s="35">
        <f t="array" ref="G11">LET(s,INDEX(Signals!G$5:G$25,Playbook!$C11),kk,Playbook!$E11,sb,IF(kk="",0,INDEX(Signals!G$5:G$25,kk)),okb,IF(kk="",TRUE,IF(Playbook!$F11="&lt;",sb&lt;Playbook!$G11,sb&gt;=Playbook!$G11)),inst,IF(Playbook!$H11="Any","Yes",INDEX('Country Profile'!G$32:G$37,MATCH(Playbook!$H11,'Country Profile'!$B$32:$B$37,0))),IF(AND(s&gt;=Playbook!$D11,okb,inst="Yes"),ROUND(s,0),""))</f>
        <v>50</v>
      </c>
      <c r="H11" s="26" t="str">
        <f t="array" ref="H11">LET(s,INDEX(Signals!H$5:H$25,Playbook!$C11),kk,Playbook!$E11,sb,IF(kk="",0,INDEX(Signals!H$5:H$25,kk)),okb,IF(kk="",TRUE,IF(Playbook!$F11="&lt;",sb&lt;Playbook!$G11,sb&gt;=Playbook!$G11)),inst,IF(Playbook!$H11="Any","Yes",INDEX('Country Profile'!H$32:H$37,MATCH(Playbook!$H11,'Country Profile'!$B$32:$B$37,0))),IF(AND(s&gt;=Playbook!$D11,okb,inst="Yes"),ROUND(s,0),""))</f>
        <v/>
      </c>
      <c r="I11" s="35">
        <f t="array" ref="I11">LET(s,INDEX(Signals!I$5:I$25,Playbook!$C11),kk,Playbook!$E11,sb,IF(kk="",0,INDEX(Signals!I$5:I$25,kk)),okb,IF(kk="",TRUE,IF(Playbook!$F11="&lt;",sb&lt;Playbook!$G11,sb&gt;=Playbook!$G11)),inst,IF(Playbook!$H11="Any","Yes",INDEX('Country Profile'!I$32:I$37,MATCH(Playbook!$H11,'Country Profile'!$B$32:$B$37,0))),IF(AND(s&gt;=Playbook!$D11,okb,inst="Yes"),ROUND(s,0),""))</f>
        <v>71</v>
      </c>
      <c r="J11" s="35">
        <f t="array" ref="J11">LET(s,INDEX(Signals!J$5:J$25,Playbook!$C11),kk,Playbook!$E11,sb,IF(kk="",0,INDEX(Signals!J$5:J$25,kk)),okb,IF(kk="",TRUE,IF(Playbook!$F11="&lt;",sb&lt;Playbook!$G11,sb&gt;=Playbook!$G11)),inst,IF(Playbook!$H11="Any","Yes",INDEX('Country Profile'!J$32:J$37,MATCH(Playbook!$H11,'Country Profile'!$B$32:$B$37,0))),IF(AND(s&gt;=Playbook!$D11,okb,inst="Yes"),ROUND(s,0),""))</f>
        <v>93</v>
      </c>
      <c r="K11" s="35">
        <f t="array" ref="K11">LET(s,INDEX(Signals!K$5:K$25,Playbook!$C11),kk,Playbook!$E11,sb,IF(kk="",0,INDEX(Signals!K$5:K$25,kk)),okb,IF(kk="",TRUE,IF(Playbook!$F11="&lt;",sb&lt;Playbook!$G11,sb&gt;=Playbook!$G11)),inst,IF(Playbook!$H11="Any","Yes",INDEX('Country Profile'!K$32:K$37,MATCH(Playbook!$H11,'Country Profile'!$B$32:$B$37,0))),IF(AND(s&gt;=Playbook!$D11,okb,inst="Yes"),ROUND(s,0),""))</f>
        <v>76</v>
      </c>
      <c r="L11" s="26" t="str">
        <f t="array" ref="L11">LET(s,INDEX(Signals!L$5:L$25,Playbook!$C11),kk,Playbook!$E11,sb,IF(kk="",0,INDEX(Signals!L$5:L$25,kk)),okb,IF(kk="",TRUE,IF(Playbook!$F11="&lt;",sb&lt;Playbook!$G11,sb&gt;=Playbook!$G11)),inst,IF(Playbook!$H11="Any","Yes",INDEX('Country Profile'!L$32:L$37,MATCH(Playbook!$H11,'Country Profile'!$B$32:$B$37,0))),IF(AND(s&gt;=Playbook!$D11,okb,inst="Yes"),ROUND(s,0),""))</f>
        <v/>
      </c>
      <c r="M11" s="26" t="str">
        <f t="array" ref="M11">LET(s,INDEX(Signals!M$5:M$25,Playbook!$C11),kk,Playbook!$E11,sb,IF(kk="",0,INDEX(Signals!M$5:M$25,kk)),okb,IF(kk="",TRUE,IF(Playbook!$F11="&lt;",sb&lt;Playbook!$G11,sb&gt;=Playbook!$G11)),inst,IF(Playbook!$H11="Any","Yes",INDEX('Country Profile'!M$32:M$37,MATCH(Playbook!$H11,'Country Profile'!$B$32:$B$37,0))),IF(AND(s&gt;=Playbook!$D11,okb,inst="Yes"),ROUND(s,0),""))</f>
        <v/>
      </c>
      <c r="N11" s="26" t="str">
        <f t="array" ref="N11">LET(s,INDEX(Signals!N$5:N$25,Playbook!$C11),kk,Playbook!$E11,sb,IF(kk="",0,INDEX(Signals!N$5:N$25,kk)),okb,IF(kk="",TRUE,IF(Playbook!$F11="&lt;",sb&lt;Playbook!$G11,sb&gt;=Playbook!$G11)),inst,IF(Playbook!$H11="Any","Yes",INDEX('Country Profile'!N$32:N$37,MATCH(Playbook!$H11,'Country Profile'!$B$32:$B$37,0))),IF(AND(s&gt;=Playbook!$D11,okb,inst="Yes"),ROUND(s,0),""))</f>
        <v/>
      </c>
      <c r="O11" s="26" t="str">
        <f t="array" ref="O11">LET(s,INDEX(Signals!O$5:O$25,Playbook!$C11),kk,Playbook!$E11,sb,IF(kk="",0,INDEX(Signals!O$5:O$25,kk)),okb,IF(kk="",TRUE,IF(Playbook!$F11="&lt;",sb&lt;Playbook!$G11,sb&gt;=Playbook!$G11)),inst,IF(Playbook!$H11="Any","Yes",INDEX('Country Profile'!O$32:O$37,MATCH(Playbook!$H11,'Country Profile'!$B$32:$B$37,0))),IF(AND(s&gt;=Playbook!$D11,okb,inst="Yes"),ROUND(s,0),""))</f>
        <v/>
      </c>
      <c r="P11" s="26" t="str">
        <f t="array" ref="P11">LET(s,INDEX(Signals!P$5:P$25,Playbook!$C11),kk,Playbook!$E11,sb,IF(kk="",0,INDEX(Signals!P$5:P$25,kk)),okb,IF(kk="",TRUE,IF(Playbook!$F11="&lt;",sb&lt;Playbook!$G11,sb&gt;=Playbook!$G11)),inst,IF(Playbook!$H11="Any","Yes",INDEX('Country Profile'!P$32:P$37,MATCH(Playbook!$H11,'Country Profile'!$B$32:$B$37,0))),IF(AND(s&gt;=Playbook!$D11,okb,inst="Yes"),ROUND(s,0),""))</f>
        <v/>
      </c>
      <c r="Q11" s="26" t="str">
        <f t="array" ref="Q11">LET(s,INDEX(Signals!Q$5:Q$25,Playbook!$C11),kk,Playbook!$E11,sb,IF(kk="",0,INDEX(Signals!Q$5:Q$25,kk)),okb,IF(kk="",TRUE,IF(Playbook!$F11="&lt;",sb&lt;Playbook!$G11,sb&gt;=Playbook!$G11)),inst,IF(Playbook!$H11="Any","Yes",INDEX('Country Profile'!Q$32:Q$37,MATCH(Playbook!$H11,'Country Profile'!$B$32:$B$37,0))),IF(AND(s&gt;=Playbook!$D11,okb,inst="Yes"),ROUND(s,0),""))</f>
        <v/>
      </c>
      <c r="R11" s="26" t="str">
        <f t="array" ref="R11">LET(s,INDEX(Signals!R$5:R$25,Playbook!$C11),kk,Playbook!$E11,sb,IF(kk="",0,INDEX(Signals!R$5:R$25,kk)),okb,IF(kk="",TRUE,IF(Playbook!$F11="&lt;",sb&lt;Playbook!$G11,sb&gt;=Playbook!$G11)),inst,IF(Playbook!$H11="Any","Yes",INDEX('Country Profile'!R$32:R$37,MATCH(Playbook!$H11,'Country Profile'!$B$32:$B$37,0))),IF(AND(s&gt;=Playbook!$D11,okb,inst="Yes"),ROUND(s,0),""))</f>
        <v/>
      </c>
      <c r="S11" s="26" t="str">
        <f t="array" ref="S11">LET(s,INDEX(Signals!S$5:S$25,Playbook!$C11),kk,Playbook!$E11,sb,IF(kk="",0,INDEX(Signals!S$5:S$25,kk)),okb,IF(kk="",TRUE,IF(Playbook!$F11="&lt;",sb&lt;Playbook!$G11,sb&gt;=Playbook!$G11)),inst,IF(Playbook!$H11="Any","Yes",INDEX('Country Profile'!S$32:S$37,MATCH(Playbook!$H11,'Country Profile'!$B$32:$B$37,0))),IF(AND(s&gt;=Playbook!$D11,okb,inst="Yes"),ROUND(s,0),""))</f>
        <v/>
      </c>
      <c r="T11" s="26" t="str">
        <f t="array" ref="T11">LET(s,INDEX(Signals!T$5:T$25,Playbook!$C11),kk,Playbook!$E11,sb,IF(kk="",0,INDEX(Signals!T$5:T$25,kk)),okb,IF(kk="",TRUE,IF(Playbook!$F11="&lt;",sb&lt;Playbook!$G11,sb&gt;=Playbook!$G11)),inst,IF(Playbook!$H11="Any","Yes",INDEX('Country Profile'!T$32:T$37,MATCH(Playbook!$H11,'Country Profile'!$B$32:$B$37,0))),IF(AND(s&gt;=Playbook!$D11,okb,inst="Yes"),ROUND(s,0),""))</f>
        <v/>
      </c>
      <c r="U11" s="26" t="str">
        <f t="array" ref="U11">LET(s,INDEX(Signals!U$5:U$25,Playbook!$C11),kk,Playbook!$E11,sb,IF(kk="",0,INDEX(Signals!U$5:U$25,kk)),okb,IF(kk="",TRUE,IF(Playbook!$F11="&lt;",sb&lt;Playbook!$G11,sb&gt;=Playbook!$G11)),inst,IF(Playbook!$H11="Any","Yes",INDEX('Country Profile'!U$32:U$37,MATCH(Playbook!$H11,'Country Profile'!$B$32:$B$37,0))),IF(AND(s&gt;=Playbook!$D11,okb,inst="Yes"),ROUND(s,0),""))</f>
        <v/>
      </c>
      <c r="V11" s="26" t="str">
        <f t="array" ref="V11">LET(s,INDEX(Signals!V$5:V$25,Playbook!$C11),kk,Playbook!$E11,sb,IF(kk="",0,INDEX(Signals!V$5:V$25,kk)),okb,IF(kk="",TRUE,IF(Playbook!$F11="&lt;",sb&lt;Playbook!$G11,sb&gt;=Playbook!$G11)),inst,IF(Playbook!$H11="Any","Yes",INDEX('Country Profile'!V$32:V$37,MATCH(Playbook!$H11,'Country Profile'!$B$32:$B$37,0))),IF(AND(s&gt;=Playbook!$D11,okb,inst="Yes"),ROUND(s,0),""))</f>
        <v/>
      </c>
    </row>
    <row r="12">
      <c r="A12" s="26" t="s">
        <v>1072</v>
      </c>
      <c r="B12" s="26" t="s">
        <v>1073</v>
      </c>
      <c r="C12" s="26">
        <v>7.0</v>
      </c>
      <c r="D12" s="26" t="s">
        <v>964</v>
      </c>
      <c r="E12" s="26" t="str">
        <f t="array" ref="E12">LET(s,INDEX(Signals!E$5:E$25,Playbook!$C12),kk,Playbook!$E12,sb,IF(kk="",0,INDEX(Signals!E$5:E$25,kk)),okb,IF(kk="",TRUE,IF(Playbook!$F12="&lt;",sb&lt;Playbook!$G12,sb&gt;=Playbook!$G12)),inst,IF(Playbook!$H12="Any","Yes",INDEX('Country Profile'!E$32:E$37,MATCH(Playbook!$H12,'Country Profile'!$B$32:$B$37,0))),IF(AND(s&gt;=Playbook!$D12,okb,inst="Yes"),ROUND(s,0),""))</f>
        <v/>
      </c>
      <c r="F12" s="26" t="str">
        <f t="array" ref="F12">LET(s,INDEX(Signals!F$5:F$25,Playbook!$C12),kk,Playbook!$E12,sb,IF(kk="",0,INDEX(Signals!F$5:F$25,kk)),okb,IF(kk="",TRUE,IF(Playbook!$F12="&lt;",sb&lt;Playbook!$G12,sb&gt;=Playbook!$G12)),inst,IF(Playbook!$H12="Any","Yes",INDEX('Country Profile'!F$32:F$37,MATCH(Playbook!$H12,'Country Profile'!$B$32:$B$37,0))),IF(AND(s&gt;=Playbook!$D12,okb,inst="Yes"),ROUND(s,0),""))</f>
        <v/>
      </c>
      <c r="G12" s="26" t="str">
        <f t="array" ref="G12">LET(s,INDEX(Signals!G$5:G$25,Playbook!$C12),kk,Playbook!$E12,sb,IF(kk="",0,INDEX(Signals!G$5:G$25,kk)),okb,IF(kk="",TRUE,IF(Playbook!$F12="&lt;",sb&lt;Playbook!$G12,sb&gt;=Playbook!$G12)),inst,IF(Playbook!$H12="Any","Yes",INDEX('Country Profile'!G$32:G$37,MATCH(Playbook!$H12,'Country Profile'!$B$32:$B$37,0))),IF(AND(s&gt;=Playbook!$D12,okb,inst="Yes"),ROUND(s,0),""))</f>
        <v/>
      </c>
      <c r="H12" s="26" t="str">
        <f t="array" ref="H12">LET(s,INDEX(Signals!H$5:H$25,Playbook!$C12),kk,Playbook!$E12,sb,IF(kk="",0,INDEX(Signals!H$5:H$25,kk)),okb,IF(kk="",TRUE,IF(Playbook!$F12="&lt;",sb&lt;Playbook!$G12,sb&gt;=Playbook!$G12)),inst,IF(Playbook!$H12="Any","Yes",INDEX('Country Profile'!H$32:H$37,MATCH(Playbook!$H12,'Country Profile'!$B$32:$B$37,0))),IF(AND(s&gt;=Playbook!$D12,okb,inst="Yes"),ROUND(s,0),""))</f>
        <v/>
      </c>
      <c r="I12" s="26" t="str">
        <f t="array" ref="I12">LET(s,INDEX(Signals!I$5:I$25,Playbook!$C12),kk,Playbook!$E12,sb,IF(kk="",0,INDEX(Signals!I$5:I$25,kk)),okb,IF(kk="",TRUE,IF(Playbook!$F12="&lt;",sb&lt;Playbook!$G12,sb&gt;=Playbook!$G12)),inst,IF(Playbook!$H12="Any","Yes",INDEX('Country Profile'!I$32:I$37,MATCH(Playbook!$H12,'Country Profile'!$B$32:$B$37,0))),IF(AND(s&gt;=Playbook!$D12,okb,inst="Yes"),ROUND(s,0),""))</f>
        <v/>
      </c>
      <c r="J12" s="26" t="str">
        <f t="array" ref="J12">LET(s,INDEX(Signals!J$5:J$25,Playbook!$C12),kk,Playbook!$E12,sb,IF(kk="",0,INDEX(Signals!J$5:J$25,kk)),okb,IF(kk="",TRUE,IF(Playbook!$F12="&lt;",sb&lt;Playbook!$G12,sb&gt;=Playbook!$G12)),inst,IF(Playbook!$H12="Any","Yes",INDEX('Country Profile'!J$32:J$37,MATCH(Playbook!$H12,'Country Profile'!$B$32:$B$37,0))),IF(AND(s&gt;=Playbook!$D12,okb,inst="Yes"),ROUND(s,0),""))</f>
        <v/>
      </c>
      <c r="K12" s="26" t="str">
        <f t="array" ref="K12">LET(s,INDEX(Signals!K$5:K$25,Playbook!$C12),kk,Playbook!$E12,sb,IF(kk="",0,INDEX(Signals!K$5:K$25,kk)),okb,IF(kk="",TRUE,IF(Playbook!$F12="&lt;",sb&lt;Playbook!$G12,sb&gt;=Playbook!$G12)),inst,IF(Playbook!$H12="Any","Yes",INDEX('Country Profile'!K$32:K$37,MATCH(Playbook!$H12,'Country Profile'!$B$32:$B$37,0))),IF(AND(s&gt;=Playbook!$D12,okb,inst="Yes"),ROUND(s,0),""))</f>
        <v/>
      </c>
      <c r="L12" s="26" t="str">
        <f t="array" ref="L12">LET(s,INDEX(Signals!L$5:L$25,Playbook!$C12),kk,Playbook!$E12,sb,IF(kk="",0,INDEX(Signals!L$5:L$25,kk)),okb,IF(kk="",TRUE,IF(Playbook!$F12="&lt;",sb&lt;Playbook!$G12,sb&gt;=Playbook!$G12)),inst,IF(Playbook!$H12="Any","Yes",INDEX('Country Profile'!L$32:L$37,MATCH(Playbook!$H12,'Country Profile'!$B$32:$B$37,0))),IF(AND(s&gt;=Playbook!$D12,okb,inst="Yes"),ROUND(s,0),""))</f>
        <v/>
      </c>
      <c r="M12" s="26" t="str">
        <f t="array" ref="M12">LET(s,INDEX(Signals!M$5:M$25,Playbook!$C12),kk,Playbook!$E12,sb,IF(kk="",0,INDEX(Signals!M$5:M$25,kk)),okb,IF(kk="",TRUE,IF(Playbook!$F12="&lt;",sb&lt;Playbook!$G12,sb&gt;=Playbook!$G12)),inst,IF(Playbook!$H12="Any","Yes",INDEX('Country Profile'!M$32:M$37,MATCH(Playbook!$H12,'Country Profile'!$B$32:$B$37,0))),IF(AND(s&gt;=Playbook!$D12,okb,inst="Yes"),ROUND(s,0),""))</f>
        <v/>
      </c>
      <c r="N12" s="26" t="str">
        <f t="array" ref="N12">LET(s,INDEX(Signals!N$5:N$25,Playbook!$C12),kk,Playbook!$E12,sb,IF(kk="",0,INDEX(Signals!N$5:N$25,kk)),okb,IF(kk="",TRUE,IF(Playbook!$F12="&lt;",sb&lt;Playbook!$G12,sb&gt;=Playbook!$G12)),inst,IF(Playbook!$H12="Any","Yes",INDEX('Country Profile'!N$32:N$37,MATCH(Playbook!$H12,'Country Profile'!$B$32:$B$37,0))),IF(AND(s&gt;=Playbook!$D12,okb,inst="Yes"),ROUND(s,0),""))</f>
        <v/>
      </c>
      <c r="O12" s="26" t="str">
        <f t="array" ref="O12">LET(s,INDEX(Signals!O$5:O$25,Playbook!$C12),kk,Playbook!$E12,sb,IF(kk="",0,INDEX(Signals!O$5:O$25,kk)),okb,IF(kk="",TRUE,IF(Playbook!$F12="&lt;",sb&lt;Playbook!$G12,sb&gt;=Playbook!$G12)),inst,IF(Playbook!$H12="Any","Yes",INDEX('Country Profile'!O$32:O$37,MATCH(Playbook!$H12,'Country Profile'!$B$32:$B$37,0))),IF(AND(s&gt;=Playbook!$D12,okb,inst="Yes"),ROUND(s,0),""))</f>
        <v/>
      </c>
      <c r="P12" s="26" t="str">
        <f t="array" ref="P12">LET(s,INDEX(Signals!P$5:P$25,Playbook!$C12),kk,Playbook!$E12,sb,IF(kk="",0,INDEX(Signals!P$5:P$25,kk)),okb,IF(kk="",TRUE,IF(Playbook!$F12="&lt;",sb&lt;Playbook!$G12,sb&gt;=Playbook!$G12)),inst,IF(Playbook!$H12="Any","Yes",INDEX('Country Profile'!P$32:P$37,MATCH(Playbook!$H12,'Country Profile'!$B$32:$B$37,0))),IF(AND(s&gt;=Playbook!$D12,okb,inst="Yes"),ROUND(s,0),""))</f>
        <v/>
      </c>
      <c r="Q12" s="26" t="str">
        <f t="array" ref="Q12">LET(s,INDEX(Signals!Q$5:Q$25,Playbook!$C12),kk,Playbook!$E12,sb,IF(kk="",0,INDEX(Signals!Q$5:Q$25,kk)),okb,IF(kk="",TRUE,IF(Playbook!$F12="&lt;",sb&lt;Playbook!$G12,sb&gt;=Playbook!$G12)),inst,IF(Playbook!$H12="Any","Yes",INDEX('Country Profile'!Q$32:Q$37,MATCH(Playbook!$H12,'Country Profile'!$B$32:$B$37,0))),IF(AND(s&gt;=Playbook!$D12,okb,inst="Yes"),ROUND(s,0),""))</f>
        <v/>
      </c>
      <c r="R12" s="26" t="str">
        <f t="array" ref="R12">LET(s,INDEX(Signals!R$5:R$25,Playbook!$C12),kk,Playbook!$E12,sb,IF(kk="",0,INDEX(Signals!R$5:R$25,kk)),okb,IF(kk="",TRUE,IF(Playbook!$F12="&lt;",sb&lt;Playbook!$G12,sb&gt;=Playbook!$G12)),inst,IF(Playbook!$H12="Any","Yes",INDEX('Country Profile'!R$32:R$37,MATCH(Playbook!$H12,'Country Profile'!$B$32:$B$37,0))),IF(AND(s&gt;=Playbook!$D12,okb,inst="Yes"),ROUND(s,0),""))</f>
        <v/>
      </c>
      <c r="S12" s="26" t="str">
        <f t="array" ref="S12">LET(s,INDEX(Signals!S$5:S$25,Playbook!$C12),kk,Playbook!$E12,sb,IF(kk="",0,INDEX(Signals!S$5:S$25,kk)),okb,IF(kk="",TRUE,IF(Playbook!$F12="&lt;",sb&lt;Playbook!$G12,sb&gt;=Playbook!$G12)),inst,IF(Playbook!$H12="Any","Yes",INDEX('Country Profile'!S$32:S$37,MATCH(Playbook!$H12,'Country Profile'!$B$32:$B$37,0))),IF(AND(s&gt;=Playbook!$D12,okb,inst="Yes"),ROUND(s,0),""))</f>
        <v/>
      </c>
      <c r="T12" s="26" t="str">
        <f t="array" ref="T12">LET(s,INDEX(Signals!T$5:T$25,Playbook!$C12),kk,Playbook!$E12,sb,IF(kk="",0,INDEX(Signals!T$5:T$25,kk)),okb,IF(kk="",TRUE,IF(Playbook!$F12="&lt;",sb&lt;Playbook!$G12,sb&gt;=Playbook!$G12)),inst,IF(Playbook!$H12="Any","Yes",INDEX('Country Profile'!T$32:T$37,MATCH(Playbook!$H12,'Country Profile'!$B$32:$B$37,0))),IF(AND(s&gt;=Playbook!$D12,okb,inst="Yes"),ROUND(s,0),""))</f>
        <v/>
      </c>
      <c r="U12" s="26" t="str">
        <f t="array" ref="U12">LET(s,INDEX(Signals!U$5:U$25,Playbook!$C12),kk,Playbook!$E12,sb,IF(kk="",0,INDEX(Signals!U$5:U$25,kk)),okb,IF(kk="",TRUE,IF(Playbook!$F12="&lt;",sb&lt;Playbook!$G12,sb&gt;=Playbook!$G12)),inst,IF(Playbook!$H12="Any","Yes",INDEX('Country Profile'!U$32:U$37,MATCH(Playbook!$H12,'Country Profile'!$B$32:$B$37,0))),IF(AND(s&gt;=Playbook!$D12,okb,inst="Yes"),ROUND(s,0),""))</f>
        <v/>
      </c>
      <c r="V12" s="26" t="str">
        <f t="array" ref="V12">LET(s,INDEX(Signals!V$5:V$25,Playbook!$C12),kk,Playbook!$E12,sb,IF(kk="",0,INDEX(Signals!V$5:V$25,kk)),okb,IF(kk="",TRUE,IF(Playbook!$F12="&lt;",sb&lt;Playbook!$G12,sb&gt;=Playbook!$G12)),inst,IF(Playbook!$H12="Any","Yes",INDEX('Country Profile'!V$32:V$37,MATCH(Playbook!$H12,'Country Profile'!$B$32:$B$37,0))),IF(AND(s&gt;=Playbook!$D12,okb,inst="Yes"),ROUND(s,0),""))</f>
        <v/>
      </c>
    </row>
    <row r="13">
      <c r="A13" s="26" t="s">
        <v>1079</v>
      </c>
      <c r="B13" s="26" t="s">
        <v>1080</v>
      </c>
      <c r="C13" s="26">
        <v>8.0</v>
      </c>
      <c r="D13" s="26" t="s">
        <v>979</v>
      </c>
      <c r="E13" s="26" t="str">
        <f t="array" ref="E13">LET(s,INDEX(Signals!E$5:E$25,Playbook!$C13),kk,Playbook!$E13,sb,IF(kk="",0,INDEX(Signals!E$5:E$25,kk)),okb,IF(kk="",TRUE,IF(Playbook!$F13="&lt;",sb&lt;Playbook!$G13,sb&gt;=Playbook!$G13)),inst,IF(Playbook!$H13="Any","Yes",INDEX('Country Profile'!E$32:E$37,MATCH(Playbook!$H13,'Country Profile'!$B$32:$B$37,0))),IF(AND(s&gt;=Playbook!$D13,okb,inst="Yes"),ROUND(s,0),""))</f>
        <v/>
      </c>
      <c r="F13" s="26" t="str">
        <f t="array" ref="F13">LET(s,INDEX(Signals!F$5:F$25,Playbook!$C13),kk,Playbook!$E13,sb,IF(kk="",0,INDEX(Signals!F$5:F$25,kk)),okb,IF(kk="",TRUE,IF(Playbook!$F13="&lt;",sb&lt;Playbook!$G13,sb&gt;=Playbook!$G13)),inst,IF(Playbook!$H13="Any","Yes",INDEX('Country Profile'!F$32:F$37,MATCH(Playbook!$H13,'Country Profile'!$B$32:$B$37,0))),IF(AND(s&gt;=Playbook!$D13,okb,inst="Yes"),ROUND(s,0),""))</f>
        <v/>
      </c>
      <c r="G13" s="26" t="str">
        <f t="array" ref="G13">LET(s,INDEX(Signals!G$5:G$25,Playbook!$C13),kk,Playbook!$E13,sb,IF(kk="",0,INDEX(Signals!G$5:G$25,kk)),okb,IF(kk="",TRUE,IF(Playbook!$F13="&lt;",sb&lt;Playbook!$G13,sb&gt;=Playbook!$G13)),inst,IF(Playbook!$H13="Any","Yes",INDEX('Country Profile'!G$32:G$37,MATCH(Playbook!$H13,'Country Profile'!$B$32:$B$37,0))),IF(AND(s&gt;=Playbook!$D13,okb,inst="Yes"),ROUND(s,0),""))</f>
        <v/>
      </c>
      <c r="H13" s="26" t="str">
        <f t="array" ref="H13">LET(s,INDEX(Signals!H$5:H$25,Playbook!$C13),kk,Playbook!$E13,sb,IF(kk="",0,INDEX(Signals!H$5:H$25,kk)),okb,IF(kk="",TRUE,IF(Playbook!$F13="&lt;",sb&lt;Playbook!$G13,sb&gt;=Playbook!$G13)),inst,IF(Playbook!$H13="Any","Yes",INDEX('Country Profile'!H$32:H$37,MATCH(Playbook!$H13,'Country Profile'!$B$32:$B$37,0))),IF(AND(s&gt;=Playbook!$D13,okb,inst="Yes"),ROUND(s,0),""))</f>
        <v/>
      </c>
      <c r="I13" s="26" t="str">
        <f t="array" ref="I13">LET(s,INDEX(Signals!I$5:I$25,Playbook!$C13),kk,Playbook!$E13,sb,IF(kk="",0,INDEX(Signals!I$5:I$25,kk)),okb,IF(kk="",TRUE,IF(Playbook!$F13="&lt;",sb&lt;Playbook!$G13,sb&gt;=Playbook!$G13)),inst,IF(Playbook!$H13="Any","Yes",INDEX('Country Profile'!I$32:I$37,MATCH(Playbook!$H13,'Country Profile'!$B$32:$B$37,0))),IF(AND(s&gt;=Playbook!$D13,okb,inst="Yes"),ROUND(s,0),""))</f>
        <v/>
      </c>
      <c r="J13" s="26" t="str">
        <f t="array" ref="J13">LET(s,INDEX(Signals!J$5:J$25,Playbook!$C13),kk,Playbook!$E13,sb,IF(kk="",0,INDEX(Signals!J$5:J$25,kk)),okb,IF(kk="",TRUE,IF(Playbook!$F13="&lt;",sb&lt;Playbook!$G13,sb&gt;=Playbook!$G13)),inst,IF(Playbook!$H13="Any","Yes",INDEX('Country Profile'!J$32:J$37,MATCH(Playbook!$H13,'Country Profile'!$B$32:$B$37,0))),IF(AND(s&gt;=Playbook!$D13,okb,inst="Yes"),ROUND(s,0),""))</f>
        <v/>
      </c>
      <c r="K13" s="26" t="str">
        <f t="array" ref="K13">LET(s,INDEX(Signals!K$5:K$25,Playbook!$C13),kk,Playbook!$E13,sb,IF(kk="",0,INDEX(Signals!K$5:K$25,kk)),okb,IF(kk="",TRUE,IF(Playbook!$F13="&lt;",sb&lt;Playbook!$G13,sb&gt;=Playbook!$G13)),inst,IF(Playbook!$H13="Any","Yes",INDEX('Country Profile'!K$32:K$37,MATCH(Playbook!$H13,'Country Profile'!$B$32:$B$37,0))),IF(AND(s&gt;=Playbook!$D13,okb,inst="Yes"),ROUND(s,0),""))</f>
        <v/>
      </c>
      <c r="L13" s="26" t="str">
        <f t="array" ref="L13">LET(s,INDEX(Signals!L$5:L$25,Playbook!$C13),kk,Playbook!$E13,sb,IF(kk="",0,INDEX(Signals!L$5:L$25,kk)),okb,IF(kk="",TRUE,IF(Playbook!$F13="&lt;",sb&lt;Playbook!$G13,sb&gt;=Playbook!$G13)),inst,IF(Playbook!$H13="Any","Yes",INDEX('Country Profile'!L$32:L$37,MATCH(Playbook!$H13,'Country Profile'!$B$32:$B$37,0))),IF(AND(s&gt;=Playbook!$D13,okb,inst="Yes"),ROUND(s,0),""))</f>
        <v/>
      </c>
      <c r="M13" s="26" t="str">
        <f t="array" ref="M13">LET(s,INDEX(Signals!M$5:M$25,Playbook!$C13),kk,Playbook!$E13,sb,IF(kk="",0,INDEX(Signals!M$5:M$25,kk)),okb,IF(kk="",TRUE,IF(Playbook!$F13="&lt;",sb&lt;Playbook!$G13,sb&gt;=Playbook!$G13)),inst,IF(Playbook!$H13="Any","Yes",INDEX('Country Profile'!M$32:M$37,MATCH(Playbook!$H13,'Country Profile'!$B$32:$B$37,0))),IF(AND(s&gt;=Playbook!$D13,okb,inst="Yes"),ROUND(s,0),""))</f>
        <v/>
      </c>
      <c r="N13" s="26" t="str">
        <f t="array" ref="N13">LET(s,INDEX(Signals!N$5:N$25,Playbook!$C13),kk,Playbook!$E13,sb,IF(kk="",0,INDEX(Signals!N$5:N$25,kk)),okb,IF(kk="",TRUE,IF(Playbook!$F13="&lt;",sb&lt;Playbook!$G13,sb&gt;=Playbook!$G13)),inst,IF(Playbook!$H13="Any","Yes",INDEX('Country Profile'!N$32:N$37,MATCH(Playbook!$H13,'Country Profile'!$B$32:$B$37,0))),IF(AND(s&gt;=Playbook!$D13,okb,inst="Yes"),ROUND(s,0),""))</f>
        <v/>
      </c>
      <c r="O13" s="35">
        <f t="array" ref="O13">LET(s,INDEX(Signals!O$5:O$25,Playbook!$C13),kk,Playbook!$E13,sb,IF(kk="",0,INDEX(Signals!O$5:O$25,kk)),okb,IF(kk="",TRUE,IF(Playbook!$F13="&lt;",sb&lt;Playbook!$G13,sb&gt;=Playbook!$G13)),inst,IF(Playbook!$H13="Any","Yes",INDEX('Country Profile'!O$32:O$37,MATCH(Playbook!$H13,'Country Profile'!$B$32:$B$37,0))),IF(AND(s&gt;=Playbook!$D13,okb,inst="Yes"),ROUND(s,0),""))</f>
        <v>60</v>
      </c>
      <c r="P13" s="26" t="str">
        <f t="array" ref="P13">LET(s,INDEX(Signals!P$5:P$25,Playbook!$C13),kk,Playbook!$E13,sb,IF(kk="",0,INDEX(Signals!P$5:P$25,kk)),okb,IF(kk="",TRUE,IF(Playbook!$F13="&lt;",sb&lt;Playbook!$G13,sb&gt;=Playbook!$G13)),inst,IF(Playbook!$H13="Any","Yes",INDEX('Country Profile'!P$32:P$37,MATCH(Playbook!$H13,'Country Profile'!$B$32:$B$37,0))),IF(AND(s&gt;=Playbook!$D13,okb,inst="Yes"),ROUND(s,0),""))</f>
        <v/>
      </c>
      <c r="Q13" s="26" t="str">
        <f t="array" ref="Q13">LET(s,INDEX(Signals!Q$5:Q$25,Playbook!$C13),kk,Playbook!$E13,sb,IF(kk="",0,INDEX(Signals!Q$5:Q$25,kk)),okb,IF(kk="",TRUE,IF(Playbook!$F13="&lt;",sb&lt;Playbook!$G13,sb&gt;=Playbook!$G13)),inst,IF(Playbook!$H13="Any","Yes",INDEX('Country Profile'!Q$32:Q$37,MATCH(Playbook!$H13,'Country Profile'!$B$32:$B$37,0))),IF(AND(s&gt;=Playbook!$D13,okb,inst="Yes"),ROUND(s,0),""))</f>
        <v/>
      </c>
      <c r="R13" s="26" t="str">
        <f t="array" ref="R13">LET(s,INDEX(Signals!R$5:R$25,Playbook!$C13),kk,Playbook!$E13,sb,IF(kk="",0,INDEX(Signals!R$5:R$25,kk)),okb,IF(kk="",TRUE,IF(Playbook!$F13="&lt;",sb&lt;Playbook!$G13,sb&gt;=Playbook!$G13)),inst,IF(Playbook!$H13="Any","Yes",INDEX('Country Profile'!R$32:R$37,MATCH(Playbook!$H13,'Country Profile'!$B$32:$B$37,0))),IF(AND(s&gt;=Playbook!$D13,okb,inst="Yes"),ROUND(s,0),""))</f>
        <v/>
      </c>
      <c r="S13" s="26" t="str">
        <f t="array" ref="S13">LET(s,INDEX(Signals!S$5:S$25,Playbook!$C13),kk,Playbook!$E13,sb,IF(kk="",0,INDEX(Signals!S$5:S$25,kk)),okb,IF(kk="",TRUE,IF(Playbook!$F13="&lt;",sb&lt;Playbook!$G13,sb&gt;=Playbook!$G13)),inst,IF(Playbook!$H13="Any","Yes",INDEX('Country Profile'!S$32:S$37,MATCH(Playbook!$H13,'Country Profile'!$B$32:$B$37,0))),IF(AND(s&gt;=Playbook!$D13,okb,inst="Yes"),ROUND(s,0),""))</f>
        <v/>
      </c>
      <c r="T13" s="26" t="str">
        <f t="array" ref="T13">LET(s,INDEX(Signals!T$5:T$25,Playbook!$C13),kk,Playbook!$E13,sb,IF(kk="",0,INDEX(Signals!T$5:T$25,kk)),okb,IF(kk="",TRUE,IF(Playbook!$F13="&lt;",sb&lt;Playbook!$G13,sb&gt;=Playbook!$G13)),inst,IF(Playbook!$H13="Any","Yes",INDEX('Country Profile'!T$32:T$37,MATCH(Playbook!$H13,'Country Profile'!$B$32:$B$37,0))),IF(AND(s&gt;=Playbook!$D13,okb,inst="Yes"),ROUND(s,0),""))</f>
        <v/>
      </c>
      <c r="U13" s="26" t="str">
        <f t="array" ref="U13">LET(s,INDEX(Signals!U$5:U$25,Playbook!$C13),kk,Playbook!$E13,sb,IF(kk="",0,INDEX(Signals!U$5:U$25,kk)),okb,IF(kk="",TRUE,IF(Playbook!$F13="&lt;",sb&lt;Playbook!$G13,sb&gt;=Playbook!$G13)),inst,IF(Playbook!$H13="Any","Yes",INDEX('Country Profile'!U$32:U$37,MATCH(Playbook!$H13,'Country Profile'!$B$32:$B$37,0))),IF(AND(s&gt;=Playbook!$D13,okb,inst="Yes"),ROUND(s,0),""))</f>
        <v/>
      </c>
      <c r="V13" s="26" t="str">
        <f t="array" ref="V13">LET(s,INDEX(Signals!V$5:V$25,Playbook!$C13),kk,Playbook!$E13,sb,IF(kk="",0,INDEX(Signals!V$5:V$25,kk)),okb,IF(kk="",TRUE,IF(Playbook!$F13="&lt;",sb&lt;Playbook!$G13,sb&gt;=Playbook!$G13)),inst,IF(Playbook!$H13="Any","Yes",INDEX('Country Profile'!V$32:V$37,MATCH(Playbook!$H13,'Country Profile'!$B$32:$B$37,0))),IF(AND(s&gt;=Playbook!$D13,okb,inst="Yes"),ROUND(s,0),""))</f>
        <v/>
      </c>
    </row>
    <row r="14">
      <c r="A14" s="26" t="s">
        <v>1086</v>
      </c>
      <c r="B14" s="26" t="s">
        <v>1087</v>
      </c>
      <c r="C14" s="26">
        <v>9.0</v>
      </c>
      <c r="D14" s="26" t="s">
        <v>964</v>
      </c>
      <c r="E14" s="26" t="str">
        <f t="array" ref="E14">LET(s,INDEX(Signals!E$5:E$25,Playbook!$C14),kk,Playbook!$E14,sb,IF(kk="",0,INDEX(Signals!E$5:E$25,kk)),okb,IF(kk="",TRUE,IF(Playbook!$F14="&lt;",sb&lt;Playbook!$G14,sb&gt;=Playbook!$G14)),inst,IF(Playbook!$H14="Any","Yes",INDEX('Country Profile'!E$32:E$37,MATCH(Playbook!$H14,'Country Profile'!$B$32:$B$37,0))),IF(AND(s&gt;=Playbook!$D14,okb,inst="Yes"),ROUND(s,0),""))</f>
        <v/>
      </c>
      <c r="F14" s="26" t="str">
        <f t="array" ref="F14">LET(s,INDEX(Signals!F$5:F$25,Playbook!$C14),kk,Playbook!$E14,sb,IF(kk="",0,INDEX(Signals!F$5:F$25,kk)),okb,IF(kk="",TRUE,IF(Playbook!$F14="&lt;",sb&lt;Playbook!$G14,sb&gt;=Playbook!$G14)),inst,IF(Playbook!$H14="Any","Yes",INDEX('Country Profile'!F$32:F$37,MATCH(Playbook!$H14,'Country Profile'!$B$32:$B$37,0))),IF(AND(s&gt;=Playbook!$D14,okb,inst="Yes"),ROUND(s,0),""))</f>
        <v/>
      </c>
      <c r="G14" s="26" t="str">
        <f t="array" ref="G14">LET(s,INDEX(Signals!G$5:G$25,Playbook!$C14),kk,Playbook!$E14,sb,IF(kk="",0,INDEX(Signals!G$5:G$25,kk)),okb,IF(kk="",TRUE,IF(Playbook!$F14="&lt;",sb&lt;Playbook!$G14,sb&gt;=Playbook!$G14)),inst,IF(Playbook!$H14="Any","Yes",INDEX('Country Profile'!G$32:G$37,MATCH(Playbook!$H14,'Country Profile'!$B$32:$B$37,0))),IF(AND(s&gt;=Playbook!$D14,okb,inst="Yes"),ROUND(s,0),""))</f>
        <v/>
      </c>
      <c r="H14" s="26" t="str">
        <f t="array" ref="H14">LET(s,INDEX(Signals!H$5:H$25,Playbook!$C14),kk,Playbook!$E14,sb,IF(kk="",0,INDEX(Signals!H$5:H$25,kk)),okb,IF(kk="",TRUE,IF(Playbook!$F14="&lt;",sb&lt;Playbook!$G14,sb&gt;=Playbook!$G14)),inst,IF(Playbook!$H14="Any","Yes",INDEX('Country Profile'!H$32:H$37,MATCH(Playbook!$H14,'Country Profile'!$B$32:$B$37,0))),IF(AND(s&gt;=Playbook!$D14,okb,inst="Yes"),ROUND(s,0),""))</f>
        <v/>
      </c>
      <c r="I14" s="26" t="str">
        <f t="array" ref="I14">LET(s,INDEX(Signals!I$5:I$25,Playbook!$C14),kk,Playbook!$E14,sb,IF(kk="",0,INDEX(Signals!I$5:I$25,kk)),okb,IF(kk="",TRUE,IF(Playbook!$F14="&lt;",sb&lt;Playbook!$G14,sb&gt;=Playbook!$G14)),inst,IF(Playbook!$H14="Any","Yes",INDEX('Country Profile'!I$32:I$37,MATCH(Playbook!$H14,'Country Profile'!$B$32:$B$37,0))),IF(AND(s&gt;=Playbook!$D14,okb,inst="Yes"),ROUND(s,0),""))</f>
        <v/>
      </c>
      <c r="J14" s="26" t="str">
        <f t="array" ref="J14">LET(s,INDEX(Signals!J$5:J$25,Playbook!$C14),kk,Playbook!$E14,sb,IF(kk="",0,INDEX(Signals!J$5:J$25,kk)),okb,IF(kk="",TRUE,IF(Playbook!$F14="&lt;",sb&lt;Playbook!$G14,sb&gt;=Playbook!$G14)),inst,IF(Playbook!$H14="Any","Yes",INDEX('Country Profile'!J$32:J$37,MATCH(Playbook!$H14,'Country Profile'!$B$32:$B$37,0))),IF(AND(s&gt;=Playbook!$D14,okb,inst="Yes"),ROUND(s,0),""))</f>
        <v/>
      </c>
      <c r="K14" s="26" t="str">
        <f t="array" ref="K14">LET(s,INDEX(Signals!K$5:K$25,Playbook!$C14),kk,Playbook!$E14,sb,IF(kk="",0,INDEX(Signals!K$5:K$25,kk)),okb,IF(kk="",TRUE,IF(Playbook!$F14="&lt;",sb&lt;Playbook!$G14,sb&gt;=Playbook!$G14)),inst,IF(Playbook!$H14="Any","Yes",INDEX('Country Profile'!K$32:K$37,MATCH(Playbook!$H14,'Country Profile'!$B$32:$B$37,0))),IF(AND(s&gt;=Playbook!$D14,okb,inst="Yes"),ROUND(s,0),""))</f>
        <v/>
      </c>
      <c r="L14" s="26" t="str">
        <f t="array" ref="L14">LET(s,INDEX(Signals!L$5:L$25,Playbook!$C14),kk,Playbook!$E14,sb,IF(kk="",0,INDEX(Signals!L$5:L$25,kk)),okb,IF(kk="",TRUE,IF(Playbook!$F14="&lt;",sb&lt;Playbook!$G14,sb&gt;=Playbook!$G14)),inst,IF(Playbook!$H14="Any","Yes",INDEX('Country Profile'!L$32:L$37,MATCH(Playbook!$H14,'Country Profile'!$B$32:$B$37,0))),IF(AND(s&gt;=Playbook!$D14,okb,inst="Yes"),ROUND(s,0),""))</f>
        <v/>
      </c>
      <c r="M14" s="26" t="str">
        <f t="array" ref="M14">LET(s,INDEX(Signals!M$5:M$25,Playbook!$C14),kk,Playbook!$E14,sb,IF(kk="",0,INDEX(Signals!M$5:M$25,kk)),okb,IF(kk="",TRUE,IF(Playbook!$F14="&lt;",sb&lt;Playbook!$G14,sb&gt;=Playbook!$G14)),inst,IF(Playbook!$H14="Any","Yes",INDEX('Country Profile'!M$32:M$37,MATCH(Playbook!$H14,'Country Profile'!$B$32:$B$37,0))),IF(AND(s&gt;=Playbook!$D14,okb,inst="Yes"),ROUND(s,0),""))</f>
        <v/>
      </c>
      <c r="N14" s="26" t="str">
        <f t="array" ref="N14">LET(s,INDEX(Signals!N$5:N$25,Playbook!$C14),kk,Playbook!$E14,sb,IF(kk="",0,INDEX(Signals!N$5:N$25,kk)),okb,IF(kk="",TRUE,IF(Playbook!$F14="&lt;",sb&lt;Playbook!$G14,sb&gt;=Playbook!$G14)),inst,IF(Playbook!$H14="Any","Yes",INDEX('Country Profile'!N$32:N$37,MATCH(Playbook!$H14,'Country Profile'!$B$32:$B$37,0))),IF(AND(s&gt;=Playbook!$D14,okb,inst="Yes"),ROUND(s,0),""))</f>
        <v/>
      </c>
      <c r="O14" s="26" t="str">
        <f t="array" ref="O14">LET(s,INDEX(Signals!O$5:O$25,Playbook!$C14),kk,Playbook!$E14,sb,IF(kk="",0,INDEX(Signals!O$5:O$25,kk)),okb,IF(kk="",TRUE,IF(Playbook!$F14="&lt;",sb&lt;Playbook!$G14,sb&gt;=Playbook!$G14)),inst,IF(Playbook!$H14="Any","Yes",INDEX('Country Profile'!O$32:O$37,MATCH(Playbook!$H14,'Country Profile'!$B$32:$B$37,0))),IF(AND(s&gt;=Playbook!$D14,okb,inst="Yes"),ROUND(s,0),""))</f>
        <v/>
      </c>
      <c r="P14" s="26" t="str">
        <f t="array" ref="P14">LET(s,INDEX(Signals!P$5:P$25,Playbook!$C14),kk,Playbook!$E14,sb,IF(kk="",0,INDEX(Signals!P$5:P$25,kk)),okb,IF(kk="",TRUE,IF(Playbook!$F14="&lt;",sb&lt;Playbook!$G14,sb&gt;=Playbook!$G14)),inst,IF(Playbook!$H14="Any","Yes",INDEX('Country Profile'!P$32:P$37,MATCH(Playbook!$H14,'Country Profile'!$B$32:$B$37,0))),IF(AND(s&gt;=Playbook!$D14,okb,inst="Yes"),ROUND(s,0),""))</f>
        <v/>
      </c>
      <c r="Q14" s="26" t="str">
        <f t="array" ref="Q14">LET(s,INDEX(Signals!Q$5:Q$25,Playbook!$C14),kk,Playbook!$E14,sb,IF(kk="",0,INDEX(Signals!Q$5:Q$25,kk)),okb,IF(kk="",TRUE,IF(Playbook!$F14="&lt;",sb&lt;Playbook!$G14,sb&gt;=Playbook!$G14)),inst,IF(Playbook!$H14="Any","Yes",INDEX('Country Profile'!Q$32:Q$37,MATCH(Playbook!$H14,'Country Profile'!$B$32:$B$37,0))),IF(AND(s&gt;=Playbook!$D14,okb,inst="Yes"),ROUND(s,0),""))</f>
        <v/>
      </c>
      <c r="R14" s="26" t="str">
        <f t="array" ref="R14">LET(s,INDEX(Signals!R$5:R$25,Playbook!$C14),kk,Playbook!$E14,sb,IF(kk="",0,INDEX(Signals!R$5:R$25,kk)),okb,IF(kk="",TRUE,IF(Playbook!$F14="&lt;",sb&lt;Playbook!$G14,sb&gt;=Playbook!$G14)),inst,IF(Playbook!$H14="Any","Yes",INDEX('Country Profile'!R$32:R$37,MATCH(Playbook!$H14,'Country Profile'!$B$32:$B$37,0))),IF(AND(s&gt;=Playbook!$D14,okb,inst="Yes"),ROUND(s,0),""))</f>
        <v/>
      </c>
      <c r="S14" s="26" t="str">
        <f t="array" ref="S14">LET(s,INDEX(Signals!S$5:S$25,Playbook!$C14),kk,Playbook!$E14,sb,IF(kk="",0,INDEX(Signals!S$5:S$25,kk)),okb,IF(kk="",TRUE,IF(Playbook!$F14="&lt;",sb&lt;Playbook!$G14,sb&gt;=Playbook!$G14)),inst,IF(Playbook!$H14="Any","Yes",INDEX('Country Profile'!S$32:S$37,MATCH(Playbook!$H14,'Country Profile'!$B$32:$B$37,0))),IF(AND(s&gt;=Playbook!$D14,okb,inst="Yes"),ROUND(s,0),""))</f>
        <v/>
      </c>
      <c r="T14" s="26" t="str">
        <f t="array" ref="T14">LET(s,INDEX(Signals!T$5:T$25,Playbook!$C14),kk,Playbook!$E14,sb,IF(kk="",0,INDEX(Signals!T$5:T$25,kk)),okb,IF(kk="",TRUE,IF(Playbook!$F14="&lt;",sb&lt;Playbook!$G14,sb&gt;=Playbook!$G14)),inst,IF(Playbook!$H14="Any","Yes",INDEX('Country Profile'!T$32:T$37,MATCH(Playbook!$H14,'Country Profile'!$B$32:$B$37,0))),IF(AND(s&gt;=Playbook!$D14,okb,inst="Yes"),ROUND(s,0),""))</f>
        <v/>
      </c>
      <c r="U14" s="26" t="str">
        <f t="array" ref="U14">LET(s,INDEX(Signals!U$5:U$25,Playbook!$C14),kk,Playbook!$E14,sb,IF(kk="",0,INDEX(Signals!U$5:U$25,kk)),okb,IF(kk="",TRUE,IF(Playbook!$F14="&lt;",sb&lt;Playbook!$G14,sb&gt;=Playbook!$G14)),inst,IF(Playbook!$H14="Any","Yes",INDEX('Country Profile'!U$32:U$37,MATCH(Playbook!$H14,'Country Profile'!$B$32:$B$37,0))),IF(AND(s&gt;=Playbook!$D14,okb,inst="Yes"),ROUND(s,0),""))</f>
        <v/>
      </c>
      <c r="V14" s="26" t="str">
        <f t="array" ref="V14">LET(s,INDEX(Signals!V$5:V$25,Playbook!$C14),kk,Playbook!$E14,sb,IF(kk="",0,INDEX(Signals!V$5:V$25,kk)),okb,IF(kk="",TRUE,IF(Playbook!$F14="&lt;",sb&lt;Playbook!$G14,sb&gt;=Playbook!$G14)),inst,IF(Playbook!$H14="Any","Yes",INDEX('Country Profile'!V$32:V$37,MATCH(Playbook!$H14,'Country Profile'!$B$32:$B$37,0))),IF(AND(s&gt;=Playbook!$D14,okb,inst="Yes"),ROUND(s,0),""))</f>
        <v/>
      </c>
    </row>
    <row r="15">
      <c r="A15" s="26" t="s">
        <v>1094</v>
      </c>
      <c r="B15" s="26" t="s">
        <v>1095</v>
      </c>
      <c r="C15" s="26">
        <v>10.0</v>
      </c>
      <c r="D15" s="26" t="s">
        <v>1053</v>
      </c>
      <c r="E15" s="26" t="str">
        <f t="array" ref="E15">LET(s,INDEX(Signals!E$5:E$25,Playbook!$C15),kk,Playbook!$E15,sb,IF(kk="",0,INDEX(Signals!E$5:E$25,kk)),okb,IF(kk="",TRUE,IF(Playbook!$F15="&lt;",sb&lt;Playbook!$G15,sb&gt;=Playbook!$G15)),inst,IF(Playbook!$H15="Any","Yes",INDEX('Country Profile'!E$32:E$37,MATCH(Playbook!$H15,'Country Profile'!$B$32:$B$37,0))),IF(AND(s&gt;=Playbook!$D15,okb,inst="Yes"),ROUND(s,0),""))</f>
        <v/>
      </c>
      <c r="F15" s="26" t="str">
        <f t="array" ref="F15">LET(s,INDEX(Signals!F$5:F$25,Playbook!$C15),kk,Playbook!$E15,sb,IF(kk="",0,INDEX(Signals!F$5:F$25,kk)),okb,IF(kk="",TRUE,IF(Playbook!$F15="&lt;",sb&lt;Playbook!$G15,sb&gt;=Playbook!$G15)),inst,IF(Playbook!$H15="Any","Yes",INDEX('Country Profile'!F$32:F$37,MATCH(Playbook!$H15,'Country Profile'!$B$32:$B$37,0))),IF(AND(s&gt;=Playbook!$D15,okb,inst="Yes"),ROUND(s,0),""))</f>
        <v/>
      </c>
      <c r="G15" s="26" t="str">
        <f t="array" ref="G15">LET(s,INDEX(Signals!G$5:G$25,Playbook!$C15),kk,Playbook!$E15,sb,IF(kk="",0,INDEX(Signals!G$5:G$25,kk)),okb,IF(kk="",TRUE,IF(Playbook!$F15="&lt;",sb&lt;Playbook!$G15,sb&gt;=Playbook!$G15)),inst,IF(Playbook!$H15="Any","Yes",INDEX('Country Profile'!G$32:G$37,MATCH(Playbook!$H15,'Country Profile'!$B$32:$B$37,0))),IF(AND(s&gt;=Playbook!$D15,okb,inst="Yes"),ROUND(s,0),""))</f>
        <v/>
      </c>
      <c r="H15" s="26" t="str">
        <f t="array" ref="H15">LET(s,INDEX(Signals!H$5:H$25,Playbook!$C15),kk,Playbook!$E15,sb,IF(kk="",0,INDEX(Signals!H$5:H$25,kk)),okb,IF(kk="",TRUE,IF(Playbook!$F15="&lt;",sb&lt;Playbook!$G15,sb&gt;=Playbook!$G15)),inst,IF(Playbook!$H15="Any","Yes",INDEX('Country Profile'!H$32:H$37,MATCH(Playbook!$H15,'Country Profile'!$B$32:$B$37,0))),IF(AND(s&gt;=Playbook!$D15,okb,inst="Yes"),ROUND(s,0),""))</f>
        <v/>
      </c>
      <c r="I15" s="26" t="str">
        <f t="array" ref="I15">LET(s,INDEX(Signals!I$5:I$25,Playbook!$C15),kk,Playbook!$E15,sb,IF(kk="",0,INDEX(Signals!I$5:I$25,kk)),okb,IF(kk="",TRUE,IF(Playbook!$F15="&lt;",sb&lt;Playbook!$G15,sb&gt;=Playbook!$G15)),inst,IF(Playbook!$H15="Any","Yes",INDEX('Country Profile'!I$32:I$37,MATCH(Playbook!$H15,'Country Profile'!$B$32:$B$37,0))),IF(AND(s&gt;=Playbook!$D15,okb,inst="Yes"),ROUND(s,0),""))</f>
        <v/>
      </c>
      <c r="J15" s="26" t="str">
        <f t="array" ref="J15">LET(s,INDEX(Signals!J$5:J$25,Playbook!$C15),kk,Playbook!$E15,sb,IF(kk="",0,INDEX(Signals!J$5:J$25,kk)),okb,IF(kk="",TRUE,IF(Playbook!$F15="&lt;",sb&lt;Playbook!$G15,sb&gt;=Playbook!$G15)),inst,IF(Playbook!$H15="Any","Yes",INDEX('Country Profile'!J$32:J$37,MATCH(Playbook!$H15,'Country Profile'!$B$32:$B$37,0))),IF(AND(s&gt;=Playbook!$D15,okb,inst="Yes"),ROUND(s,0),""))</f>
        <v/>
      </c>
      <c r="K15" s="26" t="str">
        <f t="array" ref="K15">LET(s,INDEX(Signals!K$5:K$25,Playbook!$C15),kk,Playbook!$E15,sb,IF(kk="",0,INDEX(Signals!K$5:K$25,kk)),okb,IF(kk="",TRUE,IF(Playbook!$F15="&lt;",sb&lt;Playbook!$G15,sb&gt;=Playbook!$G15)),inst,IF(Playbook!$H15="Any","Yes",INDEX('Country Profile'!K$32:K$37,MATCH(Playbook!$H15,'Country Profile'!$B$32:$B$37,0))),IF(AND(s&gt;=Playbook!$D15,okb,inst="Yes"),ROUND(s,0),""))</f>
        <v/>
      </c>
      <c r="L15" s="26" t="str">
        <f t="array" ref="L15">LET(s,INDEX(Signals!L$5:L$25,Playbook!$C15),kk,Playbook!$E15,sb,IF(kk="",0,INDEX(Signals!L$5:L$25,kk)),okb,IF(kk="",TRUE,IF(Playbook!$F15="&lt;",sb&lt;Playbook!$G15,sb&gt;=Playbook!$G15)),inst,IF(Playbook!$H15="Any","Yes",INDEX('Country Profile'!L$32:L$37,MATCH(Playbook!$H15,'Country Profile'!$B$32:$B$37,0))),IF(AND(s&gt;=Playbook!$D15,okb,inst="Yes"),ROUND(s,0),""))</f>
        <v/>
      </c>
      <c r="M15" s="35">
        <f t="array" ref="M15">LET(s,INDEX(Signals!M$5:M$25,Playbook!$C15),kk,Playbook!$E15,sb,IF(kk="",0,INDEX(Signals!M$5:M$25,kk)),okb,IF(kk="",TRUE,IF(Playbook!$F15="&lt;",sb&lt;Playbook!$G15,sb&gt;=Playbook!$G15)),inst,IF(Playbook!$H15="Any","Yes",INDEX('Country Profile'!M$32:M$37,MATCH(Playbook!$H15,'Country Profile'!$B$32:$B$37,0))),IF(AND(s&gt;=Playbook!$D15,okb,inst="Yes"),ROUND(s,0),""))</f>
        <v>62</v>
      </c>
      <c r="N15" s="35">
        <f t="array" ref="N15">LET(s,INDEX(Signals!N$5:N$25,Playbook!$C15),kk,Playbook!$E15,sb,IF(kk="",0,INDEX(Signals!N$5:N$25,kk)),okb,IF(kk="",TRUE,IF(Playbook!$F15="&lt;",sb&lt;Playbook!$G15,sb&gt;=Playbook!$G15)),inst,IF(Playbook!$H15="Any","Yes",INDEX('Country Profile'!N$32:N$37,MATCH(Playbook!$H15,'Country Profile'!$B$32:$B$37,0))),IF(AND(s&gt;=Playbook!$D15,okb,inst="Yes"),ROUND(s,0),""))</f>
        <v>60</v>
      </c>
      <c r="O15" s="26" t="str">
        <f t="array" ref="O15">LET(s,INDEX(Signals!O$5:O$25,Playbook!$C15),kk,Playbook!$E15,sb,IF(kk="",0,INDEX(Signals!O$5:O$25,kk)),okb,IF(kk="",TRUE,IF(Playbook!$F15="&lt;",sb&lt;Playbook!$G15,sb&gt;=Playbook!$G15)),inst,IF(Playbook!$H15="Any","Yes",INDEX('Country Profile'!O$32:O$37,MATCH(Playbook!$H15,'Country Profile'!$B$32:$B$37,0))),IF(AND(s&gt;=Playbook!$D15,okb,inst="Yes"),ROUND(s,0),""))</f>
        <v/>
      </c>
      <c r="P15" s="26" t="str">
        <f t="array" ref="P15">LET(s,INDEX(Signals!P$5:P$25,Playbook!$C15),kk,Playbook!$E15,sb,IF(kk="",0,INDEX(Signals!P$5:P$25,kk)),okb,IF(kk="",TRUE,IF(Playbook!$F15="&lt;",sb&lt;Playbook!$G15,sb&gt;=Playbook!$G15)),inst,IF(Playbook!$H15="Any","Yes",INDEX('Country Profile'!P$32:P$37,MATCH(Playbook!$H15,'Country Profile'!$B$32:$B$37,0))),IF(AND(s&gt;=Playbook!$D15,okb,inst="Yes"),ROUND(s,0),""))</f>
        <v/>
      </c>
      <c r="Q15" s="26" t="str">
        <f t="array" ref="Q15">LET(s,INDEX(Signals!Q$5:Q$25,Playbook!$C15),kk,Playbook!$E15,sb,IF(kk="",0,INDEX(Signals!Q$5:Q$25,kk)),okb,IF(kk="",TRUE,IF(Playbook!$F15="&lt;",sb&lt;Playbook!$G15,sb&gt;=Playbook!$G15)),inst,IF(Playbook!$H15="Any","Yes",INDEX('Country Profile'!Q$32:Q$37,MATCH(Playbook!$H15,'Country Profile'!$B$32:$B$37,0))),IF(AND(s&gt;=Playbook!$D15,okb,inst="Yes"),ROUND(s,0),""))</f>
        <v/>
      </c>
      <c r="R15" s="35">
        <f t="array" ref="R15">LET(s,INDEX(Signals!R$5:R$25,Playbook!$C15),kk,Playbook!$E15,sb,IF(kk="",0,INDEX(Signals!R$5:R$25,kk)),okb,IF(kk="",TRUE,IF(Playbook!$F15="&lt;",sb&lt;Playbook!$G15,sb&gt;=Playbook!$G15)),inst,IF(Playbook!$H15="Any","Yes",INDEX('Country Profile'!R$32:R$37,MATCH(Playbook!$H15,'Country Profile'!$B$32:$B$37,0))),IF(AND(s&gt;=Playbook!$D15,okb,inst="Yes"),ROUND(s,0),""))</f>
        <v>95</v>
      </c>
      <c r="S15" s="35">
        <f t="array" ref="S15">LET(s,INDEX(Signals!S$5:S$25,Playbook!$C15),kk,Playbook!$E15,sb,IF(kk="",0,INDEX(Signals!S$5:S$25,kk)),okb,IF(kk="",TRUE,IF(Playbook!$F15="&lt;",sb&lt;Playbook!$G15,sb&gt;=Playbook!$G15)),inst,IF(Playbook!$H15="Any","Yes",INDEX('Country Profile'!S$32:S$37,MATCH(Playbook!$H15,'Country Profile'!$B$32:$B$37,0))),IF(AND(s&gt;=Playbook!$D15,okb,inst="Yes"),ROUND(s,0),""))</f>
        <v>61</v>
      </c>
      <c r="T15" s="35">
        <f t="array" ref="T15">LET(s,INDEX(Signals!T$5:T$25,Playbook!$C15),kk,Playbook!$E15,sb,IF(kk="",0,INDEX(Signals!T$5:T$25,kk)),okb,IF(kk="",TRUE,IF(Playbook!$F15="&lt;",sb&lt;Playbook!$G15,sb&gt;=Playbook!$G15)),inst,IF(Playbook!$H15="Any","Yes",INDEX('Country Profile'!T$32:T$37,MATCH(Playbook!$H15,'Country Profile'!$B$32:$B$37,0))),IF(AND(s&gt;=Playbook!$D15,okb,inst="Yes"),ROUND(s,0),""))</f>
        <v>63</v>
      </c>
      <c r="U15" s="35">
        <f t="array" ref="U15">LET(s,INDEX(Signals!U$5:U$25,Playbook!$C15),kk,Playbook!$E15,sb,IF(kk="",0,INDEX(Signals!U$5:U$25,kk)),okb,IF(kk="",TRUE,IF(Playbook!$F15="&lt;",sb&lt;Playbook!$G15,sb&gt;=Playbook!$G15)),inst,IF(Playbook!$H15="Any","Yes",INDEX('Country Profile'!U$32:U$37,MATCH(Playbook!$H15,'Country Profile'!$B$32:$B$37,0))),IF(AND(s&gt;=Playbook!$D15,okb,inst="Yes"),ROUND(s,0),""))</f>
        <v>63</v>
      </c>
      <c r="V15" s="35">
        <f t="array" ref="V15">LET(s,INDEX(Signals!V$5:V$25,Playbook!$C15),kk,Playbook!$E15,sb,IF(kk="",0,INDEX(Signals!V$5:V$25,kk)),okb,IF(kk="",TRUE,IF(Playbook!$F15="&lt;",sb&lt;Playbook!$G15,sb&gt;=Playbook!$G15)),inst,IF(Playbook!$H15="Any","Yes",INDEX('Country Profile'!V$32:V$37,MATCH(Playbook!$H15,'Country Profile'!$B$32:$B$37,0))),IF(AND(s&gt;=Playbook!$D15,okb,inst="Yes"),ROUND(s,0),""))</f>
        <v>90</v>
      </c>
    </row>
    <row r="16">
      <c r="A16" s="26" t="s">
        <v>1103</v>
      </c>
      <c r="B16" s="26" t="s">
        <v>1104</v>
      </c>
      <c r="C16" s="26">
        <v>11.0</v>
      </c>
      <c r="D16" s="26" t="s">
        <v>1053</v>
      </c>
      <c r="E16" s="26" t="str">
        <f t="array" ref="E16">LET(s,INDEX(Signals!E$5:E$25,Playbook!$C16),kk,Playbook!$E16,sb,IF(kk="",0,INDEX(Signals!E$5:E$25,kk)),okb,IF(kk="",TRUE,IF(Playbook!$F16="&lt;",sb&lt;Playbook!$G16,sb&gt;=Playbook!$G16)),inst,IF(Playbook!$H16="Any","Yes",INDEX('Country Profile'!E$32:E$37,MATCH(Playbook!$H16,'Country Profile'!$B$32:$B$37,0))),IF(AND(s&gt;=Playbook!$D16,okb,inst="Yes"),ROUND(s,0),""))</f>
        <v/>
      </c>
      <c r="F16" s="26" t="str">
        <f t="array" ref="F16">LET(s,INDEX(Signals!F$5:F$25,Playbook!$C16),kk,Playbook!$E16,sb,IF(kk="",0,INDEX(Signals!F$5:F$25,kk)),okb,IF(kk="",TRUE,IF(Playbook!$F16="&lt;",sb&lt;Playbook!$G16,sb&gt;=Playbook!$G16)),inst,IF(Playbook!$H16="Any","Yes",INDEX('Country Profile'!F$32:F$37,MATCH(Playbook!$H16,'Country Profile'!$B$32:$B$37,0))),IF(AND(s&gt;=Playbook!$D16,okb,inst="Yes"),ROUND(s,0),""))</f>
        <v/>
      </c>
      <c r="G16" s="26" t="str">
        <f t="array" ref="G16">LET(s,INDEX(Signals!G$5:G$25,Playbook!$C16),kk,Playbook!$E16,sb,IF(kk="",0,INDEX(Signals!G$5:G$25,kk)),okb,IF(kk="",TRUE,IF(Playbook!$F16="&lt;",sb&lt;Playbook!$G16,sb&gt;=Playbook!$G16)),inst,IF(Playbook!$H16="Any","Yes",INDEX('Country Profile'!G$32:G$37,MATCH(Playbook!$H16,'Country Profile'!$B$32:$B$37,0))),IF(AND(s&gt;=Playbook!$D16,okb,inst="Yes"),ROUND(s,0),""))</f>
        <v/>
      </c>
      <c r="H16" s="26" t="str">
        <f t="array" ref="H16">LET(s,INDEX(Signals!H$5:H$25,Playbook!$C16),kk,Playbook!$E16,sb,IF(kk="",0,INDEX(Signals!H$5:H$25,kk)),okb,IF(kk="",TRUE,IF(Playbook!$F16="&lt;",sb&lt;Playbook!$G16,sb&gt;=Playbook!$G16)),inst,IF(Playbook!$H16="Any","Yes",INDEX('Country Profile'!H$32:H$37,MATCH(Playbook!$H16,'Country Profile'!$B$32:$B$37,0))),IF(AND(s&gt;=Playbook!$D16,okb,inst="Yes"),ROUND(s,0),""))</f>
        <v/>
      </c>
      <c r="I16" s="26" t="str">
        <f t="array" ref="I16">LET(s,INDEX(Signals!I$5:I$25,Playbook!$C16),kk,Playbook!$E16,sb,IF(kk="",0,INDEX(Signals!I$5:I$25,kk)),okb,IF(kk="",TRUE,IF(Playbook!$F16="&lt;",sb&lt;Playbook!$G16,sb&gt;=Playbook!$G16)),inst,IF(Playbook!$H16="Any","Yes",INDEX('Country Profile'!I$32:I$37,MATCH(Playbook!$H16,'Country Profile'!$B$32:$B$37,0))),IF(AND(s&gt;=Playbook!$D16,okb,inst="Yes"),ROUND(s,0),""))</f>
        <v/>
      </c>
      <c r="J16" s="26" t="str">
        <f t="array" ref="J16">LET(s,INDEX(Signals!J$5:J$25,Playbook!$C16),kk,Playbook!$E16,sb,IF(kk="",0,INDEX(Signals!J$5:J$25,kk)),okb,IF(kk="",TRUE,IF(Playbook!$F16="&lt;",sb&lt;Playbook!$G16,sb&gt;=Playbook!$G16)),inst,IF(Playbook!$H16="Any","Yes",INDEX('Country Profile'!J$32:J$37,MATCH(Playbook!$H16,'Country Profile'!$B$32:$B$37,0))),IF(AND(s&gt;=Playbook!$D16,okb,inst="Yes"),ROUND(s,0),""))</f>
        <v/>
      </c>
      <c r="K16" s="26" t="str">
        <f t="array" ref="K16">LET(s,INDEX(Signals!K$5:K$25,Playbook!$C16),kk,Playbook!$E16,sb,IF(kk="",0,INDEX(Signals!K$5:K$25,kk)),okb,IF(kk="",TRUE,IF(Playbook!$F16="&lt;",sb&lt;Playbook!$G16,sb&gt;=Playbook!$G16)),inst,IF(Playbook!$H16="Any","Yes",INDEX('Country Profile'!K$32:K$37,MATCH(Playbook!$H16,'Country Profile'!$B$32:$B$37,0))),IF(AND(s&gt;=Playbook!$D16,okb,inst="Yes"),ROUND(s,0),""))</f>
        <v/>
      </c>
      <c r="L16" s="26" t="str">
        <f t="array" ref="L16">LET(s,INDEX(Signals!L$5:L$25,Playbook!$C16),kk,Playbook!$E16,sb,IF(kk="",0,INDEX(Signals!L$5:L$25,kk)),okb,IF(kk="",TRUE,IF(Playbook!$F16="&lt;",sb&lt;Playbook!$G16,sb&gt;=Playbook!$G16)),inst,IF(Playbook!$H16="Any","Yes",INDEX('Country Profile'!L$32:L$37,MATCH(Playbook!$H16,'Country Profile'!$B$32:$B$37,0))),IF(AND(s&gt;=Playbook!$D16,okb,inst="Yes"),ROUND(s,0),""))</f>
        <v/>
      </c>
      <c r="M16" s="35">
        <f t="array" ref="M16">LET(s,INDEX(Signals!M$5:M$25,Playbook!$C16),kk,Playbook!$E16,sb,IF(kk="",0,INDEX(Signals!M$5:M$25,kk)),okb,IF(kk="",TRUE,IF(Playbook!$F16="&lt;",sb&lt;Playbook!$G16,sb&gt;=Playbook!$G16)),inst,IF(Playbook!$H16="Any","Yes",INDEX('Country Profile'!M$32:M$37,MATCH(Playbook!$H16,'Country Profile'!$B$32:$B$37,0))),IF(AND(s&gt;=Playbook!$D16,okb,inst="Yes"),ROUND(s,0),""))</f>
        <v>85</v>
      </c>
      <c r="N16" s="26" t="str">
        <f t="array" ref="N16">LET(s,INDEX(Signals!N$5:N$25,Playbook!$C16),kk,Playbook!$E16,sb,IF(kk="",0,INDEX(Signals!N$5:N$25,kk)),okb,IF(kk="",TRUE,IF(Playbook!$F16="&lt;",sb&lt;Playbook!$G16,sb&gt;=Playbook!$G16)),inst,IF(Playbook!$H16="Any","Yes",INDEX('Country Profile'!N$32:N$37,MATCH(Playbook!$H16,'Country Profile'!$B$32:$B$37,0))),IF(AND(s&gt;=Playbook!$D16,okb,inst="Yes"),ROUND(s,0),""))</f>
        <v/>
      </c>
      <c r="O16" s="26" t="str">
        <f t="array" ref="O16">LET(s,INDEX(Signals!O$5:O$25,Playbook!$C16),kk,Playbook!$E16,sb,IF(kk="",0,INDEX(Signals!O$5:O$25,kk)),okb,IF(kk="",TRUE,IF(Playbook!$F16="&lt;",sb&lt;Playbook!$G16,sb&gt;=Playbook!$G16)),inst,IF(Playbook!$H16="Any","Yes",INDEX('Country Profile'!O$32:O$37,MATCH(Playbook!$H16,'Country Profile'!$B$32:$B$37,0))),IF(AND(s&gt;=Playbook!$D16,okb,inst="Yes"),ROUND(s,0),""))</f>
        <v/>
      </c>
      <c r="P16" s="26" t="str">
        <f t="array" ref="P16">LET(s,INDEX(Signals!P$5:P$25,Playbook!$C16),kk,Playbook!$E16,sb,IF(kk="",0,INDEX(Signals!P$5:P$25,kk)),okb,IF(kk="",TRUE,IF(Playbook!$F16="&lt;",sb&lt;Playbook!$G16,sb&gt;=Playbook!$G16)),inst,IF(Playbook!$H16="Any","Yes",INDEX('Country Profile'!P$32:P$37,MATCH(Playbook!$H16,'Country Profile'!$B$32:$B$37,0))),IF(AND(s&gt;=Playbook!$D16,okb,inst="Yes"),ROUND(s,0),""))</f>
        <v/>
      </c>
      <c r="Q16" s="35">
        <f t="array" ref="Q16">LET(s,INDEX(Signals!Q$5:Q$25,Playbook!$C16),kk,Playbook!$E16,sb,IF(kk="",0,INDEX(Signals!Q$5:Q$25,kk)),okb,IF(kk="",TRUE,IF(Playbook!$F16="&lt;",sb&lt;Playbook!$G16,sb&gt;=Playbook!$G16)),inst,IF(Playbook!$H16="Any","Yes",INDEX('Country Profile'!Q$32:Q$37,MATCH(Playbook!$H16,'Country Profile'!$B$32:$B$37,0))),IF(AND(s&gt;=Playbook!$D16,okb,inst="Yes"),ROUND(s,0),""))</f>
        <v>66</v>
      </c>
      <c r="R16" s="26" t="str">
        <f t="array" ref="R16">LET(s,INDEX(Signals!R$5:R$25,Playbook!$C16),kk,Playbook!$E16,sb,IF(kk="",0,INDEX(Signals!R$5:R$25,kk)),okb,IF(kk="",TRUE,IF(Playbook!$F16="&lt;",sb&lt;Playbook!$G16,sb&gt;=Playbook!$G16)),inst,IF(Playbook!$H16="Any","Yes",INDEX('Country Profile'!R$32:R$37,MATCH(Playbook!$H16,'Country Profile'!$B$32:$B$37,0))),IF(AND(s&gt;=Playbook!$D16,okb,inst="Yes"),ROUND(s,0),""))</f>
        <v/>
      </c>
      <c r="S16" s="35">
        <f t="array" ref="S16">LET(s,INDEX(Signals!S$5:S$25,Playbook!$C16),kk,Playbook!$E16,sb,IF(kk="",0,INDEX(Signals!S$5:S$25,kk)),okb,IF(kk="",TRUE,IF(Playbook!$F16="&lt;",sb&lt;Playbook!$G16,sb&gt;=Playbook!$G16)),inst,IF(Playbook!$H16="Any","Yes",INDEX('Country Profile'!S$32:S$37,MATCH(Playbook!$H16,'Country Profile'!$B$32:$B$37,0))),IF(AND(s&gt;=Playbook!$D16,okb,inst="Yes"),ROUND(s,0),""))</f>
        <v>85</v>
      </c>
      <c r="T16" s="26" t="str">
        <f t="array" ref="T16">LET(s,INDEX(Signals!T$5:T$25,Playbook!$C16),kk,Playbook!$E16,sb,IF(kk="",0,INDEX(Signals!T$5:T$25,kk)),okb,IF(kk="",TRUE,IF(Playbook!$F16="&lt;",sb&lt;Playbook!$G16,sb&gt;=Playbook!$G16)),inst,IF(Playbook!$H16="Any","Yes",INDEX('Country Profile'!T$32:T$37,MATCH(Playbook!$H16,'Country Profile'!$B$32:$B$37,0))),IF(AND(s&gt;=Playbook!$D16,okb,inst="Yes"),ROUND(s,0),""))</f>
        <v/>
      </c>
      <c r="U16" s="26" t="str">
        <f t="array" ref="U16">LET(s,INDEX(Signals!U$5:U$25,Playbook!$C16),kk,Playbook!$E16,sb,IF(kk="",0,INDEX(Signals!U$5:U$25,kk)),okb,IF(kk="",TRUE,IF(Playbook!$F16="&lt;",sb&lt;Playbook!$G16,sb&gt;=Playbook!$G16)),inst,IF(Playbook!$H16="Any","Yes",INDEX('Country Profile'!U$32:U$37,MATCH(Playbook!$H16,'Country Profile'!$B$32:$B$37,0))),IF(AND(s&gt;=Playbook!$D16,okb,inst="Yes"),ROUND(s,0),""))</f>
        <v/>
      </c>
      <c r="V16" s="26" t="str">
        <f t="array" ref="V16">LET(s,INDEX(Signals!V$5:V$25,Playbook!$C16),kk,Playbook!$E16,sb,IF(kk="",0,INDEX(Signals!V$5:V$25,kk)),okb,IF(kk="",TRUE,IF(Playbook!$F16="&lt;",sb&lt;Playbook!$G16,sb&gt;=Playbook!$G16)),inst,IF(Playbook!$H16="Any","Yes",INDEX('Country Profile'!V$32:V$37,MATCH(Playbook!$H16,'Country Profile'!$B$32:$B$37,0))),IF(AND(s&gt;=Playbook!$D16,okb,inst="Yes"),ROUND(s,0),""))</f>
        <v/>
      </c>
    </row>
    <row r="17">
      <c r="A17" s="26" t="s">
        <v>1110</v>
      </c>
      <c r="B17" s="26" t="s">
        <v>1111</v>
      </c>
      <c r="C17" s="26">
        <v>12.0</v>
      </c>
      <c r="D17" s="26" t="s">
        <v>1053</v>
      </c>
      <c r="E17" s="26" t="str">
        <f t="array" ref="E17">LET(s,INDEX(Signals!E$5:E$25,Playbook!$C17),kk,Playbook!$E17,sb,IF(kk="",0,INDEX(Signals!E$5:E$25,kk)),okb,IF(kk="",TRUE,IF(Playbook!$F17="&lt;",sb&lt;Playbook!$G17,sb&gt;=Playbook!$G17)),inst,IF(Playbook!$H17="Any","Yes",INDEX('Country Profile'!E$32:E$37,MATCH(Playbook!$H17,'Country Profile'!$B$32:$B$37,0))),IF(AND(s&gt;=Playbook!$D17,okb,inst="Yes"),ROUND(s,0),""))</f>
        <v/>
      </c>
      <c r="F17" s="26" t="str">
        <f t="array" ref="F17">LET(s,INDEX(Signals!F$5:F$25,Playbook!$C17),kk,Playbook!$E17,sb,IF(kk="",0,INDEX(Signals!F$5:F$25,kk)),okb,IF(kk="",TRUE,IF(Playbook!$F17="&lt;",sb&lt;Playbook!$G17,sb&gt;=Playbook!$G17)),inst,IF(Playbook!$H17="Any","Yes",INDEX('Country Profile'!F$32:F$37,MATCH(Playbook!$H17,'Country Profile'!$B$32:$B$37,0))),IF(AND(s&gt;=Playbook!$D17,okb,inst="Yes"),ROUND(s,0),""))</f>
        <v/>
      </c>
      <c r="G17" s="26" t="str">
        <f t="array" ref="G17">LET(s,INDEX(Signals!G$5:G$25,Playbook!$C17),kk,Playbook!$E17,sb,IF(kk="",0,INDEX(Signals!G$5:G$25,kk)),okb,IF(kk="",TRUE,IF(Playbook!$F17="&lt;",sb&lt;Playbook!$G17,sb&gt;=Playbook!$G17)),inst,IF(Playbook!$H17="Any","Yes",INDEX('Country Profile'!G$32:G$37,MATCH(Playbook!$H17,'Country Profile'!$B$32:$B$37,0))),IF(AND(s&gt;=Playbook!$D17,okb,inst="Yes"),ROUND(s,0),""))</f>
        <v/>
      </c>
      <c r="H17" s="26" t="str">
        <f t="array" ref="H17">LET(s,INDEX(Signals!H$5:H$25,Playbook!$C17),kk,Playbook!$E17,sb,IF(kk="",0,INDEX(Signals!H$5:H$25,kk)),okb,IF(kk="",TRUE,IF(Playbook!$F17="&lt;",sb&lt;Playbook!$G17,sb&gt;=Playbook!$G17)),inst,IF(Playbook!$H17="Any","Yes",INDEX('Country Profile'!H$32:H$37,MATCH(Playbook!$H17,'Country Profile'!$B$32:$B$37,0))),IF(AND(s&gt;=Playbook!$D17,okb,inst="Yes"),ROUND(s,0),""))</f>
        <v/>
      </c>
      <c r="I17" s="26" t="str">
        <f t="array" ref="I17">LET(s,INDEX(Signals!I$5:I$25,Playbook!$C17),kk,Playbook!$E17,sb,IF(kk="",0,INDEX(Signals!I$5:I$25,kk)),okb,IF(kk="",TRUE,IF(Playbook!$F17="&lt;",sb&lt;Playbook!$G17,sb&gt;=Playbook!$G17)),inst,IF(Playbook!$H17="Any","Yes",INDEX('Country Profile'!I$32:I$37,MATCH(Playbook!$H17,'Country Profile'!$B$32:$B$37,0))),IF(AND(s&gt;=Playbook!$D17,okb,inst="Yes"),ROUND(s,0),""))</f>
        <v/>
      </c>
      <c r="J17" s="26" t="str">
        <f t="array" ref="J17">LET(s,INDEX(Signals!J$5:J$25,Playbook!$C17),kk,Playbook!$E17,sb,IF(kk="",0,INDEX(Signals!J$5:J$25,kk)),okb,IF(kk="",TRUE,IF(Playbook!$F17="&lt;",sb&lt;Playbook!$G17,sb&gt;=Playbook!$G17)),inst,IF(Playbook!$H17="Any","Yes",INDEX('Country Profile'!J$32:J$37,MATCH(Playbook!$H17,'Country Profile'!$B$32:$B$37,0))),IF(AND(s&gt;=Playbook!$D17,okb,inst="Yes"),ROUND(s,0),""))</f>
        <v/>
      </c>
      <c r="K17" s="26" t="str">
        <f t="array" ref="K17">LET(s,INDEX(Signals!K$5:K$25,Playbook!$C17),kk,Playbook!$E17,sb,IF(kk="",0,INDEX(Signals!K$5:K$25,kk)),okb,IF(kk="",TRUE,IF(Playbook!$F17="&lt;",sb&lt;Playbook!$G17,sb&gt;=Playbook!$G17)),inst,IF(Playbook!$H17="Any","Yes",INDEX('Country Profile'!K$32:K$37,MATCH(Playbook!$H17,'Country Profile'!$B$32:$B$37,0))),IF(AND(s&gt;=Playbook!$D17,okb,inst="Yes"),ROUND(s,0),""))</f>
        <v/>
      </c>
      <c r="L17" s="26" t="str">
        <f t="array" ref="L17">LET(s,INDEX(Signals!L$5:L$25,Playbook!$C17),kk,Playbook!$E17,sb,IF(kk="",0,INDEX(Signals!L$5:L$25,kk)),okb,IF(kk="",TRUE,IF(Playbook!$F17="&lt;",sb&lt;Playbook!$G17,sb&gt;=Playbook!$G17)),inst,IF(Playbook!$H17="Any","Yes",INDEX('Country Profile'!L$32:L$37,MATCH(Playbook!$H17,'Country Profile'!$B$32:$B$37,0))),IF(AND(s&gt;=Playbook!$D17,okb,inst="Yes"),ROUND(s,0),""))</f>
        <v/>
      </c>
      <c r="M17" s="26" t="str">
        <f t="array" ref="M17">LET(s,INDEX(Signals!M$5:M$25,Playbook!$C17),kk,Playbook!$E17,sb,IF(kk="",0,INDEX(Signals!M$5:M$25,kk)),okb,IF(kk="",TRUE,IF(Playbook!$F17="&lt;",sb&lt;Playbook!$G17,sb&gt;=Playbook!$G17)),inst,IF(Playbook!$H17="Any","Yes",INDEX('Country Profile'!M$32:M$37,MATCH(Playbook!$H17,'Country Profile'!$B$32:$B$37,0))),IF(AND(s&gt;=Playbook!$D17,okb,inst="Yes"),ROUND(s,0),""))</f>
        <v/>
      </c>
      <c r="N17" s="26" t="str">
        <f t="array" ref="N17">LET(s,INDEX(Signals!N$5:N$25,Playbook!$C17),kk,Playbook!$E17,sb,IF(kk="",0,INDEX(Signals!N$5:N$25,kk)),okb,IF(kk="",TRUE,IF(Playbook!$F17="&lt;",sb&lt;Playbook!$G17,sb&gt;=Playbook!$G17)),inst,IF(Playbook!$H17="Any","Yes",INDEX('Country Profile'!N$32:N$37,MATCH(Playbook!$H17,'Country Profile'!$B$32:$B$37,0))),IF(AND(s&gt;=Playbook!$D17,okb,inst="Yes"),ROUND(s,0),""))</f>
        <v/>
      </c>
      <c r="O17" s="26" t="str">
        <f t="array" ref="O17">LET(s,INDEX(Signals!O$5:O$25,Playbook!$C17),kk,Playbook!$E17,sb,IF(kk="",0,INDEX(Signals!O$5:O$25,kk)),okb,IF(kk="",TRUE,IF(Playbook!$F17="&lt;",sb&lt;Playbook!$G17,sb&gt;=Playbook!$G17)),inst,IF(Playbook!$H17="Any","Yes",INDEX('Country Profile'!O$32:O$37,MATCH(Playbook!$H17,'Country Profile'!$B$32:$B$37,0))),IF(AND(s&gt;=Playbook!$D17,okb,inst="Yes"),ROUND(s,0),""))</f>
        <v/>
      </c>
      <c r="P17" s="26" t="str">
        <f t="array" ref="P17">LET(s,INDEX(Signals!P$5:P$25,Playbook!$C17),kk,Playbook!$E17,sb,IF(kk="",0,INDEX(Signals!P$5:P$25,kk)),okb,IF(kk="",TRUE,IF(Playbook!$F17="&lt;",sb&lt;Playbook!$G17,sb&gt;=Playbook!$G17)),inst,IF(Playbook!$H17="Any","Yes",INDEX('Country Profile'!P$32:P$37,MATCH(Playbook!$H17,'Country Profile'!$B$32:$B$37,0))),IF(AND(s&gt;=Playbook!$D17,okb,inst="Yes"),ROUND(s,0),""))</f>
        <v/>
      </c>
      <c r="Q17" s="26" t="str">
        <f t="array" ref="Q17">LET(s,INDEX(Signals!Q$5:Q$25,Playbook!$C17),kk,Playbook!$E17,sb,IF(kk="",0,INDEX(Signals!Q$5:Q$25,kk)),okb,IF(kk="",TRUE,IF(Playbook!$F17="&lt;",sb&lt;Playbook!$G17,sb&gt;=Playbook!$G17)),inst,IF(Playbook!$H17="Any","Yes",INDEX('Country Profile'!Q$32:Q$37,MATCH(Playbook!$H17,'Country Profile'!$B$32:$B$37,0))),IF(AND(s&gt;=Playbook!$D17,okb,inst="Yes"),ROUND(s,0),""))</f>
        <v/>
      </c>
      <c r="R17" s="35">
        <f t="array" ref="R17">LET(s,INDEX(Signals!R$5:R$25,Playbook!$C17),kk,Playbook!$E17,sb,IF(kk="",0,INDEX(Signals!R$5:R$25,kk)),okb,IF(kk="",TRUE,IF(Playbook!$F17="&lt;",sb&lt;Playbook!$G17,sb&gt;=Playbook!$G17)),inst,IF(Playbook!$H17="Any","Yes",INDEX('Country Profile'!R$32:R$37,MATCH(Playbook!$H17,'Country Profile'!$B$32:$B$37,0))),IF(AND(s&gt;=Playbook!$D17,okb,inst="Yes"),ROUND(s,0),""))</f>
        <v>100</v>
      </c>
      <c r="S17" s="35">
        <f t="array" ref="S17">LET(s,INDEX(Signals!S$5:S$25,Playbook!$C17),kk,Playbook!$E17,sb,IF(kk="",0,INDEX(Signals!S$5:S$25,kk)),okb,IF(kk="",TRUE,IF(Playbook!$F17="&lt;",sb&lt;Playbook!$G17,sb&gt;=Playbook!$G17)),inst,IF(Playbook!$H17="Any","Yes",INDEX('Country Profile'!S$32:S$37,MATCH(Playbook!$H17,'Country Profile'!$B$32:$B$37,0))),IF(AND(s&gt;=Playbook!$D17,okb,inst="Yes"),ROUND(s,0),""))</f>
        <v>100</v>
      </c>
      <c r="T17" s="26" t="str">
        <f t="array" ref="T17">LET(s,INDEX(Signals!T$5:T$25,Playbook!$C17),kk,Playbook!$E17,sb,IF(kk="",0,INDEX(Signals!T$5:T$25,kk)),okb,IF(kk="",TRUE,IF(Playbook!$F17="&lt;",sb&lt;Playbook!$G17,sb&gt;=Playbook!$G17)),inst,IF(Playbook!$H17="Any","Yes",INDEX('Country Profile'!T$32:T$37,MATCH(Playbook!$H17,'Country Profile'!$B$32:$B$37,0))),IF(AND(s&gt;=Playbook!$D17,okb,inst="Yes"),ROUND(s,0),""))</f>
        <v/>
      </c>
      <c r="U17" s="35">
        <f t="array" ref="U17">LET(s,INDEX(Signals!U$5:U$25,Playbook!$C17),kk,Playbook!$E17,sb,IF(kk="",0,INDEX(Signals!U$5:U$25,kk)),okb,IF(kk="",TRUE,IF(Playbook!$F17="&lt;",sb&lt;Playbook!$G17,sb&gt;=Playbook!$G17)),inst,IF(Playbook!$H17="Any","Yes",INDEX('Country Profile'!U$32:U$37,MATCH(Playbook!$H17,'Country Profile'!$B$32:$B$37,0))),IF(AND(s&gt;=Playbook!$D17,okb,inst="Yes"),ROUND(s,0),""))</f>
        <v>92</v>
      </c>
      <c r="V17" s="26" t="str">
        <f t="array" ref="V17">LET(s,INDEX(Signals!V$5:V$25,Playbook!$C17),kk,Playbook!$E17,sb,IF(kk="",0,INDEX(Signals!V$5:V$25,kk)),okb,IF(kk="",TRUE,IF(Playbook!$F17="&lt;",sb&lt;Playbook!$G17,sb&gt;=Playbook!$G17)),inst,IF(Playbook!$H17="Any","Yes",INDEX('Country Profile'!V$32:V$37,MATCH(Playbook!$H17,'Country Profile'!$B$32:$B$37,0))),IF(AND(s&gt;=Playbook!$D17,okb,inst="Yes"),ROUND(s,0),""))</f>
        <v/>
      </c>
    </row>
    <row r="18">
      <c r="A18" s="26" t="s">
        <v>1117</v>
      </c>
      <c r="B18" s="26" t="s">
        <v>1118</v>
      </c>
      <c r="C18" s="26">
        <v>13.0</v>
      </c>
      <c r="D18" s="26" t="s">
        <v>1053</v>
      </c>
      <c r="E18" s="26" t="str">
        <f t="array" ref="E18">LET(s,INDEX(Signals!E$5:E$25,Playbook!$C18),kk,Playbook!$E18,sb,IF(kk="",0,INDEX(Signals!E$5:E$25,kk)),okb,IF(kk="",TRUE,IF(Playbook!$F18="&lt;",sb&lt;Playbook!$G18,sb&gt;=Playbook!$G18)),inst,IF(Playbook!$H18="Any","Yes",INDEX('Country Profile'!E$32:E$37,MATCH(Playbook!$H18,'Country Profile'!$B$32:$B$37,0))),IF(AND(s&gt;=Playbook!$D18,okb,inst="Yes"),ROUND(s,0),""))</f>
        <v/>
      </c>
      <c r="F18" s="26" t="str">
        <f t="array" ref="F18">LET(s,INDEX(Signals!F$5:F$25,Playbook!$C18),kk,Playbook!$E18,sb,IF(kk="",0,INDEX(Signals!F$5:F$25,kk)),okb,IF(kk="",TRUE,IF(Playbook!$F18="&lt;",sb&lt;Playbook!$G18,sb&gt;=Playbook!$G18)),inst,IF(Playbook!$H18="Any","Yes",INDEX('Country Profile'!F$32:F$37,MATCH(Playbook!$H18,'Country Profile'!$B$32:$B$37,0))),IF(AND(s&gt;=Playbook!$D18,okb,inst="Yes"),ROUND(s,0),""))</f>
        <v/>
      </c>
      <c r="G18" s="26" t="str">
        <f t="array" ref="G18">LET(s,INDEX(Signals!G$5:G$25,Playbook!$C18),kk,Playbook!$E18,sb,IF(kk="",0,INDEX(Signals!G$5:G$25,kk)),okb,IF(kk="",TRUE,IF(Playbook!$F18="&lt;",sb&lt;Playbook!$G18,sb&gt;=Playbook!$G18)),inst,IF(Playbook!$H18="Any","Yes",INDEX('Country Profile'!G$32:G$37,MATCH(Playbook!$H18,'Country Profile'!$B$32:$B$37,0))),IF(AND(s&gt;=Playbook!$D18,okb,inst="Yes"),ROUND(s,0),""))</f>
        <v/>
      </c>
      <c r="H18" s="26" t="str">
        <f t="array" ref="H18">LET(s,INDEX(Signals!H$5:H$25,Playbook!$C18),kk,Playbook!$E18,sb,IF(kk="",0,INDEX(Signals!H$5:H$25,kk)),okb,IF(kk="",TRUE,IF(Playbook!$F18="&lt;",sb&lt;Playbook!$G18,sb&gt;=Playbook!$G18)),inst,IF(Playbook!$H18="Any","Yes",INDEX('Country Profile'!H$32:H$37,MATCH(Playbook!$H18,'Country Profile'!$B$32:$B$37,0))),IF(AND(s&gt;=Playbook!$D18,okb,inst="Yes"),ROUND(s,0),""))</f>
        <v/>
      </c>
      <c r="I18" s="26" t="str">
        <f t="array" ref="I18">LET(s,INDEX(Signals!I$5:I$25,Playbook!$C18),kk,Playbook!$E18,sb,IF(kk="",0,INDEX(Signals!I$5:I$25,kk)),okb,IF(kk="",TRUE,IF(Playbook!$F18="&lt;",sb&lt;Playbook!$G18,sb&gt;=Playbook!$G18)),inst,IF(Playbook!$H18="Any","Yes",INDEX('Country Profile'!I$32:I$37,MATCH(Playbook!$H18,'Country Profile'!$B$32:$B$37,0))),IF(AND(s&gt;=Playbook!$D18,okb,inst="Yes"),ROUND(s,0),""))</f>
        <v/>
      </c>
      <c r="J18" s="26" t="str">
        <f t="array" ref="J18">LET(s,INDEX(Signals!J$5:J$25,Playbook!$C18),kk,Playbook!$E18,sb,IF(kk="",0,INDEX(Signals!J$5:J$25,kk)),okb,IF(kk="",TRUE,IF(Playbook!$F18="&lt;",sb&lt;Playbook!$G18,sb&gt;=Playbook!$G18)),inst,IF(Playbook!$H18="Any","Yes",INDEX('Country Profile'!J$32:J$37,MATCH(Playbook!$H18,'Country Profile'!$B$32:$B$37,0))),IF(AND(s&gt;=Playbook!$D18,okb,inst="Yes"),ROUND(s,0),""))</f>
        <v/>
      </c>
      <c r="K18" s="26" t="str">
        <f t="array" ref="K18">LET(s,INDEX(Signals!K$5:K$25,Playbook!$C18),kk,Playbook!$E18,sb,IF(kk="",0,INDEX(Signals!K$5:K$25,kk)),okb,IF(kk="",TRUE,IF(Playbook!$F18="&lt;",sb&lt;Playbook!$G18,sb&gt;=Playbook!$G18)),inst,IF(Playbook!$H18="Any","Yes",INDEX('Country Profile'!K$32:K$37,MATCH(Playbook!$H18,'Country Profile'!$B$32:$B$37,0))),IF(AND(s&gt;=Playbook!$D18,okb,inst="Yes"),ROUND(s,0),""))</f>
        <v/>
      </c>
      <c r="L18" s="26" t="str">
        <f t="array" ref="L18">LET(s,INDEX(Signals!L$5:L$25,Playbook!$C18),kk,Playbook!$E18,sb,IF(kk="",0,INDEX(Signals!L$5:L$25,kk)),okb,IF(kk="",TRUE,IF(Playbook!$F18="&lt;",sb&lt;Playbook!$G18,sb&gt;=Playbook!$G18)),inst,IF(Playbook!$H18="Any","Yes",INDEX('Country Profile'!L$32:L$37,MATCH(Playbook!$H18,'Country Profile'!$B$32:$B$37,0))),IF(AND(s&gt;=Playbook!$D18,okb,inst="Yes"),ROUND(s,0),""))</f>
        <v/>
      </c>
      <c r="M18" s="35">
        <f t="array" ref="M18">LET(s,INDEX(Signals!M$5:M$25,Playbook!$C18),kk,Playbook!$E18,sb,IF(kk="",0,INDEX(Signals!M$5:M$25,kk)),okb,IF(kk="",TRUE,IF(Playbook!$F18="&lt;",sb&lt;Playbook!$G18,sb&gt;=Playbook!$G18)),inst,IF(Playbook!$H18="Any","Yes",INDEX('Country Profile'!M$32:M$37,MATCH(Playbook!$H18,'Country Profile'!$B$32:$B$37,0))),IF(AND(s&gt;=Playbook!$D18,okb,inst="Yes"),ROUND(s,0),""))</f>
        <v>67</v>
      </c>
      <c r="N18" s="35">
        <f t="array" ref="N18">LET(s,INDEX(Signals!N$5:N$25,Playbook!$C18),kk,Playbook!$E18,sb,IF(kk="",0,INDEX(Signals!N$5:N$25,kk)),okb,IF(kk="",TRUE,IF(Playbook!$F18="&lt;",sb&lt;Playbook!$G18,sb&gt;=Playbook!$G18)),inst,IF(Playbook!$H18="Any","Yes",INDEX('Country Profile'!N$32:N$37,MATCH(Playbook!$H18,'Country Profile'!$B$32:$B$37,0))),IF(AND(s&gt;=Playbook!$D18,okb,inst="Yes"),ROUND(s,0),""))</f>
        <v>70</v>
      </c>
      <c r="O18" s="26" t="str">
        <f t="array" ref="O18">LET(s,INDEX(Signals!O$5:O$25,Playbook!$C18),kk,Playbook!$E18,sb,IF(kk="",0,INDEX(Signals!O$5:O$25,kk)),okb,IF(kk="",TRUE,IF(Playbook!$F18="&lt;",sb&lt;Playbook!$G18,sb&gt;=Playbook!$G18)),inst,IF(Playbook!$H18="Any","Yes",INDEX('Country Profile'!O$32:O$37,MATCH(Playbook!$H18,'Country Profile'!$B$32:$B$37,0))),IF(AND(s&gt;=Playbook!$D18,okb,inst="Yes"),ROUND(s,0),""))</f>
        <v/>
      </c>
      <c r="P18" s="26" t="str">
        <f t="array" ref="P18">LET(s,INDEX(Signals!P$5:P$25,Playbook!$C18),kk,Playbook!$E18,sb,IF(kk="",0,INDEX(Signals!P$5:P$25,kk)),okb,IF(kk="",TRUE,IF(Playbook!$F18="&lt;",sb&lt;Playbook!$G18,sb&gt;=Playbook!$G18)),inst,IF(Playbook!$H18="Any","Yes",INDEX('Country Profile'!P$32:P$37,MATCH(Playbook!$H18,'Country Profile'!$B$32:$B$37,0))),IF(AND(s&gt;=Playbook!$D18,okb,inst="Yes"),ROUND(s,0),""))</f>
        <v/>
      </c>
      <c r="Q18" s="26" t="str">
        <f t="array" ref="Q18">LET(s,INDEX(Signals!Q$5:Q$25,Playbook!$C18),kk,Playbook!$E18,sb,IF(kk="",0,INDEX(Signals!Q$5:Q$25,kk)),okb,IF(kk="",TRUE,IF(Playbook!$F18="&lt;",sb&lt;Playbook!$G18,sb&gt;=Playbook!$G18)),inst,IF(Playbook!$H18="Any","Yes",INDEX('Country Profile'!Q$32:Q$37,MATCH(Playbook!$H18,'Country Profile'!$B$32:$B$37,0))),IF(AND(s&gt;=Playbook!$D18,okb,inst="Yes"),ROUND(s,0),""))</f>
        <v/>
      </c>
      <c r="R18" s="26" t="str">
        <f t="array" ref="R18">LET(s,INDEX(Signals!R$5:R$25,Playbook!$C18),kk,Playbook!$E18,sb,IF(kk="",0,INDEX(Signals!R$5:R$25,kk)),okb,IF(kk="",TRUE,IF(Playbook!$F18="&lt;",sb&lt;Playbook!$G18,sb&gt;=Playbook!$G18)),inst,IF(Playbook!$H18="Any","Yes",INDEX('Country Profile'!R$32:R$37,MATCH(Playbook!$H18,'Country Profile'!$B$32:$B$37,0))),IF(AND(s&gt;=Playbook!$D18,okb,inst="Yes"),ROUND(s,0),""))</f>
        <v/>
      </c>
      <c r="S18" s="26" t="str">
        <f t="array" ref="S18">LET(s,INDEX(Signals!S$5:S$25,Playbook!$C18),kk,Playbook!$E18,sb,IF(kk="",0,INDEX(Signals!S$5:S$25,kk)),okb,IF(kk="",TRUE,IF(Playbook!$F18="&lt;",sb&lt;Playbook!$G18,sb&gt;=Playbook!$G18)),inst,IF(Playbook!$H18="Any","Yes",INDEX('Country Profile'!S$32:S$37,MATCH(Playbook!$H18,'Country Profile'!$B$32:$B$37,0))),IF(AND(s&gt;=Playbook!$D18,okb,inst="Yes"),ROUND(s,0),""))</f>
        <v/>
      </c>
      <c r="T18" s="26" t="str">
        <f t="array" ref="T18">LET(s,INDEX(Signals!T$5:T$25,Playbook!$C18),kk,Playbook!$E18,sb,IF(kk="",0,INDEX(Signals!T$5:T$25,kk)),okb,IF(kk="",TRUE,IF(Playbook!$F18="&lt;",sb&lt;Playbook!$G18,sb&gt;=Playbook!$G18)),inst,IF(Playbook!$H18="Any","Yes",INDEX('Country Profile'!T$32:T$37,MATCH(Playbook!$H18,'Country Profile'!$B$32:$B$37,0))),IF(AND(s&gt;=Playbook!$D18,okb,inst="Yes"),ROUND(s,0),""))</f>
        <v/>
      </c>
      <c r="U18" s="26" t="str">
        <f t="array" ref="U18">LET(s,INDEX(Signals!U$5:U$25,Playbook!$C18),kk,Playbook!$E18,sb,IF(kk="",0,INDEX(Signals!U$5:U$25,kk)),okb,IF(kk="",TRUE,IF(Playbook!$F18="&lt;",sb&lt;Playbook!$G18,sb&gt;=Playbook!$G18)),inst,IF(Playbook!$H18="Any","Yes",INDEX('Country Profile'!U$32:U$37,MATCH(Playbook!$H18,'Country Profile'!$B$32:$B$37,0))),IF(AND(s&gt;=Playbook!$D18,okb,inst="Yes"),ROUND(s,0),""))</f>
        <v/>
      </c>
      <c r="V18" s="35">
        <f t="array" ref="V18">LET(s,INDEX(Signals!V$5:V$25,Playbook!$C18),kk,Playbook!$E18,sb,IF(kk="",0,INDEX(Signals!V$5:V$25,kk)),okb,IF(kk="",TRUE,IF(Playbook!$F18="&lt;",sb&lt;Playbook!$G18,sb&gt;=Playbook!$G18)),inst,IF(Playbook!$H18="Any","Yes",INDEX('Country Profile'!V$32:V$37,MATCH(Playbook!$H18,'Country Profile'!$B$32:$B$37,0))),IF(AND(s&gt;=Playbook!$D18,okb,inst="Yes"),ROUND(s,0),""))</f>
        <v>65</v>
      </c>
    </row>
    <row r="19">
      <c r="A19" s="26" t="s">
        <v>1125</v>
      </c>
      <c r="B19" s="26" t="s">
        <v>1126</v>
      </c>
      <c r="C19" s="26">
        <v>14.0</v>
      </c>
      <c r="D19" s="26" t="s">
        <v>964</v>
      </c>
      <c r="E19" s="26" t="str">
        <f t="array" ref="E19">LET(s,INDEX(Signals!E$5:E$25,Playbook!$C19),kk,Playbook!$E19,sb,IF(kk="",0,INDEX(Signals!E$5:E$25,kk)),okb,IF(kk="",TRUE,IF(Playbook!$F19="&lt;",sb&lt;Playbook!$G19,sb&gt;=Playbook!$G19)),inst,IF(Playbook!$H19="Any","Yes",INDEX('Country Profile'!E$32:E$37,MATCH(Playbook!$H19,'Country Profile'!$B$32:$B$37,0))),IF(AND(s&gt;=Playbook!$D19,okb,inst="Yes"),ROUND(s,0),""))</f>
        <v/>
      </c>
      <c r="F19" s="26" t="str">
        <f t="array" ref="F19">LET(s,INDEX(Signals!F$5:F$25,Playbook!$C19),kk,Playbook!$E19,sb,IF(kk="",0,INDEX(Signals!F$5:F$25,kk)),okb,IF(kk="",TRUE,IF(Playbook!$F19="&lt;",sb&lt;Playbook!$G19,sb&gt;=Playbook!$G19)),inst,IF(Playbook!$H19="Any","Yes",INDEX('Country Profile'!F$32:F$37,MATCH(Playbook!$H19,'Country Profile'!$B$32:$B$37,0))),IF(AND(s&gt;=Playbook!$D19,okb,inst="Yes"),ROUND(s,0),""))</f>
        <v/>
      </c>
      <c r="G19" s="35">
        <f t="array" ref="G19">LET(s,INDEX(Signals!G$5:G$25,Playbook!$C19),kk,Playbook!$E19,sb,IF(kk="",0,INDEX(Signals!G$5:G$25,kk)),okb,IF(kk="",TRUE,IF(Playbook!$F19="&lt;",sb&lt;Playbook!$G19,sb&gt;=Playbook!$G19)),inst,IF(Playbook!$H19="Any","Yes",INDEX('Country Profile'!G$32:G$37,MATCH(Playbook!$H19,'Country Profile'!$B$32:$B$37,0))),IF(AND(s&gt;=Playbook!$D19,okb,inst="Yes"),ROUND(s,0),""))</f>
        <v>75</v>
      </c>
      <c r="H19" s="26" t="str">
        <f t="array" ref="H19">LET(s,INDEX(Signals!H$5:H$25,Playbook!$C19),kk,Playbook!$E19,sb,IF(kk="",0,INDEX(Signals!H$5:H$25,kk)),okb,IF(kk="",TRUE,IF(Playbook!$F19="&lt;",sb&lt;Playbook!$G19,sb&gt;=Playbook!$G19)),inst,IF(Playbook!$H19="Any","Yes",INDEX('Country Profile'!H$32:H$37,MATCH(Playbook!$H19,'Country Profile'!$B$32:$B$37,0))),IF(AND(s&gt;=Playbook!$D19,okb,inst="Yes"),ROUND(s,0),""))</f>
        <v/>
      </c>
      <c r="I19" s="26" t="str">
        <f t="array" ref="I19">LET(s,INDEX(Signals!I$5:I$25,Playbook!$C19),kk,Playbook!$E19,sb,IF(kk="",0,INDEX(Signals!I$5:I$25,kk)),okb,IF(kk="",TRUE,IF(Playbook!$F19="&lt;",sb&lt;Playbook!$G19,sb&gt;=Playbook!$G19)),inst,IF(Playbook!$H19="Any","Yes",INDEX('Country Profile'!I$32:I$37,MATCH(Playbook!$H19,'Country Profile'!$B$32:$B$37,0))),IF(AND(s&gt;=Playbook!$D19,okb,inst="Yes"),ROUND(s,0),""))</f>
        <v/>
      </c>
      <c r="J19" s="26" t="str">
        <f t="array" ref="J19">LET(s,INDEX(Signals!J$5:J$25,Playbook!$C19),kk,Playbook!$E19,sb,IF(kk="",0,INDEX(Signals!J$5:J$25,kk)),okb,IF(kk="",TRUE,IF(Playbook!$F19="&lt;",sb&lt;Playbook!$G19,sb&gt;=Playbook!$G19)),inst,IF(Playbook!$H19="Any","Yes",INDEX('Country Profile'!J$32:J$37,MATCH(Playbook!$H19,'Country Profile'!$B$32:$B$37,0))),IF(AND(s&gt;=Playbook!$D19,okb,inst="Yes"),ROUND(s,0),""))</f>
        <v/>
      </c>
      <c r="K19" s="26" t="str">
        <f t="array" ref="K19">LET(s,INDEX(Signals!K$5:K$25,Playbook!$C19),kk,Playbook!$E19,sb,IF(kk="",0,INDEX(Signals!K$5:K$25,kk)),okb,IF(kk="",TRUE,IF(Playbook!$F19="&lt;",sb&lt;Playbook!$G19,sb&gt;=Playbook!$G19)),inst,IF(Playbook!$H19="Any","Yes",INDEX('Country Profile'!K$32:K$37,MATCH(Playbook!$H19,'Country Profile'!$B$32:$B$37,0))),IF(AND(s&gt;=Playbook!$D19,okb,inst="Yes"),ROUND(s,0),""))</f>
        <v/>
      </c>
      <c r="L19" s="35">
        <f t="array" ref="L19">LET(s,INDEX(Signals!L$5:L$25,Playbook!$C19),kk,Playbook!$E19,sb,IF(kk="",0,INDEX(Signals!L$5:L$25,kk)),okb,IF(kk="",TRUE,IF(Playbook!$F19="&lt;",sb&lt;Playbook!$G19,sb&gt;=Playbook!$G19)),inst,IF(Playbook!$H19="Any","Yes",INDEX('Country Profile'!L$32:L$37,MATCH(Playbook!$H19,'Country Profile'!$B$32:$B$37,0))),IF(AND(s&gt;=Playbook!$D19,okb,inst="Yes"),ROUND(s,0),""))</f>
        <v>75</v>
      </c>
      <c r="M19" s="35">
        <f t="array" ref="M19">LET(s,INDEX(Signals!M$5:M$25,Playbook!$C19),kk,Playbook!$E19,sb,IF(kk="",0,INDEX(Signals!M$5:M$25,kk)),okb,IF(kk="",TRUE,IF(Playbook!$F19="&lt;",sb&lt;Playbook!$G19,sb&gt;=Playbook!$G19)),inst,IF(Playbook!$H19="Any","Yes",INDEX('Country Profile'!M$32:M$37,MATCH(Playbook!$H19,'Country Profile'!$B$32:$B$37,0))),IF(AND(s&gt;=Playbook!$D19,okb,inst="Yes"),ROUND(s,0),""))</f>
        <v>75</v>
      </c>
      <c r="N19" s="26" t="str">
        <f t="array" ref="N19">LET(s,INDEX(Signals!N$5:N$25,Playbook!$C19),kk,Playbook!$E19,sb,IF(kk="",0,INDEX(Signals!N$5:N$25,kk)),okb,IF(kk="",TRUE,IF(Playbook!$F19="&lt;",sb&lt;Playbook!$G19,sb&gt;=Playbook!$G19)),inst,IF(Playbook!$H19="Any","Yes",INDEX('Country Profile'!N$32:N$37,MATCH(Playbook!$H19,'Country Profile'!$B$32:$B$37,0))),IF(AND(s&gt;=Playbook!$D19,okb,inst="Yes"),ROUND(s,0),""))</f>
        <v/>
      </c>
      <c r="O19" s="35">
        <f t="array" ref="O19">LET(s,INDEX(Signals!O$5:O$25,Playbook!$C19),kk,Playbook!$E19,sb,IF(kk="",0,INDEX(Signals!O$5:O$25,kk)),okb,IF(kk="",TRUE,IF(Playbook!$F19="&lt;",sb&lt;Playbook!$G19,sb&gt;=Playbook!$G19)),inst,IF(Playbook!$H19="Any","Yes",INDEX('Country Profile'!O$32:O$37,MATCH(Playbook!$H19,'Country Profile'!$B$32:$B$37,0))),IF(AND(s&gt;=Playbook!$D19,okb,inst="Yes"),ROUND(s,0),""))</f>
        <v>75</v>
      </c>
      <c r="P19" s="26" t="str">
        <f t="array" ref="P19">LET(s,INDEX(Signals!P$5:P$25,Playbook!$C19),kk,Playbook!$E19,sb,IF(kk="",0,INDEX(Signals!P$5:P$25,kk)),okb,IF(kk="",TRUE,IF(Playbook!$F19="&lt;",sb&lt;Playbook!$G19,sb&gt;=Playbook!$G19)),inst,IF(Playbook!$H19="Any","Yes",INDEX('Country Profile'!P$32:P$37,MATCH(Playbook!$H19,'Country Profile'!$B$32:$B$37,0))),IF(AND(s&gt;=Playbook!$D19,okb,inst="Yes"),ROUND(s,0),""))</f>
        <v/>
      </c>
      <c r="Q19" s="26" t="str">
        <f t="array" ref="Q19">LET(s,INDEX(Signals!Q$5:Q$25,Playbook!$C19),kk,Playbook!$E19,sb,IF(kk="",0,INDEX(Signals!Q$5:Q$25,kk)),okb,IF(kk="",TRUE,IF(Playbook!$F19="&lt;",sb&lt;Playbook!$G19,sb&gt;=Playbook!$G19)),inst,IF(Playbook!$H19="Any","Yes",INDEX('Country Profile'!Q$32:Q$37,MATCH(Playbook!$H19,'Country Profile'!$B$32:$B$37,0))),IF(AND(s&gt;=Playbook!$D19,okb,inst="Yes"),ROUND(s,0),""))</f>
        <v/>
      </c>
      <c r="R19" s="35">
        <f t="array" ref="R19">LET(s,INDEX(Signals!R$5:R$25,Playbook!$C19),kk,Playbook!$E19,sb,IF(kk="",0,INDEX(Signals!R$5:R$25,kk)),okb,IF(kk="",TRUE,IF(Playbook!$F19="&lt;",sb&lt;Playbook!$G19,sb&gt;=Playbook!$G19)),inst,IF(Playbook!$H19="Any","Yes",INDEX('Country Profile'!R$32:R$37,MATCH(Playbook!$H19,'Country Profile'!$B$32:$B$37,0))),IF(AND(s&gt;=Playbook!$D19,okb,inst="Yes"),ROUND(s,0),""))</f>
        <v>100</v>
      </c>
      <c r="S19" s="26" t="str">
        <f t="array" ref="S19">LET(s,INDEX(Signals!S$5:S$25,Playbook!$C19),kk,Playbook!$E19,sb,IF(kk="",0,INDEX(Signals!S$5:S$25,kk)),okb,IF(kk="",TRUE,IF(Playbook!$F19="&lt;",sb&lt;Playbook!$G19,sb&gt;=Playbook!$G19)),inst,IF(Playbook!$H19="Any","Yes",INDEX('Country Profile'!S$32:S$37,MATCH(Playbook!$H19,'Country Profile'!$B$32:$B$37,0))),IF(AND(s&gt;=Playbook!$D19,okb,inst="Yes"),ROUND(s,0),""))</f>
        <v/>
      </c>
      <c r="T19" s="26" t="str">
        <f t="array" ref="T19">LET(s,INDEX(Signals!T$5:T$25,Playbook!$C19),kk,Playbook!$E19,sb,IF(kk="",0,INDEX(Signals!T$5:T$25,kk)),okb,IF(kk="",TRUE,IF(Playbook!$F19="&lt;",sb&lt;Playbook!$G19,sb&gt;=Playbook!$G19)),inst,IF(Playbook!$H19="Any","Yes",INDEX('Country Profile'!T$32:T$37,MATCH(Playbook!$H19,'Country Profile'!$B$32:$B$37,0))),IF(AND(s&gt;=Playbook!$D19,okb,inst="Yes"),ROUND(s,0),""))</f>
        <v/>
      </c>
      <c r="U19" s="26" t="str">
        <f t="array" ref="U19">LET(s,INDEX(Signals!U$5:U$25,Playbook!$C19),kk,Playbook!$E19,sb,IF(kk="",0,INDEX(Signals!U$5:U$25,kk)),okb,IF(kk="",TRUE,IF(Playbook!$F19="&lt;",sb&lt;Playbook!$G19,sb&gt;=Playbook!$G19)),inst,IF(Playbook!$H19="Any","Yes",INDEX('Country Profile'!U$32:U$37,MATCH(Playbook!$H19,'Country Profile'!$B$32:$B$37,0))),IF(AND(s&gt;=Playbook!$D19,okb,inst="Yes"),ROUND(s,0),""))</f>
        <v/>
      </c>
      <c r="V19" s="35">
        <f t="array" ref="V19">LET(s,INDEX(Signals!V$5:V$25,Playbook!$C19),kk,Playbook!$E19,sb,IF(kk="",0,INDEX(Signals!V$5:V$25,kk)),okb,IF(kk="",TRUE,IF(Playbook!$F19="&lt;",sb&lt;Playbook!$G19,sb&gt;=Playbook!$G19)),inst,IF(Playbook!$H19="Any","Yes",INDEX('Country Profile'!V$32:V$37,MATCH(Playbook!$H19,'Country Profile'!$B$32:$B$37,0))),IF(AND(s&gt;=Playbook!$D19,okb,inst="Yes"),ROUND(s,0),""))</f>
        <v>75</v>
      </c>
    </row>
    <row r="20">
      <c r="A20" s="26" t="s">
        <v>1133</v>
      </c>
      <c r="B20" s="26" t="s">
        <v>1134</v>
      </c>
      <c r="C20" s="26">
        <v>15.0</v>
      </c>
      <c r="D20" s="26" t="s">
        <v>993</v>
      </c>
      <c r="E20" s="26" t="str">
        <f t="array" ref="E20">LET(s,INDEX(Signals!E$5:E$25,Playbook!$C20),kk,Playbook!$E20,sb,IF(kk="",0,INDEX(Signals!E$5:E$25,kk)),okb,IF(kk="",TRUE,IF(Playbook!$F20="&lt;",sb&lt;Playbook!$G20,sb&gt;=Playbook!$G20)),inst,IF(Playbook!$H20="Any","Yes",INDEX('Country Profile'!E$32:E$37,MATCH(Playbook!$H20,'Country Profile'!$B$32:$B$37,0))),IF(AND(s&gt;=Playbook!$D20,okb,inst="Yes"),ROUND(s,0),""))</f>
        <v/>
      </c>
      <c r="F20" s="26" t="str">
        <f t="array" ref="F20">LET(s,INDEX(Signals!F$5:F$25,Playbook!$C20),kk,Playbook!$E20,sb,IF(kk="",0,INDEX(Signals!F$5:F$25,kk)),okb,IF(kk="",TRUE,IF(Playbook!$F20="&lt;",sb&lt;Playbook!$G20,sb&gt;=Playbook!$G20)),inst,IF(Playbook!$H20="Any","Yes",INDEX('Country Profile'!F$32:F$37,MATCH(Playbook!$H20,'Country Profile'!$B$32:$B$37,0))),IF(AND(s&gt;=Playbook!$D20,okb,inst="Yes"),ROUND(s,0),""))</f>
        <v/>
      </c>
      <c r="G20" s="26" t="str">
        <f t="array" ref="G20">LET(s,INDEX(Signals!G$5:G$25,Playbook!$C20),kk,Playbook!$E20,sb,IF(kk="",0,INDEX(Signals!G$5:G$25,kk)),okb,IF(kk="",TRUE,IF(Playbook!$F20="&lt;",sb&lt;Playbook!$G20,sb&gt;=Playbook!$G20)),inst,IF(Playbook!$H20="Any","Yes",INDEX('Country Profile'!G$32:G$37,MATCH(Playbook!$H20,'Country Profile'!$B$32:$B$37,0))),IF(AND(s&gt;=Playbook!$D20,okb,inst="Yes"),ROUND(s,0),""))</f>
        <v/>
      </c>
      <c r="H20" s="26" t="str">
        <f t="array" ref="H20">LET(s,INDEX(Signals!H$5:H$25,Playbook!$C20),kk,Playbook!$E20,sb,IF(kk="",0,INDEX(Signals!H$5:H$25,kk)),okb,IF(kk="",TRUE,IF(Playbook!$F20="&lt;",sb&lt;Playbook!$G20,sb&gt;=Playbook!$G20)),inst,IF(Playbook!$H20="Any","Yes",INDEX('Country Profile'!H$32:H$37,MATCH(Playbook!$H20,'Country Profile'!$B$32:$B$37,0))),IF(AND(s&gt;=Playbook!$D20,okb,inst="Yes"),ROUND(s,0),""))</f>
        <v/>
      </c>
      <c r="I20" s="26" t="str">
        <f t="array" ref="I20">LET(s,INDEX(Signals!I$5:I$25,Playbook!$C20),kk,Playbook!$E20,sb,IF(kk="",0,INDEX(Signals!I$5:I$25,kk)),okb,IF(kk="",TRUE,IF(Playbook!$F20="&lt;",sb&lt;Playbook!$G20,sb&gt;=Playbook!$G20)),inst,IF(Playbook!$H20="Any","Yes",INDEX('Country Profile'!I$32:I$37,MATCH(Playbook!$H20,'Country Profile'!$B$32:$B$37,0))),IF(AND(s&gt;=Playbook!$D20,okb,inst="Yes"),ROUND(s,0),""))</f>
        <v/>
      </c>
      <c r="J20" s="26" t="str">
        <f t="array" ref="J20">LET(s,INDEX(Signals!J$5:J$25,Playbook!$C20),kk,Playbook!$E20,sb,IF(kk="",0,INDEX(Signals!J$5:J$25,kk)),okb,IF(kk="",TRUE,IF(Playbook!$F20="&lt;",sb&lt;Playbook!$G20,sb&gt;=Playbook!$G20)),inst,IF(Playbook!$H20="Any","Yes",INDEX('Country Profile'!J$32:J$37,MATCH(Playbook!$H20,'Country Profile'!$B$32:$B$37,0))),IF(AND(s&gt;=Playbook!$D20,okb,inst="Yes"),ROUND(s,0),""))</f>
        <v/>
      </c>
      <c r="K20" s="26" t="str">
        <f t="array" ref="K20">LET(s,INDEX(Signals!K$5:K$25,Playbook!$C20),kk,Playbook!$E20,sb,IF(kk="",0,INDEX(Signals!K$5:K$25,kk)),okb,IF(kk="",TRUE,IF(Playbook!$F20="&lt;",sb&lt;Playbook!$G20,sb&gt;=Playbook!$G20)),inst,IF(Playbook!$H20="Any","Yes",INDEX('Country Profile'!K$32:K$37,MATCH(Playbook!$H20,'Country Profile'!$B$32:$B$37,0))),IF(AND(s&gt;=Playbook!$D20,okb,inst="Yes"),ROUND(s,0),""))</f>
        <v/>
      </c>
      <c r="L20" s="26" t="str">
        <f t="array" ref="L20">LET(s,INDEX(Signals!L$5:L$25,Playbook!$C20),kk,Playbook!$E20,sb,IF(kk="",0,INDEX(Signals!L$5:L$25,kk)),okb,IF(kk="",TRUE,IF(Playbook!$F20="&lt;",sb&lt;Playbook!$G20,sb&gt;=Playbook!$G20)),inst,IF(Playbook!$H20="Any","Yes",INDEX('Country Profile'!L$32:L$37,MATCH(Playbook!$H20,'Country Profile'!$B$32:$B$37,0))),IF(AND(s&gt;=Playbook!$D20,okb,inst="Yes"),ROUND(s,0),""))</f>
        <v/>
      </c>
      <c r="M20" s="35">
        <f t="array" ref="M20">LET(s,INDEX(Signals!M$5:M$25,Playbook!$C20),kk,Playbook!$E20,sb,IF(kk="",0,INDEX(Signals!M$5:M$25,kk)),okb,IF(kk="",TRUE,IF(Playbook!$F20="&lt;",sb&lt;Playbook!$G20,sb&gt;=Playbook!$G20)),inst,IF(Playbook!$H20="Any","Yes",INDEX('Country Profile'!M$32:M$37,MATCH(Playbook!$H20,'Country Profile'!$B$32:$B$37,0))),IF(AND(s&gt;=Playbook!$D20,okb,inst="Yes"),ROUND(s,0),""))</f>
        <v>100</v>
      </c>
      <c r="N20" s="26" t="str">
        <f t="array" ref="N20">LET(s,INDEX(Signals!N$5:N$25,Playbook!$C20),kk,Playbook!$E20,sb,IF(kk="",0,INDEX(Signals!N$5:N$25,kk)),okb,IF(kk="",TRUE,IF(Playbook!$F20="&lt;",sb&lt;Playbook!$G20,sb&gt;=Playbook!$G20)),inst,IF(Playbook!$H20="Any","Yes",INDEX('Country Profile'!N$32:N$37,MATCH(Playbook!$H20,'Country Profile'!$B$32:$B$37,0))),IF(AND(s&gt;=Playbook!$D20,okb,inst="Yes"),ROUND(s,0),""))</f>
        <v/>
      </c>
      <c r="O20" s="26" t="str">
        <f t="array" ref="O20">LET(s,INDEX(Signals!O$5:O$25,Playbook!$C20),kk,Playbook!$E20,sb,IF(kk="",0,INDEX(Signals!O$5:O$25,kk)),okb,IF(kk="",TRUE,IF(Playbook!$F20="&lt;",sb&lt;Playbook!$G20,sb&gt;=Playbook!$G20)),inst,IF(Playbook!$H20="Any","Yes",INDEX('Country Profile'!O$32:O$37,MATCH(Playbook!$H20,'Country Profile'!$B$32:$B$37,0))),IF(AND(s&gt;=Playbook!$D20,okb,inst="Yes"),ROUND(s,0),""))</f>
        <v/>
      </c>
      <c r="P20" s="26" t="str">
        <f t="array" ref="P20">LET(s,INDEX(Signals!P$5:P$25,Playbook!$C20),kk,Playbook!$E20,sb,IF(kk="",0,INDEX(Signals!P$5:P$25,kk)),okb,IF(kk="",TRUE,IF(Playbook!$F20="&lt;",sb&lt;Playbook!$G20,sb&gt;=Playbook!$G20)),inst,IF(Playbook!$H20="Any","Yes",INDEX('Country Profile'!P$32:P$37,MATCH(Playbook!$H20,'Country Profile'!$B$32:$B$37,0))),IF(AND(s&gt;=Playbook!$D20,okb,inst="Yes"),ROUND(s,0),""))</f>
        <v/>
      </c>
      <c r="Q20" s="26" t="str">
        <f t="array" ref="Q20">LET(s,INDEX(Signals!Q$5:Q$25,Playbook!$C20),kk,Playbook!$E20,sb,IF(kk="",0,INDEX(Signals!Q$5:Q$25,kk)),okb,IF(kk="",TRUE,IF(Playbook!$F20="&lt;",sb&lt;Playbook!$G20,sb&gt;=Playbook!$G20)),inst,IF(Playbook!$H20="Any","Yes",INDEX('Country Profile'!Q$32:Q$37,MATCH(Playbook!$H20,'Country Profile'!$B$32:$B$37,0))),IF(AND(s&gt;=Playbook!$D20,okb,inst="Yes"),ROUND(s,0),""))</f>
        <v/>
      </c>
      <c r="R20" s="26" t="str">
        <f t="array" ref="R20">LET(s,INDEX(Signals!R$5:R$25,Playbook!$C20),kk,Playbook!$E20,sb,IF(kk="",0,INDEX(Signals!R$5:R$25,kk)),okb,IF(kk="",TRUE,IF(Playbook!$F20="&lt;",sb&lt;Playbook!$G20,sb&gt;=Playbook!$G20)),inst,IF(Playbook!$H20="Any","Yes",INDEX('Country Profile'!R$32:R$37,MATCH(Playbook!$H20,'Country Profile'!$B$32:$B$37,0))),IF(AND(s&gt;=Playbook!$D20,okb,inst="Yes"),ROUND(s,0),""))</f>
        <v/>
      </c>
      <c r="S20" s="35">
        <f t="array" ref="S20">LET(s,INDEX(Signals!S$5:S$25,Playbook!$C20),kk,Playbook!$E20,sb,IF(kk="",0,INDEX(Signals!S$5:S$25,kk)),okb,IF(kk="",TRUE,IF(Playbook!$F20="&lt;",sb&lt;Playbook!$G20,sb&gt;=Playbook!$G20)),inst,IF(Playbook!$H20="Any","Yes",INDEX('Country Profile'!S$32:S$37,MATCH(Playbook!$H20,'Country Profile'!$B$32:$B$37,0))),IF(AND(s&gt;=Playbook!$D20,okb,inst="Yes"),ROUND(s,0),""))</f>
        <v>73</v>
      </c>
      <c r="T20" s="26" t="str">
        <f t="array" ref="T20">LET(s,INDEX(Signals!T$5:T$25,Playbook!$C20),kk,Playbook!$E20,sb,IF(kk="",0,INDEX(Signals!T$5:T$25,kk)),okb,IF(kk="",TRUE,IF(Playbook!$F20="&lt;",sb&lt;Playbook!$G20,sb&gt;=Playbook!$G20)),inst,IF(Playbook!$H20="Any","Yes",INDEX('Country Profile'!T$32:T$37,MATCH(Playbook!$H20,'Country Profile'!$B$32:$B$37,0))),IF(AND(s&gt;=Playbook!$D20,okb,inst="Yes"),ROUND(s,0),""))</f>
        <v/>
      </c>
      <c r="U20" s="26" t="str">
        <f t="array" ref="U20">LET(s,INDEX(Signals!U$5:U$25,Playbook!$C20),kk,Playbook!$E20,sb,IF(kk="",0,INDEX(Signals!U$5:U$25,kk)),okb,IF(kk="",TRUE,IF(Playbook!$F20="&lt;",sb&lt;Playbook!$G20,sb&gt;=Playbook!$G20)),inst,IF(Playbook!$H20="Any","Yes",INDEX('Country Profile'!U$32:U$37,MATCH(Playbook!$H20,'Country Profile'!$B$32:$B$37,0))),IF(AND(s&gt;=Playbook!$D20,okb,inst="Yes"),ROUND(s,0),""))</f>
        <v/>
      </c>
      <c r="V20" s="26" t="str">
        <f t="array" ref="V20">LET(s,INDEX(Signals!V$5:V$25,Playbook!$C20),kk,Playbook!$E20,sb,IF(kk="",0,INDEX(Signals!V$5:V$25,kk)),okb,IF(kk="",TRUE,IF(Playbook!$F20="&lt;",sb&lt;Playbook!$G20,sb&gt;=Playbook!$G20)),inst,IF(Playbook!$H20="Any","Yes",INDEX('Country Profile'!V$32:V$37,MATCH(Playbook!$H20,'Country Profile'!$B$32:$B$37,0))),IF(AND(s&gt;=Playbook!$D20,okb,inst="Yes"),ROUND(s,0),""))</f>
        <v/>
      </c>
    </row>
    <row r="21">
      <c r="A21" s="26" t="s">
        <v>1139</v>
      </c>
      <c r="B21" s="26" t="s">
        <v>1140</v>
      </c>
      <c r="C21" s="26">
        <v>19.0</v>
      </c>
      <c r="D21" s="26" t="s">
        <v>1002</v>
      </c>
      <c r="E21" s="26" t="str">
        <f t="array" ref="E21">LET(s,INDEX(Signals!E$5:E$25,Playbook!$C21),kk,Playbook!$E21,sb,IF(kk="",0,INDEX(Signals!E$5:E$25,kk)),okb,IF(kk="",TRUE,IF(Playbook!$F21="&lt;",sb&lt;Playbook!$G21,sb&gt;=Playbook!$G21)),inst,IF(Playbook!$H21="Any","Yes",INDEX('Country Profile'!E$32:E$37,MATCH(Playbook!$H21,'Country Profile'!$B$32:$B$37,0))),IF(AND(s&gt;=Playbook!$D21,okb,inst="Yes"),ROUND(s,0),""))</f>
        <v/>
      </c>
      <c r="F21" s="26" t="str">
        <f t="array" ref="F21">LET(s,INDEX(Signals!F$5:F$25,Playbook!$C21),kk,Playbook!$E21,sb,IF(kk="",0,INDEX(Signals!F$5:F$25,kk)),okb,IF(kk="",TRUE,IF(Playbook!$F21="&lt;",sb&lt;Playbook!$G21,sb&gt;=Playbook!$G21)),inst,IF(Playbook!$H21="Any","Yes",INDEX('Country Profile'!F$32:F$37,MATCH(Playbook!$H21,'Country Profile'!$B$32:$B$37,0))),IF(AND(s&gt;=Playbook!$D21,okb,inst="Yes"),ROUND(s,0),""))</f>
        <v/>
      </c>
      <c r="G21" s="26" t="str">
        <f t="array" ref="G21">LET(s,INDEX(Signals!G$5:G$25,Playbook!$C21),kk,Playbook!$E21,sb,IF(kk="",0,INDEX(Signals!G$5:G$25,kk)),okb,IF(kk="",TRUE,IF(Playbook!$F21="&lt;",sb&lt;Playbook!$G21,sb&gt;=Playbook!$G21)),inst,IF(Playbook!$H21="Any","Yes",INDEX('Country Profile'!G$32:G$37,MATCH(Playbook!$H21,'Country Profile'!$B$32:$B$37,0))),IF(AND(s&gt;=Playbook!$D21,okb,inst="Yes"),ROUND(s,0),""))</f>
        <v/>
      </c>
      <c r="H21" s="26" t="str">
        <f t="array" ref="H21">LET(s,INDEX(Signals!H$5:H$25,Playbook!$C21),kk,Playbook!$E21,sb,IF(kk="",0,INDEX(Signals!H$5:H$25,kk)),okb,IF(kk="",TRUE,IF(Playbook!$F21="&lt;",sb&lt;Playbook!$G21,sb&gt;=Playbook!$G21)),inst,IF(Playbook!$H21="Any","Yes",INDEX('Country Profile'!H$32:H$37,MATCH(Playbook!$H21,'Country Profile'!$B$32:$B$37,0))),IF(AND(s&gt;=Playbook!$D21,okb,inst="Yes"),ROUND(s,0),""))</f>
        <v/>
      </c>
      <c r="I21" s="26" t="str">
        <f t="array" ref="I21">LET(s,INDEX(Signals!I$5:I$25,Playbook!$C21),kk,Playbook!$E21,sb,IF(kk="",0,INDEX(Signals!I$5:I$25,kk)),okb,IF(kk="",TRUE,IF(Playbook!$F21="&lt;",sb&lt;Playbook!$G21,sb&gt;=Playbook!$G21)),inst,IF(Playbook!$H21="Any","Yes",INDEX('Country Profile'!I$32:I$37,MATCH(Playbook!$H21,'Country Profile'!$B$32:$B$37,0))),IF(AND(s&gt;=Playbook!$D21,okb,inst="Yes"),ROUND(s,0),""))</f>
        <v/>
      </c>
      <c r="J21" s="26" t="str">
        <f t="array" ref="J21">LET(s,INDEX(Signals!J$5:J$25,Playbook!$C21),kk,Playbook!$E21,sb,IF(kk="",0,INDEX(Signals!J$5:J$25,kk)),okb,IF(kk="",TRUE,IF(Playbook!$F21="&lt;",sb&lt;Playbook!$G21,sb&gt;=Playbook!$G21)),inst,IF(Playbook!$H21="Any","Yes",INDEX('Country Profile'!J$32:J$37,MATCH(Playbook!$H21,'Country Profile'!$B$32:$B$37,0))),IF(AND(s&gt;=Playbook!$D21,okb,inst="Yes"),ROUND(s,0),""))</f>
        <v/>
      </c>
      <c r="K21" s="26" t="str">
        <f t="array" ref="K21">LET(s,INDEX(Signals!K$5:K$25,Playbook!$C21),kk,Playbook!$E21,sb,IF(kk="",0,INDEX(Signals!K$5:K$25,kk)),okb,IF(kk="",TRUE,IF(Playbook!$F21="&lt;",sb&lt;Playbook!$G21,sb&gt;=Playbook!$G21)),inst,IF(Playbook!$H21="Any","Yes",INDEX('Country Profile'!K$32:K$37,MATCH(Playbook!$H21,'Country Profile'!$B$32:$B$37,0))),IF(AND(s&gt;=Playbook!$D21,okb,inst="Yes"),ROUND(s,0),""))</f>
        <v/>
      </c>
      <c r="L21" s="26" t="str">
        <f t="array" ref="L21">LET(s,INDEX(Signals!L$5:L$25,Playbook!$C21),kk,Playbook!$E21,sb,IF(kk="",0,INDEX(Signals!L$5:L$25,kk)),okb,IF(kk="",TRUE,IF(Playbook!$F21="&lt;",sb&lt;Playbook!$G21,sb&gt;=Playbook!$G21)),inst,IF(Playbook!$H21="Any","Yes",INDEX('Country Profile'!L$32:L$37,MATCH(Playbook!$H21,'Country Profile'!$B$32:$B$37,0))),IF(AND(s&gt;=Playbook!$D21,okb,inst="Yes"),ROUND(s,0),""))</f>
        <v/>
      </c>
      <c r="M21" s="26" t="str">
        <f t="array" ref="M21">LET(s,INDEX(Signals!M$5:M$25,Playbook!$C21),kk,Playbook!$E21,sb,IF(kk="",0,INDEX(Signals!M$5:M$25,kk)),okb,IF(kk="",TRUE,IF(Playbook!$F21="&lt;",sb&lt;Playbook!$G21,sb&gt;=Playbook!$G21)),inst,IF(Playbook!$H21="Any","Yes",INDEX('Country Profile'!M$32:M$37,MATCH(Playbook!$H21,'Country Profile'!$B$32:$B$37,0))),IF(AND(s&gt;=Playbook!$D21,okb,inst="Yes"),ROUND(s,0),""))</f>
        <v/>
      </c>
      <c r="N21" s="26" t="str">
        <f t="array" ref="N21">LET(s,INDEX(Signals!N$5:N$25,Playbook!$C21),kk,Playbook!$E21,sb,IF(kk="",0,INDEX(Signals!N$5:N$25,kk)),okb,IF(kk="",TRUE,IF(Playbook!$F21="&lt;",sb&lt;Playbook!$G21,sb&gt;=Playbook!$G21)),inst,IF(Playbook!$H21="Any","Yes",INDEX('Country Profile'!N$32:N$37,MATCH(Playbook!$H21,'Country Profile'!$B$32:$B$37,0))),IF(AND(s&gt;=Playbook!$D21,okb,inst="Yes"),ROUND(s,0),""))</f>
        <v/>
      </c>
      <c r="O21" s="35">
        <f t="array" ref="O21">LET(s,INDEX(Signals!O$5:O$25,Playbook!$C21),kk,Playbook!$E21,sb,IF(kk="",0,INDEX(Signals!O$5:O$25,kk)),okb,IF(kk="",TRUE,IF(Playbook!$F21="&lt;",sb&lt;Playbook!$G21,sb&gt;=Playbook!$G21)),inst,IF(Playbook!$H21="Any","Yes",INDEX('Country Profile'!O$32:O$37,MATCH(Playbook!$H21,'Country Profile'!$B$32:$B$37,0))),IF(AND(s&gt;=Playbook!$D21,okb,inst="Yes"),ROUND(s,0),""))</f>
        <v>100</v>
      </c>
      <c r="P21" s="26" t="str">
        <f t="array" ref="P21">LET(s,INDEX(Signals!P$5:P$25,Playbook!$C21),kk,Playbook!$E21,sb,IF(kk="",0,INDEX(Signals!P$5:P$25,kk)),okb,IF(kk="",TRUE,IF(Playbook!$F21="&lt;",sb&lt;Playbook!$G21,sb&gt;=Playbook!$G21)),inst,IF(Playbook!$H21="Any","Yes",INDEX('Country Profile'!P$32:P$37,MATCH(Playbook!$H21,'Country Profile'!$B$32:$B$37,0))),IF(AND(s&gt;=Playbook!$D21,okb,inst="Yes"),ROUND(s,0),""))</f>
        <v/>
      </c>
      <c r="Q21" s="35">
        <f t="array" ref="Q21">LET(s,INDEX(Signals!Q$5:Q$25,Playbook!$C21),kk,Playbook!$E21,sb,IF(kk="",0,INDEX(Signals!Q$5:Q$25,kk)),okb,IF(kk="",TRUE,IF(Playbook!$F21="&lt;",sb&lt;Playbook!$G21,sb&gt;=Playbook!$G21)),inst,IF(Playbook!$H21="Any","Yes",INDEX('Country Profile'!Q$32:Q$37,MATCH(Playbook!$H21,'Country Profile'!$B$32:$B$37,0))),IF(AND(s&gt;=Playbook!$D21,okb,inst="Yes"),ROUND(s,0),""))</f>
        <v>100</v>
      </c>
      <c r="R21" s="26" t="str">
        <f t="array" ref="R21">LET(s,INDEX(Signals!R$5:R$25,Playbook!$C21),kk,Playbook!$E21,sb,IF(kk="",0,INDEX(Signals!R$5:R$25,kk)),okb,IF(kk="",TRUE,IF(Playbook!$F21="&lt;",sb&lt;Playbook!$G21,sb&gt;=Playbook!$G21)),inst,IF(Playbook!$H21="Any","Yes",INDEX('Country Profile'!R$32:R$37,MATCH(Playbook!$H21,'Country Profile'!$B$32:$B$37,0))),IF(AND(s&gt;=Playbook!$D21,okb,inst="Yes"),ROUND(s,0),""))</f>
        <v/>
      </c>
      <c r="S21" s="26" t="str">
        <f t="array" ref="S21">LET(s,INDEX(Signals!S$5:S$25,Playbook!$C21),kk,Playbook!$E21,sb,IF(kk="",0,INDEX(Signals!S$5:S$25,kk)),okb,IF(kk="",TRUE,IF(Playbook!$F21="&lt;",sb&lt;Playbook!$G21,sb&gt;=Playbook!$G21)),inst,IF(Playbook!$H21="Any","Yes",INDEX('Country Profile'!S$32:S$37,MATCH(Playbook!$H21,'Country Profile'!$B$32:$B$37,0))),IF(AND(s&gt;=Playbook!$D21,okb,inst="Yes"),ROUND(s,0),""))</f>
        <v/>
      </c>
      <c r="T21" s="26" t="str">
        <f t="array" ref="T21">LET(s,INDEX(Signals!T$5:T$25,Playbook!$C21),kk,Playbook!$E21,sb,IF(kk="",0,INDEX(Signals!T$5:T$25,kk)),okb,IF(kk="",TRUE,IF(Playbook!$F21="&lt;",sb&lt;Playbook!$G21,sb&gt;=Playbook!$G21)),inst,IF(Playbook!$H21="Any","Yes",INDEX('Country Profile'!T$32:T$37,MATCH(Playbook!$H21,'Country Profile'!$B$32:$B$37,0))),IF(AND(s&gt;=Playbook!$D21,okb,inst="Yes"),ROUND(s,0),""))</f>
        <v/>
      </c>
      <c r="U21" s="26" t="str">
        <f t="array" ref="U21">LET(s,INDEX(Signals!U$5:U$25,Playbook!$C21),kk,Playbook!$E21,sb,IF(kk="",0,INDEX(Signals!U$5:U$25,kk)),okb,IF(kk="",TRUE,IF(Playbook!$F21="&lt;",sb&lt;Playbook!$G21,sb&gt;=Playbook!$G21)),inst,IF(Playbook!$H21="Any","Yes",INDEX('Country Profile'!U$32:U$37,MATCH(Playbook!$H21,'Country Profile'!$B$32:$B$37,0))),IF(AND(s&gt;=Playbook!$D21,okb,inst="Yes"),ROUND(s,0),""))</f>
        <v/>
      </c>
      <c r="V21" s="26" t="str">
        <f t="array" ref="V21">LET(s,INDEX(Signals!V$5:V$25,Playbook!$C21),kk,Playbook!$E21,sb,IF(kk="",0,INDEX(Signals!V$5:V$25,kk)),okb,IF(kk="",TRUE,IF(Playbook!$F21="&lt;",sb&lt;Playbook!$G21,sb&gt;=Playbook!$G21)),inst,IF(Playbook!$H21="Any","Yes",INDEX('Country Profile'!V$32:V$37,MATCH(Playbook!$H21,'Country Profile'!$B$32:$B$37,0))),IF(AND(s&gt;=Playbook!$D21,okb,inst="Yes"),ROUND(s,0),""))</f>
        <v/>
      </c>
    </row>
    <row r="22">
      <c r="A22" s="26" t="s">
        <v>1145</v>
      </c>
      <c r="B22" s="26" t="s">
        <v>1146</v>
      </c>
      <c r="C22" s="26">
        <v>16.0</v>
      </c>
      <c r="D22" s="26" t="s">
        <v>979</v>
      </c>
      <c r="E22" s="26" t="str">
        <f t="array" ref="E22">LET(s,INDEX(Signals!E$5:E$25,Playbook!$C22),kk,Playbook!$E22,sb,IF(kk="",0,INDEX(Signals!E$5:E$25,kk)),okb,IF(kk="",TRUE,IF(Playbook!$F22="&lt;",sb&lt;Playbook!$G22,sb&gt;=Playbook!$G22)),inst,IF(Playbook!$H22="Any","Yes",INDEX('Country Profile'!E$32:E$37,MATCH(Playbook!$H22,'Country Profile'!$B$32:$B$37,0))),IF(AND(s&gt;=Playbook!$D22,okb,inst="Yes"),ROUND(s,0),""))</f>
        <v/>
      </c>
      <c r="F22" s="26" t="str">
        <f t="array" ref="F22">LET(s,INDEX(Signals!F$5:F$25,Playbook!$C22),kk,Playbook!$E22,sb,IF(kk="",0,INDEX(Signals!F$5:F$25,kk)),okb,IF(kk="",TRUE,IF(Playbook!$F22="&lt;",sb&lt;Playbook!$G22,sb&gt;=Playbook!$G22)),inst,IF(Playbook!$H22="Any","Yes",INDEX('Country Profile'!F$32:F$37,MATCH(Playbook!$H22,'Country Profile'!$B$32:$B$37,0))),IF(AND(s&gt;=Playbook!$D22,okb,inst="Yes"),ROUND(s,0),""))</f>
        <v/>
      </c>
      <c r="G22" s="26" t="str">
        <f t="array" ref="G22">LET(s,INDEX(Signals!G$5:G$25,Playbook!$C22),kk,Playbook!$E22,sb,IF(kk="",0,INDEX(Signals!G$5:G$25,kk)),okb,IF(kk="",TRUE,IF(Playbook!$F22="&lt;",sb&lt;Playbook!$G22,sb&gt;=Playbook!$G22)),inst,IF(Playbook!$H22="Any","Yes",INDEX('Country Profile'!G$32:G$37,MATCH(Playbook!$H22,'Country Profile'!$B$32:$B$37,0))),IF(AND(s&gt;=Playbook!$D22,okb,inst="Yes"),ROUND(s,0),""))</f>
        <v/>
      </c>
      <c r="H22" s="26" t="str">
        <f t="array" ref="H22">LET(s,INDEX(Signals!H$5:H$25,Playbook!$C22),kk,Playbook!$E22,sb,IF(kk="",0,INDEX(Signals!H$5:H$25,kk)),okb,IF(kk="",TRUE,IF(Playbook!$F22="&lt;",sb&lt;Playbook!$G22,sb&gt;=Playbook!$G22)),inst,IF(Playbook!$H22="Any","Yes",INDEX('Country Profile'!H$32:H$37,MATCH(Playbook!$H22,'Country Profile'!$B$32:$B$37,0))),IF(AND(s&gt;=Playbook!$D22,okb,inst="Yes"),ROUND(s,0),""))</f>
        <v/>
      </c>
      <c r="I22" s="26" t="str">
        <f t="array" ref="I22">LET(s,INDEX(Signals!I$5:I$25,Playbook!$C22),kk,Playbook!$E22,sb,IF(kk="",0,INDEX(Signals!I$5:I$25,kk)),okb,IF(kk="",TRUE,IF(Playbook!$F22="&lt;",sb&lt;Playbook!$G22,sb&gt;=Playbook!$G22)),inst,IF(Playbook!$H22="Any","Yes",INDEX('Country Profile'!I$32:I$37,MATCH(Playbook!$H22,'Country Profile'!$B$32:$B$37,0))),IF(AND(s&gt;=Playbook!$D22,okb,inst="Yes"),ROUND(s,0),""))</f>
        <v/>
      </c>
      <c r="J22" s="26" t="str">
        <f t="array" ref="J22">LET(s,INDEX(Signals!J$5:J$25,Playbook!$C22),kk,Playbook!$E22,sb,IF(kk="",0,INDEX(Signals!J$5:J$25,kk)),okb,IF(kk="",TRUE,IF(Playbook!$F22="&lt;",sb&lt;Playbook!$G22,sb&gt;=Playbook!$G22)),inst,IF(Playbook!$H22="Any","Yes",INDEX('Country Profile'!J$32:J$37,MATCH(Playbook!$H22,'Country Profile'!$B$32:$B$37,0))),IF(AND(s&gt;=Playbook!$D22,okb,inst="Yes"),ROUND(s,0),""))</f>
        <v/>
      </c>
      <c r="K22" s="26" t="str">
        <f t="array" ref="K22">LET(s,INDEX(Signals!K$5:K$25,Playbook!$C22),kk,Playbook!$E22,sb,IF(kk="",0,INDEX(Signals!K$5:K$25,kk)),okb,IF(kk="",TRUE,IF(Playbook!$F22="&lt;",sb&lt;Playbook!$G22,sb&gt;=Playbook!$G22)),inst,IF(Playbook!$H22="Any","Yes",INDEX('Country Profile'!K$32:K$37,MATCH(Playbook!$H22,'Country Profile'!$B$32:$B$37,0))),IF(AND(s&gt;=Playbook!$D22,okb,inst="Yes"),ROUND(s,0),""))</f>
        <v/>
      </c>
      <c r="L22" s="26" t="str">
        <f t="array" ref="L22">LET(s,INDEX(Signals!L$5:L$25,Playbook!$C22),kk,Playbook!$E22,sb,IF(kk="",0,INDEX(Signals!L$5:L$25,kk)),okb,IF(kk="",TRUE,IF(Playbook!$F22="&lt;",sb&lt;Playbook!$G22,sb&gt;=Playbook!$G22)),inst,IF(Playbook!$H22="Any","Yes",INDEX('Country Profile'!L$32:L$37,MATCH(Playbook!$H22,'Country Profile'!$B$32:$B$37,0))),IF(AND(s&gt;=Playbook!$D22,okb,inst="Yes"),ROUND(s,0),""))</f>
        <v/>
      </c>
      <c r="M22" s="26" t="str">
        <f t="array" ref="M22">LET(s,INDEX(Signals!M$5:M$25,Playbook!$C22),kk,Playbook!$E22,sb,IF(kk="",0,INDEX(Signals!M$5:M$25,kk)),okb,IF(kk="",TRUE,IF(Playbook!$F22="&lt;",sb&lt;Playbook!$G22,sb&gt;=Playbook!$G22)),inst,IF(Playbook!$H22="Any","Yes",INDEX('Country Profile'!M$32:M$37,MATCH(Playbook!$H22,'Country Profile'!$B$32:$B$37,0))),IF(AND(s&gt;=Playbook!$D22,okb,inst="Yes"),ROUND(s,0),""))</f>
        <v/>
      </c>
      <c r="N22" s="26" t="str">
        <f t="array" ref="N22">LET(s,INDEX(Signals!N$5:N$25,Playbook!$C22),kk,Playbook!$E22,sb,IF(kk="",0,INDEX(Signals!N$5:N$25,kk)),okb,IF(kk="",TRUE,IF(Playbook!$F22="&lt;",sb&lt;Playbook!$G22,sb&gt;=Playbook!$G22)),inst,IF(Playbook!$H22="Any","Yes",INDEX('Country Profile'!N$32:N$37,MATCH(Playbook!$H22,'Country Profile'!$B$32:$B$37,0))),IF(AND(s&gt;=Playbook!$D22,okb,inst="Yes"),ROUND(s,0),""))</f>
        <v/>
      </c>
      <c r="O22" s="26" t="str">
        <f t="array" ref="O22">LET(s,INDEX(Signals!O$5:O$25,Playbook!$C22),kk,Playbook!$E22,sb,IF(kk="",0,INDEX(Signals!O$5:O$25,kk)),okb,IF(kk="",TRUE,IF(Playbook!$F22="&lt;",sb&lt;Playbook!$G22,sb&gt;=Playbook!$G22)),inst,IF(Playbook!$H22="Any","Yes",INDEX('Country Profile'!O$32:O$37,MATCH(Playbook!$H22,'Country Profile'!$B$32:$B$37,0))),IF(AND(s&gt;=Playbook!$D22,okb,inst="Yes"),ROUND(s,0),""))</f>
        <v/>
      </c>
      <c r="P22" s="26" t="str">
        <f t="array" ref="P22">LET(s,INDEX(Signals!P$5:P$25,Playbook!$C22),kk,Playbook!$E22,sb,IF(kk="",0,INDEX(Signals!P$5:P$25,kk)),okb,IF(kk="",TRUE,IF(Playbook!$F22="&lt;",sb&lt;Playbook!$G22,sb&gt;=Playbook!$G22)),inst,IF(Playbook!$H22="Any","Yes",INDEX('Country Profile'!P$32:P$37,MATCH(Playbook!$H22,'Country Profile'!$B$32:$B$37,0))),IF(AND(s&gt;=Playbook!$D22,okb,inst="Yes"),ROUND(s,0),""))</f>
        <v/>
      </c>
      <c r="Q22" s="26" t="str">
        <f t="array" ref="Q22">LET(s,INDEX(Signals!Q$5:Q$25,Playbook!$C22),kk,Playbook!$E22,sb,IF(kk="",0,INDEX(Signals!Q$5:Q$25,kk)),okb,IF(kk="",TRUE,IF(Playbook!$F22="&lt;",sb&lt;Playbook!$G22,sb&gt;=Playbook!$G22)),inst,IF(Playbook!$H22="Any","Yes",INDEX('Country Profile'!Q$32:Q$37,MATCH(Playbook!$H22,'Country Profile'!$B$32:$B$37,0))),IF(AND(s&gt;=Playbook!$D22,okb,inst="Yes"),ROUND(s,0),""))</f>
        <v/>
      </c>
      <c r="R22" s="35">
        <f t="array" ref="R22">LET(s,INDEX(Signals!R$5:R$25,Playbook!$C22),kk,Playbook!$E22,sb,IF(kk="",0,INDEX(Signals!R$5:R$25,kk)),okb,IF(kk="",TRUE,IF(Playbook!$F22="&lt;",sb&lt;Playbook!$G22,sb&gt;=Playbook!$G22)),inst,IF(Playbook!$H22="Any","Yes",INDEX('Country Profile'!R$32:R$37,MATCH(Playbook!$H22,'Country Profile'!$B$32:$B$37,0))),IF(AND(s&gt;=Playbook!$D22,okb,inst="Yes"),ROUND(s,0),""))</f>
        <v>100</v>
      </c>
      <c r="S22" s="26" t="str">
        <f t="array" ref="S22">LET(s,INDEX(Signals!S$5:S$25,Playbook!$C22),kk,Playbook!$E22,sb,IF(kk="",0,INDEX(Signals!S$5:S$25,kk)),okb,IF(kk="",TRUE,IF(Playbook!$F22="&lt;",sb&lt;Playbook!$G22,sb&gt;=Playbook!$G22)),inst,IF(Playbook!$H22="Any","Yes",INDEX('Country Profile'!S$32:S$37,MATCH(Playbook!$H22,'Country Profile'!$B$32:$B$37,0))),IF(AND(s&gt;=Playbook!$D22,okb,inst="Yes"),ROUND(s,0),""))</f>
        <v/>
      </c>
      <c r="T22" s="35">
        <f t="array" ref="T22">LET(s,INDEX(Signals!T$5:T$25,Playbook!$C22),kk,Playbook!$E22,sb,IF(kk="",0,INDEX(Signals!T$5:T$25,kk)),okb,IF(kk="",TRUE,IF(Playbook!$F22="&lt;",sb&lt;Playbook!$G22,sb&gt;=Playbook!$G22)),inst,IF(Playbook!$H22="Any","Yes",INDEX('Country Profile'!T$32:T$37,MATCH(Playbook!$H22,'Country Profile'!$B$32:$B$37,0))),IF(AND(s&gt;=Playbook!$D22,okb,inst="Yes"),ROUND(s,0),""))</f>
        <v>100</v>
      </c>
      <c r="U22" s="35">
        <f t="array" ref="U22">LET(s,INDEX(Signals!U$5:U$25,Playbook!$C22),kk,Playbook!$E22,sb,IF(kk="",0,INDEX(Signals!U$5:U$25,kk)),okb,IF(kk="",TRUE,IF(Playbook!$F22="&lt;",sb&lt;Playbook!$G22,sb&gt;=Playbook!$G22)),inst,IF(Playbook!$H22="Any","Yes",INDEX('Country Profile'!U$32:U$37,MATCH(Playbook!$H22,'Country Profile'!$B$32:$B$37,0))),IF(AND(s&gt;=Playbook!$D22,okb,inst="Yes"),ROUND(s,0),""))</f>
        <v>100</v>
      </c>
      <c r="V22" s="26" t="str">
        <f t="array" ref="V22">LET(s,INDEX(Signals!V$5:V$25,Playbook!$C22),kk,Playbook!$E22,sb,IF(kk="",0,INDEX(Signals!V$5:V$25,kk)),okb,IF(kk="",TRUE,IF(Playbook!$F22="&lt;",sb&lt;Playbook!$G22,sb&gt;=Playbook!$G22)),inst,IF(Playbook!$H22="Any","Yes",INDEX('Country Profile'!V$32:V$37,MATCH(Playbook!$H22,'Country Profile'!$B$32:$B$37,0))),IF(AND(s&gt;=Playbook!$D22,okb,inst="Yes"),ROUND(s,0),""))</f>
        <v/>
      </c>
    </row>
    <row r="23">
      <c r="A23" s="26" t="s">
        <v>1153</v>
      </c>
      <c r="B23" s="26" t="s">
        <v>1154</v>
      </c>
      <c r="C23" s="26">
        <v>20.0</v>
      </c>
      <c r="D23" s="26" t="s">
        <v>1002</v>
      </c>
      <c r="E23" s="26" t="str">
        <f t="array" ref="E23">LET(s,INDEX(Signals!E$5:E$25,Playbook!$C23),kk,Playbook!$E23,sb,IF(kk="",0,INDEX(Signals!E$5:E$25,kk)),okb,IF(kk="",TRUE,IF(Playbook!$F23="&lt;",sb&lt;Playbook!$G23,sb&gt;=Playbook!$G23)),inst,IF(Playbook!$H23="Any","Yes",INDEX('Country Profile'!E$32:E$37,MATCH(Playbook!$H23,'Country Profile'!$B$32:$B$37,0))),IF(AND(s&gt;=Playbook!$D23,okb,inst="Yes"),ROUND(s,0),""))</f>
        <v/>
      </c>
      <c r="F23" s="35">
        <f t="array" ref="F23">LET(s,INDEX(Signals!F$5:F$25,Playbook!$C23),kk,Playbook!$E23,sb,IF(kk="",0,INDEX(Signals!F$5:F$25,kk)),okb,IF(kk="",TRUE,IF(Playbook!$F23="&lt;",sb&lt;Playbook!$G23,sb&gt;=Playbook!$G23)),inst,IF(Playbook!$H23="Any","Yes",INDEX('Country Profile'!F$32:F$37,MATCH(Playbook!$H23,'Country Profile'!$B$32:$B$37,0))),IF(AND(s&gt;=Playbook!$D23,okb,inst="Yes"),ROUND(s,0),""))</f>
        <v>64</v>
      </c>
      <c r="G23" s="26" t="str">
        <f t="array" ref="G23">LET(s,INDEX(Signals!G$5:G$25,Playbook!$C23),kk,Playbook!$E23,sb,IF(kk="",0,INDEX(Signals!G$5:G$25,kk)),okb,IF(kk="",TRUE,IF(Playbook!$F23="&lt;",sb&lt;Playbook!$G23,sb&gt;=Playbook!$G23)),inst,IF(Playbook!$H23="Any","Yes",INDEX('Country Profile'!G$32:G$37,MATCH(Playbook!$H23,'Country Profile'!$B$32:$B$37,0))),IF(AND(s&gt;=Playbook!$D23,okb,inst="Yes"),ROUND(s,0),""))</f>
        <v/>
      </c>
      <c r="H23" s="26" t="str">
        <f t="array" ref="H23">LET(s,INDEX(Signals!H$5:H$25,Playbook!$C23),kk,Playbook!$E23,sb,IF(kk="",0,INDEX(Signals!H$5:H$25,kk)),okb,IF(kk="",TRUE,IF(Playbook!$F23="&lt;",sb&lt;Playbook!$G23,sb&gt;=Playbook!$G23)),inst,IF(Playbook!$H23="Any","Yes",INDEX('Country Profile'!H$32:H$37,MATCH(Playbook!$H23,'Country Profile'!$B$32:$B$37,0))),IF(AND(s&gt;=Playbook!$D23,okb,inst="Yes"),ROUND(s,0),""))</f>
        <v/>
      </c>
      <c r="I23" s="26" t="str">
        <f t="array" ref="I23">LET(s,INDEX(Signals!I$5:I$25,Playbook!$C23),kk,Playbook!$E23,sb,IF(kk="",0,INDEX(Signals!I$5:I$25,kk)),okb,IF(kk="",TRUE,IF(Playbook!$F23="&lt;",sb&lt;Playbook!$G23,sb&gt;=Playbook!$G23)),inst,IF(Playbook!$H23="Any","Yes",INDEX('Country Profile'!I$32:I$37,MATCH(Playbook!$H23,'Country Profile'!$B$32:$B$37,0))),IF(AND(s&gt;=Playbook!$D23,okb,inst="Yes"),ROUND(s,0),""))</f>
        <v/>
      </c>
      <c r="J23" s="26" t="str">
        <f t="array" ref="J23">LET(s,INDEX(Signals!J$5:J$25,Playbook!$C23),kk,Playbook!$E23,sb,IF(kk="",0,INDEX(Signals!J$5:J$25,kk)),okb,IF(kk="",TRUE,IF(Playbook!$F23="&lt;",sb&lt;Playbook!$G23,sb&gt;=Playbook!$G23)),inst,IF(Playbook!$H23="Any","Yes",INDEX('Country Profile'!J$32:J$37,MATCH(Playbook!$H23,'Country Profile'!$B$32:$B$37,0))),IF(AND(s&gt;=Playbook!$D23,okb,inst="Yes"),ROUND(s,0),""))</f>
        <v/>
      </c>
      <c r="K23" s="26" t="str">
        <f t="array" ref="K23">LET(s,INDEX(Signals!K$5:K$25,Playbook!$C23),kk,Playbook!$E23,sb,IF(kk="",0,INDEX(Signals!K$5:K$25,kk)),okb,IF(kk="",TRUE,IF(Playbook!$F23="&lt;",sb&lt;Playbook!$G23,sb&gt;=Playbook!$G23)),inst,IF(Playbook!$H23="Any","Yes",INDEX('Country Profile'!K$32:K$37,MATCH(Playbook!$H23,'Country Profile'!$B$32:$B$37,0))),IF(AND(s&gt;=Playbook!$D23,okb,inst="Yes"),ROUND(s,0),""))</f>
        <v/>
      </c>
      <c r="L23" s="35">
        <f t="array" ref="L23">LET(s,INDEX(Signals!L$5:L$25,Playbook!$C23),kk,Playbook!$E23,sb,IF(kk="",0,INDEX(Signals!L$5:L$25,kk)),okb,IF(kk="",TRUE,IF(Playbook!$F23="&lt;",sb&lt;Playbook!$G23,sb&gt;=Playbook!$G23)),inst,IF(Playbook!$H23="Any","Yes",INDEX('Country Profile'!L$32:L$37,MATCH(Playbook!$H23,'Country Profile'!$B$32:$B$37,0))),IF(AND(s&gt;=Playbook!$D23,okb,inst="Yes"),ROUND(s,0),""))</f>
        <v>64</v>
      </c>
      <c r="M23" s="26" t="str">
        <f t="array" ref="M23">LET(s,INDEX(Signals!M$5:M$25,Playbook!$C23),kk,Playbook!$E23,sb,IF(kk="",0,INDEX(Signals!M$5:M$25,kk)),okb,IF(kk="",TRUE,IF(Playbook!$F23="&lt;",sb&lt;Playbook!$G23,sb&gt;=Playbook!$G23)),inst,IF(Playbook!$H23="Any","Yes",INDEX('Country Profile'!M$32:M$37,MATCH(Playbook!$H23,'Country Profile'!$B$32:$B$37,0))),IF(AND(s&gt;=Playbook!$D23,okb,inst="Yes"),ROUND(s,0),""))</f>
        <v/>
      </c>
      <c r="N23" s="26" t="str">
        <f t="array" ref="N23">LET(s,INDEX(Signals!N$5:N$25,Playbook!$C23),kk,Playbook!$E23,sb,IF(kk="",0,INDEX(Signals!N$5:N$25,kk)),okb,IF(kk="",TRUE,IF(Playbook!$F23="&lt;",sb&lt;Playbook!$G23,sb&gt;=Playbook!$G23)),inst,IF(Playbook!$H23="Any","Yes",INDEX('Country Profile'!N$32:N$37,MATCH(Playbook!$H23,'Country Profile'!$B$32:$B$37,0))),IF(AND(s&gt;=Playbook!$D23,okb,inst="Yes"),ROUND(s,0),""))</f>
        <v/>
      </c>
      <c r="O23" s="35">
        <f t="array" ref="O23">LET(s,INDEX(Signals!O$5:O$25,Playbook!$C23),kk,Playbook!$E23,sb,IF(kk="",0,INDEX(Signals!O$5:O$25,kk)),okb,IF(kk="",TRUE,IF(Playbook!$F23="&lt;",sb&lt;Playbook!$G23,sb&gt;=Playbook!$G23)),inst,IF(Playbook!$H23="Any","Yes",INDEX('Country Profile'!O$32:O$37,MATCH(Playbook!$H23,'Country Profile'!$B$32:$B$37,0))),IF(AND(s&gt;=Playbook!$D23,okb,inst="Yes"),ROUND(s,0),""))</f>
        <v>57</v>
      </c>
      <c r="P23" s="26" t="str">
        <f t="array" ref="P23">LET(s,INDEX(Signals!P$5:P$25,Playbook!$C23),kk,Playbook!$E23,sb,IF(kk="",0,INDEX(Signals!P$5:P$25,kk)),okb,IF(kk="",TRUE,IF(Playbook!$F23="&lt;",sb&lt;Playbook!$G23,sb&gt;=Playbook!$G23)),inst,IF(Playbook!$H23="Any","Yes",INDEX('Country Profile'!P$32:P$37,MATCH(Playbook!$H23,'Country Profile'!$B$32:$B$37,0))),IF(AND(s&gt;=Playbook!$D23,okb,inst="Yes"),ROUND(s,0),""))</f>
        <v/>
      </c>
      <c r="Q23" s="35">
        <f t="array" ref="Q23">LET(s,INDEX(Signals!Q$5:Q$25,Playbook!$C23),kk,Playbook!$E23,sb,IF(kk="",0,INDEX(Signals!Q$5:Q$25,kk)),okb,IF(kk="",TRUE,IF(Playbook!$F23="&lt;",sb&lt;Playbook!$G23,sb&gt;=Playbook!$G23)),inst,IF(Playbook!$H23="Any","Yes",INDEX('Country Profile'!Q$32:Q$37,MATCH(Playbook!$H23,'Country Profile'!$B$32:$B$37,0))),IF(AND(s&gt;=Playbook!$D23,okb,inst="Yes"),ROUND(s,0),""))</f>
        <v>59</v>
      </c>
      <c r="R23" s="26" t="str">
        <f t="array" ref="R23">LET(s,INDEX(Signals!R$5:R$25,Playbook!$C23),kk,Playbook!$E23,sb,IF(kk="",0,INDEX(Signals!R$5:R$25,kk)),okb,IF(kk="",TRUE,IF(Playbook!$F23="&lt;",sb&lt;Playbook!$G23,sb&gt;=Playbook!$G23)),inst,IF(Playbook!$H23="Any","Yes",INDEX('Country Profile'!R$32:R$37,MATCH(Playbook!$H23,'Country Profile'!$B$32:$B$37,0))),IF(AND(s&gt;=Playbook!$D23,okb,inst="Yes"),ROUND(s,0),""))</f>
        <v/>
      </c>
      <c r="S23" s="26" t="str">
        <f t="array" ref="S23">LET(s,INDEX(Signals!S$5:S$25,Playbook!$C23),kk,Playbook!$E23,sb,IF(kk="",0,INDEX(Signals!S$5:S$25,kk)),okb,IF(kk="",TRUE,IF(Playbook!$F23="&lt;",sb&lt;Playbook!$G23,sb&gt;=Playbook!$G23)),inst,IF(Playbook!$H23="Any","Yes",INDEX('Country Profile'!S$32:S$37,MATCH(Playbook!$H23,'Country Profile'!$B$32:$B$37,0))),IF(AND(s&gt;=Playbook!$D23,okb,inst="Yes"),ROUND(s,0),""))</f>
        <v/>
      </c>
      <c r="T23" s="26" t="str">
        <f t="array" ref="T23">LET(s,INDEX(Signals!T$5:T$25,Playbook!$C23),kk,Playbook!$E23,sb,IF(kk="",0,INDEX(Signals!T$5:T$25,kk)),okb,IF(kk="",TRUE,IF(Playbook!$F23="&lt;",sb&lt;Playbook!$G23,sb&gt;=Playbook!$G23)),inst,IF(Playbook!$H23="Any","Yes",INDEX('Country Profile'!T$32:T$37,MATCH(Playbook!$H23,'Country Profile'!$B$32:$B$37,0))),IF(AND(s&gt;=Playbook!$D23,okb,inst="Yes"),ROUND(s,0),""))</f>
        <v/>
      </c>
      <c r="U23" s="26" t="str">
        <f t="array" ref="U23">LET(s,INDEX(Signals!U$5:U$25,Playbook!$C23),kk,Playbook!$E23,sb,IF(kk="",0,INDEX(Signals!U$5:U$25,kk)),okb,IF(kk="",TRUE,IF(Playbook!$F23="&lt;",sb&lt;Playbook!$G23,sb&gt;=Playbook!$G23)),inst,IF(Playbook!$H23="Any","Yes",INDEX('Country Profile'!U$32:U$37,MATCH(Playbook!$H23,'Country Profile'!$B$32:$B$37,0))),IF(AND(s&gt;=Playbook!$D23,okb,inst="Yes"),ROUND(s,0),""))</f>
        <v/>
      </c>
      <c r="V23" s="26" t="str">
        <f t="array" ref="V23">LET(s,INDEX(Signals!V$5:V$25,Playbook!$C23),kk,Playbook!$E23,sb,IF(kk="",0,INDEX(Signals!V$5:V$25,kk)),okb,IF(kk="",TRUE,IF(Playbook!$F23="&lt;",sb&lt;Playbook!$G23,sb&gt;=Playbook!$G23)),inst,IF(Playbook!$H23="Any","Yes",INDEX('Country Profile'!V$32:V$37,MATCH(Playbook!$H23,'Country Profile'!$B$32:$B$37,0))),IF(AND(s&gt;=Playbook!$D23,okb,inst="Yes"),ROUND(s,0),""))</f>
        <v/>
      </c>
    </row>
    <row r="24">
      <c r="A24" s="26" t="s">
        <v>1159</v>
      </c>
      <c r="B24" s="26" t="s">
        <v>1160</v>
      </c>
      <c r="C24" s="26">
        <v>21.0</v>
      </c>
      <c r="D24" s="26" t="s">
        <v>1002</v>
      </c>
      <c r="E24" s="35">
        <f t="array" ref="E24">LET(s,INDEX(Signals!E$5:E$25,Playbook!$C24),kk,Playbook!$E24,sb,IF(kk="",0,INDEX(Signals!E$5:E$25,kk)),okb,IF(kk="",TRUE,IF(Playbook!$F24="&lt;",sb&lt;Playbook!$G24,sb&gt;=Playbook!$G24)),inst,IF(Playbook!$H24="Any","Yes",INDEX('Country Profile'!E$32:E$37,MATCH(Playbook!$H24,'Country Profile'!$B$32:$B$37,0))),IF(AND(s&gt;=Playbook!$D24,okb,inst="Yes"),ROUND(s,0),""))</f>
        <v>71</v>
      </c>
      <c r="F24" s="26" t="str">
        <f t="array" ref="F24">LET(s,INDEX(Signals!F$5:F$25,Playbook!$C24),kk,Playbook!$E24,sb,IF(kk="",0,INDEX(Signals!F$5:F$25,kk)),okb,IF(kk="",TRUE,IF(Playbook!$F24="&lt;",sb&lt;Playbook!$G24,sb&gt;=Playbook!$G24)),inst,IF(Playbook!$H24="Any","Yes",INDEX('Country Profile'!F$32:F$37,MATCH(Playbook!$H24,'Country Profile'!$B$32:$B$37,0))),IF(AND(s&gt;=Playbook!$D24,okb,inst="Yes"),ROUND(s,0),""))</f>
        <v/>
      </c>
      <c r="G24" s="26" t="str">
        <f t="array" ref="G24">LET(s,INDEX(Signals!G$5:G$25,Playbook!$C24),kk,Playbook!$E24,sb,IF(kk="",0,INDEX(Signals!G$5:G$25,kk)),okb,IF(kk="",TRUE,IF(Playbook!$F24="&lt;",sb&lt;Playbook!$G24,sb&gt;=Playbook!$G24)),inst,IF(Playbook!$H24="Any","Yes",INDEX('Country Profile'!G$32:G$37,MATCH(Playbook!$H24,'Country Profile'!$B$32:$B$37,0))),IF(AND(s&gt;=Playbook!$D24,okb,inst="Yes"),ROUND(s,0),""))</f>
        <v/>
      </c>
      <c r="H24" s="35">
        <f t="array" ref="H24">LET(s,INDEX(Signals!H$5:H$25,Playbook!$C24),kk,Playbook!$E24,sb,IF(kk="",0,INDEX(Signals!H$5:H$25,kk)),okb,IF(kk="",TRUE,IF(Playbook!$F24="&lt;",sb&lt;Playbook!$G24,sb&gt;=Playbook!$G24)),inst,IF(Playbook!$H24="Any","Yes",INDEX('Country Profile'!H$32:H$37,MATCH(Playbook!$H24,'Country Profile'!$B$32:$B$37,0))),IF(AND(s&gt;=Playbook!$D24,okb,inst="Yes"),ROUND(s,0),""))</f>
        <v>69</v>
      </c>
      <c r="I24" s="35">
        <f t="array" ref="I24">LET(s,INDEX(Signals!I$5:I$25,Playbook!$C24),kk,Playbook!$E24,sb,IF(kk="",0,INDEX(Signals!I$5:I$25,kk)),okb,IF(kk="",TRUE,IF(Playbook!$F24="&lt;",sb&lt;Playbook!$G24,sb&gt;=Playbook!$G24)),inst,IF(Playbook!$H24="Any","Yes",INDEX('Country Profile'!I$32:I$37,MATCH(Playbook!$H24,'Country Profile'!$B$32:$B$37,0))),IF(AND(s&gt;=Playbook!$D24,okb,inst="Yes"),ROUND(s,0),""))</f>
        <v>78</v>
      </c>
      <c r="J24" s="35">
        <f t="array" ref="J24">LET(s,INDEX(Signals!J$5:J$25,Playbook!$C24),kk,Playbook!$E24,sb,IF(kk="",0,INDEX(Signals!J$5:J$25,kk)),okb,IF(kk="",TRUE,IF(Playbook!$F24="&lt;",sb&lt;Playbook!$G24,sb&gt;=Playbook!$G24)),inst,IF(Playbook!$H24="Any","Yes",INDEX('Country Profile'!J$32:J$37,MATCH(Playbook!$H24,'Country Profile'!$B$32:$B$37,0))),IF(AND(s&gt;=Playbook!$D24,okb,inst="Yes"),ROUND(s,0),""))</f>
        <v>76</v>
      </c>
      <c r="K24" s="35">
        <f t="array" ref="K24">LET(s,INDEX(Signals!K$5:K$25,Playbook!$C24),kk,Playbook!$E24,sb,IF(kk="",0,INDEX(Signals!K$5:K$25,kk)),okb,IF(kk="",TRUE,IF(Playbook!$F24="&lt;",sb&lt;Playbook!$G24,sb&gt;=Playbook!$G24)),inst,IF(Playbook!$H24="Any","Yes",INDEX('Country Profile'!K$32:K$37,MATCH(Playbook!$H24,'Country Profile'!$B$32:$B$37,0))),IF(AND(s&gt;=Playbook!$D24,okb,inst="Yes"),ROUND(s,0),""))</f>
        <v>78</v>
      </c>
      <c r="L24" s="35">
        <f t="array" ref="L24">LET(s,INDEX(Signals!L$5:L$25,Playbook!$C24),kk,Playbook!$E24,sb,IF(kk="",0,INDEX(Signals!L$5:L$25,kk)),okb,IF(kk="",TRUE,IF(Playbook!$F24="&lt;",sb&lt;Playbook!$G24,sb&gt;=Playbook!$G24)),inst,IF(Playbook!$H24="Any","Yes",INDEX('Country Profile'!L$32:L$37,MATCH(Playbook!$H24,'Country Profile'!$B$32:$B$37,0))),IF(AND(s&gt;=Playbook!$D24,okb,inst="Yes"),ROUND(s,0),""))</f>
        <v>64</v>
      </c>
      <c r="M24" s="26" t="str">
        <f t="array" ref="M24">LET(s,INDEX(Signals!M$5:M$25,Playbook!$C24),kk,Playbook!$E24,sb,IF(kk="",0,INDEX(Signals!M$5:M$25,kk)),okb,IF(kk="",TRUE,IF(Playbook!$F24="&lt;",sb&lt;Playbook!$G24,sb&gt;=Playbook!$G24)),inst,IF(Playbook!$H24="Any","Yes",INDEX('Country Profile'!M$32:M$37,MATCH(Playbook!$H24,'Country Profile'!$B$32:$B$37,0))),IF(AND(s&gt;=Playbook!$D24,okb,inst="Yes"),ROUND(s,0),""))</f>
        <v/>
      </c>
      <c r="N24" s="26" t="str">
        <f t="array" ref="N24">LET(s,INDEX(Signals!N$5:N$25,Playbook!$C24),kk,Playbook!$E24,sb,IF(kk="",0,INDEX(Signals!N$5:N$25,kk)),okb,IF(kk="",TRUE,IF(Playbook!$F24="&lt;",sb&lt;Playbook!$G24,sb&gt;=Playbook!$G24)),inst,IF(Playbook!$H24="Any","Yes",INDEX('Country Profile'!N$32:N$37,MATCH(Playbook!$H24,'Country Profile'!$B$32:$B$37,0))),IF(AND(s&gt;=Playbook!$D24,okb,inst="Yes"),ROUND(s,0),""))</f>
        <v/>
      </c>
      <c r="O24" s="26" t="str">
        <f t="array" ref="O24">LET(s,INDEX(Signals!O$5:O$25,Playbook!$C24),kk,Playbook!$E24,sb,IF(kk="",0,INDEX(Signals!O$5:O$25,kk)),okb,IF(kk="",TRUE,IF(Playbook!$F24="&lt;",sb&lt;Playbook!$G24,sb&gt;=Playbook!$G24)),inst,IF(Playbook!$H24="Any","Yes",INDEX('Country Profile'!O$32:O$37,MATCH(Playbook!$H24,'Country Profile'!$B$32:$B$37,0))),IF(AND(s&gt;=Playbook!$D24,okb,inst="Yes"),ROUND(s,0),""))</f>
        <v/>
      </c>
      <c r="P24" s="26" t="str">
        <f t="array" ref="P24">LET(s,INDEX(Signals!P$5:P$25,Playbook!$C24),kk,Playbook!$E24,sb,IF(kk="",0,INDEX(Signals!P$5:P$25,kk)),okb,IF(kk="",TRUE,IF(Playbook!$F24="&lt;",sb&lt;Playbook!$G24,sb&gt;=Playbook!$G24)),inst,IF(Playbook!$H24="Any","Yes",INDEX('Country Profile'!P$32:P$37,MATCH(Playbook!$H24,'Country Profile'!$B$32:$B$37,0))),IF(AND(s&gt;=Playbook!$D24,okb,inst="Yes"),ROUND(s,0),""))</f>
        <v/>
      </c>
      <c r="Q24" s="26" t="str">
        <f t="array" ref="Q24">LET(s,INDEX(Signals!Q$5:Q$25,Playbook!$C24),kk,Playbook!$E24,sb,IF(kk="",0,INDEX(Signals!Q$5:Q$25,kk)),okb,IF(kk="",TRUE,IF(Playbook!$F24="&lt;",sb&lt;Playbook!$G24,sb&gt;=Playbook!$G24)),inst,IF(Playbook!$H24="Any","Yes",INDEX('Country Profile'!Q$32:Q$37,MATCH(Playbook!$H24,'Country Profile'!$B$32:$B$37,0))),IF(AND(s&gt;=Playbook!$D24,okb,inst="Yes"),ROUND(s,0),""))</f>
        <v/>
      </c>
      <c r="R24" s="26" t="str">
        <f t="array" ref="R24">LET(s,INDEX(Signals!R$5:R$25,Playbook!$C24),kk,Playbook!$E24,sb,IF(kk="",0,INDEX(Signals!R$5:R$25,kk)),okb,IF(kk="",TRUE,IF(Playbook!$F24="&lt;",sb&lt;Playbook!$G24,sb&gt;=Playbook!$G24)),inst,IF(Playbook!$H24="Any","Yes",INDEX('Country Profile'!R$32:R$37,MATCH(Playbook!$H24,'Country Profile'!$B$32:$B$37,0))),IF(AND(s&gt;=Playbook!$D24,okb,inst="Yes"),ROUND(s,0),""))</f>
        <v/>
      </c>
      <c r="S24" s="26" t="str">
        <f t="array" ref="S24">LET(s,INDEX(Signals!S$5:S$25,Playbook!$C24),kk,Playbook!$E24,sb,IF(kk="",0,INDEX(Signals!S$5:S$25,kk)),okb,IF(kk="",TRUE,IF(Playbook!$F24="&lt;",sb&lt;Playbook!$G24,sb&gt;=Playbook!$G24)),inst,IF(Playbook!$H24="Any","Yes",INDEX('Country Profile'!S$32:S$37,MATCH(Playbook!$H24,'Country Profile'!$B$32:$B$37,0))),IF(AND(s&gt;=Playbook!$D24,okb,inst="Yes"),ROUND(s,0),""))</f>
        <v/>
      </c>
      <c r="T24" s="26" t="str">
        <f t="array" ref="T24">LET(s,INDEX(Signals!T$5:T$25,Playbook!$C24),kk,Playbook!$E24,sb,IF(kk="",0,INDEX(Signals!T$5:T$25,kk)),okb,IF(kk="",TRUE,IF(Playbook!$F24="&lt;",sb&lt;Playbook!$G24,sb&gt;=Playbook!$G24)),inst,IF(Playbook!$H24="Any","Yes",INDEX('Country Profile'!T$32:T$37,MATCH(Playbook!$H24,'Country Profile'!$B$32:$B$37,0))),IF(AND(s&gt;=Playbook!$D24,okb,inst="Yes"),ROUND(s,0),""))</f>
        <v/>
      </c>
      <c r="U24" s="26" t="str">
        <f t="array" ref="U24">LET(s,INDEX(Signals!U$5:U$25,Playbook!$C24),kk,Playbook!$E24,sb,IF(kk="",0,INDEX(Signals!U$5:U$25,kk)),okb,IF(kk="",TRUE,IF(Playbook!$F24="&lt;",sb&lt;Playbook!$G24,sb&gt;=Playbook!$G24)),inst,IF(Playbook!$H24="Any","Yes",INDEX('Country Profile'!U$32:U$37,MATCH(Playbook!$H24,'Country Profile'!$B$32:$B$37,0))),IF(AND(s&gt;=Playbook!$D24,okb,inst="Yes"),ROUND(s,0),""))</f>
        <v/>
      </c>
      <c r="V24" s="26" t="str">
        <f t="array" ref="V24">LET(s,INDEX(Signals!V$5:V$25,Playbook!$C24),kk,Playbook!$E24,sb,IF(kk="",0,INDEX(Signals!V$5:V$25,kk)),okb,IF(kk="",TRUE,IF(Playbook!$F24="&lt;",sb&lt;Playbook!$G24,sb&gt;=Playbook!$G24)),inst,IF(Playbook!$H24="Any","Yes",INDEX('Country Profile'!V$32:V$37,MATCH(Playbook!$H24,'Country Profile'!$B$32:$B$37,0))),IF(AND(s&gt;=Playbook!$D24,okb,inst="Yes"),ROUND(s,0),""))</f>
        <v/>
      </c>
    </row>
    <row r="25">
      <c r="A25" s="26" t="s">
        <v>1165</v>
      </c>
      <c r="B25" s="26" t="s">
        <v>1166</v>
      </c>
      <c r="C25" s="26">
        <v>17.0</v>
      </c>
      <c r="D25" s="26" t="s">
        <v>964</v>
      </c>
      <c r="E25" s="26" t="str">
        <f t="array" ref="E25">LET(s,INDEX(Signals!E$5:E$25,Playbook!$C25),kk,Playbook!$E25,sb,IF(kk="",0,INDEX(Signals!E$5:E$25,kk)),okb,IF(kk="",TRUE,IF(Playbook!$F25="&lt;",sb&lt;Playbook!$G25,sb&gt;=Playbook!$G25)),inst,IF(Playbook!$H25="Any","Yes",INDEX('Country Profile'!E$32:E$37,MATCH(Playbook!$H25,'Country Profile'!$B$32:$B$37,0))),IF(AND(s&gt;=Playbook!$D25,okb,inst="Yes"),ROUND(s,0),""))</f>
        <v/>
      </c>
      <c r="F25" s="26" t="str">
        <f t="array" ref="F25">LET(s,INDEX(Signals!F$5:F$25,Playbook!$C25),kk,Playbook!$E25,sb,IF(kk="",0,INDEX(Signals!F$5:F$25,kk)),okb,IF(kk="",TRUE,IF(Playbook!$F25="&lt;",sb&lt;Playbook!$G25,sb&gt;=Playbook!$G25)),inst,IF(Playbook!$H25="Any","Yes",INDEX('Country Profile'!F$32:F$37,MATCH(Playbook!$H25,'Country Profile'!$B$32:$B$37,0))),IF(AND(s&gt;=Playbook!$D25,okb,inst="Yes"),ROUND(s,0),""))</f>
        <v/>
      </c>
      <c r="G25" s="26" t="str">
        <f t="array" ref="G25">LET(s,INDEX(Signals!G$5:G$25,Playbook!$C25),kk,Playbook!$E25,sb,IF(kk="",0,INDEX(Signals!G$5:G$25,kk)),okb,IF(kk="",TRUE,IF(Playbook!$F25="&lt;",sb&lt;Playbook!$G25,sb&gt;=Playbook!$G25)),inst,IF(Playbook!$H25="Any","Yes",INDEX('Country Profile'!G$32:G$37,MATCH(Playbook!$H25,'Country Profile'!$B$32:$B$37,0))),IF(AND(s&gt;=Playbook!$D25,okb,inst="Yes"),ROUND(s,0),""))</f>
        <v/>
      </c>
      <c r="H25" s="26" t="str">
        <f t="array" ref="H25">LET(s,INDEX(Signals!H$5:H$25,Playbook!$C25),kk,Playbook!$E25,sb,IF(kk="",0,INDEX(Signals!H$5:H$25,kk)),okb,IF(kk="",TRUE,IF(Playbook!$F25="&lt;",sb&lt;Playbook!$G25,sb&gt;=Playbook!$G25)),inst,IF(Playbook!$H25="Any","Yes",INDEX('Country Profile'!H$32:H$37,MATCH(Playbook!$H25,'Country Profile'!$B$32:$B$37,0))),IF(AND(s&gt;=Playbook!$D25,okb,inst="Yes"),ROUND(s,0),""))</f>
        <v/>
      </c>
      <c r="I25" s="26" t="str">
        <f t="array" ref="I25">LET(s,INDEX(Signals!I$5:I$25,Playbook!$C25),kk,Playbook!$E25,sb,IF(kk="",0,INDEX(Signals!I$5:I$25,kk)),okb,IF(kk="",TRUE,IF(Playbook!$F25="&lt;",sb&lt;Playbook!$G25,sb&gt;=Playbook!$G25)),inst,IF(Playbook!$H25="Any","Yes",INDEX('Country Profile'!I$32:I$37,MATCH(Playbook!$H25,'Country Profile'!$B$32:$B$37,0))),IF(AND(s&gt;=Playbook!$D25,okb,inst="Yes"),ROUND(s,0),""))</f>
        <v/>
      </c>
      <c r="J25" s="26" t="str">
        <f t="array" ref="J25">LET(s,INDEX(Signals!J$5:J$25,Playbook!$C25),kk,Playbook!$E25,sb,IF(kk="",0,INDEX(Signals!J$5:J$25,kk)),okb,IF(kk="",TRUE,IF(Playbook!$F25="&lt;",sb&lt;Playbook!$G25,sb&gt;=Playbook!$G25)),inst,IF(Playbook!$H25="Any","Yes",INDEX('Country Profile'!J$32:J$37,MATCH(Playbook!$H25,'Country Profile'!$B$32:$B$37,0))),IF(AND(s&gt;=Playbook!$D25,okb,inst="Yes"),ROUND(s,0),""))</f>
        <v/>
      </c>
      <c r="K25" s="26" t="str">
        <f t="array" ref="K25">LET(s,INDEX(Signals!K$5:K$25,Playbook!$C25),kk,Playbook!$E25,sb,IF(kk="",0,INDEX(Signals!K$5:K$25,kk)),okb,IF(kk="",TRUE,IF(Playbook!$F25="&lt;",sb&lt;Playbook!$G25,sb&gt;=Playbook!$G25)),inst,IF(Playbook!$H25="Any","Yes",INDEX('Country Profile'!K$32:K$37,MATCH(Playbook!$H25,'Country Profile'!$B$32:$B$37,0))),IF(AND(s&gt;=Playbook!$D25,okb,inst="Yes"),ROUND(s,0),""))</f>
        <v/>
      </c>
      <c r="L25" s="26" t="str">
        <f t="array" ref="L25">LET(s,INDEX(Signals!L$5:L$25,Playbook!$C25),kk,Playbook!$E25,sb,IF(kk="",0,INDEX(Signals!L$5:L$25,kk)),okb,IF(kk="",TRUE,IF(Playbook!$F25="&lt;",sb&lt;Playbook!$G25,sb&gt;=Playbook!$G25)),inst,IF(Playbook!$H25="Any","Yes",INDEX('Country Profile'!L$32:L$37,MATCH(Playbook!$H25,'Country Profile'!$B$32:$B$37,0))),IF(AND(s&gt;=Playbook!$D25,okb,inst="Yes"),ROUND(s,0),""))</f>
        <v/>
      </c>
      <c r="M25" s="26" t="str">
        <f t="array" ref="M25">LET(s,INDEX(Signals!M$5:M$25,Playbook!$C25),kk,Playbook!$E25,sb,IF(kk="",0,INDEX(Signals!M$5:M$25,kk)),okb,IF(kk="",TRUE,IF(Playbook!$F25="&lt;",sb&lt;Playbook!$G25,sb&gt;=Playbook!$G25)),inst,IF(Playbook!$H25="Any","Yes",INDEX('Country Profile'!M$32:M$37,MATCH(Playbook!$H25,'Country Profile'!$B$32:$B$37,0))),IF(AND(s&gt;=Playbook!$D25,okb,inst="Yes"),ROUND(s,0),""))</f>
        <v/>
      </c>
      <c r="N25" s="26" t="str">
        <f t="array" ref="N25">LET(s,INDEX(Signals!N$5:N$25,Playbook!$C25),kk,Playbook!$E25,sb,IF(kk="",0,INDEX(Signals!N$5:N$25,kk)),okb,IF(kk="",TRUE,IF(Playbook!$F25="&lt;",sb&lt;Playbook!$G25,sb&gt;=Playbook!$G25)),inst,IF(Playbook!$H25="Any","Yes",INDEX('Country Profile'!N$32:N$37,MATCH(Playbook!$H25,'Country Profile'!$B$32:$B$37,0))),IF(AND(s&gt;=Playbook!$D25,okb,inst="Yes"),ROUND(s,0),""))</f>
        <v/>
      </c>
      <c r="O25" s="26" t="str">
        <f t="array" ref="O25">LET(s,INDEX(Signals!O$5:O$25,Playbook!$C25),kk,Playbook!$E25,sb,IF(kk="",0,INDEX(Signals!O$5:O$25,kk)),okb,IF(kk="",TRUE,IF(Playbook!$F25="&lt;",sb&lt;Playbook!$G25,sb&gt;=Playbook!$G25)),inst,IF(Playbook!$H25="Any","Yes",INDEX('Country Profile'!O$32:O$37,MATCH(Playbook!$H25,'Country Profile'!$B$32:$B$37,0))),IF(AND(s&gt;=Playbook!$D25,okb,inst="Yes"),ROUND(s,0),""))</f>
        <v/>
      </c>
      <c r="P25" s="26" t="str">
        <f t="array" ref="P25">LET(s,INDEX(Signals!P$5:P$25,Playbook!$C25),kk,Playbook!$E25,sb,IF(kk="",0,INDEX(Signals!P$5:P$25,kk)),okb,IF(kk="",TRUE,IF(Playbook!$F25="&lt;",sb&lt;Playbook!$G25,sb&gt;=Playbook!$G25)),inst,IF(Playbook!$H25="Any","Yes",INDEX('Country Profile'!P$32:P$37,MATCH(Playbook!$H25,'Country Profile'!$B$32:$B$37,0))),IF(AND(s&gt;=Playbook!$D25,okb,inst="Yes"),ROUND(s,0),""))</f>
        <v/>
      </c>
      <c r="Q25" s="26" t="str">
        <f t="array" ref="Q25">LET(s,INDEX(Signals!Q$5:Q$25,Playbook!$C25),kk,Playbook!$E25,sb,IF(kk="",0,INDEX(Signals!Q$5:Q$25,kk)),okb,IF(kk="",TRUE,IF(Playbook!$F25="&lt;",sb&lt;Playbook!$G25,sb&gt;=Playbook!$G25)),inst,IF(Playbook!$H25="Any","Yes",INDEX('Country Profile'!Q$32:Q$37,MATCH(Playbook!$H25,'Country Profile'!$B$32:$B$37,0))),IF(AND(s&gt;=Playbook!$D25,okb,inst="Yes"),ROUND(s,0),""))</f>
        <v/>
      </c>
      <c r="R25" s="26" t="str">
        <f t="array" ref="R25">LET(s,INDEX(Signals!R$5:R$25,Playbook!$C25),kk,Playbook!$E25,sb,IF(kk="",0,INDEX(Signals!R$5:R$25,kk)),okb,IF(kk="",TRUE,IF(Playbook!$F25="&lt;",sb&lt;Playbook!$G25,sb&gt;=Playbook!$G25)),inst,IF(Playbook!$H25="Any","Yes",INDEX('Country Profile'!R$32:R$37,MATCH(Playbook!$H25,'Country Profile'!$B$32:$B$37,0))),IF(AND(s&gt;=Playbook!$D25,okb,inst="Yes"),ROUND(s,0),""))</f>
        <v/>
      </c>
      <c r="S25" s="26" t="str">
        <f t="array" ref="S25">LET(s,INDEX(Signals!S$5:S$25,Playbook!$C25),kk,Playbook!$E25,sb,IF(kk="",0,INDEX(Signals!S$5:S$25,kk)),okb,IF(kk="",TRUE,IF(Playbook!$F25="&lt;",sb&lt;Playbook!$G25,sb&gt;=Playbook!$G25)),inst,IF(Playbook!$H25="Any","Yes",INDEX('Country Profile'!S$32:S$37,MATCH(Playbook!$H25,'Country Profile'!$B$32:$B$37,0))),IF(AND(s&gt;=Playbook!$D25,okb,inst="Yes"),ROUND(s,0),""))</f>
        <v/>
      </c>
      <c r="T25" s="26" t="str">
        <f t="array" ref="T25">LET(s,INDEX(Signals!T$5:T$25,Playbook!$C25),kk,Playbook!$E25,sb,IF(kk="",0,INDEX(Signals!T$5:T$25,kk)),okb,IF(kk="",TRUE,IF(Playbook!$F25="&lt;",sb&lt;Playbook!$G25,sb&gt;=Playbook!$G25)),inst,IF(Playbook!$H25="Any","Yes",INDEX('Country Profile'!T$32:T$37,MATCH(Playbook!$H25,'Country Profile'!$B$32:$B$37,0))),IF(AND(s&gt;=Playbook!$D25,okb,inst="Yes"),ROUND(s,0),""))</f>
        <v/>
      </c>
      <c r="U25" s="26" t="str">
        <f t="array" ref="U25">LET(s,INDEX(Signals!U$5:U$25,Playbook!$C25),kk,Playbook!$E25,sb,IF(kk="",0,INDEX(Signals!U$5:U$25,kk)),okb,IF(kk="",TRUE,IF(Playbook!$F25="&lt;",sb&lt;Playbook!$G25,sb&gt;=Playbook!$G25)),inst,IF(Playbook!$H25="Any","Yes",INDEX('Country Profile'!U$32:U$37,MATCH(Playbook!$H25,'Country Profile'!$B$32:$B$37,0))),IF(AND(s&gt;=Playbook!$D25,okb,inst="Yes"),ROUND(s,0),""))</f>
        <v/>
      </c>
      <c r="V25" s="26" t="str">
        <f t="array" ref="V25">LET(s,INDEX(Signals!V$5:V$25,Playbook!$C25),kk,Playbook!$E25,sb,IF(kk="",0,INDEX(Signals!V$5:V$25,kk)),okb,IF(kk="",TRUE,IF(Playbook!$F25="&lt;",sb&lt;Playbook!$G25,sb&gt;=Playbook!$G25)),inst,IF(Playbook!$H25="Any","Yes",INDEX('Country Profile'!V$32:V$37,MATCH(Playbook!$H25,'Country Profile'!$B$32:$B$37,0))),IF(AND(s&gt;=Playbook!$D25,okb,inst="Yes"),ROUND(s,0),""))</f>
        <v/>
      </c>
    </row>
    <row r="26">
      <c r="A26" s="26" t="s">
        <v>1171</v>
      </c>
      <c r="B26" s="26" t="s">
        <v>1172</v>
      </c>
      <c r="C26" s="26">
        <v>18.0</v>
      </c>
      <c r="D26" s="26" t="s">
        <v>979</v>
      </c>
      <c r="E26" s="26" t="str">
        <f t="array" ref="E26">LET(s,INDEX(Signals!E$5:E$25,Playbook!$C26),kk,Playbook!$E26,sb,IF(kk="",0,INDEX(Signals!E$5:E$25,kk)),okb,IF(kk="",TRUE,IF(Playbook!$F26="&lt;",sb&lt;Playbook!$G26,sb&gt;=Playbook!$G26)),inst,IF(Playbook!$H26="Any","Yes",INDEX('Country Profile'!E$32:E$37,MATCH(Playbook!$H26,'Country Profile'!$B$32:$B$37,0))),IF(AND(s&gt;=Playbook!$D26,okb,inst="Yes"),ROUND(s,0),""))</f>
        <v/>
      </c>
      <c r="F26" s="26" t="str">
        <f t="array" ref="F26">LET(s,INDEX(Signals!F$5:F$25,Playbook!$C26),kk,Playbook!$E26,sb,IF(kk="",0,INDEX(Signals!F$5:F$25,kk)),okb,IF(kk="",TRUE,IF(Playbook!$F26="&lt;",sb&lt;Playbook!$G26,sb&gt;=Playbook!$G26)),inst,IF(Playbook!$H26="Any","Yes",INDEX('Country Profile'!F$32:F$37,MATCH(Playbook!$H26,'Country Profile'!$B$32:$B$37,0))),IF(AND(s&gt;=Playbook!$D26,okb,inst="Yes"),ROUND(s,0),""))</f>
        <v/>
      </c>
      <c r="G26" s="26" t="str">
        <f t="array" ref="G26">LET(s,INDEX(Signals!G$5:G$25,Playbook!$C26),kk,Playbook!$E26,sb,IF(kk="",0,INDEX(Signals!G$5:G$25,kk)),okb,IF(kk="",TRUE,IF(Playbook!$F26="&lt;",sb&lt;Playbook!$G26,sb&gt;=Playbook!$G26)),inst,IF(Playbook!$H26="Any","Yes",INDEX('Country Profile'!G$32:G$37,MATCH(Playbook!$H26,'Country Profile'!$B$32:$B$37,0))),IF(AND(s&gt;=Playbook!$D26,okb,inst="Yes"),ROUND(s,0),""))</f>
        <v/>
      </c>
      <c r="H26" s="26" t="str">
        <f t="array" ref="H26">LET(s,INDEX(Signals!H$5:H$25,Playbook!$C26),kk,Playbook!$E26,sb,IF(kk="",0,INDEX(Signals!H$5:H$25,kk)),okb,IF(kk="",TRUE,IF(Playbook!$F26="&lt;",sb&lt;Playbook!$G26,sb&gt;=Playbook!$G26)),inst,IF(Playbook!$H26="Any","Yes",INDEX('Country Profile'!H$32:H$37,MATCH(Playbook!$H26,'Country Profile'!$B$32:$B$37,0))),IF(AND(s&gt;=Playbook!$D26,okb,inst="Yes"),ROUND(s,0),""))</f>
        <v/>
      </c>
      <c r="I26" s="26" t="str">
        <f t="array" ref="I26">LET(s,INDEX(Signals!I$5:I$25,Playbook!$C26),kk,Playbook!$E26,sb,IF(kk="",0,INDEX(Signals!I$5:I$25,kk)),okb,IF(kk="",TRUE,IF(Playbook!$F26="&lt;",sb&lt;Playbook!$G26,sb&gt;=Playbook!$G26)),inst,IF(Playbook!$H26="Any","Yes",INDEX('Country Profile'!I$32:I$37,MATCH(Playbook!$H26,'Country Profile'!$B$32:$B$37,0))),IF(AND(s&gt;=Playbook!$D26,okb,inst="Yes"),ROUND(s,0),""))</f>
        <v/>
      </c>
      <c r="J26" s="26" t="str">
        <f t="array" ref="J26">LET(s,INDEX(Signals!J$5:J$25,Playbook!$C26),kk,Playbook!$E26,sb,IF(kk="",0,INDEX(Signals!J$5:J$25,kk)),okb,IF(kk="",TRUE,IF(Playbook!$F26="&lt;",sb&lt;Playbook!$G26,sb&gt;=Playbook!$G26)),inst,IF(Playbook!$H26="Any","Yes",INDEX('Country Profile'!J$32:J$37,MATCH(Playbook!$H26,'Country Profile'!$B$32:$B$37,0))),IF(AND(s&gt;=Playbook!$D26,okb,inst="Yes"),ROUND(s,0),""))</f>
        <v/>
      </c>
      <c r="K26" s="26" t="str">
        <f t="array" ref="K26">LET(s,INDEX(Signals!K$5:K$25,Playbook!$C26),kk,Playbook!$E26,sb,IF(kk="",0,INDEX(Signals!K$5:K$25,kk)),okb,IF(kk="",TRUE,IF(Playbook!$F26="&lt;",sb&lt;Playbook!$G26,sb&gt;=Playbook!$G26)),inst,IF(Playbook!$H26="Any","Yes",INDEX('Country Profile'!K$32:K$37,MATCH(Playbook!$H26,'Country Profile'!$B$32:$B$37,0))),IF(AND(s&gt;=Playbook!$D26,okb,inst="Yes"),ROUND(s,0),""))</f>
        <v/>
      </c>
      <c r="L26" s="26" t="str">
        <f t="array" ref="L26">LET(s,INDEX(Signals!L$5:L$25,Playbook!$C26),kk,Playbook!$E26,sb,IF(kk="",0,INDEX(Signals!L$5:L$25,kk)),okb,IF(kk="",TRUE,IF(Playbook!$F26="&lt;",sb&lt;Playbook!$G26,sb&gt;=Playbook!$G26)),inst,IF(Playbook!$H26="Any","Yes",INDEX('Country Profile'!L$32:L$37,MATCH(Playbook!$H26,'Country Profile'!$B$32:$B$37,0))),IF(AND(s&gt;=Playbook!$D26,okb,inst="Yes"),ROUND(s,0),""))</f>
        <v/>
      </c>
      <c r="M26" s="35">
        <f t="array" ref="M26">LET(s,INDEX(Signals!M$5:M$25,Playbook!$C26),kk,Playbook!$E26,sb,IF(kk="",0,INDEX(Signals!M$5:M$25,kk)),okb,IF(kk="",TRUE,IF(Playbook!$F26="&lt;",sb&lt;Playbook!$G26,sb&gt;=Playbook!$G26)),inst,IF(Playbook!$H26="Any","Yes",INDEX('Country Profile'!M$32:M$37,MATCH(Playbook!$H26,'Country Profile'!$B$32:$B$37,0))),IF(AND(s&gt;=Playbook!$D26,okb,inst="Yes"),ROUND(s,0),""))</f>
        <v>75</v>
      </c>
      <c r="N26" s="26" t="str">
        <f t="array" ref="N26">LET(s,INDEX(Signals!N$5:N$25,Playbook!$C26),kk,Playbook!$E26,sb,IF(kk="",0,INDEX(Signals!N$5:N$25,kk)),okb,IF(kk="",TRUE,IF(Playbook!$F26="&lt;",sb&lt;Playbook!$G26,sb&gt;=Playbook!$G26)),inst,IF(Playbook!$H26="Any","Yes",INDEX('Country Profile'!N$32:N$37,MATCH(Playbook!$H26,'Country Profile'!$B$32:$B$37,0))),IF(AND(s&gt;=Playbook!$D26,okb,inst="Yes"),ROUND(s,0),""))</f>
        <v/>
      </c>
      <c r="O26" s="26" t="str">
        <f t="array" ref="O26">LET(s,INDEX(Signals!O$5:O$25,Playbook!$C26),kk,Playbook!$E26,sb,IF(kk="",0,INDEX(Signals!O$5:O$25,kk)),okb,IF(kk="",TRUE,IF(Playbook!$F26="&lt;",sb&lt;Playbook!$G26,sb&gt;=Playbook!$G26)),inst,IF(Playbook!$H26="Any","Yes",INDEX('Country Profile'!O$32:O$37,MATCH(Playbook!$H26,'Country Profile'!$B$32:$B$37,0))),IF(AND(s&gt;=Playbook!$D26,okb,inst="Yes"),ROUND(s,0),""))</f>
        <v/>
      </c>
      <c r="P26" s="35">
        <f t="array" ref="P26">LET(s,INDEX(Signals!P$5:P$25,Playbook!$C26),kk,Playbook!$E26,sb,IF(kk="",0,INDEX(Signals!P$5:P$25,kk)),okb,IF(kk="",TRUE,IF(Playbook!$F26="&lt;",sb&lt;Playbook!$G26,sb&gt;=Playbook!$G26)),inst,IF(Playbook!$H26="Any","Yes",INDEX('Country Profile'!P$32:P$37,MATCH(Playbook!$H26,'Country Profile'!$B$32:$B$37,0))),IF(AND(s&gt;=Playbook!$D26,okb,inst="Yes"),ROUND(s,0),""))</f>
        <v>75</v>
      </c>
      <c r="Q26" s="26" t="str">
        <f t="array" ref="Q26">LET(s,INDEX(Signals!Q$5:Q$25,Playbook!$C26),kk,Playbook!$E26,sb,IF(kk="",0,INDEX(Signals!Q$5:Q$25,kk)),okb,IF(kk="",TRUE,IF(Playbook!$F26="&lt;",sb&lt;Playbook!$G26,sb&gt;=Playbook!$G26)),inst,IF(Playbook!$H26="Any","Yes",INDEX('Country Profile'!Q$32:Q$37,MATCH(Playbook!$H26,'Country Profile'!$B$32:$B$37,0))),IF(AND(s&gt;=Playbook!$D26,okb,inst="Yes"),ROUND(s,0),""))</f>
        <v/>
      </c>
      <c r="R26" s="35">
        <f t="array" ref="R26">LET(s,INDEX(Signals!R$5:R$25,Playbook!$C26),kk,Playbook!$E26,sb,IF(kk="",0,INDEX(Signals!R$5:R$25,kk)),okb,IF(kk="",TRUE,IF(Playbook!$F26="&lt;",sb&lt;Playbook!$G26,sb&gt;=Playbook!$G26)),inst,IF(Playbook!$H26="Any","Yes",INDEX('Country Profile'!R$32:R$37,MATCH(Playbook!$H26,'Country Profile'!$B$32:$B$37,0))),IF(AND(s&gt;=Playbook!$D26,okb,inst="Yes"),ROUND(s,0),""))</f>
        <v>100</v>
      </c>
      <c r="S26" s="26" t="str">
        <f t="array" ref="S26">LET(s,INDEX(Signals!S$5:S$25,Playbook!$C26),kk,Playbook!$E26,sb,IF(kk="",0,INDEX(Signals!S$5:S$25,kk)),okb,IF(kk="",TRUE,IF(Playbook!$F26="&lt;",sb&lt;Playbook!$G26,sb&gt;=Playbook!$G26)),inst,IF(Playbook!$H26="Any","Yes",INDEX('Country Profile'!S$32:S$37,MATCH(Playbook!$H26,'Country Profile'!$B$32:$B$37,0))),IF(AND(s&gt;=Playbook!$D26,okb,inst="Yes"),ROUND(s,0),""))</f>
        <v/>
      </c>
      <c r="T26" s="35">
        <f t="array" ref="T26">LET(s,INDEX(Signals!T$5:T$25,Playbook!$C26),kk,Playbook!$E26,sb,IF(kk="",0,INDEX(Signals!T$5:T$25,kk)),okb,IF(kk="",TRUE,IF(Playbook!$F26="&lt;",sb&lt;Playbook!$G26,sb&gt;=Playbook!$G26)),inst,IF(Playbook!$H26="Any","Yes",INDEX('Country Profile'!T$32:T$37,MATCH(Playbook!$H26,'Country Profile'!$B$32:$B$37,0))),IF(AND(s&gt;=Playbook!$D26,okb,inst="Yes"),ROUND(s,0),""))</f>
        <v>100</v>
      </c>
      <c r="U26" s="26" t="str">
        <f t="array" ref="U26">LET(s,INDEX(Signals!U$5:U$25,Playbook!$C26),kk,Playbook!$E26,sb,IF(kk="",0,INDEX(Signals!U$5:U$25,kk)),okb,IF(kk="",TRUE,IF(Playbook!$F26="&lt;",sb&lt;Playbook!$G26,sb&gt;=Playbook!$G26)),inst,IF(Playbook!$H26="Any","Yes",INDEX('Country Profile'!U$32:U$37,MATCH(Playbook!$H26,'Country Profile'!$B$32:$B$37,0))),IF(AND(s&gt;=Playbook!$D26,okb,inst="Yes"),ROUND(s,0),""))</f>
        <v/>
      </c>
      <c r="V26" s="26" t="str">
        <f t="array" ref="V26">LET(s,INDEX(Signals!V$5:V$25,Playbook!$C26),kk,Playbook!$E26,sb,IF(kk="",0,INDEX(Signals!V$5:V$25,kk)),okb,IF(kk="",TRUE,IF(Playbook!$F26="&lt;",sb&lt;Playbook!$G26,sb&gt;=Playbook!$G26)),inst,IF(Playbook!$H26="Any","Yes",INDEX('Country Profile'!V$32:V$37,MATCH(Playbook!$H26,'Country Profile'!$B$32:$B$37,0))),IF(AND(s&gt;=Playbook!$D26,okb,inst="Yes"),ROUND(s,0),""))</f>
        <v/>
      </c>
    </row>
  </sheetData>
  <conditionalFormatting sqref="E5:V26">
    <cfRule type="colorScale" priority="1">
      <colorScale>
        <cfvo type="formula" val="0"/>
        <cfvo type="formula" val="50"/>
        <cfvo type="formula" val="100"/>
        <color rgb="FF56BA89"/>
        <color rgb="FFFFD566"/>
        <color rgb="FFE67B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6.38"/>
    <col customWidth="1" min="2" max="2" width="12.63"/>
    <col customWidth="1" min="3" max="3" width="37.63"/>
    <col customWidth="1" min="4" max="4" width="32.63"/>
    <col customWidth="1" min="5" max="22" width="11.63"/>
  </cols>
  <sheetData>
    <row r="1">
      <c r="A1" s="2" t="s">
        <v>1192</v>
      </c>
    </row>
    <row r="2">
      <c r="A2" s="5" t="s">
        <v>1193</v>
      </c>
    </row>
    <row r="4">
      <c r="A4" s="20" t="s">
        <v>59</v>
      </c>
      <c r="B4" s="20" t="s">
        <v>143</v>
      </c>
      <c r="C4" s="20" t="s">
        <v>876</v>
      </c>
      <c r="D4" s="20" t="s">
        <v>9</v>
      </c>
      <c r="E4" s="21" t="str">
        <f>Inputs!E4</f>
        <v>Vietnam</v>
      </c>
      <c r="F4" s="21" t="str">
        <f>Inputs!F4</f>
        <v>Philippines</v>
      </c>
      <c r="G4" s="21" t="str">
        <f>Inputs!G4</f>
        <v>China</v>
      </c>
      <c r="H4" s="21" t="str">
        <f>Inputs!H4</f>
        <v>Malaysia</v>
      </c>
      <c r="I4" s="21" t="str">
        <f>Inputs!I4</f>
        <v>Singapore</v>
      </c>
      <c r="J4" s="21" t="str">
        <f>Inputs!J4</f>
        <v>Japan</v>
      </c>
      <c r="K4" s="21" t="str">
        <f>Inputs!K4</f>
        <v>South Korea</v>
      </c>
      <c r="L4" s="21" t="str">
        <f>Inputs!L4</f>
        <v>India</v>
      </c>
      <c r="M4" s="21" t="str">
        <f>Inputs!M4</f>
        <v>Pakistan</v>
      </c>
      <c r="N4" s="21" t="str">
        <f>Inputs!N4</f>
        <v>Belize</v>
      </c>
      <c r="O4" s="21" t="str">
        <f>Inputs!O4</f>
        <v>Brazil</v>
      </c>
      <c r="P4" s="21" t="str">
        <f>Inputs!P4</f>
        <v>Argentina</v>
      </c>
      <c r="Q4" s="21" t="str">
        <f>Inputs!Q4</f>
        <v>Colombia</v>
      </c>
      <c r="R4" s="21" t="str">
        <f>Inputs!R4</f>
        <v>Venezuela</v>
      </c>
      <c r="S4" s="21" t="str">
        <f>Inputs!S4</f>
        <v>Nigeria</v>
      </c>
      <c r="T4" s="21" t="str">
        <f>Inputs!T4</f>
        <v>Senegal</v>
      </c>
      <c r="U4" s="21" t="str">
        <f>Inputs!U4</f>
        <v>Zambia</v>
      </c>
      <c r="V4" s="21" t="str">
        <f>Inputs!V4</f>
        <v>Zimbabwe</v>
      </c>
    </row>
    <row r="5">
      <c r="A5" s="7" t="s">
        <v>1194</v>
      </c>
      <c r="B5" s="7" t="s">
        <v>1195</v>
      </c>
      <c r="C5" s="7" t="s">
        <v>1196</v>
      </c>
      <c r="D5" s="7" t="s">
        <v>1197</v>
      </c>
      <c r="E5" s="60">
        <v>20.0</v>
      </c>
      <c r="F5" s="60">
        <v>25.0</v>
      </c>
      <c r="G5" s="60">
        <v>30.0</v>
      </c>
      <c r="H5" s="60">
        <v>20.0</v>
      </c>
      <c r="I5" s="60">
        <v>10.0</v>
      </c>
      <c r="J5" s="60">
        <v>10.0</v>
      </c>
      <c r="K5" s="60">
        <v>15.0</v>
      </c>
      <c r="L5" s="60">
        <v>30.0</v>
      </c>
      <c r="M5" s="60">
        <v>15.0</v>
      </c>
      <c r="N5" s="60">
        <v>5.0</v>
      </c>
      <c r="O5" s="60">
        <v>30.0</v>
      </c>
      <c r="P5" s="60">
        <v>20.0</v>
      </c>
      <c r="Q5" s="60">
        <v>25.0</v>
      </c>
      <c r="R5" s="60">
        <v>5.0</v>
      </c>
      <c r="S5" s="60">
        <v>20.0</v>
      </c>
      <c r="T5" s="60">
        <v>10.0</v>
      </c>
      <c r="U5" s="60">
        <v>10.0</v>
      </c>
      <c r="V5" s="60">
        <v>5.0</v>
      </c>
    </row>
    <row r="6">
      <c r="A6" s="7" t="s">
        <v>1198</v>
      </c>
      <c r="B6" s="7" t="s">
        <v>1199</v>
      </c>
      <c r="C6" s="7" t="s">
        <v>1200</v>
      </c>
      <c r="D6" s="7" t="s">
        <v>1201</v>
      </c>
      <c r="E6" s="25" t="s">
        <v>272</v>
      </c>
      <c r="F6" s="31" t="s">
        <v>272</v>
      </c>
      <c r="G6" s="31" t="s">
        <v>272</v>
      </c>
      <c r="H6" s="31" t="s">
        <v>272</v>
      </c>
      <c r="I6" s="31" t="s">
        <v>272</v>
      </c>
      <c r="J6" s="31" t="s">
        <v>272</v>
      </c>
      <c r="K6" s="31" t="s">
        <v>272</v>
      </c>
      <c r="L6" s="31" t="s">
        <v>272</v>
      </c>
      <c r="M6" s="31" t="s">
        <v>272</v>
      </c>
      <c r="N6" s="31" t="s">
        <v>272</v>
      </c>
      <c r="O6" s="31" t="s">
        <v>272</v>
      </c>
      <c r="P6" s="31" t="s">
        <v>272</v>
      </c>
      <c r="Q6" s="31" t="s">
        <v>272</v>
      </c>
      <c r="R6" s="31" t="s">
        <v>272</v>
      </c>
      <c r="S6" s="31" t="s">
        <v>272</v>
      </c>
      <c r="T6" s="31" t="s">
        <v>272</v>
      </c>
      <c r="U6" s="31" t="s">
        <v>272</v>
      </c>
      <c r="V6" s="31" t="s">
        <v>272</v>
      </c>
    </row>
    <row r="7">
      <c r="A7" s="7" t="s">
        <v>1202</v>
      </c>
      <c r="B7" s="7" t="s">
        <v>1203</v>
      </c>
      <c r="C7" s="7" t="s">
        <v>1204</v>
      </c>
      <c r="D7" s="7" t="s">
        <v>210</v>
      </c>
      <c r="E7" s="48">
        <f>IFS(E6="Sovereign default",'Risk Engine'!E19,E6="Transfer and convertibility",'Risk Engine'!E25,E6="Expropriation",'Risk Engine'!E26,E6="Political violence",'Risk Engine'!E27,E6="Sanctions",'Risk Engine'!E28)</f>
        <v>0.004325545818</v>
      </c>
      <c r="F7" s="48">
        <f>IFS(F6="Sovereign default",'Risk Engine'!F19,F6="Transfer and convertibility",'Risk Engine'!F25,F6="Expropriation",'Risk Engine'!F26,F6="Political violence",'Risk Engine'!F27,F6="Sanctions",'Risk Engine'!F28)</f>
        <v>0.00259934702</v>
      </c>
      <c r="G7" s="48">
        <f>IFS(G6="Sovereign default",'Risk Engine'!G19,G6="Transfer and convertibility",'Risk Engine'!G25,G6="Expropriation",'Risk Engine'!G26,G6="Political violence",'Risk Engine'!G27,G6="Sanctions",'Risk Engine'!G28)</f>
        <v>0.001804377316</v>
      </c>
      <c r="H7" s="48">
        <f>IFS(H6="Sovereign default",'Risk Engine'!H19,H6="Transfer and convertibility",'Risk Engine'!H25,H6="Expropriation",'Risk Engine'!H26,H6="Political violence",'Risk Engine'!H27,H6="Sanctions",'Risk Engine'!H28)</f>
        <v>0.001442738748</v>
      </c>
      <c r="I7" s="48">
        <f>IFS(I6="Sovereign default",'Risk Engine'!I19,I6="Transfer and convertibility",'Risk Engine'!I25,I6="Expropriation",'Risk Engine'!I26,I6="Political violence",'Risk Engine'!I27,I6="Sanctions",'Risk Engine'!I28)</f>
        <v>0.0001901484266</v>
      </c>
      <c r="J7" s="48">
        <f>IFS(J6="Sovereign default",'Risk Engine'!J19,J6="Transfer and convertibility",'Risk Engine'!J25,J6="Expropriation",'Risk Engine'!J26,J6="Political violence",'Risk Engine'!J27,J6="Sanctions",'Risk Engine'!J28)</f>
        <v>0.0005381552272</v>
      </c>
      <c r="K7" s="48">
        <f>IFS(K6="Sovereign default",'Risk Engine'!K19,K6="Transfer and convertibility",'Risk Engine'!K25,K6="Expropriation",'Risk Engine'!K26,K6="Political violence",'Risk Engine'!K27,K6="Sanctions",'Risk Engine'!K28)</f>
        <v>0.0004323225682</v>
      </c>
      <c r="L7" s="48">
        <f>IFS(L6="Sovereign default",'Risk Engine'!L19,L6="Transfer and convertibility",'Risk Engine'!L25,L6="Expropriation",'Risk Engine'!L26,L6="Political violence",'Risk Engine'!L27,L6="Sanctions",'Risk Engine'!L28)</f>
        <v>0.003243387153</v>
      </c>
      <c r="M7" s="48">
        <f>IFS(M6="Sovereign default",'Risk Engine'!M19,M6="Transfer and convertibility",'Risk Engine'!M25,M6="Expropriation",'Risk Engine'!M26,M6="Political violence",'Risk Engine'!M27,M6="Sanctions",'Risk Engine'!M28)</f>
        <v>0.1651044592</v>
      </c>
      <c r="N7" s="48">
        <f>IFS(N6="Sovereign default",'Risk Engine'!N19,N6="Transfer and convertibility",'Risk Engine'!N25,N6="Expropriation",'Risk Engine'!N26,N6="Political violence",'Risk Engine'!N27,N6="Sanctions",'Risk Engine'!N28)</f>
        <v>0.1036964783</v>
      </c>
      <c r="O7" s="48">
        <f>IFS(O6="Sovereign default",'Risk Engine'!O19,O6="Transfer and convertibility",'Risk Engine'!O25,O6="Expropriation",'Risk Engine'!O26,O6="Political violence",'Risk Engine'!O27,O6="Sanctions",'Risk Engine'!O28)</f>
        <v>0.01183324389</v>
      </c>
      <c r="P7" s="48">
        <f>IFS(P6="Sovereign default",'Risk Engine'!P19,P6="Transfer and convertibility",'Risk Engine'!P25,P6="Expropriation",'Risk Engine'!P26,P6="Political violence",'Risk Engine'!P27,P6="Sanctions",'Risk Engine'!P28)</f>
        <v>0.1364249761</v>
      </c>
      <c r="Q7" s="48">
        <f>IFS(Q6="Sovereign default",'Risk Engine'!Q19,Q6="Transfer and convertibility",'Risk Engine'!Q25,Q6="Expropriation",'Risk Engine'!Q26,Q6="Political violence",'Risk Engine'!Q27,Q6="Sanctions",'Risk Engine'!Q28)</f>
        <v>0.01273995911</v>
      </c>
      <c r="R7" s="48">
        <f>IFS(R6="Sovereign default",'Risk Engine'!R19,R6="Transfer and convertibility",'Risk Engine'!R25,R6="Expropriation",'Risk Engine'!R26,R6="Political violence",'Risk Engine'!R27,R6="Sanctions",'Risk Engine'!R28)</f>
        <v>0.99</v>
      </c>
      <c r="S7" s="48">
        <f>IFS(S6="Sovereign default",'Risk Engine'!S19,S6="Transfer and convertibility",'Risk Engine'!S25,S6="Expropriation",'Risk Engine'!S26,S6="Political violence",'Risk Engine'!S27,S6="Sanctions",'Risk Engine'!S28)</f>
        <v>0.09187443982</v>
      </c>
      <c r="T7" s="48">
        <f>IFS(T6="Sovereign default",'Risk Engine'!T19,T6="Transfer and convertibility",'Risk Engine'!T25,T6="Expropriation",'Risk Engine'!T26,T6="Political violence",'Risk Engine'!T27,T6="Sanctions",'Risk Engine'!T28)</f>
        <v>0.3530198472</v>
      </c>
      <c r="U7" s="48">
        <f>IFS(U6="Sovereign default",'Risk Engine'!U19,U6="Transfer and convertibility",'Risk Engine'!U25,U6="Expropriation",'Risk Engine'!U26,U6="Political violence",'Risk Engine'!U27,U6="Sanctions",'Risk Engine'!U28)</f>
        <v>0.1510490112</v>
      </c>
      <c r="V7" s="48">
        <f>IFS(V6="Sovereign default",'Risk Engine'!V19,V6="Transfer and convertibility",'Risk Engine'!V25,V6="Expropriation",'Risk Engine'!V26,V6="Political violence",'Risk Engine'!V27,V6="Sanctions",'Risk Engine'!V28)</f>
        <v>0.99</v>
      </c>
    </row>
    <row r="8">
      <c r="A8" s="7" t="s">
        <v>1205</v>
      </c>
      <c r="B8" s="7" t="s">
        <v>1206</v>
      </c>
      <c r="C8" s="7" t="s">
        <v>1207</v>
      </c>
      <c r="D8" s="7" t="s">
        <v>15</v>
      </c>
      <c r="E8" s="22">
        <f>MIN(1,VLOOKUP(E6,Assumptions!$A$58:$E$62,5,FALSE)*'Risk Engine'!E10)</f>
        <v>0.45</v>
      </c>
      <c r="F8" s="22">
        <f>MIN(1,VLOOKUP(F6,Assumptions!$A$58:$E$62,5,FALSE)*'Risk Engine'!F10)</f>
        <v>0.45</v>
      </c>
      <c r="G8" s="22">
        <f>MIN(1,VLOOKUP(G6,Assumptions!$A$58:$E$62,5,FALSE)*'Risk Engine'!G10)</f>
        <v>0.45</v>
      </c>
      <c r="H8" s="22">
        <f>MIN(1,VLOOKUP(H6,Assumptions!$A$58:$E$62,5,FALSE)*'Risk Engine'!H10)</f>
        <v>0.45</v>
      </c>
      <c r="I8" s="22">
        <f>MIN(1,VLOOKUP(I6,Assumptions!$A$58:$E$62,5,FALSE)*'Risk Engine'!I10)</f>
        <v>0.45</v>
      </c>
      <c r="J8" s="22">
        <f>MIN(1,VLOOKUP(J6,Assumptions!$A$58:$E$62,5,FALSE)*'Risk Engine'!J10)</f>
        <v>0.45</v>
      </c>
      <c r="K8" s="22">
        <f>MIN(1,VLOOKUP(K6,Assumptions!$A$58:$E$62,5,FALSE)*'Risk Engine'!K10)</f>
        <v>0.45</v>
      </c>
      <c r="L8" s="22">
        <f>MIN(1,VLOOKUP(L6,Assumptions!$A$58:$E$62,5,FALSE)*'Risk Engine'!L10)</f>
        <v>0.45</v>
      </c>
      <c r="M8" s="22">
        <f>MIN(1,VLOOKUP(M6,Assumptions!$A$58:$E$62,5,FALSE)*'Risk Engine'!M10)</f>
        <v>0.495</v>
      </c>
      <c r="N8" s="22">
        <f>MIN(1,VLOOKUP(N6,Assumptions!$A$58:$E$62,5,FALSE)*'Risk Engine'!N10)</f>
        <v>0.495</v>
      </c>
      <c r="O8" s="22">
        <f>MIN(1,VLOOKUP(O6,Assumptions!$A$58:$E$62,5,FALSE)*'Risk Engine'!O10)</f>
        <v>0.45</v>
      </c>
      <c r="P8" s="22">
        <f>MIN(1,VLOOKUP(P6,Assumptions!$A$58:$E$62,5,FALSE)*'Risk Engine'!P10)</f>
        <v>0.495</v>
      </c>
      <c r="Q8" s="22">
        <f>MIN(1,VLOOKUP(Q6,Assumptions!$A$58:$E$62,5,FALSE)*'Risk Engine'!Q10)</f>
        <v>0.45</v>
      </c>
      <c r="R8" s="22">
        <f>MIN(1,VLOOKUP(R6,Assumptions!$A$58:$E$62,5,FALSE)*'Risk Engine'!R10)</f>
        <v>0.5625</v>
      </c>
      <c r="S8" s="22">
        <f>MIN(1,VLOOKUP(S6,Assumptions!$A$58:$E$62,5,FALSE)*'Risk Engine'!S10)</f>
        <v>0.495</v>
      </c>
      <c r="T8" s="22">
        <f>MIN(1,VLOOKUP(T6,Assumptions!$A$58:$E$62,5,FALSE)*'Risk Engine'!T10)</f>
        <v>0.5625</v>
      </c>
      <c r="U8" s="22">
        <f>MIN(1,VLOOKUP(U6,Assumptions!$A$58:$E$62,5,FALSE)*'Risk Engine'!U10)</f>
        <v>0.495</v>
      </c>
      <c r="V8" s="22">
        <f>MIN(1,VLOOKUP(V6,Assumptions!$A$58:$E$62,5,FALSE)*'Risk Engine'!V10)</f>
        <v>0.5625</v>
      </c>
    </row>
    <row r="9">
      <c r="A9" s="7" t="s">
        <v>1208</v>
      </c>
      <c r="B9" s="7" t="s">
        <v>1209</v>
      </c>
      <c r="C9" s="7" t="s">
        <v>1210</v>
      </c>
      <c r="D9" s="7" t="s">
        <v>1197</v>
      </c>
      <c r="E9" s="61">
        <f t="shared" ref="E9:V9" si="1">E5*E8</f>
        <v>9</v>
      </c>
      <c r="F9" s="61">
        <f t="shared" si="1"/>
        <v>11.25</v>
      </c>
      <c r="G9" s="61">
        <f t="shared" si="1"/>
        <v>13.5</v>
      </c>
      <c r="H9" s="61">
        <f t="shared" si="1"/>
        <v>9</v>
      </c>
      <c r="I9" s="61">
        <f t="shared" si="1"/>
        <v>4.5</v>
      </c>
      <c r="J9" s="61">
        <f t="shared" si="1"/>
        <v>4.5</v>
      </c>
      <c r="K9" s="61">
        <f t="shared" si="1"/>
        <v>6.75</v>
      </c>
      <c r="L9" s="61">
        <f t="shared" si="1"/>
        <v>13.5</v>
      </c>
      <c r="M9" s="61">
        <f t="shared" si="1"/>
        <v>7.425</v>
      </c>
      <c r="N9" s="61">
        <f t="shared" si="1"/>
        <v>2.475</v>
      </c>
      <c r="O9" s="61">
        <f t="shared" si="1"/>
        <v>13.5</v>
      </c>
      <c r="P9" s="61">
        <f t="shared" si="1"/>
        <v>9.9</v>
      </c>
      <c r="Q9" s="61">
        <f t="shared" si="1"/>
        <v>11.25</v>
      </c>
      <c r="R9" s="61">
        <f t="shared" si="1"/>
        <v>2.8125</v>
      </c>
      <c r="S9" s="61">
        <f t="shared" si="1"/>
        <v>9.9</v>
      </c>
      <c r="T9" s="61">
        <f t="shared" si="1"/>
        <v>5.625</v>
      </c>
      <c r="U9" s="61">
        <f t="shared" si="1"/>
        <v>4.95</v>
      </c>
      <c r="V9" s="61">
        <f t="shared" si="1"/>
        <v>2.8125</v>
      </c>
    </row>
    <row r="10">
      <c r="A10" s="7" t="s">
        <v>1211</v>
      </c>
      <c r="B10" s="7" t="s">
        <v>1212</v>
      </c>
      <c r="C10" s="7" t="s">
        <v>1213</v>
      </c>
      <c r="D10" s="7" t="s">
        <v>1197</v>
      </c>
      <c r="E10" s="61">
        <f t="shared" ref="E10:V10" si="2">E7*E9</f>
        <v>0.03892991236</v>
      </c>
      <c r="F10" s="61">
        <f t="shared" si="2"/>
        <v>0.02924265397</v>
      </c>
      <c r="G10" s="61">
        <f t="shared" si="2"/>
        <v>0.02435909376</v>
      </c>
      <c r="H10" s="61">
        <f t="shared" si="2"/>
        <v>0.01298464873</v>
      </c>
      <c r="I10" s="61">
        <f t="shared" si="2"/>
        <v>0.0008556679196</v>
      </c>
      <c r="J10" s="61">
        <f t="shared" si="2"/>
        <v>0.002421698522</v>
      </c>
      <c r="K10" s="61">
        <f t="shared" si="2"/>
        <v>0.002918177336</v>
      </c>
      <c r="L10" s="61">
        <f t="shared" si="2"/>
        <v>0.04378572657</v>
      </c>
      <c r="M10" s="61">
        <f t="shared" si="2"/>
        <v>1.22590061</v>
      </c>
      <c r="N10" s="61">
        <f t="shared" si="2"/>
        <v>0.2566487839</v>
      </c>
      <c r="O10" s="61">
        <f t="shared" si="2"/>
        <v>0.1597487926</v>
      </c>
      <c r="P10" s="61">
        <f t="shared" si="2"/>
        <v>1.350607264</v>
      </c>
      <c r="Q10" s="61">
        <f t="shared" si="2"/>
        <v>0.14332454</v>
      </c>
      <c r="R10" s="61">
        <f t="shared" si="2"/>
        <v>2.784375</v>
      </c>
      <c r="S10" s="61">
        <f t="shared" si="2"/>
        <v>0.9095569542</v>
      </c>
      <c r="T10" s="61">
        <f t="shared" si="2"/>
        <v>1.98573664</v>
      </c>
      <c r="U10" s="61">
        <f t="shared" si="2"/>
        <v>0.7476926055</v>
      </c>
      <c r="V10" s="61">
        <f t="shared" si="2"/>
        <v>2.784375</v>
      </c>
    </row>
    <row r="11">
      <c r="A11" s="7" t="s">
        <v>1214</v>
      </c>
      <c r="B11" s="7" t="s">
        <v>211</v>
      </c>
      <c r="C11" s="7" t="s">
        <v>1215</v>
      </c>
      <c r="E11" s="26" t="str">
        <f>'Country Profile'!E6</f>
        <v>Asia</v>
      </c>
      <c r="F11" s="26" t="str">
        <f>'Country Profile'!F6</f>
        <v>Asia</v>
      </c>
      <c r="G11" s="26" t="str">
        <f>'Country Profile'!G6</f>
        <v>Asia</v>
      </c>
      <c r="H11" s="26" t="str">
        <f>'Country Profile'!H6</f>
        <v>Asia</v>
      </c>
      <c r="I11" s="26" t="str">
        <f>'Country Profile'!I6</f>
        <v>Asia</v>
      </c>
      <c r="J11" s="26" t="str">
        <f>'Country Profile'!J6</f>
        <v>Asia</v>
      </c>
      <c r="K11" s="26" t="str">
        <f>'Country Profile'!K6</f>
        <v>Asia</v>
      </c>
      <c r="L11" s="26" t="str">
        <f>'Country Profile'!L6</f>
        <v>Asia</v>
      </c>
      <c r="M11" s="26" t="str">
        <f>'Country Profile'!M6</f>
        <v>Asia</v>
      </c>
      <c r="N11" s="26" t="str">
        <f>'Country Profile'!N6</f>
        <v>LatAm</v>
      </c>
      <c r="O11" s="26" t="str">
        <f>'Country Profile'!O6</f>
        <v>LatAm</v>
      </c>
      <c r="P11" s="26" t="str">
        <f>'Country Profile'!P6</f>
        <v>LatAm</v>
      </c>
      <c r="Q11" s="26" t="str">
        <f>'Country Profile'!Q6</f>
        <v>LatAm</v>
      </c>
      <c r="R11" s="26" t="str">
        <f>'Country Profile'!R6</f>
        <v>LatAm</v>
      </c>
      <c r="S11" s="26" t="str">
        <f>'Country Profile'!S6</f>
        <v>Africa</v>
      </c>
      <c r="T11" s="26" t="str">
        <f>'Country Profile'!T6</f>
        <v>Africa</v>
      </c>
      <c r="U11" s="26" t="str">
        <f>'Country Profile'!U6</f>
        <v>Africa</v>
      </c>
      <c r="V11" s="26" t="str">
        <f>'Country Profile'!V6</f>
        <v>Africa</v>
      </c>
    </row>
    <row r="12">
      <c r="A12" s="7" t="s">
        <v>1216</v>
      </c>
      <c r="B12" s="7" t="s">
        <v>1217</v>
      </c>
      <c r="C12" s="7" t="s">
        <v>1218</v>
      </c>
      <c r="E12" s="50">
        <f t="array" ref="E12">INDEX(Assumptions!$D$52:$D$54,MATCH('Risk Engine'!E8,Assumptions!$A$52:$A$54,0))</f>
        <v>0.15</v>
      </c>
      <c r="F12" s="50">
        <f t="array" ref="F12">INDEX(Assumptions!$D$52:$D$54,MATCH('Risk Engine'!F8,Assumptions!$A$52:$A$54,0))</f>
        <v>0.15</v>
      </c>
      <c r="G12" s="50">
        <f t="array" ref="G12">INDEX(Assumptions!$D$52:$D$54,MATCH('Risk Engine'!G8,Assumptions!$A$52:$A$54,0))</f>
        <v>0.15</v>
      </c>
      <c r="H12" s="50">
        <f t="array" ref="H12">INDEX(Assumptions!$D$52:$D$54,MATCH('Risk Engine'!H8,Assumptions!$A$52:$A$54,0))</f>
        <v>0.15</v>
      </c>
      <c r="I12" s="50">
        <f t="array" ref="I12">INDEX(Assumptions!$D$52:$D$54,MATCH('Risk Engine'!I8,Assumptions!$A$52:$A$54,0))</f>
        <v>0.15</v>
      </c>
      <c r="J12" s="50">
        <f t="array" ref="J12">INDEX(Assumptions!$D$52:$D$54,MATCH('Risk Engine'!J8,Assumptions!$A$52:$A$54,0))</f>
        <v>0.15</v>
      </c>
      <c r="K12" s="50">
        <f t="array" ref="K12">INDEX(Assumptions!$D$52:$D$54,MATCH('Risk Engine'!K8,Assumptions!$A$52:$A$54,0))</f>
        <v>0.15</v>
      </c>
      <c r="L12" s="50">
        <f t="array" ref="L12">INDEX(Assumptions!$D$52:$D$54,MATCH('Risk Engine'!L8,Assumptions!$A$52:$A$54,0))</f>
        <v>0.15</v>
      </c>
      <c r="M12" s="50">
        <f t="array" ref="M12">INDEX(Assumptions!$D$52:$D$54,MATCH('Risk Engine'!M8,Assumptions!$A$52:$A$54,0))</f>
        <v>0.25</v>
      </c>
      <c r="N12" s="50">
        <f t="array" ref="N12">INDEX(Assumptions!$D$52:$D$54,MATCH('Risk Engine'!N8,Assumptions!$A$52:$A$54,0))</f>
        <v>0.25</v>
      </c>
      <c r="O12" s="50">
        <f t="array" ref="O12">INDEX(Assumptions!$D$52:$D$54,MATCH('Risk Engine'!O8,Assumptions!$A$52:$A$54,0))</f>
        <v>0.15</v>
      </c>
      <c r="P12" s="50">
        <f t="array" ref="P12">INDEX(Assumptions!$D$52:$D$54,MATCH('Risk Engine'!P8,Assumptions!$A$52:$A$54,0))</f>
        <v>0.25</v>
      </c>
      <c r="Q12" s="50">
        <f t="array" ref="Q12">INDEX(Assumptions!$D$52:$D$54,MATCH('Risk Engine'!Q8,Assumptions!$A$52:$A$54,0))</f>
        <v>0.15</v>
      </c>
      <c r="R12" s="50">
        <f t="array" ref="R12">INDEX(Assumptions!$D$52:$D$54,MATCH('Risk Engine'!R8,Assumptions!$A$52:$A$54,0))</f>
        <v>0.35</v>
      </c>
      <c r="S12" s="50">
        <f t="array" ref="S12">INDEX(Assumptions!$D$52:$D$54,MATCH('Risk Engine'!S8,Assumptions!$A$52:$A$54,0))</f>
        <v>0.25</v>
      </c>
      <c r="T12" s="50">
        <f t="array" ref="T12">INDEX(Assumptions!$D$52:$D$54,MATCH('Risk Engine'!T8,Assumptions!$A$52:$A$54,0))</f>
        <v>0.35</v>
      </c>
      <c r="U12" s="50">
        <f t="array" ref="U12">INDEX(Assumptions!$D$52:$D$54,MATCH('Risk Engine'!U8,Assumptions!$A$52:$A$54,0))</f>
        <v>0.25</v>
      </c>
      <c r="V12" s="50">
        <f t="array" ref="V12">INDEX(Assumptions!$D$52:$D$54,MATCH('Risk Engine'!V8,Assumptions!$A$52:$A$54,0))</f>
        <v>0.35</v>
      </c>
    </row>
    <row r="13">
      <c r="A13" s="7" t="s">
        <v>1219</v>
      </c>
      <c r="B13" s="7" t="s">
        <v>1220</v>
      </c>
      <c r="C13" s="7" t="s">
        <v>1221</v>
      </c>
      <c r="E13" s="50">
        <f>_xlfn.T.INV(E7,Assumptions!$B$73)</f>
        <v>-4.180461971</v>
      </c>
      <c r="F13" s="50">
        <f>_xlfn.T.INV(F7,Assumptions!$B$73)</f>
        <v>-4.729442129</v>
      </c>
      <c r="G13" s="50">
        <f>_xlfn.T.INV(G7,Assumptions!$B$73)</f>
        <v>-5.152026164</v>
      </c>
      <c r="H13" s="50">
        <f>_xlfn.T.INV(H7,Assumptions!$B$73)</f>
        <v>-5.424127031</v>
      </c>
      <c r="I13" s="50">
        <f>_xlfn.T.INV(I7,Assumptions!$B$73)</f>
        <v>-8.453472968</v>
      </c>
      <c r="J13" s="50">
        <f>_xlfn.T.INV(J7,Assumptions!$B$73)</f>
        <v>-6.759464245</v>
      </c>
      <c r="K13" s="50">
        <f>_xlfn.T.INV(K7,Assumptions!$B$73)</f>
        <v>-7.089482665</v>
      </c>
      <c r="L13" s="50">
        <f>_xlfn.T.INV(L7,Assumptions!$B$73)</f>
        <v>-4.485317506</v>
      </c>
      <c r="M13" s="50">
        <f>_xlfn.T.INV(M7,Assumptions!$B$73)</f>
        <v>-1.078153605</v>
      </c>
      <c r="N13" s="50">
        <f>_xlfn.T.INV(N7,Assumptions!$B$73)</f>
        <v>-1.447569503</v>
      </c>
      <c r="O13" s="50">
        <f>_xlfn.T.INV(O7,Assumptions!$B$73)</f>
        <v>-3.21235493</v>
      </c>
      <c r="P13" s="50">
        <f>_xlfn.T.INV(P7,Assumptions!$B$73)</f>
        <v>-1.231629252</v>
      </c>
      <c r="Q13" s="50">
        <f>_xlfn.T.INV(Q7,Assumptions!$B$73)</f>
        <v>-3.146472426</v>
      </c>
      <c r="R13" s="50">
        <f>_xlfn.T.INV(R7,Assumptions!$B$73)</f>
        <v>3.364929999</v>
      </c>
      <c r="S13" s="50">
        <f>_xlfn.T.INV(S7,Assumptions!$B$73)</f>
        <v>-1.541848706</v>
      </c>
      <c r="T13" s="50">
        <f>_xlfn.T.INV(T7,Assumptions!$B$73)</f>
        <v>-0.3994693724</v>
      </c>
      <c r="U13" s="50">
        <f>_xlfn.T.INV(U7,Assumptions!$B$73)</f>
        <v>-1.150161917</v>
      </c>
      <c r="V13" s="50">
        <f>_xlfn.T.INV(V7,Assumptions!$B$73)</f>
        <v>3.364929999</v>
      </c>
    </row>
    <row r="14">
      <c r="A14" s="7" t="s">
        <v>1222</v>
      </c>
      <c r="B14" s="7" t="s">
        <v>1223</v>
      </c>
      <c r="C14" s="7" t="s">
        <v>1224</v>
      </c>
      <c r="D14" s="7" t="s">
        <v>1197</v>
      </c>
      <c r="E14" s="61">
        <f>AVERAGEIFS(MC!G$7:G$2006,MC!$Y$7:$Y$2006,"&gt;="&amp;$E$22)</f>
        <v>1.285714286</v>
      </c>
      <c r="F14" s="61">
        <f>AVERAGEIFS(MC!H$7:H$2006,MC!$Y$7:$Y$2006,"&gt;="&amp;$E$22)</f>
        <v>0.5357142857</v>
      </c>
      <c r="G14" s="61">
        <f>AVERAGEIFS(MC!I$7:I$2006,MC!$Y$7:$Y$2006,"&gt;="&amp;$E$22)</f>
        <v>0.6428571429</v>
      </c>
      <c r="H14" s="61">
        <f>AVERAGEIFS(MC!J$7:J$2006,MC!$Y$7:$Y$2006,"&gt;="&amp;$E$22)</f>
        <v>1.285714286</v>
      </c>
      <c r="I14" s="61">
        <f>AVERAGEIFS(MC!K$7:K$2006,MC!$Y$7:$Y$2006,"&gt;="&amp;$E$22)</f>
        <v>0</v>
      </c>
      <c r="J14" s="61">
        <f>AVERAGEIFS(MC!L$7:L$2006,MC!$Y$7:$Y$2006,"&gt;="&amp;$E$22)</f>
        <v>0.6428571429</v>
      </c>
      <c r="K14" s="61">
        <f>AVERAGEIFS(MC!M$7:M$2006,MC!$Y$7:$Y$2006,"&gt;="&amp;$E$22)</f>
        <v>0.3214285714</v>
      </c>
      <c r="L14" s="61">
        <f>AVERAGEIFS(MC!N$7:N$2006,MC!$Y$7:$Y$2006,"&gt;="&amp;$E$22)</f>
        <v>3.857142857</v>
      </c>
      <c r="M14" s="61">
        <f>AVERAGEIFS(MC!O$7:O$2006,MC!$Y$7:$Y$2006,"&gt;="&amp;$E$22)</f>
        <v>5.657142857</v>
      </c>
      <c r="N14" s="61">
        <f>AVERAGEIFS(MC!P$7:P$2006,MC!$Y$7:$Y$2006,"&gt;="&amp;$E$22)</f>
        <v>1.532142857</v>
      </c>
      <c r="O14" s="61">
        <f>AVERAGEIFS(MC!Q$7:Q$2006,MC!$Y$7:$Y$2006,"&gt;="&amp;$E$22)</f>
        <v>5.142857143</v>
      </c>
      <c r="P14" s="61">
        <f>AVERAGEIFS(MC!R$7:R$2006,MC!$Y$7:$Y$2006,"&gt;="&amp;$E$22)</f>
        <v>8.014285714</v>
      </c>
      <c r="Q14" s="61">
        <f>AVERAGEIFS(MC!S$7:S$2006,MC!$Y$7:$Y$2006,"&gt;="&amp;$E$22)</f>
        <v>4.285714286</v>
      </c>
      <c r="R14" s="61">
        <f>AVERAGEIFS(MC!T$7:T$2006,MC!$Y$7:$Y$2006,"&gt;="&amp;$E$22)</f>
        <v>2.8125</v>
      </c>
      <c r="S14" s="61">
        <f>AVERAGEIFS(MC!U$7:U$2006,MC!$Y$7:$Y$2006,"&gt;="&amp;$E$22)</f>
        <v>8.485714286</v>
      </c>
      <c r="T14" s="61">
        <f>AVERAGEIFS(MC!V$7:V$2006,MC!$Y$7:$Y$2006,"&gt;="&amp;$E$22)</f>
        <v>5.089285714</v>
      </c>
      <c r="U14" s="61">
        <f>AVERAGEIFS(MC!W$7:W$2006,MC!$Y$7:$Y$2006,"&gt;="&amp;$E$22)</f>
        <v>4.007142857</v>
      </c>
      <c r="V14" s="61">
        <f>AVERAGEIFS(MC!X$7:X$2006,MC!$Y$7:$Y$2006,"&gt;="&amp;$E$22)</f>
        <v>2.8125</v>
      </c>
    </row>
    <row r="15">
      <c r="A15" s="7" t="s">
        <v>1225</v>
      </c>
      <c r="B15" s="7" t="s">
        <v>15</v>
      </c>
      <c r="C15" s="7" t="s">
        <v>1226</v>
      </c>
      <c r="D15" s="7" t="s">
        <v>15</v>
      </c>
      <c r="E15" s="22">
        <f t="shared" ref="E15:V15" si="3">IF($E$24=0,0,E14/$E$24)</f>
        <v>0.02279202279</v>
      </c>
      <c r="F15" s="22">
        <f t="shared" si="3"/>
        <v>0.009496676163</v>
      </c>
      <c r="G15" s="22">
        <f t="shared" si="3"/>
        <v>0.0113960114</v>
      </c>
      <c r="H15" s="22">
        <f t="shared" si="3"/>
        <v>0.02279202279</v>
      </c>
      <c r="I15" s="22">
        <f t="shared" si="3"/>
        <v>0</v>
      </c>
      <c r="J15" s="22">
        <f t="shared" si="3"/>
        <v>0.0113960114</v>
      </c>
      <c r="K15" s="22">
        <f t="shared" si="3"/>
        <v>0.005698005698</v>
      </c>
      <c r="L15" s="22">
        <f t="shared" si="3"/>
        <v>0.06837606838</v>
      </c>
      <c r="M15" s="22">
        <f t="shared" si="3"/>
        <v>0.1002849003</v>
      </c>
      <c r="N15" s="22">
        <f t="shared" si="3"/>
        <v>0.02716049383</v>
      </c>
      <c r="O15" s="22">
        <f t="shared" si="3"/>
        <v>0.09116809117</v>
      </c>
      <c r="P15" s="22">
        <f t="shared" si="3"/>
        <v>0.1420702754</v>
      </c>
      <c r="Q15" s="22">
        <f t="shared" si="3"/>
        <v>0.07597340931</v>
      </c>
      <c r="R15" s="22">
        <f t="shared" si="3"/>
        <v>0.04985754986</v>
      </c>
      <c r="S15" s="22">
        <f t="shared" si="3"/>
        <v>0.1504273504</v>
      </c>
      <c r="T15" s="22">
        <f t="shared" si="3"/>
        <v>0.09021842355</v>
      </c>
      <c r="U15" s="22">
        <f t="shared" si="3"/>
        <v>0.0710351377</v>
      </c>
      <c r="V15" s="22">
        <f t="shared" si="3"/>
        <v>0.04985754986</v>
      </c>
    </row>
    <row r="17">
      <c r="C17" s="51" t="s">
        <v>1227</v>
      </c>
    </row>
    <row r="18">
      <c r="C18" s="7" t="s">
        <v>1228</v>
      </c>
      <c r="D18" s="7" t="s">
        <v>1197</v>
      </c>
      <c r="E18" s="62">
        <f>SUM(E5:V5)</f>
        <v>305</v>
      </c>
    </row>
    <row r="19">
      <c r="C19" s="7" t="s">
        <v>1229</v>
      </c>
      <c r="D19" s="7" t="s">
        <v>1197</v>
      </c>
      <c r="E19" s="62">
        <f>SUM(E10:V10)</f>
        <v>12.50346377</v>
      </c>
    </row>
    <row r="20">
      <c r="C20" s="7" t="s">
        <v>1230</v>
      </c>
      <c r="D20" s="7" t="s">
        <v>1197</v>
      </c>
      <c r="E20" s="62">
        <f>AVERAGE(MC!Y7:Y2006)</f>
        <v>12.23488125</v>
      </c>
    </row>
    <row r="21">
      <c r="C21" s="7" t="s">
        <v>1231</v>
      </c>
      <c r="D21" s="7" t="s">
        <v>1197</v>
      </c>
      <c r="E21" s="62">
        <f>PERCENTILE(MC!Y7:Y2006,0.95)</f>
        <v>29.03625</v>
      </c>
    </row>
    <row r="22">
      <c r="C22" s="7" t="s">
        <v>1232</v>
      </c>
      <c r="D22" s="7" t="s">
        <v>1197</v>
      </c>
      <c r="E22" s="62">
        <f>PERCENTILE(MC!Y7:Y2006,0.99)</f>
        <v>44.775</v>
      </c>
    </row>
    <row r="23">
      <c r="C23" s="7" t="s">
        <v>1233</v>
      </c>
      <c r="D23" s="7" t="s">
        <v>1197</v>
      </c>
      <c r="E23" s="62">
        <f>AVERAGEIF(MC!Y7:Y2006,"&gt;="&amp;E21)</f>
        <v>39.45375</v>
      </c>
    </row>
    <row r="24">
      <c r="C24" s="7" t="s">
        <v>1234</v>
      </c>
      <c r="D24" s="7" t="s">
        <v>1197</v>
      </c>
      <c r="E24" s="62">
        <f>AVERAGEIF(MC!Y7:Y2006,"&gt;="&amp;E22)</f>
        <v>56.41071429</v>
      </c>
    </row>
    <row r="25">
      <c r="C25" s="7" t="s">
        <v>1235</v>
      </c>
      <c r="D25" s="7" t="s">
        <v>235</v>
      </c>
      <c r="E25" s="26">
        <f>COUNT(MC!Y7:Y2006)</f>
        <v>2000</v>
      </c>
    </row>
  </sheetData>
  <dataValidations>
    <dataValidation type="list" allowBlank="1" showErrorMessage="1" sqref="E6:V6">
      <formula1>"Sovereign default,Transfer and convertibility,Expropriation,Political violence,Sanctions"</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75"/>
  <cols>
    <col customWidth="1" min="1" max="1" width="8.88"/>
    <col customWidth="1" min="2" max="6" width="13.25"/>
    <col customWidth="1" min="7" max="25" width="11.38"/>
  </cols>
  <sheetData>
    <row r="1">
      <c r="A1" s="2" t="s">
        <v>1236</v>
      </c>
    </row>
    <row r="2">
      <c r="F2" s="51" t="s">
        <v>1237</v>
      </c>
      <c r="G2" s="50">
        <f>'Portfolio VaR'!E9</f>
        <v>9</v>
      </c>
      <c r="H2" s="50">
        <f>'Portfolio VaR'!F9</f>
        <v>11.25</v>
      </c>
      <c r="I2" s="50">
        <f>'Portfolio VaR'!G9</f>
        <v>13.5</v>
      </c>
      <c r="J2" s="50">
        <f>'Portfolio VaR'!H9</f>
        <v>9</v>
      </c>
      <c r="K2" s="50">
        <f>'Portfolio VaR'!I9</f>
        <v>4.5</v>
      </c>
      <c r="L2" s="50">
        <f>'Portfolio VaR'!J9</f>
        <v>4.5</v>
      </c>
      <c r="M2" s="50">
        <f>'Portfolio VaR'!K9</f>
        <v>6.75</v>
      </c>
      <c r="N2" s="50">
        <f>'Portfolio VaR'!L9</f>
        <v>13.5</v>
      </c>
      <c r="O2" s="50">
        <f>'Portfolio VaR'!M9</f>
        <v>7.425</v>
      </c>
      <c r="P2" s="50">
        <f>'Portfolio VaR'!N9</f>
        <v>2.475</v>
      </c>
      <c r="Q2" s="50">
        <f>'Portfolio VaR'!O9</f>
        <v>13.5</v>
      </c>
      <c r="R2" s="50">
        <f>'Portfolio VaR'!P9</f>
        <v>9.9</v>
      </c>
      <c r="S2" s="50">
        <f>'Portfolio VaR'!Q9</f>
        <v>11.25</v>
      </c>
      <c r="T2" s="50">
        <f>'Portfolio VaR'!R9</f>
        <v>2.8125</v>
      </c>
      <c r="U2" s="50">
        <f>'Portfolio VaR'!S9</f>
        <v>9.9</v>
      </c>
      <c r="V2" s="50">
        <f>'Portfolio VaR'!T9</f>
        <v>5.625</v>
      </c>
      <c r="W2" s="50">
        <f>'Portfolio VaR'!U9</f>
        <v>4.95</v>
      </c>
      <c r="X2" s="50">
        <f>'Portfolio VaR'!V9</f>
        <v>2.8125</v>
      </c>
    </row>
    <row r="3">
      <c r="F3" s="51" t="s">
        <v>1215</v>
      </c>
      <c r="G3" s="50" t="str">
        <f>'Portfolio VaR'!E11</f>
        <v>Asia</v>
      </c>
      <c r="H3" s="50" t="str">
        <f>'Portfolio VaR'!F11</f>
        <v>Asia</v>
      </c>
      <c r="I3" s="50" t="str">
        <f>'Portfolio VaR'!G11</f>
        <v>Asia</v>
      </c>
      <c r="J3" s="50" t="str">
        <f>'Portfolio VaR'!H11</f>
        <v>Asia</v>
      </c>
      <c r="K3" s="50" t="str">
        <f>'Portfolio VaR'!I11</f>
        <v>Asia</v>
      </c>
      <c r="L3" s="50" t="str">
        <f>'Portfolio VaR'!J11</f>
        <v>Asia</v>
      </c>
      <c r="M3" s="50" t="str">
        <f>'Portfolio VaR'!K11</f>
        <v>Asia</v>
      </c>
      <c r="N3" s="50" t="str">
        <f>'Portfolio VaR'!L11</f>
        <v>Asia</v>
      </c>
      <c r="O3" s="50" t="str">
        <f>'Portfolio VaR'!M11</f>
        <v>Asia</v>
      </c>
      <c r="P3" s="50" t="str">
        <f>'Portfolio VaR'!N11</f>
        <v>LatAm</v>
      </c>
      <c r="Q3" s="50" t="str">
        <f>'Portfolio VaR'!O11</f>
        <v>LatAm</v>
      </c>
      <c r="R3" s="50" t="str">
        <f>'Portfolio VaR'!P11</f>
        <v>LatAm</v>
      </c>
      <c r="S3" s="50" t="str">
        <f>'Portfolio VaR'!Q11</f>
        <v>LatAm</v>
      </c>
      <c r="T3" s="50" t="str">
        <f>'Portfolio VaR'!R11</f>
        <v>LatAm</v>
      </c>
      <c r="U3" s="50" t="str">
        <f>'Portfolio VaR'!S11</f>
        <v>Africa</v>
      </c>
      <c r="V3" s="50" t="str">
        <f>'Portfolio VaR'!T11</f>
        <v>Africa</v>
      </c>
      <c r="W3" s="50" t="str">
        <f>'Portfolio VaR'!U11</f>
        <v>Africa</v>
      </c>
      <c r="X3" s="50" t="str">
        <f>'Portfolio VaR'!V11</f>
        <v>Africa</v>
      </c>
    </row>
    <row r="4">
      <c r="F4" s="51" t="s">
        <v>1238</v>
      </c>
      <c r="G4" s="50">
        <f>'Portfolio VaR'!E13</f>
        <v>-4.180461971</v>
      </c>
      <c r="H4" s="50">
        <f>'Portfolio VaR'!F13</f>
        <v>-4.729442129</v>
      </c>
      <c r="I4" s="50">
        <f>'Portfolio VaR'!G13</f>
        <v>-5.152026164</v>
      </c>
      <c r="J4" s="50">
        <f>'Portfolio VaR'!H13</f>
        <v>-5.424127031</v>
      </c>
      <c r="K4" s="50">
        <f>'Portfolio VaR'!I13</f>
        <v>-8.453472968</v>
      </c>
      <c r="L4" s="50">
        <f>'Portfolio VaR'!J13</f>
        <v>-6.759464245</v>
      </c>
      <c r="M4" s="50">
        <f>'Portfolio VaR'!K13</f>
        <v>-7.089482665</v>
      </c>
      <c r="N4" s="50">
        <f>'Portfolio VaR'!L13</f>
        <v>-4.485317506</v>
      </c>
      <c r="O4" s="50">
        <f>'Portfolio VaR'!M13</f>
        <v>-1.078153605</v>
      </c>
      <c r="P4" s="50">
        <f>'Portfolio VaR'!N13</f>
        <v>-1.447569503</v>
      </c>
      <c r="Q4" s="50">
        <f>'Portfolio VaR'!O13</f>
        <v>-3.21235493</v>
      </c>
      <c r="R4" s="50">
        <f>'Portfolio VaR'!P13</f>
        <v>-1.231629252</v>
      </c>
      <c r="S4" s="50">
        <f>'Portfolio VaR'!Q13</f>
        <v>-3.146472426</v>
      </c>
      <c r="T4" s="50">
        <f>'Portfolio VaR'!R13</f>
        <v>3.364929999</v>
      </c>
      <c r="U4" s="50">
        <f>'Portfolio VaR'!S13</f>
        <v>-1.541848706</v>
      </c>
      <c r="V4" s="50">
        <f>'Portfolio VaR'!T13</f>
        <v>-0.3994693724</v>
      </c>
      <c r="W4" s="50">
        <f>'Portfolio VaR'!U13</f>
        <v>-1.150161917</v>
      </c>
      <c r="X4" s="50">
        <f>'Portfolio VaR'!V13</f>
        <v>3.364929999</v>
      </c>
    </row>
    <row r="5">
      <c r="F5" s="51" t="s">
        <v>243</v>
      </c>
      <c r="G5" s="50">
        <f>'Portfolio VaR'!E12</f>
        <v>0.15</v>
      </c>
      <c r="H5" s="50">
        <f>'Portfolio VaR'!F12</f>
        <v>0.15</v>
      </c>
      <c r="I5" s="50">
        <f>'Portfolio VaR'!G12</f>
        <v>0.15</v>
      </c>
      <c r="J5" s="50">
        <f>'Portfolio VaR'!H12</f>
        <v>0.15</v>
      </c>
      <c r="K5" s="50">
        <f>'Portfolio VaR'!I12</f>
        <v>0.15</v>
      </c>
      <c r="L5" s="50">
        <f>'Portfolio VaR'!J12</f>
        <v>0.15</v>
      </c>
      <c r="M5" s="50">
        <f>'Portfolio VaR'!K12</f>
        <v>0.15</v>
      </c>
      <c r="N5" s="50">
        <f>'Portfolio VaR'!L12</f>
        <v>0.15</v>
      </c>
      <c r="O5" s="50">
        <f>'Portfolio VaR'!M12</f>
        <v>0.25</v>
      </c>
      <c r="P5" s="50">
        <f>'Portfolio VaR'!N12</f>
        <v>0.25</v>
      </c>
      <c r="Q5" s="50">
        <f>'Portfolio VaR'!O12</f>
        <v>0.15</v>
      </c>
      <c r="R5" s="50">
        <f>'Portfolio VaR'!P12</f>
        <v>0.25</v>
      </c>
      <c r="S5" s="50">
        <f>'Portfolio VaR'!Q12</f>
        <v>0.15</v>
      </c>
      <c r="T5" s="50">
        <f>'Portfolio VaR'!R12</f>
        <v>0.35</v>
      </c>
      <c r="U5" s="50">
        <f>'Portfolio VaR'!S12</f>
        <v>0.25</v>
      </c>
      <c r="V5" s="50">
        <f>'Portfolio VaR'!T12</f>
        <v>0.35</v>
      </c>
      <c r="W5" s="50">
        <f>'Portfolio VaR'!U12</f>
        <v>0.25</v>
      </c>
      <c r="X5" s="50">
        <f>'Portfolio VaR'!V12</f>
        <v>0.35</v>
      </c>
    </row>
    <row r="6">
      <c r="A6" s="63" t="s">
        <v>1239</v>
      </c>
      <c r="B6" s="63" t="s">
        <v>1240</v>
      </c>
      <c r="C6" s="63" t="s">
        <v>1241</v>
      </c>
      <c r="D6" s="63" t="s">
        <v>1242</v>
      </c>
      <c r="E6" s="63" t="s">
        <v>1243</v>
      </c>
      <c r="F6" s="63" t="s">
        <v>1244</v>
      </c>
      <c r="G6" s="64" t="str">
        <f>Inputs!E4</f>
        <v>Vietnam</v>
      </c>
      <c r="H6" s="64" t="str">
        <f>Inputs!F4</f>
        <v>Philippines</v>
      </c>
      <c r="I6" s="64" t="str">
        <f>Inputs!G4</f>
        <v>China</v>
      </c>
      <c r="J6" s="64" t="str">
        <f>Inputs!H4</f>
        <v>Malaysia</v>
      </c>
      <c r="K6" s="64" t="str">
        <f>Inputs!I4</f>
        <v>Singapore</v>
      </c>
      <c r="L6" s="64" t="str">
        <f>Inputs!J4</f>
        <v>Japan</v>
      </c>
      <c r="M6" s="64" t="str">
        <f>Inputs!K4</f>
        <v>South Korea</v>
      </c>
      <c r="N6" s="64" t="str">
        <f>Inputs!L4</f>
        <v>India</v>
      </c>
      <c r="O6" s="64" t="str">
        <f>Inputs!M4</f>
        <v>Pakistan</v>
      </c>
      <c r="P6" s="64" t="str">
        <f>Inputs!N4</f>
        <v>Belize</v>
      </c>
      <c r="Q6" s="64" t="str">
        <f>Inputs!O4</f>
        <v>Brazil</v>
      </c>
      <c r="R6" s="64" t="str">
        <f>Inputs!P4</f>
        <v>Argentina</v>
      </c>
      <c r="S6" s="64" t="str">
        <f>Inputs!Q4</f>
        <v>Colombia</v>
      </c>
      <c r="T6" s="64" t="str">
        <f>Inputs!R4</f>
        <v>Venezuela</v>
      </c>
      <c r="U6" s="64" t="str">
        <f>Inputs!S4</f>
        <v>Nigeria</v>
      </c>
      <c r="V6" s="64" t="str">
        <f>Inputs!T4</f>
        <v>Senegal</v>
      </c>
      <c r="W6" s="64" t="str">
        <f>Inputs!U4</f>
        <v>Zambia</v>
      </c>
      <c r="X6" s="64" t="str">
        <f>Inputs!V4</f>
        <v>Zimbabwe</v>
      </c>
      <c r="Y6" s="63" t="s">
        <v>1245</v>
      </c>
    </row>
    <row r="7">
      <c r="A7" s="26">
        <f t="array" ref="A7:A2006">SEQUENCE(2000,1)</f>
        <v>1</v>
      </c>
      <c r="B7" s="65">
        <f t="array" ref="B7:B2006">NORMSINV(LET(u,MOD(ABS(SIN(Assumptions!$B$72*7.13+$A$7:$A$2006*12.9898+COLUMN()*78.233))*43758.5453,1),IF(u&lt;0.000001,0.000001,IF(u&gt;0.999999,0.999999,u))))</f>
        <v>1.157058207</v>
      </c>
      <c r="C7" s="65">
        <f t="array" ref="C7:C2006">NORMSINV(LET(u,MOD(ABS(SIN(Assumptions!$B$72*7.13+$A$7:$A$2006*12.9898+COLUMN()*78.233))*43758.5453,1),IF(u&lt;0.000001,0.000001,IF(u&gt;0.999999,0.999999,u))))</f>
        <v>-1.311736065</v>
      </c>
      <c r="D7" s="65">
        <f t="array" ref="D7:D2006">NORMSINV(LET(u,MOD(ABS(SIN(Assumptions!$B$72*7.13+$A$7:$A$2006*12.9898+COLUMN()*78.233))*43758.5453,1),IF(u&lt;0.000001,0.000001,IF(u&gt;0.999999,0.999999,u))))</f>
        <v>-1.635651907</v>
      </c>
      <c r="E7" s="65">
        <f t="array" ref="E7:E2006">NORMSINV(LET(u,MOD(ABS(SIN(Assumptions!$B$72*7.13+$A$7:$A$2006*12.9898+COLUMN()*78.233))*43758.5453,1),IF(u&lt;0.000001,0.000001,IF(u&gt;0.999999,0.999999,u))))</f>
        <v>-1.295702995</v>
      </c>
      <c r="F7" s="65">
        <f t="array" ref="F7:F2006">_xlfn.CHISQ.INV(LET(u,MOD(ABS(SIN(Assumptions!$B$72*7.13+$A$7:$A$2006*12.9898+COLUMN()*78.233))*43758.5453,1),IF(u&lt;0.000001,0.000001,IF(u&gt;0.999999,0.999999,u))),Assumptions!$B$73)</f>
        <v>4.035100914</v>
      </c>
      <c r="G7" s="50">
        <f t="array" ref="G7:G2006">LET(u,MOD(ABS(SIN(Assumptions!$B$72*7.13+$A$7:$A$2006*12.9898+COLUMN()*78.233))*43758.5453,1),eps,NORMSINV(IF(u&lt;0.000001,0.000001,IF(u&gt;0.999999,0.999999,u))),zr,IF(G$3="Asia",$C$7:$C$2006,IF(G$3="LatAm",$D$7:$D$2006,$E$7:$E$2006)),xx,(SQRT(G$5)*$B$7:$B$2006+SQRT(Assumptions!$B$55)*zr+SQRT(1-G$5-Assumptions!$B$55)*eps)/SQRT($F$7:$F$2006/Assumptions!$B$73),IF(xx&lt;G$4,G$2,0))</f>
        <v>0</v>
      </c>
      <c r="H7" s="50">
        <f t="array" ref="H7:H2006">LET(u,MOD(ABS(SIN(Assumptions!$B$72*7.13+$A$7:$A$2006*12.9898+COLUMN()*78.233))*43758.5453,1),eps,NORMSINV(IF(u&lt;0.000001,0.000001,IF(u&gt;0.999999,0.999999,u))),zr,IF(H$3="Asia",$C$7:$C$2006,IF(H$3="LatAm",$D$7:$D$2006,$E$7:$E$2006)),xx,(SQRT(H$5)*$B$7:$B$2006+SQRT(Assumptions!$B$55)*zr+SQRT(1-H$5-Assumptions!$B$55)*eps)/SQRT($F$7:$F$2006/Assumptions!$B$73),IF(xx&lt;H$4,H$2,0))</f>
        <v>0</v>
      </c>
      <c r="I7" s="50">
        <f t="array" ref="I7:I2006">LET(u,MOD(ABS(SIN(Assumptions!$B$72*7.13+$A$7:$A$2006*12.9898+COLUMN()*78.233))*43758.5453,1),eps,NORMSINV(IF(u&lt;0.000001,0.000001,IF(u&gt;0.999999,0.999999,u))),zr,IF(I$3="Asia",$C$7:$C$2006,IF(I$3="LatAm",$D$7:$D$2006,$E$7:$E$2006)),xx,(SQRT(I$5)*$B$7:$B$2006+SQRT(Assumptions!$B$55)*zr+SQRT(1-I$5-Assumptions!$B$55)*eps)/SQRT($F$7:$F$2006/Assumptions!$B$73),IF(xx&lt;I$4,I$2,0))</f>
        <v>0</v>
      </c>
      <c r="J7" s="50">
        <f t="array" ref="J7:J2006">LET(u,MOD(ABS(SIN(Assumptions!$B$72*7.13+$A$7:$A$2006*12.9898+COLUMN()*78.233))*43758.5453,1),eps,NORMSINV(IF(u&lt;0.000001,0.000001,IF(u&gt;0.999999,0.999999,u))),zr,IF(J$3="Asia",$C$7:$C$2006,IF(J$3="LatAm",$D$7:$D$2006,$E$7:$E$2006)),xx,(SQRT(J$5)*$B$7:$B$2006+SQRT(Assumptions!$B$55)*zr+SQRT(1-J$5-Assumptions!$B$55)*eps)/SQRT($F$7:$F$2006/Assumptions!$B$73),IF(xx&lt;J$4,J$2,0))</f>
        <v>0</v>
      </c>
      <c r="K7" s="50">
        <f t="array" ref="K7:K2006">LET(u,MOD(ABS(SIN(Assumptions!$B$72*7.13+$A$7:$A$2006*12.9898+COLUMN()*78.233))*43758.5453,1),eps,NORMSINV(IF(u&lt;0.000001,0.000001,IF(u&gt;0.999999,0.999999,u))),zr,IF(K$3="Asia",$C$7:$C$2006,IF(K$3="LatAm",$D$7:$D$2006,$E$7:$E$2006)),xx,(SQRT(K$5)*$B$7:$B$2006+SQRT(Assumptions!$B$55)*zr+SQRT(1-K$5-Assumptions!$B$55)*eps)/SQRT($F$7:$F$2006/Assumptions!$B$73),IF(xx&lt;K$4,K$2,0))</f>
        <v>0</v>
      </c>
      <c r="L7" s="50">
        <f t="array" ref="L7:L2006">LET(u,MOD(ABS(SIN(Assumptions!$B$72*7.13+$A$7:$A$2006*12.9898+COLUMN()*78.233))*43758.5453,1),eps,NORMSINV(IF(u&lt;0.000001,0.000001,IF(u&gt;0.999999,0.999999,u))),zr,IF(L$3="Asia",$C$7:$C$2006,IF(L$3="LatAm",$D$7:$D$2006,$E$7:$E$2006)),xx,(SQRT(L$5)*$B$7:$B$2006+SQRT(Assumptions!$B$55)*zr+SQRT(1-L$5-Assumptions!$B$55)*eps)/SQRT($F$7:$F$2006/Assumptions!$B$73),IF(xx&lt;L$4,L$2,0))</f>
        <v>0</v>
      </c>
      <c r="M7" s="50">
        <f t="array" ref="M7:M2006">LET(u,MOD(ABS(SIN(Assumptions!$B$72*7.13+$A$7:$A$2006*12.9898+COLUMN()*78.233))*43758.5453,1),eps,NORMSINV(IF(u&lt;0.000001,0.000001,IF(u&gt;0.999999,0.999999,u))),zr,IF(M$3="Asia",$C$7:$C$2006,IF(M$3="LatAm",$D$7:$D$2006,$E$7:$E$2006)),xx,(SQRT(M$5)*$B$7:$B$2006+SQRT(Assumptions!$B$55)*zr+SQRT(1-M$5-Assumptions!$B$55)*eps)/SQRT($F$7:$F$2006/Assumptions!$B$73),IF(xx&lt;M$4,M$2,0))</f>
        <v>0</v>
      </c>
      <c r="N7" s="50">
        <f t="array" ref="N7:N2006">LET(u,MOD(ABS(SIN(Assumptions!$B$72*7.13+$A$7:$A$2006*12.9898+COLUMN()*78.233))*43758.5453,1),eps,NORMSINV(IF(u&lt;0.000001,0.000001,IF(u&gt;0.999999,0.999999,u))),zr,IF(N$3="Asia",$C$7:$C$2006,IF(N$3="LatAm",$D$7:$D$2006,$E$7:$E$2006)),xx,(SQRT(N$5)*$B$7:$B$2006+SQRT(Assumptions!$B$55)*zr+SQRT(1-N$5-Assumptions!$B$55)*eps)/SQRT($F$7:$F$2006/Assumptions!$B$73),IF(xx&lt;N$4,N$2,0))</f>
        <v>0</v>
      </c>
      <c r="O7" s="50">
        <f t="array" ref="O7:O2006">LET(u,MOD(ABS(SIN(Assumptions!$B$72*7.13+$A$7:$A$2006*12.9898+COLUMN()*78.233))*43758.5453,1),eps,NORMSINV(IF(u&lt;0.000001,0.000001,IF(u&gt;0.999999,0.999999,u))),zr,IF(O$3="Asia",$C$7:$C$2006,IF(O$3="LatAm",$D$7:$D$2006,$E$7:$E$2006)),xx,(SQRT(O$5)*$B$7:$B$2006+SQRT(Assumptions!$B$55)*zr+SQRT(1-O$5-Assumptions!$B$55)*eps)/SQRT($F$7:$F$2006/Assumptions!$B$73),IF(xx&lt;O$4,O$2,0))</f>
        <v>0</v>
      </c>
      <c r="P7" s="50">
        <f t="array" ref="P7:P2006">LET(u,MOD(ABS(SIN(Assumptions!$B$72*7.13+$A$7:$A$2006*12.9898+COLUMN()*78.233))*43758.5453,1),eps,NORMSINV(IF(u&lt;0.000001,0.000001,IF(u&gt;0.999999,0.999999,u))),zr,IF(P$3="Asia",$C$7:$C$2006,IF(P$3="LatAm",$D$7:$D$2006,$E$7:$E$2006)),xx,(SQRT(P$5)*$B$7:$B$2006+SQRT(Assumptions!$B$55)*zr+SQRT(1-P$5-Assumptions!$B$55)*eps)/SQRT($F$7:$F$2006/Assumptions!$B$73),IF(xx&lt;P$4,P$2,0))</f>
        <v>0</v>
      </c>
      <c r="Q7" s="50">
        <f t="array" ref="Q7:Q2006">LET(u,MOD(ABS(SIN(Assumptions!$B$72*7.13+$A$7:$A$2006*12.9898+COLUMN()*78.233))*43758.5453,1),eps,NORMSINV(IF(u&lt;0.000001,0.000001,IF(u&gt;0.999999,0.999999,u))),zr,IF(Q$3="Asia",$C$7:$C$2006,IF(Q$3="LatAm",$D$7:$D$2006,$E$7:$E$2006)),xx,(SQRT(Q$5)*$B$7:$B$2006+SQRT(Assumptions!$B$55)*zr+SQRT(1-Q$5-Assumptions!$B$55)*eps)/SQRT($F$7:$F$2006/Assumptions!$B$73),IF(xx&lt;Q$4,Q$2,0))</f>
        <v>0</v>
      </c>
      <c r="R7" s="50">
        <f t="array" ref="R7:R2006">LET(u,MOD(ABS(SIN(Assumptions!$B$72*7.13+$A$7:$A$2006*12.9898+COLUMN()*78.233))*43758.5453,1),eps,NORMSINV(IF(u&lt;0.000001,0.000001,IF(u&gt;0.999999,0.999999,u))),zr,IF(R$3="Asia",$C$7:$C$2006,IF(R$3="LatAm",$D$7:$D$2006,$E$7:$E$2006)),xx,(SQRT(R$5)*$B$7:$B$2006+SQRT(Assumptions!$B$55)*zr+SQRT(1-R$5-Assumptions!$B$55)*eps)/SQRT($F$7:$F$2006/Assumptions!$B$73),IF(xx&lt;R$4,R$2,0))</f>
        <v>0</v>
      </c>
      <c r="S7" s="50">
        <f t="array" ref="S7:S2006">LET(u,MOD(ABS(SIN(Assumptions!$B$72*7.13+$A$7:$A$2006*12.9898+COLUMN()*78.233))*43758.5453,1),eps,NORMSINV(IF(u&lt;0.000001,0.000001,IF(u&gt;0.999999,0.999999,u))),zr,IF(S$3="Asia",$C$7:$C$2006,IF(S$3="LatAm",$D$7:$D$2006,$E$7:$E$2006)),xx,(SQRT(S$5)*$B$7:$B$2006+SQRT(Assumptions!$B$55)*zr+SQRT(1-S$5-Assumptions!$B$55)*eps)/SQRT($F$7:$F$2006/Assumptions!$B$73),IF(xx&lt;S$4,S$2,0))</f>
        <v>0</v>
      </c>
      <c r="T7" s="50">
        <f t="array" ref="T7:T2006">LET(u,MOD(ABS(SIN(Assumptions!$B$72*7.13+$A$7:$A$2006*12.9898+COLUMN()*78.233))*43758.5453,1),eps,NORMSINV(IF(u&lt;0.000001,0.000001,IF(u&gt;0.999999,0.999999,u))),zr,IF(T$3="Asia",$C$7:$C$2006,IF(T$3="LatAm",$D$7:$D$2006,$E$7:$E$2006)),xx,(SQRT(T$5)*$B$7:$B$2006+SQRT(Assumptions!$B$55)*zr+SQRT(1-T$5-Assumptions!$B$55)*eps)/SQRT($F$7:$F$2006/Assumptions!$B$73),IF(xx&lt;T$4,T$2,0))</f>
        <v>2.8125</v>
      </c>
      <c r="U7" s="50">
        <f t="array" ref="U7:U2006">LET(u,MOD(ABS(SIN(Assumptions!$B$72*7.13+$A$7:$A$2006*12.9898+COLUMN()*78.233))*43758.5453,1),eps,NORMSINV(IF(u&lt;0.000001,0.000001,IF(u&gt;0.999999,0.999999,u))),zr,IF(U$3="Asia",$C$7:$C$2006,IF(U$3="LatAm",$D$7:$D$2006,$E$7:$E$2006)),xx,(SQRT(U$5)*$B$7:$B$2006+SQRT(Assumptions!$B$55)*zr+SQRT(1-U$5-Assumptions!$B$55)*eps)/SQRT($F$7:$F$2006/Assumptions!$B$73),IF(xx&lt;U$4,U$2,0))</f>
        <v>0</v>
      </c>
      <c r="V7" s="50">
        <f t="array" ref="V7:V2006">LET(u,MOD(ABS(SIN(Assumptions!$B$72*7.13+$A$7:$A$2006*12.9898+COLUMN()*78.233))*43758.5453,1),eps,NORMSINV(IF(u&lt;0.000001,0.000001,IF(u&gt;0.999999,0.999999,u))),zr,IF(V$3="Asia",$C$7:$C$2006,IF(V$3="LatAm",$D$7:$D$2006,$E$7:$E$2006)),xx,(SQRT(V$5)*$B$7:$B$2006+SQRT(Assumptions!$B$55)*zr+SQRT(1-V$5-Assumptions!$B$55)*eps)/SQRT($F$7:$F$2006/Assumptions!$B$73),IF(xx&lt;V$4,V$2,0))</f>
        <v>5.625</v>
      </c>
      <c r="W7" s="50">
        <f t="array" ref="W7:W2006">LET(u,MOD(ABS(SIN(Assumptions!$B$72*7.13+$A$7:$A$2006*12.9898+COLUMN()*78.233))*43758.5453,1),eps,NORMSINV(IF(u&lt;0.000001,0.000001,IF(u&gt;0.999999,0.999999,u))),zr,IF(W$3="Asia",$C$7:$C$2006,IF(W$3="LatAm",$D$7:$D$2006,$E$7:$E$2006)),xx,(SQRT(W$5)*$B$7:$B$2006+SQRT(Assumptions!$B$55)*zr+SQRT(1-W$5-Assumptions!$B$55)*eps)/SQRT($F$7:$F$2006/Assumptions!$B$73),IF(xx&lt;W$4,W$2,0))</f>
        <v>0</v>
      </c>
      <c r="X7" s="50">
        <f t="array" ref="X7:X2006">LET(u,MOD(ABS(SIN(Assumptions!$B$72*7.13+$A$7:$A$2006*12.9898+COLUMN()*78.233))*43758.5453,1),eps,NORMSINV(IF(u&lt;0.000001,0.000001,IF(u&gt;0.999999,0.999999,u))),zr,IF(X$3="Asia",$C$7:$C$2006,IF(X$3="LatAm",$D$7:$D$2006,$E$7:$E$2006)),xx,(SQRT(X$5)*$B$7:$B$2006+SQRT(Assumptions!$B$55)*zr+SQRT(1-X$5-Assumptions!$B$55)*eps)/SQRT($F$7:$F$2006/Assumptions!$B$73),IF(xx&lt;X$4,X$2,0))</f>
        <v>2.8125</v>
      </c>
      <c r="Y7" s="50">
        <f t="array" ref="Y7:Y2006">MMULT(G7:X2006,SEQUENCE(18,1,1,0))</f>
        <v>11.25</v>
      </c>
    </row>
    <row r="8">
      <c r="A8" s="26">
        <v>2.0</v>
      </c>
      <c r="B8" s="65">
        <v>-0.14117850304713084</v>
      </c>
      <c r="C8" s="65">
        <v>0.7352099043568163</v>
      </c>
      <c r="D8" s="65">
        <v>0.7273935697658562</v>
      </c>
      <c r="E8" s="65">
        <v>-0.40021355382123225</v>
      </c>
      <c r="F8" s="65">
        <v>5.539441335971485</v>
      </c>
      <c r="G8" s="50">
        <v>0.0</v>
      </c>
      <c r="H8" s="50">
        <v>0.0</v>
      </c>
      <c r="I8" s="50">
        <v>0.0</v>
      </c>
      <c r="J8" s="50">
        <v>0.0</v>
      </c>
      <c r="K8" s="50">
        <v>0.0</v>
      </c>
      <c r="L8" s="50">
        <v>0.0</v>
      </c>
      <c r="M8" s="50">
        <v>0.0</v>
      </c>
      <c r="N8" s="50">
        <v>0.0</v>
      </c>
      <c r="O8" s="50">
        <v>0.0</v>
      </c>
      <c r="P8" s="50">
        <v>0.0</v>
      </c>
      <c r="Q8" s="50">
        <v>0.0</v>
      </c>
      <c r="R8" s="50">
        <v>0.0</v>
      </c>
      <c r="S8" s="50">
        <v>0.0</v>
      </c>
      <c r="T8" s="50">
        <v>2.8125</v>
      </c>
      <c r="U8" s="50">
        <v>0.0</v>
      </c>
      <c r="V8" s="50">
        <v>0.0</v>
      </c>
      <c r="W8" s="50">
        <v>4.95</v>
      </c>
      <c r="X8" s="50">
        <v>2.8125</v>
      </c>
      <c r="Y8" s="50">
        <v>10.575</v>
      </c>
    </row>
    <row r="9">
      <c r="A9" s="26">
        <v>3.0</v>
      </c>
      <c r="B9" s="65">
        <v>0.15738324122904723</v>
      </c>
      <c r="C9" s="65">
        <v>1.5730996883678123</v>
      </c>
      <c r="D9" s="65">
        <v>-0.29916077248035683</v>
      </c>
      <c r="E9" s="65">
        <v>-0.09522184643008377</v>
      </c>
      <c r="F9" s="65">
        <v>2.537613848537953</v>
      </c>
      <c r="G9" s="50">
        <v>0.0</v>
      </c>
      <c r="H9" s="50">
        <v>0.0</v>
      </c>
      <c r="I9" s="50">
        <v>0.0</v>
      </c>
      <c r="J9" s="50">
        <v>0.0</v>
      </c>
      <c r="K9" s="50">
        <v>0.0</v>
      </c>
      <c r="L9" s="50">
        <v>0.0</v>
      </c>
      <c r="M9" s="50">
        <v>0.0</v>
      </c>
      <c r="N9" s="50">
        <v>0.0</v>
      </c>
      <c r="O9" s="50">
        <v>0.0</v>
      </c>
      <c r="P9" s="50">
        <v>0.0</v>
      </c>
      <c r="Q9" s="50">
        <v>0.0</v>
      </c>
      <c r="R9" s="50">
        <v>0.0</v>
      </c>
      <c r="S9" s="50">
        <v>0.0</v>
      </c>
      <c r="T9" s="50">
        <v>2.8125</v>
      </c>
      <c r="U9" s="50">
        <v>0.0</v>
      </c>
      <c r="V9" s="50">
        <v>0.0</v>
      </c>
      <c r="W9" s="50">
        <v>0.0</v>
      </c>
      <c r="X9" s="50">
        <v>2.8125</v>
      </c>
      <c r="Y9" s="50">
        <v>5.625</v>
      </c>
    </row>
    <row r="10">
      <c r="A10" s="26">
        <v>4.0</v>
      </c>
      <c r="B10" s="65">
        <v>0.9059114825801852</v>
      </c>
      <c r="C10" s="65">
        <v>0.004713802623310462</v>
      </c>
      <c r="D10" s="65">
        <v>1.3646894905609384</v>
      </c>
      <c r="E10" s="65">
        <v>-0.5736119359814273</v>
      </c>
      <c r="F10" s="65">
        <v>2.0059285212698454</v>
      </c>
      <c r="G10" s="50">
        <v>0.0</v>
      </c>
      <c r="H10" s="50">
        <v>0.0</v>
      </c>
      <c r="I10" s="50">
        <v>0.0</v>
      </c>
      <c r="J10" s="50">
        <v>0.0</v>
      </c>
      <c r="K10" s="50">
        <v>0.0</v>
      </c>
      <c r="L10" s="50">
        <v>0.0</v>
      </c>
      <c r="M10" s="50">
        <v>0.0</v>
      </c>
      <c r="N10" s="50">
        <v>0.0</v>
      </c>
      <c r="O10" s="50">
        <v>0.0</v>
      </c>
      <c r="P10" s="50">
        <v>0.0</v>
      </c>
      <c r="Q10" s="50">
        <v>0.0</v>
      </c>
      <c r="R10" s="50">
        <v>0.0</v>
      </c>
      <c r="S10" s="50">
        <v>0.0</v>
      </c>
      <c r="T10" s="50">
        <v>2.8125</v>
      </c>
      <c r="U10" s="50">
        <v>0.0</v>
      </c>
      <c r="V10" s="50">
        <v>5.625</v>
      </c>
      <c r="W10" s="50">
        <v>0.0</v>
      </c>
      <c r="X10" s="50">
        <v>2.8125</v>
      </c>
      <c r="Y10" s="50">
        <v>11.25</v>
      </c>
    </row>
    <row r="11">
      <c r="A11" s="26">
        <v>5.0</v>
      </c>
      <c r="B11" s="65">
        <v>1.7930638987474874</v>
      </c>
      <c r="C11" s="65">
        <v>1.969614983924928</v>
      </c>
      <c r="D11" s="65">
        <v>-0.5879137029408567</v>
      </c>
      <c r="E11" s="65">
        <v>1.6144792246076098</v>
      </c>
      <c r="F11" s="65">
        <v>4.491915622982676</v>
      </c>
      <c r="G11" s="50">
        <v>0.0</v>
      </c>
      <c r="H11" s="50">
        <v>0.0</v>
      </c>
      <c r="I11" s="50">
        <v>0.0</v>
      </c>
      <c r="J11" s="50">
        <v>0.0</v>
      </c>
      <c r="K11" s="50">
        <v>0.0</v>
      </c>
      <c r="L11" s="50">
        <v>0.0</v>
      </c>
      <c r="M11" s="50">
        <v>0.0</v>
      </c>
      <c r="N11" s="50">
        <v>0.0</v>
      </c>
      <c r="O11" s="50">
        <v>0.0</v>
      </c>
      <c r="P11" s="50">
        <v>0.0</v>
      </c>
      <c r="Q11" s="50">
        <v>0.0</v>
      </c>
      <c r="R11" s="50">
        <v>0.0</v>
      </c>
      <c r="S11" s="50">
        <v>0.0</v>
      </c>
      <c r="T11" s="50">
        <v>2.8125</v>
      </c>
      <c r="U11" s="50">
        <v>0.0</v>
      </c>
      <c r="V11" s="50">
        <v>0.0</v>
      </c>
      <c r="W11" s="50">
        <v>0.0</v>
      </c>
      <c r="X11" s="50">
        <v>2.8125</v>
      </c>
      <c r="Y11" s="50">
        <v>5.625</v>
      </c>
    </row>
    <row r="12">
      <c r="A12" s="26">
        <v>6.0</v>
      </c>
      <c r="B12" s="65">
        <v>0.0894272091781522</v>
      </c>
      <c r="C12" s="65">
        <v>0.8287940529649394</v>
      </c>
      <c r="D12" s="65">
        <v>-1.645047951348569</v>
      </c>
      <c r="E12" s="65">
        <v>-0.46164778548280444</v>
      </c>
      <c r="F12" s="65">
        <v>8.59276644669565</v>
      </c>
      <c r="G12" s="50">
        <v>0.0</v>
      </c>
      <c r="H12" s="50">
        <v>0.0</v>
      </c>
      <c r="I12" s="50">
        <v>0.0</v>
      </c>
      <c r="J12" s="50">
        <v>0.0</v>
      </c>
      <c r="K12" s="50">
        <v>0.0</v>
      </c>
      <c r="L12" s="50">
        <v>0.0</v>
      </c>
      <c r="M12" s="50">
        <v>0.0</v>
      </c>
      <c r="N12" s="50">
        <v>0.0</v>
      </c>
      <c r="O12" s="50">
        <v>0.0</v>
      </c>
      <c r="P12" s="50">
        <v>0.0</v>
      </c>
      <c r="Q12" s="50">
        <v>0.0</v>
      </c>
      <c r="R12" s="50">
        <v>0.0</v>
      </c>
      <c r="S12" s="50">
        <v>0.0</v>
      </c>
      <c r="T12" s="50">
        <v>2.8125</v>
      </c>
      <c r="U12" s="50">
        <v>0.0</v>
      </c>
      <c r="V12" s="50">
        <v>5.625</v>
      </c>
      <c r="W12" s="50">
        <v>0.0</v>
      </c>
      <c r="X12" s="50">
        <v>2.8125</v>
      </c>
      <c r="Y12" s="50">
        <v>11.25</v>
      </c>
    </row>
    <row r="13">
      <c r="A13" s="26">
        <v>7.0</v>
      </c>
      <c r="B13" s="65">
        <v>-1.5926970254708586</v>
      </c>
      <c r="C13" s="65">
        <v>1.753585285343226</v>
      </c>
      <c r="D13" s="65">
        <v>1.208741263469054</v>
      </c>
      <c r="E13" s="65">
        <v>1.6834218427185346</v>
      </c>
      <c r="F13" s="65">
        <v>2.1778224386815443</v>
      </c>
      <c r="G13" s="50">
        <v>0.0</v>
      </c>
      <c r="H13" s="50">
        <v>0.0</v>
      </c>
      <c r="I13" s="50">
        <v>0.0</v>
      </c>
      <c r="J13" s="50">
        <v>0.0</v>
      </c>
      <c r="K13" s="50">
        <v>0.0</v>
      </c>
      <c r="L13" s="50">
        <v>0.0</v>
      </c>
      <c r="M13" s="50">
        <v>0.0</v>
      </c>
      <c r="N13" s="50">
        <v>0.0</v>
      </c>
      <c r="O13" s="50">
        <v>7.425000000000001</v>
      </c>
      <c r="P13" s="50">
        <v>0.0</v>
      </c>
      <c r="Q13" s="50">
        <v>0.0</v>
      </c>
      <c r="R13" s="50">
        <v>9.9</v>
      </c>
      <c r="S13" s="50">
        <v>0.0</v>
      </c>
      <c r="T13" s="50">
        <v>2.8125</v>
      </c>
      <c r="U13" s="50">
        <v>0.0</v>
      </c>
      <c r="V13" s="50">
        <v>0.0</v>
      </c>
      <c r="W13" s="50">
        <v>0.0</v>
      </c>
      <c r="X13" s="50">
        <v>2.8125</v>
      </c>
      <c r="Y13" s="50">
        <v>22.950000000000003</v>
      </c>
    </row>
    <row r="14">
      <c r="A14" s="26">
        <v>8.0</v>
      </c>
      <c r="B14" s="65">
        <v>-0.7569401337209191</v>
      </c>
      <c r="C14" s="65">
        <v>-0.984277627059313</v>
      </c>
      <c r="D14" s="65">
        <v>-1.361139751869606</v>
      </c>
      <c r="E14" s="65">
        <v>-0.7050204151240598</v>
      </c>
      <c r="F14" s="65">
        <v>2.369624229047234</v>
      </c>
      <c r="G14" s="50">
        <v>0.0</v>
      </c>
      <c r="H14" s="50">
        <v>0.0</v>
      </c>
      <c r="I14" s="50">
        <v>0.0</v>
      </c>
      <c r="J14" s="50">
        <v>0.0</v>
      </c>
      <c r="K14" s="50">
        <v>0.0</v>
      </c>
      <c r="L14" s="50">
        <v>0.0</v>
      </c>
      <c r="M14" s="50">
        <v>0.0</v>
      </c>
      <c r="N14" s="50">
        <v>0.0</v>
      </c>
      <c r="O14" s="50">
        <v>0.0</v>
      </c>
      <c r="P14" s="50">
        <v>0.0</v>
      </c>
      <c r="Q14" s="50">
        <v>0.0</v>
      </c>
      <c r="R14" s="50">
        <v>0.0</v>
      </c>
      <c r="S14" s="50">
        <v>0.0</v>
      </c>
      <c r="T14" s="50">
        <v>2.8125</v>
      </c>
      <c r="U14" s="50">
        <v>0.0</v>
      </c>
      <c r="V14" s="50">
        <v>5.625</v>
      </c>
      <c r="W14" s="50">
        <v>4.95</v>
      </c>
      <c r="X14" s="50">
        <v>2.8125</v>
      </c>
      <c r="Y14" s="50">
        <v>16.2</v>
      </c>
    </row>
    <row r="15">
      <c r="A15" s="26">
        <v>9.0</v>
      </c>
      <c r="B15" s="65">
        <v>2.1521993981082748</v>
      </c>
      <c r="C15" s="65">
        <v>1.2838423788941382</v>
      </c>
      <c r="D15" s="65">
        <v>0.4672883781880708</v>
      </c>
      <c r="E15" s="65">
        <v>-2.144461208865793</v>
      </c>
      <c r="F15" s="65">
        <v>7.187426557622982</v>
      </c>
      <c r="G15" s="50">
        <v>0.0</v>
      </c>
      <c r="H15" s="50">
        <v>0.0</v>
      </c>
      <c r="I15" s="50">
        <v>0.0</v>
      </c>
      <c r="J15" s="50">
        <v>0.0</v>
      </c>
      <c r="K15" s="50">
        <v>0.0</v>
      </c>
      <c r="L15" s="50">
        <v>0.0</v>
      </c>
      <c r="M15" s="50">
        <v>0.0</v>
      </c>
      <c r="N15" s="50">
        <v>0.0</v>
      </c>
      <c r="O15" s="50">
        <v>0.0</v>
      </c>
      <c r="P15" s="50">
        <v>0.0</v>
      </c>
      <c r="Q15" s="50">
        <v>0.0</v>
      </c>
      <c r="R15" s="50">
        <v>0.0</v>
      </c>
      <c r="S15" s="50">
        <v>0.0</v>
      </c>
      <c r="T15" s="50">
        <v>2.8125</v>
      </c>
      <c r="U15" s="50">
        <v>0.0</v>
      </c>
      <c r="V15" s="50">
        <v>0.0</v>
      </c>
      <c r="W15" s="50">
        <v>0.0</v>
      </c>
      <c r="X15" s="50">
        <v>2.8125</v>
      </c>
      <c r="Y15" s="50">
        <v>5.625</v>
      </c>
    </row>
    <row r="16">
      <c r="A16" s="26">
        <v>10.0</v>
      </c>
      <c r="B16" s="65">
        <v>-0.8757627603845597</v>
      </c>
      <c r="C16" s="65">
        <v>-1.2762080056363527</v>
      </c>
      <c r="D16" s="65">
        <v>0.5358155465418756</v>
      </c>
      <c r="E16" s="65">
        <v>0.4287815571976202</v>
      </c>
      <c r="F16" s="65">
        <v>6.092936415019148</v>
      </c>
      <c r="G16" s="50">
        <v>0.0</v>
      </c>
      <c r="H16" s="50">
        <v>0.0</v>
      </c>
      <c r="I16" s="50">
        <v>0.0</v>
      </c>
      <c r="J16" s="50">
        <v>0.0</v>
      </c>
      <c r="K16" s="50">
        <v>0.0</v>
      </c>
      <c r="L16" s="50">
        <v>0.0</v>
      </c>
      <c r="M16" s="50">
        <v>0.0</v>
      </c>
      <c r="N16" s="50">
        <v>0.0</v>
      </c>
      <c r="O16" s="50">
        <v>0.0</v>
      </c>
      <c r="P16" s="50">
        <v>0.0</v>
      </c>
      <c r="Q16" s="50">
        <v>0.0</v>
      </c>
      <c r="R16" s="50">
        <v>0.0</v>
      </c>
      <c r="S16" s="50">
        <v>0.0</v>
      </c>
      <c r="T16" s="50">
        <v>2.8125</v>
      </c>
      <c r="U16" s="50">
        <v>0.0</v>
      </c>
      <c r="V16" s="50">
        <v>0.0</v>
      </c>
      <c r="W16" s="50">
        <v>0.0</v>
      </c>
      <c r="X16" s="50">
        <v>2.8125</v>
      </c>
      <c r="Y16" s="50">
        <v>5.625</v>
      </c>
    </row>
    <row r="17">
      <c r="A17" s="26">
        <v>11.0</v>
      </c>
      <c r="B17" s="65">
        <v>0.23219801492710956</v>
      </c>
      <c r="C17" s="65">
        <v>2.1457790911391257</v>
      </c>
      <c r="D17" s="65">
        <v>1.3874898457506115</v>
      </c>
      <c r="E17" s="65">
        <v>0.6806740961317503</v>
      </c>
      <c r="F17" s="65">
        <v>4.8886527628383805</v>
      </c>
      <c r="G17" s="50">
        <v>0.0</v>
      </c>
      <c r="H17" s="50">
        <v>0.0</v>
      </c>
      <c r="I17" s="50">
        <v>0.0</v>
      </c>
      <c r="J17" s="50">
        <v>0.0</v>
      </c>
      <c r="K17" s="50">
        <v>0.0</v>
      </c>
      <c r="L17" s="50">
        <v>0.0</v>
      </c>
      <c r="M17" s="50">
        <v>0.0</v>
      </c>
      <c r="N17" s="50">
        <v>0.0</v>
      </c>
      <c r="O17" s="50">
        <v>0.0</v>
      </c>
      <c r="P17" s="50">
        <v>0.0</v>
      </c>
      <c r="Q17" s="50">
        <v>0.0</v>
      </c>
      <c r="R17" s="50">
        <v>0.0</v>
      </c>
      <c r="S17" s="50">
        <v>0.0</v>
      </c>
      <c r="T17" s="50">
        <v>2.8125</v>
      </c>
      <c r="U17" s="50">
        <v>0.0</v>
      </c>
      <c r="V17" s="50">
        <v>0.0</v>
      </c>
      <c r="W17" s="50">
        <v>0.0</v>
      </c>
      <c r="X17" s="50">
        <v>2.8125</v>
      </c>
      <c r="Y17" s="50">
        <v>5.625</v>
      </c>
    </row>
    <row r="18">
      <c r="A18" s="26">
        <v>12.0</v>
      </c>
      <c r="B18" s="65">
        <v>0.838339130218333</v>
      </c>
      <c r="C18" s="65">
        <v>-0.3641996306509718</v>
      </c>
      <c r="D18" s="65">
        <v>-0.3143124977569764</v>
      </c>
      <c r="E18" s="65">
        <v>0.9659699132623979</v>
      </c>
      <c r="F18" s="65">
        <v>11.718257815709547</v>
      </c>
      <c r="G18" s="50">
        <v>0.0</v>
      </c>
      <c r="H18" s="50">
        <v>0.0</v>
      </c>
      <c r="I18" s="50">
        <v>0.0</v>
      </c>
      <c r="J18" s="50">
        <v>0.0</v>
      </c>
      <c r="K18" s="50">
        <v>0.0</v>
      </c>
      <c r="L18" s="50">
        <v>0.0</v>
      </c>
      <c r="M18" s="50">
        <v>0.0</v>
      </c>
      <c r="N18" s="50">
        <v>0.0</v>
      </c>
      <c r="O18" s="50">
        <v>0.0</v>
      </c>
      <c r="P18" s="50">
        <v>0.0</v>
      </c>
      <c r="Q18" s="50">
        <v>0.0</v>
      </c>
      <c r="R18" s="50">
        <v>0.0</v>
      </c>
      <c r="S18" s="50">
        <v>0.0</v>
      </c>
      <c r="T18" s="50">
        <v>2.8125</v>
      </c>
      <c r="U18" s="50">
        <v>0.0</v>
      </c>
      <c r="V18" s="50">
        <v>0.0</v>
      </c>
      <c r="W18" s="50">
        <v>0.0</v>
      </c>
      <c r="X18" s="50">
        <v>2.8125</v>
      </c>
      <c r="Y18" s="50">
        <v>5.625</v>
      </c>
    </row>
    <row r="19">
      <c r="A19" s="26">
        <v>13.0</v>
      </c>
      <c r="B19" s="65">
        <v>-0.05692612281330056</v>
      </c>
      <c r="C19" s="65">
        <v>0.8222347983245447</v>
      </c>
      <c r="D19" s="65">
        <v>2.805305553010171</v>
      </c>
      <c r="E19" s="65">
        <v>-1.000662312596391</v>
      </c>
      <c r="F19" s="65">
        <v>8.717115892071249</v>
      </c>
      <c r="G19" s="50">
        <v>0.0</v>
      </c>
      <c r="H19" s="50">
        <v>0.0</v>
      </c>
      <c r="I19" s="50">
        <v>0.0</v>
      </c>
      <c r="J19" s="50">
        <v>0.0</v>
      </c>
      <c r="K19" s="50">
        <v>0.0</v>
      </c>
      <c r="L19" s="50">
        <v>0.0</v>
      </c>
      <c r="M19" s="50">
        <v>0.0</v>
      </c>
      <c r="N19" s="50">
        <v>0.0</v>
      </c>
      <c r="O19" s="50">
        <v>0.0</v>
      </c>
      <c r="P19" s="50">
        <v>0.0</v>
      </c>
      <c r="Q19" s="50">
        <v>0.0</v>
      </c>
      <c r="R19" s="50">
        <v>0.0</v>
      </c>
      <c r="S19" s="50">
        <v>0.0</v>
      </c>
      <c r="T19" s="50">
        <v>2.8125</v>
      </c>
      <c r="U19" s="50">
        <v>0.0</v>
      </c>
      <c r="V19" s="50">
        <v>0.0</v>
      </c>
      <c r="W19" s="50">
        <v>0.0</v>
      </c>
      <c r="X19" s="50">
        <v>2.8125</v>
      </c>
      <c r="Y19" s="50">
        <v>5.625</v>
      </c>
    </row>
    <row r="20">
      <c r="A20" s="26">
        <v>14.0</v>
      </c>
      <c r="B20" s="65">
        <v>0.6798814382710823</v>
      </c>
      <c r="C20" s="65">
        <v>2.3459241554473302</v>
      </c>
      <c r="D20" s="65">
        <v>0.2709719232142574</v>
      </c>
      <c r="E20" s="65">
        <v>0.04792554237869466</v>
      </c>
      <c r="F20" s="65">
        <v>10.586932324470263</v>
      </c>
      <c r="G20" s="50">
        <v>0.0</v>
      </c>
      <c r="H20" s="50">
        <v>0.0</v>
      </c>
      <c r="I20" s="50">
        <v>0.0</v>
      </c>
      <c r="J20" s="50">
        <v>0.0</v>
      </c>
      <c r="K20" s="50">
        <v>0.0</v>
      </c>
      <c r="L20" s="50">
        <v>0.0</v>
      </c>
      <c r="M20" s="50">
        <v>0.0</v>
      </c>
      <c r="N20" s="50">
        <v>0.0</v>
      </c>
      <c r="O20" s="50">
        <v>0.0</v>
      </c>
      <c r="P20" s="50">
        <v>0.0</v>
      </c>
      <c r="Q20" s="50">
        <v>0.0</v>
      </c>
      <c r="R20" s="50">
        <v>0.0</v>
      </c>
      <c r="S20" s="50">
        <v>0.0</v>
      </c>
      <c r="T20" s="50">
        <v>2.8125</v>
      </c>
      <c r="U20" s="50">
        <v>0.0</v>
      </c>
      <c r="V20" s="50">
        <v>0.0</v>
      </c>
      <c r="W20" s="50">
        <v>0.0</v>
      </c>
      <c r="X20" s="50">
        <v>2.8125</v>
      </c>
      <c r="Y20" s="50">
        <v>5.625</v>
      </c>
    </row>
    <row r="21">
      <c r="A21" s="26">
        <v>15.0</v>
      </c>
      <c r="B21" s="65">
        <v>0.29701451082125296</v>
      </c>
      <c r="C21" s="65">
        <v>-0.8987670729226597</v>
      </c>
      <c r="D21" s="65">
        <v>-0.8299444873469878</v>
      </c>
      <c r="E21" s="65">
        <v>0.3739826109215947</v>
      </c>
      <c r="F21" s="65">
        <v>5.221244907262475</v>
      </c>
      <c r="G21" s="50">
        <v>0.0</v>
      </c>
      <c r="H21" s="50">
        <v>0.0</v>
      </c>
      <c r="I21" s="50">
        <v>0.0</v>
      </c>
      <c r="J21" s="50">
        <v>0.0</v>
      </c>
      <c r="K21" s="50">
        <v>0.0</v>
      </c>
      <c r="L21" s="50">
        <v>0.0</v>
      </c>
      <c r="M21" s="50">
        <v>0.0</v>
      </c>
      <c r="N21" s="50">
        <v>0.0</v>
      </c>
      <c r="O21" s="50">
        <v>0.0</v>
      </c>
      <c r="P21" s="50">
        <v>0.0</v>
      </c>
      <c r="Q21" s="50">
        <v>0.0</v>
      </c>
      <c r="R21" s="50">
        <v>0.0</v>
      </c>
      <c r="S21" s="50">
        <v>0.0</v>
      </c>
      <c r="T21" s="50">
        <v>2.8125</v>
      </c>
      <c r="U21" s="50">
        <v>0.0</v>
      </c>
      <c r="V21" s="50">
        <v>0.0</v>
      </c>
      <c r="W21" s="50">
        <v>0.0</v>
      </c>
      <c r="X21" s="50">
        <v>2.8125</v>
      </c>
      <c r="Y21" s="50">
        <v>5.625</v>
      </c>
    </row>
    <row r="22">
      <c r="A22" s="26">
        <v>16.0</v>
      </c>
      <c r="B22" s="65">
        <v>2.014502019655347</v>
      </c>
      <c r="C22" s="65">
        <v>-0.489069575558534</v>
      </c>
      <c r="D22" s="65">
        <v>2.5002623297896744</v>
      </c>
      <c r="E22" s="65">
        <v>1.9936542271244728</v>
      </c>
      <c r="F22" s="65">
        <v>8.250353900755606</v>
      </c>
      <c r="G22" s="50">
        <v>0.0</v>
      </c>
      <c r="H22" s="50">
        <v>0.0</v>
      </c>
      <c r="I22" s="50">
        <v>0.0</v>
      </c>
      <c r="J22" s="50">
        <v>0.0</v>
      </c>
      <c r="K22" s="50">
        <v>0.0</v>
      </c>
      <c r="L22" s="50">
        <v>0.0</v>
      </c>
      <c r="M22" s="50">
        <v>0.0</v>
      </c>
      <c r="N22" s="50">
        <v>0.0</v>
      </c>
      <c r="O22" s="50">
        <v>0.0</v>
      </c>
      <c r="P22" s="50">
        <v>0.0</v>
      </c>
      <c r="Q22" s="50">
        <v>0.0</v>
      </c>
      <c r="R22" s="50">
        <v>0.0</v>
      </c>
      <c r="S22" s="50">
        <v>0.0</v>
      </c>
      <c r="T22" s="50">
        <v>2.8125</v>
      </c>
      <c r="U22" s="50">
        <v>0.0</v>
      </c>
      <c r="V22" s="50">
        <v>0.0</v>
      </c>
      <c r="W22" s="50">
        <v>0.0</v>
      </c>
      <c r="X22" s="50">
        <v>2.8125</v>
      </c>
      <c r="Y22" s="50">
        <v>5.625</v>
      </c>
    </row>
    <row r="23">
      <c r="A23" s="26">
        <v>17.0</v>
      </c>
      <c r="B23" s="65">
        <v>1.0451560179447856</v>
      </c>
      <c r="C23" s="65">
        <v>-0.07231602689316098</v>
      </c>
      <c r="D23" s="65">
        <v>-0.8365615491651316</v>
      </c>
      <c r="E23" s="65">
        <v>0.04280748870945592</v>
      </c>
      <c r="F23" s="65">
        <v>2.565830472245387</v>
      </c>
      <c r="G23" s="50">
        <v>0.0</v>
      </c>
      <c r="H23" s="50">
        <v>0.0</v>
      </c>
      <c r="I23" s="50">
        <v>0.0</v>
      </c>
      <c r="J23" s="50">
        <v>0.0</v>
      </c>
      <c r="K23" s="50">
        <v>0.0</v>
      </c>
      <c r="L23" s="50">
        <v>0.0</v>
      </c>
      <c r="M23" s="50">
        <v>0.0</v>
      </c>
      <c r="N23" s="50">
        <v>0.0</v>
      </c>
      <c r="O23" s="50">
        <v>0.0</v>
      </c>
      <c r="P23" s="50">
        <v>0.0</v>
      </c>
      <c r="Q23" s="50">
        <v>0.0</v>
      </c>
      <c r="R23" s="50">
        <v>0.0</v>
      </c>
      <c r="S23" s="50">
        <v>0.0</v>
      </c>
      <c r="T23" s="50">
        <v>2.8125</v>
      </c>
      <c r="U23" s="50">
        <v>0.0</v>
      </c>
      <c r="V23" s="50">
        <v>0.0</v>
      </c>
      <c r="W23" s="50">
        <v>0.0</v>
      </c>
      <c r="X23" s="50">
        <v>2.8125</v>
      </c>
      <c r="Y23" s="50">
        <v>5.625</v>
      </c>
    </row>
    <row r="24">
      <c r="A24" s="26">
        <v>18.0</v>
      </c>
      <c r="B24" s="65">
        <v>-0.1334399107968151</v>
      </c>
      <c r="C24" s="65">
        <v>-1.9244902903019756</v>
      </c>
      <c r="D24" s="65">
        <v>-1.1519728044462718</v>
      </c>
      <c r="E24" s="65">
        <v>-1.330530735824496</v>
      </c>
      <c r="F24" s="65">
        <v>2.6981344407367227</v>
      </c>
      <c r="G24" s="50">
        <v>0.0</v>
      </c>
      <c r="H24" s="50">
        <v>0.0</v>
      </c>
      <c r="I24" s="50">
        <v>0.0</v>
      </c>
      <c r="J24" s="50">
        <v>0.0</v>
      </c>
      <c r="K24" s="50">
        <v>0.0</v>
      </c>
      <c r="L24" s="50">
        <v>0.0</v>
      </c>
      <c r="M24" s="50">
        <v>0.0</v>
      </c>
      <c r="N24" s="50">
        <v>0.0</v>
      </c>
      <c r="O24" s="50">
        <v>7.425000000000001</v>
      </c>
      <c r="P24" s="50">
        <v>0.0</v>
      </c>
      <c r="Q24" s="50">
        <v>0.0</v>
      </c>
      <c r="R24" s="50">
        <v>9.9</v>
      </c>
      <c r="S24" s="50">
        <v>0.0</v>
      </c>
      <c r="T24" s="50">
        <v>2.8125</v>
      </c>
      <c r="U24" s="50">
        <v>0.0</v>
      </c>
      <c r="V24" s="50">
        <v>5.625</v>
      </c>
      <c r="W24" s="50">
        <v>4.95</v>
      </c>
      <c r="X24" s="50">
        <v>2.8125</v>
      </c>
      <c r="Y24" s="50">
        <v>33.525000000000006</v>
      </c>
    </row>
    <row r="25">
      <c r="A25" s="26">
        <v>19.0</v>
      </c>
      <c r="B25" s="65">
        <v>1.4013010596062614</v>
      </c>
      <c r="C25" s="65">
        <v>1.333774987750133</v>
      </c>
      <c r="D25" s="65">
        <v>0.5684913895404515</v>
      </c>
      <c r="E25" s="65">
        <v>-1.5045867231205132</v>
      </c>
      <c r="F25" s="65">
        <v>7.140249255578761</v>
      </c>
      <c r="G25" s="50">
        <v>0.0</v>
      </c>
      <c r="H25" s="50">
        <v>0.0</v>
      </c>
      <c r="I25" s="50">
        <v>0.0</v>
      </c>
      <c r="J25" s="50">
        <v>0.0</v>
      </c>
      <c r="K25" s="50">
        <v>0.0</v>
      </c>
      <c r="L25" s="50">
        <v>0.0</v>
      </c>
      <c r="M25" s="50">
        <v>0.0</v>
      </c>
      <c r="N25" s="50">
        <v>0.0</v>
      </c>
      <c r="O25" s="50">
        <v>0.0</v>
      </c>
      <c r="P25" s="50">
        <v>0.0</v>
      </c>
      <c r="Q25" s="50">
        <v>0.0</v>
      </c>
      <c r="R25" s="50">
        <v>0.0</v>
      </c>
      <c r="S25" s="50">
        <v>0.0</v>
      </c>
      <c r="T25" s="50">
        <v>2.8125</v>
      </c>
      <c r="U25" s="50">
        <v>0.0</v>
      </c>
      <c r="V25" s="50">
        <v>0.0</v>
      </c>
      <c r="W25" s="50">
        <v>0.0</v>
      </c>
      <c r="X25" s="50">
        <v>2.8125</v>
      </c>
      <c r="Y25" s="50">
        <v>5.625</v>
      </c>
    </row>
    <row r="26">
      <c r="A26" s="26">
        <v>20.0</v>
      </c>
      <c r="B26" s="65">
        <v>0.021713978963817254</v>
      </c>
      <c r="C26" s="65">
        <v>-0.46417034463896684</v>
      </c>
      <c r="D26" s="65">
        <v>0.576498621796778</v>
      </c>
      <c r="E26" s="65">
        <v>-0.1396112248521178</v>
      </c>
      <c r="F26" s="65">
        <v>3.4933847964031655</v>
      </c>
      <c r="G26" s="50">
        <v>0.0</v>
      </c>
      <c r="H26" s="50">
        <v>0.0</v>
      </c>
      <c r="I26" s="50">
        <v>0.0</v>
      </c>
      <c r="J26" s="50">
        <v>0.0</v>
      </c>
      <c r="K26" s="50">
        <v>0.0</v>
      </c>
      <c r="L26" s="50">
        <v>0.0</v>
      </c>
      <c r="M26" s="50">
        <v>0.0</v>
      </c>
      <c r="N26" s="50">
        <v>0.0</v>
      </c>
      <c r="O26" s="50">
        <v>0.0</v>
      </c>
      <c r="P26" s="50">
        <v>0.0</v>
      </c>
      <c r="Q26" s="50">
        <v>0.0</v>
      </c>
      <c r="R26" s="50">
        <v>0.0</v>
      </c>
      <c r="S26" s="50">
        <v>0.0</v>
      </c>
      <c r="T26" s="50">
        <v>2.8125</v>
      </c>
      <c r="U26" s="50">
        <v>0.0</v>
      </c>
      <c r="V26" s="50">
        <v>0.0</v>
      </c>
      <c r="W26" s="50">
        <v>0.0</v>
      </c>
      <c r="X26" s="50">
        <v>2.8125</v>
      </c>
      <c r="Y26" s="50">
        <v>5.625</v>
      </c>
    </row>
    <row r="27">
      <c r="A27" s="26">
        <v>21.0</v>
      </c>
      <c r="B27" s="65">
        <v>0.4114630197386275</v>
      </c>
      <c r="C27" s="65">
        <v>-1.1389911268126627</v>
      </c>
      <c r="D27" s="65">
        <v>0.38559815560301236</v>
      </c>
      <c r="E27" s="65">
        <v>0.28719303328009427</v>
      </c>
      <c r="F27" s="65">
        <v>8.900652344103122</v>
      </c>
      <c r="G27" s="50">
        <v>0.0</v>
      </c>
      <c r="H27" s="50">
        <v>0.0</v>
      </c>
      <c r="I27" s="50">
        <v>0.0</v>
      </c>
      <c r="J27" s="50">
        <v>0.0</v>
      </c>
      <c r="K27" s="50">
        <v>0.0</v>
      </c>
      <c r="L27" s="50">
        <v>0.0</v>
      </c>
      <c r="M27" s="50">
        <v>0.0</v>
      </c>
      <c r="N27" s="50">
        <v>0.0</v>
      </c>
      <c r="O27" s="50">
        <v>0.0</v>
      </c>
      <c r="P27" s="50">
        <v>0.0</v>
      </c>
      <c r="Q27" s="50">
        <v>0.0</v>
      </c>
      <c r="R27" s="50">
        <v>0.0</v>
      </c>
      <c r="S27" s="50">
        <v>0.0</v>
      </c>
      <c r="T27" s="50">
        <v>2.8125</v>
      </c>
      <c r="U27" s="50">
        <v>0.0</v>
      </c>
      <c r="V27" s="50">
        <v>0.0</v>
      </c>
      <c r="W27" s="50">
        <v>0.0</v>
      </c>
      <c r="X27" s="50">
        <v>2.8125</v>
      </c>
      <c r="Y27" s="50">
        <v>5.625</v>
      </c>
    </row>
    <row r="28">
      <c r="A28" s="26">
        <v>22.0</v>
      </c>
      <c r="B28" s="65">
        <v>-1.2477876942059125</v>
      </c>
      <c r="C28" s="65">
        <v>0.15372118313277192</v>
      </c>
      <c r="D28" s="65">
        <v>-1.25256516200642</v>
      </c>
      <c r="E28" s="65">
        <v>0.3025377212593841</v>
      </c>
      <c r="F28" s="65">
        <v>9.514965825936413</v>
      </c>
      <c r="G28" s="50">
        <v>0.0</v>
      </c>
      <c r="H28" s="50">
        <v>0.0</v>
      </c>
      <c r="I28" s="50">
        <v>0.0</v>
      </c>
      <c r="J28" s="50">
        <v>0.0</v>
      </c>
      <c r="K28" s="50">
        <v>0.0</v>
      </c>
      <c r="L28" s="50">
        <v>0.0</v>
      </c>
      <c r="M28" s="50">
        <v>0.0</v>
      </c>
      <c r="N28" s="50">
        <v>0.0</v>
      </c>
      <c r="O28" s="50">
        <v>7.425000000000001</v>
      </c>
      <c r="P28" s="50">
        <v>0.0</v>
      </c>
      <c r="Q28" s="50">
        <v>0.0</v>
      </c>
      <c r="R28" s="50">
        <v>0.0</v>
      </c>
      <c r="S28" s="50">
        <v>0.0</v>
      </c>
      <c r="T28" s="50">
        <v>2.8125</v>
      </c>
      <c r="U28" s="50">
        <v>0.0</v>
      </c>
      <c r="V28" s="50">
        <v>5.625</v>
      </c>
      <c r="W28" s="50">
        <v>0.0</v>
      </c>
      <c r="X28" s="50">
        <v>2.8125</v>
      </c>
      <c r="Y28" s="50">
        <v>18.675</v>
      </c>
    </row>
    <row r="29">
      <c r="A29" s="26">
        <v>23.0</v>
      </c>
      <c r="B29" s="65">
        <v>0.050644220987499794</v>
      </c>
      <c r="C29" s="65">
        <v>0.21987681084330513</v>
      </c>
      <c r="D29" s="65">
        <v>-0.5761298447332859</v>
      </c>
      <c r="E29" s="65">
        <v>-1.489679491946131</v>
      </c>
      <c r="F29" s="65">
        <v>8.03472977361008</v>
      </c>
      <c r="G29" s="50">
        <v>0.0</v>
      </c>
      <c r="H29" s="50">
        <v>0.0</v>
      </c>
      <c r="I29" s="50">
        <v>0.0</v>
      </c>
      <c r="J29" s="50">
        <v>0.0</v>
      </c>
      <c r="K29" s="50">
        <v>0.0</v>
      </c>
      <c r="L29" s="50">
        <v>0.0</v>
      </c>
      <c r="M29" s="50">
        <v>0.0</v>
      </c>
      <c r="N29" s="50">
        <v>0.0</v>
      </c>
      <c r="O29" s="50">
        <v>0.0</v>
      </c>
      <c r="P29" s="50">
        <v>0.0</v>
      </c>
      <c r="Q29" s="50">
        <v>0.0</v>
      </c>
      <c r="R29" s="50">
        <v>0.0</v>
      </c>
      <c r="S29" s="50">
        <v>0.0</v>
      </c>
      <c r="T29" s="50">
        <v>2.8125</v>
      </c>
      <c r="U29" s="50">
        <v>0.0</v>
      </c>
      <c r="V29" s="50">
        <v>0.0</v>
      </c>
      <c r="W29" s="50">
        <v>0.0</v>
      </c>
      <c r="X29" s="50">
        <v>2.8125</v>
      </c>
      <c r="Y29" s="50">
        <v>5.625</v>
      </c>
    </row>
    <row r="30">
      <c r="A30" s="26">
        <v>24.0</v>
      </c>
      <c r="B30" s="65">
        <v>0.26411335127621544</v>
      </c>
      <c r="C30" s="65">
        <v>1.4056529654671037</v>
      </c>
      <c r="D30" s="65">
        <v>0.07983556073995413</v>
      </c>
      <c r="E30" s="65">
        <v>0.12029328258386424</v>
      </c>
      <c r="F30" s="65">
        <v>5.634395949010506</v>
      </c>
      <c r="G30" s="50">
        <v>0.0</v>
      </c>
      <c r="H30" s="50">
        <v>0.0</v>
      </c>
      <c r="I30" s="50">
        <v>0.0</v>
      </c>
      <c r="J30" s="50">
        <v>0.0</v>
      </c>
      <c r="K30" s="50">
        <v>0.0</v>
      </c>
      <c r="L30" s="50">
        <v>0.0</v>
      </c>
      <c r="M30" s="50">
        <v>0.0</v>
      </c>
      <c r="N30" s="50">
        <v>0.0</v>
      </c>
      <c r="O30" s="50">
        <v>0.0</v>
      </c>
      <c r="P30" s="50">
        <v>0.0</v>
      </c>
      <c r="Q30" s="50">
        <v>0.0</v>
      </c>
      <c r="R30" s="50">
        <v>0.0</v>
      </c>
      <c r="S30" s="50">
        <v>0.0</v>
      </c>
      <c r="T30" s="50">
        <v>2.8125</v>
      </c>
      <c r="U30" s="50">
        <v>0.0</v>
      </c>
      <c r="V30" s="50">
        <v>5.625</v>
      </c>
      <c r="W30" s="50">
        <v>4.95</v>
      </c>
      <c r="X30" s="50">
        <v>2.8125</v>
      </c>
      <c r="Y30" s="50">
        <v>16.2</v>
      </c>
    </row>
    <row r="31">
      <c r="A31" s="26">
        <v>25.0</v>
      </c>
      <c r="B31" s="65">
        <v>-0.4971178515037442</v>
      </c>
      <c r="C31" s="65">
        <v>-1.6203998294781101</v>
      </c>
      <c r="D31" s="65">
        <v>0.10355085555012929</v>
      </c>
      <c r="E31" s="65">
        <v>0.8770849988136197</v>
      </c>
      <c r="F31" s="65">
        <v>7.152908027645865</v>
      </c>
      <c r="G31" s="50">
        <v>0.0</v>
      </c>
      <c r="H31" s="50">
        <v>0.0</v>
      </c>
      <c r="I31" s="50">
        <v>0.0</v>
      </c>
      <c r="J31" s="50">
        <v>0.0</v>
      </c>
      <c r="K31" s="50">
        <v>0.0</v>
      </c>
      <c r="L31" s="50">
        <v>0.0</v>
      </c>
      <c r="M31" s="50">
        <v>0.0</v>
      </c>
      <c r="N31" s="50">
        <v>0.0</v>
      </c>
      <c r="O31" s="50">
        <v>7.425000000000001</v>
      </c>
      <c r="P31" s="50">
        <v>0.0</v>
      </c>
      <c r="Q31" s="50">
        <v>0.0</v>
      </c>
      <c r="R31" s="50">
        <v>9.9</v>
      </c>
      <c r="S31" s="50">
        <v>0.0</v>
      </c>
      <c r="T31" s="50">
        <v>2.8125</v>
      </c>
      <c r="U31" s="50">
        <v>0.0</v>
      </c>
      <c r="V31" s="50">
        <v>0.0</v>
      </c>
      <c r="W31" s="50">
        <v>0.0</v>
      </c>
      <c r="X31" s="50">
        <v>2.8125</v>
      </c>
      <c r="Y31" s="50">
        <v>22.950000000000003</v>
      </c>
    </row>
    <row r="32">
      <c r="A32" s="26">
        <v>26.0</v>
      </c>
      <c r="B32" s="65">
        <v>0.1204325875176889</v>
      </c>
      <c r="C32" s="65">
        <v>0.011927653380433926</v>
      </c>
      <c r="D32" s="65">
        <v>0.48844270056975564</v>
      </c>
      <c r="E32" s="65">
        <v>0.9369349184995917</v>
      </c>
      <c r="F32" s="65">
        <v>3.196198410130313</v>
      </c>
      <c r="G32" s="50">
        <v>0.0</v>
      </c>
      <c r="H32" s="50">
        <v>0.0</v>
      </c>
      <c r="I32" s="50">
        <v>0.0</v>
      </c>
      <c r="J32" s="50">
        <v>0.0</v>
      </c>
      <c r="K32" s="50">
        <v>0.0</v>
      </c>
      <c r="L32" s="50">
        <v>0.0</v>
      </c>
      <c r="M32" s="50">
        <v>0.0</v>
      </c>
      <c r="N32" s="50">
        <v>0.0</v>
      </c>
      <c r="O32" s="50">
        <v>0.0</v>
      </c>
      <c r="P32" s="50">
        <v>0.0</v>
      </c>
      <c r="Q32" s="50">
        <v>0.0</v>
      </c>
      <c r="R32" s="50">
        <v>0.0</v>
      </c>
      <c r="S32" s="50">
        <v>0.0</v>
      </c>
      <c r="T32" s="50">
        <v>2.8125</v>
      </c>
      <c r="U32" s="50">
        <v>0.0</v>
      </c>
      <c r="V32" s="50">
        <v>0.0</v>
      </c>
      <c r="W32" s="50">
        <v>0.0</v>
      </c>
      <c r="X32" s="50">
        <v>2.8125</v>
      </c>
      <c r="Y32" s="50">
        <v>5.625</v>
      </c>
    </row>
    <row r="33">
      <c r="A33" s="26">
        <v>27.0</v>
      </c>
      <c r="B33" s="65">
        <v>0.6208424902324691</v>
      </c>
      <c r="C33" s="65">
        <v>0.3199213331147884</v>
      </c>
      <c r="D33" s="65">
        <v>-0.662304432178434</v>
      </c>
      <c r="E33" s="65">
        <v>-0.11658891571062324</v>
      </c>
      <c r="F33" s="65">
        <v>4.502383761515301</v>
      </c>
      <c r="G33" s="50">
        <v>0.0</v>
      </c>
      <c r="H33" s="50">
        <v>0.0</v>
      </c>
      <c r="I33" s="50">
        <v>0.0</v>
      </c>
      <c r="J33" s="50">
        <v>0.0</v>
      </c>
      <c r="K33" s="50">
        <v>0.0</v>
      </c>
      <c r="L33" s="50">
        <v>0.0</v>
      </c>
      <c r="M33" s="50">
        <v>0.0</v>
      </c>
      <c r="N33" s="50">
        <v>0.0</v>
      </c>
      <c r="O33" s="50">
        <v>0.0</v>
      </c>
      <c r="P33" s="50">
        <v>0.0</v>
      </c>
      <c r="Q33" s="50">
        <v>0.0</v>
      </c>
      <c r="R33" s="50">
        <v>0.0</v>
      </c>
      <c r="S33" s="50">
        <v>0.0</v>
      </c>
      <c r="T33" s="50">
        <v>2.8125</v>
      </c>
      <c r="U33" s="50">
        <v>0.0</v>
      </c>
      <c r="V33" s="50">
        <v>0.0</v>
      </c>
      <c r="W33" s="50">
        <v>0.0</v>
      </c>
      <c r="X33" s="50">
        <v>2.8125</v>
      </c>
      <c r="Y33" s="50">
        <v>5.625</v>
      </c>
    </row>
    <row r="34">
      <c r="A34" s="26">
        <v>28.0</v>
      </c>
      <c r="B34" s="65">
        <v>-0.15236189470056002</v>
      </c>
      <c r="C34" s="65">
        <v>0.3406555737059639</v>
      </c>
      <c r="D34" s="65">
        <v>-0.013454694920282421</v>
      </c>
      <c r="E34" s="65">
        <v>1.2304623796673795</v>
      </c>
      <c r="F34" s="65">
        <v>1.5868746951138846</v>
      </c>
      <c r="G34" s="50">
        <v>0.0</v>
      </c>
      <c r="H34" s="50">
        <v>0.0</v>
      </c>
      <c r="I34" s="50">
        <v>0.0</v>
      </c>
      <c r="J34" s="50">
        <v>0.0</v>
      </c>
      <c r="K34" s="50">
        <v>0.0</v>
      </c>
      <c r="L34" s="50">
        <v>0.0</v>
      </c>
      <c r="M34" s="50">
        <v>0.0</v>
      </c>
      <c r="N34" s="50">
        <v>0.0</v>
      </c>
      <c r="O34" s="50">
        <v>0.0</v>
      </c>
      <c r="P34" s="50">
        <v>0.0</v>
      </c>
      <c r="Q34" s="50">
        <v>0.0</v>
      </c>
      <c r="R34" s="50">
        <v>0.0</v>
      </c>
      <c r="S34" s="50">
        <v>0.0</v>
      </c>
      <c r="T34" s="50">
        <v>2.8125</v>
      </c>
      <c r="U34" s="50">
        <v>0.0</v>
      </c>
      <c r="V34" s="50">
        <v>0.0</v>
      </c>
      <c r="W34" s="50">
        <v>0.0</v>
      </c>
      <c r="X34" s="50">
        <v>2.8125</v>
      </c>
      <c r="Y34" s="50">
        <v>5.625</v>
      </c>
    </row>
    <row r="35">
      <c r="A35" s="26">
        <v>29.0</v>
      </c>
      <c r="B35" s="65">
        <v>0.472037247033827</v>
      </c>
      <c r="C35" s="65">
        <v>-0.9792513612278405</v>
      </c>
      <c r="D35" s="65">
        <v>0.5888010863664542</v>
      </c>
      <c r="E35" s="65">
        <v>-0.2351545377315353</v>
      </c>
      <c r="F35" s="65">
        <v>1.4256486745373322</v>
      </c>
      <c r="G35" s="50">
        <v>0.0</v>
      </c>
      <c r="H35" s="50">
        <v>0.0</v>
      </c>
      <c r="I35" s="50">
        <v>0.0</v>
      </c>
      <c r="J35" s="50">
        <v>0.0</v>
      </c>
      <c r="K35" s="50">
        <v>0.0</v>
      </c>
      <c r="L35" s="50">
        <v>0.0</v>
      </c>
      <c r="M35" s="50">
        <v>0.0</v>
      </c>
      <c r="N35" s="50">
        <v>0.0</v>
      </c>
      <c r="O35" s="50">
        <v>7.425000000000001</v>
      </c>
      <c r="P35" s="50">
        <v>0.0</v>
      </c>
      <c r="Q35" s="50">
        <v>0.0</v>
      </c>
      <c r="R35" s="50">
        <v>0.0</v>
      </c>
      <c r="S35" s="50">
        <v>0.0</v>
      </c>
      <c r="T35" s="50">
        <v>2.8125</v>
      </c>
      <c r="U35" s="50">
        <v>0.0</v>
      </c>
      <c r="V35" s="50">
        <v>0.0</v>
      </c>
      <c r="W35" s="50">
        <v>0.0</v>
      </c>
      <c r="X35" s="50">
        <v>2.8125</v>
      </c>
      <c r="Y35" s="50">
        <v>13.05</v>
      </c>
    </row>
    <row r="36">
      <c r="A36" s="26">
        <v>30.0</v>
      </c>
      <c r="B36" s="65">
        <v>0.25170291949247886</v>
      </c>
      <c r="C36" s="65">
        <v>1.1969176003015376</v>
      </c>
      <c r="D36" s="65">
        <v>0.06453962415118655</v>
      </c>
      <c r="E36" s="65">
        <v>0.767647467504354</v>
      </c>
      <c r="F36" s="65">
        <v>5.7813039650477585</v>
      </c>
      <c r="G36" s="50">
        <v>0.0</v>
      </c>
      <c r="H36" s="50">
        <v>0.0</v>
      </c>
      <c r="I36" s="50">
        <v>0.0</v>
      </c>
      <c r="J36" s="50">
        <v>0.0</v>
      </c>
      <c r="K36" s="50">
        <v>0.0</v>
      </c>
      <c r="L36" s="50">
        <v>0.0</v>
      </c>
      <c r="M36" s="50">
        <v>0.0</v>
      </c>
      <c r="N36" s="50">
        <v>0.0</v>
      </c>
      <c r="O36" s="50">
        <v>0.0</v>
      </c>
      <c r="P36" s="50">
        <v>0.0</v>
      </c>
      <c r="Q36" s="50">
        <v>0.0</v>
      </c>
      <c r="R36" s="50">
        <v>0.0</v>
      </c>
      <c r="S36" s="50">
        <v>0.0</v>
      </c>
      <c r="T36" s="50">
        <v>2.8125</v>
      </c>
      <c r="U36" s="50">
        <v>0.0</v>
      </c>
      <c r="V36" s="50">
        <v>5.625</v>
      </c>
      <c r="W36" s="50">
        <v>0.0</v>
      </c>
      <c r="X36" s="50">
        <v>2.8125</v>
      </c>
      <c r="Y36" s="50">
        <v>11.25</v>
      </c>
    </row>
    <row r="37">
      <c r="A37" s="26">
        <v>31.0</v>
      </c>
      <c r="B37" s="65">
        <v>-0.1473315110554889</v>
      </c>
      <c r="C37" s="65">
        <v>0.25137079146430164</v>
      </c>
      <c r="D37" s="65">
        <v>-1.0089021643647933</v>
      </c>
      <c r="E37" s="65">
        <v>-1.2177450226011872</v>
      </c>
      <c r="F37" s="65">
        <v>2.9928322470909645</v>
      </c>
      <c r="G37" s="50">
        <v>0.0</v>
      </c>
      <c r="H37" s="50">
        <v>0.0</v>
      </c>
      <c r="I37" s="50">
        <v>0.0</v>
      </c>
      <c r="J37" s="50">
        <v>0.0</v>
      </c>
      <c r="K37" s="50">
        <v>0.0</v>
      </c>
      <c r="L37" s="50">
        <v>0.0</v>
      </c>
      <c r="M37" s="50">
        <v>0.0</v>
      </c>
      <c r="N37" s="50">
        <v>0.0</v>
      </c>
      <c r="O37" s="50">
        <v>0.0</v>
      </c>
      <c r="P37" s="50">
        <v>0.0</v>
      </c>
      <c r="Q37" s="50">
        <v>0.0</v>
      </c>
      <c r="R37" s="50">
        <v>0.0</v>
      </c>
      <c r="S37" s="50">
        <v>0.0</v>
      </c>
      <c r="T37" s="50">
        <v>2.8125</v>
      </c>
      <c r="U37" s="50">
        <v>0.0</v>
      </c>
      <c r="V37" s="50">
        <v>5.625</v>
      </c>
      <c r="W37" s="50">
        <v>0.0</v>
      </c>
      <c r="X37" s="50">
        <v>2.8125</v>
      </c>
      <c r="Y37" s="50">
        <v>11.25</v>
      </c>
    </row>
    <row r="38">
      <c r="A38" s="26">
        <v>32.0</v>
      </c>
      <c r="B38" s="65">
        <v>0.6401559602385265</v>
      </c>
      <c r="C38" s="65">
        <v>-0.7391807592369299</v>
      </c>
      <c r="D38" s="65">
        <v>-0.08054597760835036</v>
      </c>
      <c r="E38" s="65">
        <v>-1.4017948575836925</v>
      </c>
      <c r="F38" s="65">
        <v>4.489945554529141</v>
      </c>
      <c r="G38" s="50">
        <v>0.0</v>
      </c>
      <c r="H38" s="50">
        <v>0.0</v>
      </c>
      <c r="I38" s="50">
        <v>0.0</v>
      </c>
      <c r="J38" s="50">
        <v>0.0</v>
      </c>
      <c r="K38" s="50">
        <v>0.0</v>
      </c>
      <c r="L38" s="50">
        <v>0.0</v>
      </c>
      <c r="M38" s="50">
        <v>0.0</v>
      </c>
      <c r="N38" s="50">
        <v>0.0</v>
      </c>
      <c r="O38" s="50">
        <v>0.0</v>
      </c>
      <c r="P38" s="50">
        <v>0.0</v>
      </c>
      <c r="Q38" s="50">
        <v>0.0</v>
      </c>
      <c r="R38" s="50">
        <v>0.0</v>
      </c>
      <c r="S38" s="50">
        <v>0.0</v>
      </c>
      <c r="T38" s="50">
        <v>2.8125</v>
      </c>
      <c r="U38" s="50">
        <v>0.0</v>
      </c>
      <c r="V38" s="50">
        <v>0.0</v>
      </c>
      <c r="W38" s="50">
        <v>0.0</v>
      </c>
      <c r="X38" s="50">
        <v>2.8125</v>
      </c>
      <c r="Y38" s="50">
        <v>5.625</v>
      </c>
    </row>
    <row r="39">
      <c r="A39" s="26">
        <v>33.0</v>
      </c>
      <c r="B39" s="65">
        <v>0.6701144707779039</v>
      </c>
      <c r="C39" s="65">
        <v>-0.68888438785355</v>
      </c>
      <c r="D39" s="65">
        <v>0.2411078910085311</v>
      </c>
      <c r="E39" s="65">
        <v>-1.896656156900172</v>
      </c>
      <c r="F39" s="65">
        <v>1.8466783603362344</v>
      </c>
      <c r="G39" s="50">
        <v>0.0</v>
      </c>
      <c r="H39" s="50">
        <v>0.0</v>
      </c>
      <c r="I39" s="50">
        <v>0.0</v>
      </c>
      <c r="J39" s="50">
        <v>0.0</v>
      </c>
      <c r="K39" s="50">
        <v>0.0</v>
      </c>
      <c r="L39" s="50">
        <v>0.0</v>
      </c>
      <c r="M39" s="50">
        <v>0.0</v>
      </c>
      <c r="N39" s="50">
        <v>0.0</v>
      </c>
      <c r="O39" s="50">
        <v>0.0</v>
      </c>
      <c r="P39" s="50">
        <v>0.0</v>
      </c>
      <c r="Q39" s="50">
        <v>0.0</v>
      </c>
      <c r="R39" s="50">
        <v>0.0</v>
      </c>
      <c r="S39" s="50">
        <v>0.0</v>
      </c>
      <c r="T39" s="50">
        <v>2.8125</v>
      </c>
      <c r="U39" s="50">
        <v>0.0</v>
      </c>
      <c r="V39" s="50">
        <v>0.0</v>
      </c>
      <c r="W39" s="50">
        <v>4.95</v>
      </c>
      <c r="X39" s="50">
        <v>2.8125</v>
      </c>
      <c r="Y39" s="50">
        <v>10.575</v>
      </c>
    </row>
    <row r="40">
      <c r="A40" s="26">
        <v>34.0</v>
      </c>
      <c r="B40" s="65">
        <v>1.052362027260075</v>
      </c>
      <c r="C40" s="65">
        <v>-1.162613886769132</v>
      </c>
      <c r="D40" s="65">
        <v>-0.883327369425593</v>
      </c>
      <c r="E40" s="65">
        <v>1.397184289643768</v>
      </c>
      <c r="F40" s="65">
        <v>5.671260843622946</v>
      </c>
      <c r="G40" s="50">
        <v>0.0</v>
      </c>
      <c r="H40" s="50">
        <v>0.0</v>
      </c>
      <c r="I40" s="50">
        <v>0.0</v>
      </c>
      <c r="J40" s="50">
        <v>0.0</v>
      </c>
      <c r="K40" s="50">
        <v>0.0</v>
      </c>
      <c r="L40" s="50">
        <v>0.0</v>
      </c>
      <c r="M40" s="50">
        <v>0.0</v>
      </c>
      <c r="N40" s="50">
        <v>0.0</v>
      </c>
      <c r="O40" s="50">
        <v>0.0</v>
      </c>
      <c r="P40" s="50">
        <v>0.0</v>
      </c>
      <c r="Q40" s="50">
        <v>0.0</v>
      </c>
      <c r="R40" s="50">
        <v>0.0</v>
      </c>
      <c r="S40" s="50">
        <v>0.0</v>
      </c>
      <c r="T40" s="50">
        <v>2.8125</v>
      </c>
      <c r="U40" s="50">
        <v>0.0</v>
      </c>
      <c r="V40" s="50">
        <v>0.0</v>
      </c>
      <c r="W40" s="50">
        <v>0.0</v>
      </c>
      <c r="X40" s="50">
        <v>2.8125</v>
      </c>
      <c r="Y40" s="50">
        <v>5.625</v>
      </c>
    </row>
    <row r="41">
      <c r="A41" s="26">
        <v>35.0</v>
      </c>
      <c r="B41" s="65">
        <v>1.5722587400423806</v>
      </c>
      <c r="C41" s="65">
        <v>1.0161821865324114</v>
      </c>
      <c r="D41" s="65">
        <v>0.37580396401405763</v>
      </c>
      <c r="E41" s="65">
        <v>0.07712355280382013</v>
      </c>
      <c r="F41" s="65">
        <v>0.40899900660402255</v>
      </c>
      <c r="G41" s="50">
        <v>0.0</v>
      </c>
      <c r="H41" s="50">
        <v>0.0</v>
      </c>
      <c r="I41" s="50">
        <v>0.0</v>
      </c>
      <c r="J41" s="50">
        <v>0.0</v>
      </c>
      <c r="K41" s="50">
        <v>0.0</v>
      </c>
      <c r="L41" s="50">
        <v>0.0</v>
      </c>
      <c r="M41" s="50">
        <v>0.0</v>
      </c>
      <c r="N41" s="50">
        <v>0.0</v>
      </c>
      <c r="O41" s="50">
        <v>0.0</v>
      </c>
      <c r="P41" s="50">
        <v>0.0</v>
      </c>
      <c r="Q41" s="50">
        <v>0.0</v>
      </c>
      <c r="R41" s="50">
        <v>0.0</v>
      </c>
      <c r="S41" s="50">
        <v>0.0</v>
      </c>
      <c r="T41" s="50">
        <v>2.8125</v>
      </c>
      <c r="U41" s="50">
        <v>0.0</v>
      </c>
      <c r="V41" s="50">
        <v>0.0</v>
      </c>
      <c r="W41" s="50">
        <v>0.0</v>
      </c>
      <c r="X41" s="50">
        <v>2.8125</v>
      </c>
      <c r="Y41" s="50">
        <v>5.625</v>
      </c>
    </row>
    <row r="42">
      <c r="A42" s="26">
        <v>36.0</v>
      </c>
      <c r="B42" s="65">
        <v>-0.04059115186708034</v>
      </c>
      <c r="C42" s="65">
        <v>-0.2170955782231292</v>
      </c>
      <c r="D42" s="65">
        <v>1.7381400425889453</v>
      </c>
      <c r="E42" s="65">
        <v>0.37000239642272376</v>
      </c>
      <c r="F42" s="65">
        <v>2.425468446631185</v>
      </c>
      <c r="G42" s="50">
        <v>0.0</v>
      </c>
      <c r="H42" s="50">
        <v>0.0</v>
      </c>
      <c r="I42" s="50">
        <v>0.0</v>
      </c>
      <c r="J42" s="50">
        <v>0.0</v>
      </c>
      <c r="K42" s="50">
        <v>0.0</v>
      </c>
      <c r="L42" s="50">
        <v>0.0</v>
      </c>
      <c r="M42" s="50">
        <v>0.0</v>
      </c>
      <c r="N42" s="50">
        <v>0.0</v>
      </c>
      <c r="O42" s="50">
        <v>0.0</v>
      </c>
      <c r="P42" s="50">
        <v>0.0</v>
      </c>
      <c r="Q42" s="50">
        <v>0.0</v>
      </c>
      <c r="R42" s="50">
        <v>0.0</v>
      </c>
      <c r="S42" s="50">
        <v>0.0</v>
      </c>
      <c r="T42" s="50">
        <v>2.8125</v>
      </c>
      <c r="U42" s="50">
        <v>9.9</v>
      </c>
      <c r="V42" s="50">
        <v>5.625</v>
      </c>
      <c r="W42" s="50">
        <v>0.0</v>
      </c>
      <c r="X42" s="50">
        <v>2.8125</v>
      </c>
      <c r="Y42" s="50">
        <v>21.15</v>
      </c>
    </row>
    <row r="43">
      <c r="A43" s="26">
        <v>37.0</v>
      </c>
      <c r="B43" s="65">
        <v>0.19513288319063044</v>
      </c>
      <c r="C43" s="65">
        <v>1.1534301961061344</v>
      </c>
      <c r="D43" s="65">
        <v>-1.785756232597088</v>
      </c>
      <c r="E43" s="65">
        <v>1.2288657195578496</v>
      </c>
      <c r="F43" s="65">
        <v>4.05964025131512</v>
      </c>
      <c r="G43" s="50">
        <v>0.0</v>
      </c>
      <c r="H43" s="50">
        <v>0.0</v>
      </c>
      <c r="I43" s="50">
        <v>0.0</v>
      </c>
      <c r="J43" s="50">
        <v>0.0</v>
      </c>
      <c r="K43" s="50">
        <v>0.0</v>
      </c>
      <c r="L43" s="50">
        <v>0.0</v>
      </c>
      <c r="M43" s="50">
        <v>0.0</v>
      </c>
      <c r="N43" s="50">
        <v>0.0</v>
      </c>
      <c r="O43" s="50">
        <v>0.0</v>
      </c>
      <c r="P43" s="50">
        <v>0.0</v>
      </c>
      <c r="Q43" s="50">
        <v>0.0</v>
      </c>
      <c r="R43" s="50">
        <v>0.0</v>
      </c>
      <c r="S43" s="50">
        <v>0.0</v>
      </c>
      <c r="T43" s="50">
        <v>2.8125</v>
      </c>
      <c r="U43" s="50">
        <v>0.0</v>
      </c>
      <c r="V43" s="50">
        <v>5.625</v>
      </c>
      <c r="W43" s="50">
        <v>0.0</v>
      </c>
      <c r="X43" s="50">
        <v>2.8125</v>
      </c>
      <c r="Y43" s="50">
        <v>11.25</v>
      </c>
    </row>
    <row r="44">
      <c r="A44" s="26">
        <v>38.0</v>
      </c>
      <c r="B44" s="65">
        <v>0.45761744453879216</v>
      </c>
      <c r="C44" s="65">
        <v>1.0789817977552716</v>
      </c>
      <c r="D44" s="65">
        <v>1.4435852638242719</v>
      </c>
      <c r="E44" s="65">
        <v>-1.2028929649461066</v>
      </c>
      <c r="F44" s="65">
        <v>4.424478809394069</v>
      </c>
      <c r="G44" s="50">
        <v>0.0</v>
      </c>
      <c r="H44" s="50">
        <v>0.0</v>
      </c>
      <c r="I44" s="50">
        <v>0.0</v>
      </c>
      <c r="J44" s="50">
        <v>0.0</v>
      </c>
      <c r="K44" s="50">
        <v>0.0</v>
      </c>
      <c r="L44" s="50">
        <v>0.0</v>
      </c>
      <c r="M44" s="50">
        <v>0.0</v>
      </c>
      <c r="N44" s="50">
        <v>0.0</v>
      </c>
      <c r="O44" s="50">
        <v>0.0</v>
      </c>
      <c r="P44" s="50">
        <v>0.0</v>
      </c>
      <c r="Q44" s="50">
        <v>0.0</v>
      </c>
      <c r="R44" s="50">
        <v>0.0</v>
      </c>
      <c r="S44" s="50">
        <v>0.0</v>
      </c>
      <c r="T44" s="50">
        <v>2.8125</v>
      </c>
      <c r="U44" s="50">
        <v>0.0</v>
      </c>
      <c r="V44" s="50">
        <v>0.0</v>
      </c>
      <c r="W44" s="50">
        <v>0.0</v>
      </c>
      <c r="X44" s="50">
        <v>2.8125</v>
      </c>
      <c r="Y44" s="50">
        <v>5.625</v>
      </c>
    </row>
    <row r="45">
      <c r="A45" s="26">
        <v>39.0</v>
      </c>
      <c r="B45" s="65">
        <v>-0.12334760894933684</v>
      </c>
      <c r="C45" s="65">
        <v>-0.13491946644850009</v>
      </c>
      <c r="D45" s="65">
        <v>1.4735017229501537</v>
      </c>
      <c r="E45" s="65">
        <v>1.3060954292750067</v>
      </c>
      <c r="F45" s="65">
        <v>0.6018135946535637</v>
      </c>
      <c r="G45" s="50">
        <v>0.0</v>
      </c>
      <c r="H45" s="50">
        <v>0.0</v>
      </c>
      <c r="I45" s="50">
        <v>0.0</v>
      </c>
      <c r="J45" s="50">
        <v>0.0</v>
      </c>
      <c r="K45" s="50">
        <v>0.0</v>
      </c>
      <c r="L45" s="50">
        <v>0.0</v>
      </c>
      <c r="M45" s="50">
        <v>0.0</v>
      </c>
      <c r="N45" s="50">
        <v>0.0</v>
      </c>
      <c r="O45" s="50">
        <v>7.425000000000001</v>
      </c>
      <c r="P45" s="50">
        <v>0.0</v>
      </c>
      <c r="Q45" s="50">
        <v>0.0</v>
      </c>
      <c r="R45" s="50">
        <v>0.0</v>
      </c>
      <c r="S45" s="50">
        <v>0.0</v>
      </c>
      <c r="T45" s="50">
        <v>2.8125</v>
      </c>
      <c r="U45" s="50">
        <v>0.0</v>
      </c>
      <c r="V45" s="50">
        <v>0.0</v>
      </c>
      <c r="W45" s="50">
        <v>0.0</v>
      </c>
      <c r="X45" s="50">
        <v>0.0</v>
      </c>
      <c r="Y45" s="50">
        <v>10.2375</v>
      </c>
    </row>
    <row r="46">
      <c r="A46" s="26">
        <v>40.0</v>
      </c>
      <c r="B46" s="65">
        <v>0.1858506877898186</v>
      </c>
      <c r="C46" s="65">
        <v>0.3207806679420573</v>
      </c>
      <c r="D46" s="65">
        <v>1.6493982135354044</v>
      </c>
      <c r="E46" s="65">
        <v>-0.6186214519125763</v>
      </c>
      <c r="F46" s="65">
        <v>5.202319323842393</v>
      </c>
      <c r="G46" s="50">
        <v>0.0</v>
      </c>
      <c r="H46" s="50">
        <v>0.0</v>
      </c>
      <c r="I46" s="50">
        <v>0.0</v>
      </c>
      <c r="J46" s="50">
        <v>0.0</v>
      </c>
      <c r="K46" s="50">
        <v>0.0</v>
      </c>
      <c r="L46" s="50">
        <v>0.0</v>
      </c>
      <c r="M46" s="50">
        <v>0.0</v>
      </c>
      <c r="N46" s="50">
        <v>0.0</v>
      </c>
      <c r="O46" s="50">
        <v>0.0</v>
      </c>
      <c r="P46" s="50">
        <v>0.0</v>
      </c>
      <c r="Q46" s="50">
        <v>0.0</v>
      </c>
      <c r="R46" s="50">
        <v>0.0</v>
      </c>
      <c r="S46" s="50">
        <v>0.0</v>
      </c>
      <c r="T46" s="50">
        <v>2.8125</v>
      </c>
      <c r="U46" s="50">
        <v>0.0</v>
      </c>
      <c r="V46" s="50">
        <v>5.625</v>
      </c>
      <c r="W46" s="50">
        <v>0.0</v>
      </c>
      <c r="X46" s="50">
        <v>2.8125</v>
      </c>
      <c r="Y46" s="50">
        <v>11.25</v>
      </c>
    </row>
    <row r="47">
      <c r="A47" s="26">
        <v>41.0</v>
      </c>
      <c r="B47" s="65">
        <v>1.1965714824840055</v>
      </c>
      <c r="C47" s="65">
        <v>-0.9965158859001492</v>
      </c>
      <c r="D47" s="65">
        <v>1.7309449444230576</v>
      </c>
      <c r="E47" s="65">
        <v>0.4393601611638463</v>
      </c>
      <c r="F47" s="65">
        <v>0.684286464925064</v>
      </c>
      <c r="G47" s="50">
        <v>0.0</v>
      </c>
      <c r="H47" s="50">
        <v>0.0</v>
      </c>
      <c r="I47" s="50">
        <v>0.0</v>
      </c>
      <c r="J47" s="50">
        <v>0.0</v>
      </c>
      <c r="K47" s="50">
        <v>0.0</v>
      </c>
      <c r="L47" s="50">
        <v>0.0</v>
      </c>
      <c r="M47" s="50">
        <v>0.0</v>
      </c>
      <c r="N47" s="50">
        <v>0.0</v>
      </c>
      <c r="O47" s="50">
        <v>0.0</v>
      </c>
      <c r="P47" s="50">
        <v>0.0</v>
      </c>
      <c r="Q47" s="50">
        <v>0.0</v>
      </c>
      <c r="R47" s="50">
        <v>0.0</v>
      </c>
      <c r="S47" s="50">
        <v>0.0</v>
      </c>
      <c r="T47" s="50">
        <v>2.8125</v>
      </c>
      <c r="U47" s="50">
        <v>0.0</v>
      </c>
      <c r="V47" s="50">
        <v>0.0</v>
      </c>
      <c r="W47" s="50">
        <v>0.0</v>
      </c>
      <c r="X47" s="50">
        <v>2.8125</v>
      </c>
      <c r="Y47" s="50">
        <v>5.625</v>
      </c>
    </row>
    <row r="48">
      <c r="A48" s="26">
        <v>42.0</v>
      </c>
      <c r="B48" s="65">
        <v>-1.58412937183549</v>
      </c>
      <c r="C48" s="65">
        <v>0.5538489470916078</v>
      </c>
      <c r="D48" s="65">
        <v>-1.3144050393730307</v>
      </c>
      <c r="E48" s="65">
        <v>-1.8430628824457107</v>
      </c>
      <c r="F48" s="65">
        <v>8.750893860084894</v>
      </c>
      <c r="G48" s="50">
        <v>0.0</v>
      </c>
      <c r="H48" s="50">
        <v>0.0</v>
      </c>
      <c r="I48" s="50">
        <v>0.0</v>
      </c>
      <c r="J48" s="50">
        <v>0.0</v>
      </c>
      <c r="K48" s="50">
        <v>0.0</v>
      </c>
      <c r="L48" s="50">
        <v>0.0</v>
      </c>
      <c r="M48" s="50">
        <v>0.0</v>
      </c>
      <c r="N48" s="50">
        <v>0.0</v>
      </c>
      <c r="O48" s="50">
        <v>0.0</v>
      </c>
      <c r="P48" s="50">
        <v>0.0</v>
      </c>
      <c r="Q48" s="50">
        <v>0.0</v>
      </c>
      <c r="R48" s="50">
        <v>0.0</v>
      </c>
      <c r="S48" s="50">
        <v>0.0</v>
      </c>
      <c r="T48" s="50">
        <v>2.8125</v>
      </c>
      <c r="U48" s="50">
        <v>0.0</v>
      </c>
      <c r="V48" s="50">
        <v>5.625</v>
      </c>
      <c r="W48" s="50">
        <v>4.95</v>
      </c>
      <c r="X48" s="50">
        <v>2.8125</v>
      </c>
      <c r="Y48" s="50">
        <v>16.2</v>
      </c>
    </row>
    <row r="49">
      <c r="A49" s="26">
        <v>43.0</v>
      </c>
      <c r="B49" s="65">
        <v>0.9152733328453241</v>
      </c>
      <c r="C49" s="65">
        <v>-1.9415882863393323</v>
      </c>
      <c r="D49" s="65">
        <v>-1.307922361732032</v>
      </c>
      <c r="E49" s="65">
        <v>0.14304535428575946</v>
      </c>
      <c r="F49" s="65">
        <v>9.040183939129935</v>
      </c>
      <c r="G49" s="50">
        <v>0.0</v>
      </c>
      <c r="H49" s="50">
        <v>0.0</v>
      </c>
      <c r="I49" s="50">
        <v>0.0</v>
      </c>
      <c r="J49" s="50">
        <v>0.0</v>
      </c>
      <c r="K49" s="50">
        <v>0.0</v>
      </c>
      <c r="L49" s="50">
        <v>0.0</v>
      </c>
      <c r="M49" s="50">
        <v>0.0</v>
      </c>
      <c r="N49" s="50">
        <v>0.0</v>
      </c>
      <c r="O49" s="50">
        <v>0.0</v>
      </c>
      <c r="P49" s="50">
        <v>0.0</v>
      </c>
      <c r="Q49" s="50">
        <v>0.0</v>
      </c>
      <c r="R49" s="50">
        <v>0.0</v>
      </c>
      <c r="S49" s="50">
        <v>0.0</v>
      </c>
      <c r="T49" s="50">
        <v>2.8125</v>
      </c>
      <c r="U49" s="50">
        <v>0.0</v>
      </c>
      <c r="V49" s="50">
        <v>0.0</v>
      </c>
      <c r="W49" s="50">
        <v>0.0</v>
      </c>
      <c r="X49" s="50">
        <v>2.8125</v>
      </c>
      <c r="Y49" s="50">
        <v>5.625</v>
      </c>
    </row>
    <row r="50">
      <c r="A50" s="26">
        <v>44.0</v>
      </c>
      <c r="B50" s="65">
        <v>0.993167755813299</v>
      </c>
      <c r="C50" s="65">
        <v>0.15035265496659736</v>
      </c>
      <c r="D50" s="65">
        <v>-1.3572608826629702</v>
      </c>
      <c r="E50" s="65">
        <v>0.7130715640480616</v>
      </c>
      <c r="F50" s="65">
        <v>4.719489889219744</v>
      </c>
      <c r="G50" s="50">
        <v>0.0</v>
      </c>
      <c r="H50" s="50">
        <v>0.0</v>
      </c>
      <c r="I50" s="50">
        <v>0.0</v>
      </c>
      <c r="J50" s="50">
        <v>0.0</v>
      </c>
      <c r="K50" s="50">
        <v>0.0</v>
      </c>
      <c r="L50" s="50">
        <v>0.0</v>
      </c>
      <c r="M50" s="50">
        <v>0.0</v>
      </c>
      <c r="N50" s="50">
        <v>0.0</v>
      </c>
      <c r="O50" s="50">
        <v>0.0</v>
      </c>
      <c r="P50" s="50">
        <v>0.0</v>
      </c>
      <c r="Q50" s="50">
        <v>0.0</v>
      </c>
      <c r="R50" s="50">
        <v>0.0</v>
      </c>
      <c r="S50" s="50">
        <v>0.0</v>
      </c>
      <c r="T50" s="50">
        <v>2.8125</v>
      </c>
      <c r="U50" s="50">
        <v>0.0</v>
      </c>
      <c r="V50" s="50">
        <v>0.0</v>
      </c>
      <c r="W50" s="50">
        <v>0.0</v>
      </c>
      <c r="X50" s="50">
        <v>2.8125</v>
      </c>
      <c r="Y50" s="50">
        <v>5.625</v>
      </c>
    </row>
    <row r="51">
      <c r="A51" s="26">
        <v>45.0</v>
      </c>
      <c r="B51" s="65">
        <v>1.0193831584680078</v>
      </c>
      <c r="C51" s="65">
        <v>-0.07780589086494225</v>
      </c>
      <c r="D51" s="65">
        <v>0.36747098719383897</v>
      </c>
      <c r="E51" s="65">
        <v>0.007842260037917053</v>
      </c>
      <c r="F51" s="65">
        <v>7.923875848110259</v>
      </c>
      <c r="G51" s="50">
        <v>0.0</v>
      </c>
      <c r="H51" s="50">
        <v>0.0</v>
      </c>
      <c r="I51" s="50">
        <v>0.0</v>
      </c>
      <c r="J51" s="50">
        <v>0.0</v>
      </c>
      <c r="K51" s="50">
        <v>0.0</v>
      </c>
      <c r="L51" s="50">
        <v>0.0</v>
      </c>
      <c r="M51" s="50">
        <v>0.0</v>
      </c>
      <c r="N51" s="50">
        <v>0.0</v>
      </c>
      <c r="O51" s="50">
        <v>0.0</v>
      </c>
      <c r="P51" s="50">
        <v>0.0</v>
      </c>
      <c r="Q51" s="50">
        <v>0.0</v>
      </c>
      <c r="R51" s="50">
        <v>0.0</v>
      </c>
      <c r="S51" s="50">
        <v>0.0</v>
      </c>
      <c r="T51" s="50">
        <v>2.8125</v>
      </c>
      <c r="U51" s="50">
        <v>9.9</v>
      </c>
      <c r="V51" s="50">
        <v>0.0</v>
      </c>
      <c r="W51" s="50">
        <v>0.0</v>
      </c>
      <c r="X51" s="50">
        <v>2.8125</v>
      </c>
      <c r="Y51" s="50">
        <v>15.525</v>
      </c>
    </row>
    <row r="52">
      <c r="A52" s="26">
        <v>46.0</v>
      </c>
      <c r="B52" s="65">
        <v>0.9504146216724515</v>
      </c>
      <c r="C52" s="65">
        <v>-1.1285786101287325</v>
      </c>
      <c r="D52" s="65">
        <v>-0.31910194496901556</v>
      </c>
      <c r="E52" s="65">
        <v>-0.35691812443638615</v>
      </c>
      <c r="F52" s="65">
        <v>3.6292157771685836</v>
      </c>
      <c r="G52" s="50">
        <v>0.0</v>
      </c>
      <c r="H52" s="50">
        <v>0.0</v>
      </c>
      <c r="I52" s="50">
        <v>0.0</v>
      </c>
      <c r="J52" s="50">
        <v>0.0</v>
      </c>
      <c r="K52" s="50">
        <v>0.0</v>
      </c>
      <c r="L52" s="50">
        <v>0.0</v>
      </c>
      <c r="M52" s="50">
        <v>0.0</v>
      </c>
      <c r="N52" s="50">
        <v>0.0</v>
      </c>
      <c r="O52" s="50">
        <v>0.0</v>
      </c>
      <c r="P52" s="50">
        <v>0.0</v>
      </c>
      <c r="Q52" s="50">
        <v>0.0</v>
      </c>
      <c r="R52" s="50">
        <v>0.0</v>
      </c>
      <c r="S52" s="50">
        <v>0.0</v>
      </c>
      <c r="T52" s="50">
        <v>2.8125</v>
      </c>
      <c r="U52" s="50">
        <v>0.0</v>
      </c>
      <c r="V52" s="50">
        <v>0.0</v>
      </c>
      <c r="W52" s="50">
        <v>0.0</v>
      </c>
      <c r="X52" s="50">
        <v>2.8125</v>
      </c>
      <c r="Y52" s="50">
        <v>5.625</v>
      </c>
    </row>
    <row r="53">
      <c r="A53" s="26">
        <v>47.0</v>
      </c>
      <c r="B53" s="65">
        <v>-0.18860835825956904</v>
      </c>
      <c r="C53" s="65">
        <v>-0.785128730021261</v>
      </c>
      <c r="D53" s="65">
        <v>0.7524699875295848</v>
      </c>
      <c r="E53" s="65">
        <v>-0.7286654151481196</v>
      </c>
      <c r="F53" s="65">
        <v>10.013371258642607</v>
      </c>
      <c r="G53" s="50">
        <v>0.0</v>
      </c>
      <c r="H53" s="50">
        <v>0.0</v>
      </c>
      <c r="I53" s="50">
        <v>0.0</v>
      </c>
      <c r="J53" s="50">
        <v>0.0</v>
      </c>
      <c r="K53" s="50">
        <v>0.0</v>
      </c>
      <c r="L53" s="50">
        <v>0.0</v>
      </c>
      <c r="M53" s="50">
        <v>0.0</v>
      </c>
      <c r="N53" s="50">
        <v>0.0</v>
      </c>
      <c r="O53" s="50">
        <v>0.0</v>
      </c>
      <c r="P53" s="50">
        <v>0.0</v>
      </c>
      <c r="Q53" s="50">
        <v>0.0</v>
      </c>
      <c r="R53" s="50">
        <v>0.0</v>
      </c>
      <c r="S53" s="50">
        <v>0.0</v>
      </c>
      <c r="T53" s="50">
        <v>2.8125</v>
      </c>
      <c r="U53" s="50">
        <v>0.0</v>
      </c>
      <c r="V53" s="50">
        <v>5.625</v>
      </c>
      <c r="W53" s="50">
        <v>0.0</v>
      </c>
      <c r="X53" s="50">
        <v>2.8125</v>
      </c>
      <c r="Y53" s="50">
        <v>11.25</v>
      </c>
    </row>
    <row r="54">
      <c r="A54" s="26">
        <v>48.0</v>
      </c>
      <c r="B54" s="65">
        <v>0.46225655490029993</v>
      </c>
      <c r="C54" s="65">
        <v>1.1317312573479605</v>
      </c>
      <c r="D54" s="65">
        <v>-0.2660154176223235</v>
      </c>
      <c r="E54" s="65">
        <v>-0.3484986467623768</v>
      </c>
      <c r="F54" s="65">
        <v>3.053367433021277</v>
      </c>
      <c r="G54" s="50">
        <v>0.0</v>
      </c>
      <c r="H54" s="50">
        <v>0.0</v>
      </c>
      <c r="I54" s="50">
        <v>0.0</v>
      </c>
      <c r="J54" s="50">
        <v>0.0</v>
      </c>
      <c r="K54" s="50">
        <v>0.0</v>
      </c>
      <c r="L54" s="50">
        <v>0.0</v>
      </c>
      <c r="M54" s="50">
        <v>0.0</v>
      </c>
      <c r="N54" s="50">
        <v>0.0</v>
      </c>
      <c r="O54" s="50">
        <v>0.0</v>
      </c>
      <c r="P54" s="50">
        <v>0.0</v>
      </c>
      <c r="Q54" s="50">
        <v>0.0</v>
      </c>
      <c r="R54" s="50">
        <v>0.0</v>
      </c>
      <c r="S54" s="50">
        <v>0.0</v>
      </c>
      <c r="T54" s="50">
        <v>2.8125</v>
      </c>
      <c r="U54" s="50">
        <v>0.0</v>
      </c>
      <c r="V54" s="50">
        <v>0.0</v>
      </c>
      <c r="W54" s="50">
        <v>0.0</v>
      </c>
      <c r="X54" s="50">
        <v>2.8125</v>
      </c>
      <c r="Y54" s="50">
        <v>5.625</v>
      </c>
    </row>
    <row r="55">
      <c r="A55" s="26">
        <v>49.0</v>
      </c>
      <c r="B55" s="65">
        <v>-0.8270895429352887</v>
      </c>
      <c r="C55" s="65">
        <v>-1.4360802560547714</v>
      </c>
      <c r="D55" s="65">
        <v>0.6514752586498332</v>
      </c>
      <c r="E55" s="65">
        <v>-0.4870403009564743</v>
      </c>
      <c r="F55" s="65">
        <v>4.899149647238105</v>
      </c>
      <c r="G55" s="50">
        <v>0.0</v>
      </c>
      <c r="H55" s="50">
        <v>0.0</v>
      </c>
      <c r="I55" s="50">
        <v>0.0</v>
      </c>
      <c r="J55" s="50">
        <v>0.0</v>
      </c>
      <c r="K55" s="50">
        <v>0.0</v>
      </c>
      <c r="L55" s="50">
        <v>0.0</v>
      </c>
      <c r="M55" s="50">
        <v>0.0</v>
      </c>
      <c r="N55" s="50">
        <v>0.0</v>
      </c>
      <c r="O55" s="50">
        <v>0.0</v>
      </c>
      <c r="P55" s="50">
        <v>0.0</v>
      </c>
      <c r="Q55" s="50">
        <v>0.0</v>
      </c>
      <c r="R55" s="50">
        <v>0.0</v>
      </c>
      <c r="S55" s="50">
        <v>0.0</v>
      </c>
      <c r="T55" s="50">
        <v>2.8125</v>
      </c>
      <c r="U55" s="50">
        <v>0.0</v>
      </c>
      <c r="V55" s="50">
        <v>5.625</v>
      </c>
      <c r="W55" s="50">
        <v>0.0</v>
      </c>
      <c r="X55" s="50">
        <v>2.8125</v>
      </c>
      <c r="Y55" s="50">
        <v>11.25</v>
      </c>
    </row>
    <row r="56">
      <c r="A56" s="26">
        <v>50.0</v>
      </c>
      <c r="B56" s="65">
        <v>1.1957196221624382</v>
      </c>
      <c r="C56" s="65">
        <v>-0.2898930891252716</v>
      </c>
      <c r="D56" s="65">
        <v>1.1900654938991568</v>
      </c>
      <c r="E56" s="65">
        <v>-1.653467117458097</v>
      </c>
      <c r="F56" s="65">
        <v>6.275165275327863</v>
      </c>
      <c r="G56" s="50">
        <v>0.0</v>
      </c>
      <c r="H56" s="50">
        <v>0.0</v>
      </c>
      <c r="I56" s="50">
        <v>0.0</v>
      </c>
      <c r="J56" s="50">
        <v>0.0</v>
      </c>
      <c r="K56" s="50">
        <v>0.0</v>
      </c>
      <c r="L56" s="50">
        <v>0.0</v>
      </c>
      <c r="M56" s="50">
        <v>0.0</v>
      </c>
      <c r="N56" s="50">
        <v>0.0</v>
      </c>
      <c r="O56" s="50">
        <v>0.0</v>
      </c>
      <c r="P56" s="50">
        <v>0.0</v>
      </c>
      <c r="Q56" s="50">
        <v>0.0</v>
      </c>
      <c r="R56" s="50">
        <v>0.0</v>
      </c>
      <c r="S56" s="50">
        <v>0.0</v>
      </c>
      <c r="T56" s="50">
        <v>2.8125</v>
      </c>
      <c r="U56" s="50">
        <v>0.0</v>
      </c>
      <c r="V56" s="50">
        <v>0.0</v>
      </c>
      <c r="W56" s="50">
        <v>0.0</v>
      </c>
      <c r="X56" s="50">
        <v>2.8125</v>
      </c>
      <c r="Y56" s="50">
        <v>5.625</v>
      </c>
    </row>
    <row r="57">
      <c r="A57" s="26">
        <v>51.0</v>
      </c>
      <c r="B57" s="65">
        <v>-0.15431804244784497</v>
      </c>
      <c r="C57" s="65">
        <v>1.0042284163615</v>
      </c>
      <c r="D57" s="65">
        <v>-0.9138854845413403</v>
      </c>
      <c r="E57" s="65">
        <v>-0.6039240140150683</v>
      </c>
      <c r="F57" s="65">
        <v>3.0451792716996735</v>
      </c>
      <c r="G57" s="50">
        <v>0.0</v>
      </c>
      <c r="H57" s="50">
        <v>0.0</v>
      </c>
      <c r="I57" s="50">
        <v>0.0</v>
      </c>
      <c r="J57" s="50">
        <v>0.0</v>
      </c>
      <c r="K57" s="50">
        <v>0.0</v>
      </c>
      <c r="L57" s="50">
        <v>0.0</v>
      </c>
      <c r="M57" s="50">
        <v>0.0</v>
      </c>
      <c r="N57" s="50">
        <v>0.0</v>
      </c>
      <c r="O57" s="50">
        <v>0.0</v>
      </c>
      <c r="P57" s="50">
        <v>0.0</v>
      </c>
      <c r="Q57" s="50">
        <v>0.0</v>
      </c>
      <c r="R57" s="50">
        <v>0.0</v>
      </c>
      <c r="S57" s="50">
        <v>0.0</v>
      </c>
      <c r="T57" s="50">
        <v>2.8125</v>
      </c>
      <c r="U57" s="50">
        <v>0.0</v>
      </c>
      <c r="V57" s="50">
        <v>5.625</v>
      </c>
      <c r="W57" s="50">
        <v>0.0</v>
      </c>
      <c r="X57" s="50">
        <v>2.8125</v>
      </c>
      <c r="Y57" s="50">
        <v>11.25</v>
      </c>
    </row>
    <row r="58">
      <c r="A58" s="26">
        <v>52.0</v>
      </c>
      <c r="B58" s="65">
        <v>-0.10677865575617033</v>
      </c>
      <c r="C58" s="65">
        <v>1.5073233125014083</v>
      </c>
      <c r="D58" s="65">
        <v>-0.07080188868517767</v>
      </c>
      <c r="E58" s="65">
        <v>-0.17549684236910332</v>
      </c>
      <c r="F58" s="65">
        <v>8.244006368072144</v>
      </c>
      <c r="G58" s="50">
        <v>0.0</v>
      </c>
      <c r="H58" s="50">
        <v>0.0</v>
      </c>
      <c r="I58" s="50">
        <v>0.0</v>
      </c>
      <c r="J58" s="50">
        <v>0.0</v>
      </c>
      <c r="K58" s="50">
        <v>0.0</v>
      </c>
      <c r="L58" s="50">
        <v>0.0</v>
      </c>
      <c r="M58" s="50">
        <v>0.0</v>
      </c>
      <c r="N58" s="50">
        <v>0.0</v>
      </c>
      <c r="O58" s="50">
        <v>0.0</v>
      </c>
      <c r="P58" s="50">
        <v>0.0</v>
      </c>
      <c r="Q58" s="50">
        <v>0.0</v>
      </c>
      <c r="R58" s="50">
        <v>0.0</v>
      </c>
      <c r="S58" s="50">
        <v>0.0</v>
      </c>
      <c r="T58" s="50">
        <v>2.8125</v>
      </c>
      <c r="U58" s="50">
        <v>0.0</v>
      </c>
      <c r="V58" s="50">
        <v>0.0</v>
      </c>
      <c r="W58" s="50">
        <v>0.0</v>
      </c>
      <c r="X58" s="50">
        <v>2.8125</v>
      </c>
      <c r="Y58" s="50">
        <v>5.625</v>
      </c>
    </row>
    <row r="59">
      <c r="A59" s="26">
        <v>53.0</v>
      </c>
      <c r="B59" s="65">
        <v>-2.631905986025307</v>
      </c>
      <c r="C59" s="65">
        <v>-0.46779196917785354</v>
      </c>
      <c r="D59" s="65">
        <v>0.2675262191755477</v>
      </c>
      <c r="E59" s="65">
        <v>0.8031738363665677</v>
      </c>
      <c r="F59" s="65">
        <v>3.5820514199145173</v>
      </c>
      <c r="G59" s="50">
        <v>0.0</v>
      </c>
      <c r="H59" s="50">
        <v>0.0</v>
      </c>
      <c r="I59" s="50">
        <v>0.0</v>
      </c>
      <c r="J59" s="50">
        <v>0.0</v>
      </c>
      <c r="K59" s="50">
        <v>0.0</v>
      </c>
      <c r="L59" s="50">
        <v>0.0</v>
      </c>
      <c r="M59" s="50">
        <v>0.0</v>
      </c>
      <c r="N59" s="50">
        <v>0.0</v>
      </c>
      <c r="O59" s="50">
        <v>0.0</v>
      </c>
      <c r="P59" s="50">
        <v>2.475</v>
      </c>
      <c r="Q59" s="50">
        <v>0.0</v>
      </c>
      <c r="R59" s="50">
        <v>0.0</v>
      </c>
      <c r="S59" s="50">
        <v>0.0</v>
      </c>
      <c r="T59" s="50">
        <v>2.8125</v>
      </c>
      <c r="U59" s="50">
        <v>0.0</v>
      </c>
      <c r="V59" s="50">
        <v>0.0</v>
      </c>
      <c r="W59" s="50">
        <v>0.0</v>
      </c>
      <c r="X59" s="50">
        <v>2.8125</v>
      </c>
      <c r="Y59" s="50">
        <v>8.1</v>
      </c>
    </row>
    <row r="60">
      <c r="A60" s="26">
        <v>54.0</v>
      </c>
      <c r="B60" s="65">
        <v>-0.9903128549728593</v>
      </c>
      <c r="C60" s="65">
        <v>0.3982158133523507</v>
      </c>
      <c r="D60" s="65">
        <v>-0.12292989912544265</v>
      </c>
      <c r="E60" s="65">
        <v>-0.9536288568961504</v>
      </c>
      <c r="F60" s="65">
        <v>8.82174674806264</v>
      </c>
      <c r="G60" s="50">
        <v>0.0</v>
      </c>
      <c r="H60" s="50">
        <v>0.0</v>
      </c>
      <c r="I60" s="50">
        <v>0.0</v>
      </c>
      <c r="J60" s="50">
        <v>0.0</v>
      </c>
      <c r="K60" s="50">
        <v>0.0</v>
      </c>
      <c r="L60" s="50">
        <v>0.0</v>
      </c>
      <c r="M60" s="50">
        <v>0.0</v>
      </c>
      <c r="N60" s="50">
        <v>0.0</v>
      </c>
      <c r="O60" s="50">
        <v>0.0</v>
      </c>
      <c r="P60" s="50">
        <v>0.0</v>
      </c>
      <c r="Q60" s="50">
        <v>0.0</v>
      </c>
      <c r="R60" s="50">
        <v>0.0</v>
      </c>
      <c r="S60" s="50">
        <v>0.0</v>
      </c>
      <c r="T60" s="50">
        <v>2.8125</v>
      </c>
      <c r="U60" s="50">
        <v>0.0</v>
      </c>
      <c r="V60" s="50">
        <v>0.0</v>
      </c>
      <c r="W60" s="50">
        <v>0.0</v>
      </c>
      <c r="X60" s="50">
        <v>2.8125</v>
      </c>
      <c r="Y60" s="50">
        <v>5.625</v>
      </c>
    </row>
    <row r="61">
      <c r="A61" s="26">
        <v>55.0</v>
      </c>
      <c r="B61" s="65">
        <v>-0.1764443384880349</v>
      </c>
      <c r="C61" s="65">
        <v>-0.4729656508966331</v>
      </c>
      <c r="D61" s="65">
        <v>0.8645265835628955</v>
      </c>
      <c r="E61" s="65">
        <v>0.6024208868984631</v>
      </c>
      <c r="F61" s="65">
        <v>5.6179090547774795</v>
      </c>
      <c r="G61" s="50">
        <v>0.0</v>
      </c>
      <c r="H61" s="50">
        <v>0.0</v>
      </c>
      <c r="I61" s="50">
        <v>0.0</v>
      </c>
      <c r="J61" s="50">
        <v>0.0</v>
      </c>
      <c r="K61" s="50">
        <v>0.0</v>
      </c>
      <c r="L61" s="50">
        <v>0.0</v>
      </c>
      <c r="M61" s="50">
        <v>0.0</v>
      </c>
      <c r="N61" s="50">
        <v>0.0</v>
      </c>
      <c r="O61" s="50">
        <v>7.425000000000001</v>
      </c>
      <c r="P61" s="50">
        <v>0.0</v>
      </c>
      <c r="Q61" s="50">
        <v>0.0</v>
      </c>
      <c r="R61" s="50">
        <v>0.0</v>
      </c>
      <c r="S61" s="50">
        <v>0.0</v>
      </c>
      <c r="T61" s="50">
        <v>2.8125</v>
      </c>
      <c r="U61" s="50">
        <v>0.0</v>
      </c>
      <c r="V61" s="50">
        <v>0.0</v>
      </c>
      <c r="W61" s="50">
        <v>0.0</v>
      </c>
      <c r="X61" s="50">
        <v>2.8125</v>
      </c>
      <c r="Y61" s="50">
        <v>13.05</v>
      </c>
    </row>
    <row r="62">
      <c r="A62" s="26">
        <v>56.0</v>
      </c>
      <c r="B62" s="65">
        <v>0.06243468087463278</v>
      </c>
      <c r="C62" s="65">
        <v>1.0353228592735402</v>
      </c>
      <c r="D62" s="65">
        <v>2.8139942515165277</v>
      </c>
      <c r="E62" s="65">
        <v>0.47741865174706616</v>
      </c>
      <c r="F62" s="65">
        <v>2.84963578733919</v>
      </c>
      <c r="G62" s="50">
        <v>0.0</v>
      </c>
      <c r="H62" s="50">
        <v>0.0</v>
      </c>
      <c r="I62" s="50">
        <v>0.0</v>
      </c>
      <c r="J62" s="50">
        <v>0.0</v>
      </c>
      <c r="K62" s="50">
        <v>0.0</v>
      </c>
      <c r="L62" s="50">
        <v>0.0</v>
      </c>
      <c r="M62" s="50">
        <v>0.0</v>
      </c>
      <c r="N62" s="50">
        <v>0.0</v>
      </c>
      <c r="O62" s="50">
        <v>0.0</v>
      </c>
      <c r="P62" s="50">
        <v>0.0</v>
      </c>
      <c r="Q62" s="50">
        <v>0.0</v>
      </c>
      <c r="R62" s="50">
        <v>0.0</v>
      </c>
      <c r="S62" s="50">
        <v>0.0</v>
      </c>
      <c r="T62" s="50">
        <v>2.8125</v>
      </c>
      <c r="U62" s="50">
        <v>0.0</v>
      </c>
      <c r="V62" s="50">
        <v>5.625</v>
      </c>
      <c r="W62" s="50">
        <v>0.0</v>
      </c>
      <c r="X62" s="50">
        <v>2.8125</v>
      </c>
      <c r="Y62" s="50">
        <v>11.25</v>
      </c>
    </row>
    <row r="63">
      <c r="A63" s="26">
        <v>57.0</v>
      </c>
      <c r="B63" s="65">
        <v>-1.1335670463026182</v>
      </c>
      <c r="C63" s="65">
        <v>0.22654430992605115</v>
      </c>
      <c r="D63" s="65">
        <v>-0.1713055467159413</v>
      </c>
      <c r="E63" s="65">
        <v>0.933280622106932</v>
      </c>
      <c r="F63" s="65">
        <v>7.0452436824834095</v>
      </c>
      <c r="G63" s="50">
        <v>0.0</v>
      </c>
      <c r="H63" s="50">
        <v>0.0</v>
      </c>
      <c r="I63" s="50">
        <v>0.0</v>
      </c>
      <c r="J63" s="50">
        <v>0.0</v>
      </c>
      <c r="K63" s="50">
        <v>0.0</v>
      </c>
      <c r="L63" s="50">
        <v>0.0</v>
      </c>
      <c r="M63" s="50">
        <v>0.0</v>
      </c>
      <c r="N63" s="50">
        <v>0.0</v>
      </c>
      <c r="O63" s="50">
        <v>0.0</v>
      </c>
      <c r="P63" s="50">
        <v>0.0</v>
      </c>
      <c r="Q63" s="50">
        <v>0.0</v>
      </c>
      <c r="R63" s="50">
        <v>0.0</v>
      </c>
      <c r="S63" s="50">
        <v>0.0</v>
      </c>
      <c r="T63" s="50">
        <v>2.8125</v>
      </c>
      <c r="U63" s="50">
        <v>0.0</v>
      </c>
      <c r="V63" s="50">
        <v>0.0</v>
      </c>
      <c r="W63" s="50">
        <v>0.0</v>
      </c>
      <c r="X63" s="50">
        <v>2.8125</v>
      </c>
      <c r="Y63" s="50">
        <v>5.625</v>
      </c>
    </row>
    <row r="64">
      <c r="A64" s="26">
        <v>58.0</v>
      </c>
      <c r="B64" s="65">
        <v>0.21021746709599112</v>
      </c>
      <c r="C64" s="65">
        <v>0.8312897358851176</v>
      </c>
      <c r="D64" s="65">
        <v>1.844778405578745</v>
      </c>
      <c r="E64" s="65">
        <v>-0.018387426193365263</v>
      </c>
      <c r="F64" s="65">
        <v>8.281898604145336</v>
      </c>
      <c r="G64" s="50">
        <v>0.0</v>
      </c>
      <c r="H64" s="50">
        <v>0.0</v>
      </c>
      <c r="I64" s="50">
        <v>0.0</v>
      </c>
      <c r="J64" s="50">
        <v>0.0</v>
      </c>
      <c r="K64" s="50">
        <v>0.0</v>
      </c>
      <c r="L64" s="50">
        <v>0.0</v>
      </c>
      <c r="M64" s="50">
        <v>0.0</v>
      </c>
      <c r="N64" s="50">
        <v>0.0</v>
      </c>
      <c r="O64" s="50">
        <v>0.0</v>
      </c>
      <c r="P64" s="50">
        <v>0.0</v>
      </c>
      <c r="Q64" s="50">
        <v>0.0</v>
      </c>
      <c r="R64" s="50">
        <v>0.0</v>
      </c>
      <c r="S64" s="50">
        <v>0.0</v>
      </c>
      <c r="T64" s="50">
        <v>2.8125</v>
      </c>
      <c r="U64" s="50">
        <v>0.0</v>
      </c>
      <c r="V64" s="50">
        <v>0.0</v>
      </c>
      <c r="W64" s="50">
        <v>0.0</v>
      </c>
      <c r="X64" s="50">
        <v>2.8125</v>
      </c>
      <c r="Y64" s="50">
        <v>5.625</v>
      </c>
    </row>
    <row r="65">
      <c r="A65" s="26">
        <v>59.0</v>
      </c>
      <c r="B65" s="65">
        <v>2.057493056164259</v>
      </c>
      <c r="C65" s="65">
        <v>0.7177187734132977</v>
      </c>
      <c r="D65" s="65">
        <v>-1.5219288125426897</v>
      </c>
      <c r="E65" s="65">
        <v>-1.5417640961290149</v>
      </c>
      <c r="F65" s="65">
        <v>5.546037795247987</v>
      </c>
      <c r="G65" s="50">
        <v>0.0</v>
      </c>
      <c r="H65" s="50">
        <v>0.0</v>
      </c>
      <c r="I65" s="50">
        <v>0.0</v>
      </c>
      <c r="J65" s="50">
        <v>0.0</v>
      </c>
      <c r="K65" s="50">
        <v>0.0</v>
      </c>
      <c r="L65" s="50">
        <v>0.0</v>
      </c>
      <c r="M65" s="50">
        <v>0.0</v>
      </c>
      <c r="N65" s="50">
        <v>0.0</v>
      </c>
      <c r="O65" s="50">
        <v>0.0</v>
      </c>
      <c r="P65" s="50">
        <v>0.0</v>
      </c>
      <c r="Q65" s="50">
        <v>0.0</v>
      </c>
      <c r="R65" s="50">
        <v>9.9</v>
      </c>
      <c r="S65" s="50">
        <v>0.0</v>
      </c>
      <c r="T65" s="50">
        <v>2.8125</v>
      </c>
      <c r="U65" s="50">
        <v>0.0</v>
      </c>
      <c r="V65" s="50">
        <v>0.0</v>
      </c>
      <c r="W65" s="50">
        <v>0.0</v>
      </c>
      <c r="X65" s="50">
        <v>2.8125</v>
      </c>
      <c r="Y65" s="50">
        <v>15.525</v>
      </c>
    </row>
    <row r="66">
      <c r="A66" s="26">
        <v>60.0</v>
      </c>
      <c r="B66" s="65">
        <v>-1.5490084572582932</v>
      </c>
      <c r="C66" s="65">
        <v>-0.9127512964345064</v>
      </c>
      <c r="D66" s="65">
        <v>0.6863422073469294</v>
      </c>
      <c r="E66" s="65">
        <v>0.7282424722859844</v>
      </c>
      <c r="F66" s="65">
        <v>0.31060974327239016</v>
      </c>
      <c r="G66" s="50">
        <v>0.0</v>
      </c>
      <c r="H66" s="50">
        <v>0.0</v>
      </c>
      <c r="I66" s="50">
        <v>0.0</v>
      </c>
      <c r="J66" s="50">
        <v>9.0</v>
      </c>
      <c r="K66" s="50">
        <v>0.0</v>
      </c>
      <c r="L66" s="50">
        <v>4.5</v>
      </c>
      <c r="M66" s="50">
        <v>6.75</v>
      </c>
      <c r="N66" s="50">
        <v>13.5</v>
      </c>
      <c r="O66" s="50">
        <v>7.425000000000001</v>
      </c>
      <c r="P66" s="50">
        <v>0.0</v>
      </c>
      <c r="Q66" s="50">
        <v>13.5</v>
      </c>
      <c r="R66" s="50">
        <v>9.9</v>
      </c>
      <c r="S66" s="50">
        <v>11.25</v>
      </c>
      <c r="T66" s="50">
        <v>2.8125</v>
      </c>
      <c r="U66" s="50">
        <v>9.9</v>
      </c>
      <c r="V66" s="50">
        <v>5.625</v>
      </c>
      <c r="W66" s="50">
        <v>4.95</v>
      </c>
      <c r="X66" s="50">
        <v>2.8125</v>
      </c>
      <c r="Y66" s="50">
        <v>101.92500000000001</v>
      </c>
    </row>
    <row r="67">
      <c r="A67" s="26">
        <v>61.0</v>
      </c>
      <c r="B67" s="65">
        <v>-1.3992674218010077</v>
      </c>
      <c r="C67" s="65">
        <v>0.5256040670269292</v>
      </c>
      <c r="D67" s="65">
        <v>-0.5402375073700646</v>
      </c>
      <c r="E67" s="65">
        <v>0.009975633944425326</v>
      </c>
      <c r="F67" s="65">
        <v>6.173496692587904</v>
      </c>
      <c r="G67" s="50">
        <v>0.0</v>
      </c>
      <c r="H67" s="50">
        <v>0.0</v>
      </c>
      <c r="I67" s="50">
        <v>0.0</v>
      </c>
      <c r="J67" s="50">
        <v>0.0</v>
      </c>
      <c r="K67" s="50">
        <v>0.0</v>
      </c>
      <c r="L67" s="50">
        <v>0.0</v>
      </c>
      <c r="M67" s="50">
        <v>0.0</v>
      </c>
      <c r="N67" s="50">
        <v>0.0</v>
      </c>
      <c r="O67" s="50">
        <v>7.425000000000001</v>
      </c>
      <c r="P67" s="50">
        <v>0.0</v>
      </c>
      <c r="Q67" s="50">
        <v>0.0</v>
      </c>
      <c r="R67" s="50">
        <v>0.0</v>
      </c>
      <c r="S67" s="50">
        <v>0.0</v>
      </c>
      <c r="T67" s="50">
        <v>2.8125</v>
      </c>
      <c r="U67" s="50">
        <v>0.0</v>
      </c>
      <c r="V67" s="50">
        <v>5.625</v>
      </c>
      <c r="W67" s="50">
        <v>0.0</v>
      </c>
      <c r="X67" s="50">
        <v>2.8125</v>
      </c>
      <c r="Y67" s="50">
        <v>18.675</v>
      </c>
    </row>
    <row r="68">
      <c r="A68" s="26">
        <v>62.0</v>
      </c>
      <c r="B68" s="65">
        <v>-0.47805130781276395</v>
      </c>
      <c r="C68" s="65">
        <v>1.1497396668164932</v>
      </c>
      <c r="D68" s="65">
        <v>1.0966129985008515</v>
      </c>
      <c r="E68" s="65">
        <v>1.4071391315706423</v>
      </c>
      <c r="F68" s="65">
        <v>6.803290961980343</v>
      </c>
      <c r="G68" s="50">
        <v>0.0</v>
      </c>
      <c r="H68" s="50">
        <v>0.0</v>
      </c>
      <c r="I68" s="50">
        <v>0.0</v>
      </c>
      <c r="J68" s="50">
        <v>0.0</v>
      </c>
      <c r="K68" s="50">
        <v>0.0</v>
      </c>
      <c r="L68" s="50">
        <v>0.0</v>
      </c>
      <c r="M68" s="50">
        <v>0.0</v>
      </c>
      <c r="N68" s="50">
        <v>0.0</v>
      </c>
      <c r="O68" s="50">
        <v>0.0</v>
      </c>
      <c r="P68" s="50">
        <v>0.0</v>
      </c>
      <c r="Q68" s="50">
        <v>0.0</v>
      </c>
      <c r="R68" s="50">
        <v>0.0</v>
      </c>
      <c r="S68" s="50">
        <v>0.0</v>
      </c>
      <c r="T68" s="50">
        <v>2.8125</v>
      </c>
      <c r="U68" s="50">
        <v>0.0</v>
      </c>
      <c r="V68" s="50">
        <v>5.625</v>
      </c>
      <c r="W68" s="50">
        <v>0.0</v>
      </c>
      <c r="X68" s="50">
        <v>2.8125</v>
      </c>
      <c r="Y68" s="50">
        <v>11.25</v>
      </c>
    </row>
    <row r="69">
      <c r="A69" s="26">
        <v>63.0</v>
      </c>
      <c r="B69" s="65">
        <v>1.0277140445794108</v>
      </c>
      <c r="C69" s="65">
        <v>-0.8912505472739504</v>
      </c>
      <c r="D69" s="65">
        <v>-0.5497550143599544</v>
      </c>
      <c r="E69" s="65">
        <v>0.3225789665762613</v>
      </c>
      <c r="F69" s="65">
        <v>9.569154637102066</v>
      </c>
      <c r="G69" s="50">
        <v>0.0</v>
      </c>
      <c r="H69" s="50">
        <v>0.0</v>
      </c>
      <c r="I69" s="50">
        <v>0.0</v>
      </c>
      <c r="J69" s="50">
        <v>0.0</v>
      </c>
      <c r="K69" s="50">
        <v>0.0</v>
      </c>
      <c r="L69" s="50">
        <v>0.0</v>
      </c>
      <c r="M69" s="50">
        <v>0.0</v>
      </c>
      <c r="N69" s="50">
        <v>0.0</v>
      </c>
      <c r="O69" s="50">
        <v>0.0</v>
      </c>
      <c r="P69" s="50">
        <v>0.0</v>
      </c>
      <c r="Q69" s="50">
        <v>0.0</v>
      </c>
      <c r="R69" s="50">
        <v>0.0</v>
      </c>
      <c r="S69" s="50">
        <v>0.0</v>
      </c>
      <c r="T69" s="50">
        <v>2.8125</v>
      </c>
      <c r="U69" s="50">
        <v>0.0</v>
      </c>
      <c r="V69" s="50">
        <v>0.0</v>
      </c>
      <c r="W69" s="50">
        <v>0.0</v>
      </c>
      <c r="X69" s="50">
        <v>2.8125</v>
      </c>
      <c r="Y69" s="50">
        <v>5.625</v>
      </c>
    </row>
    <row r="70">
      <c r="A70" s="26">
        <v>64.0</v>
      </c>
      <c r="B70" s="65">
        <v>-0.5995187897867591</v>
      </c>
      <c r="C70" s="65">
        <v>-0.8413438608889224</v>
      </c>
      <c r="D70" s="65">
        <v>-2.0838028168095843</v>
      </c>
      <c r="E70" s="65">
        <v>0.6048534870391995</v>
      </c>
      <c r="F70" s="65">
        <v>5.7662913170832315</v>
      </c>
      <c r="G70" s="50">
        <v>0.0</v>
      </c>
      <c r="H70" s="50">
        <v>0.0</v>
      </c>
      <c r="I70" s="50">
        <v>0.0</v>
      </c>
      <c r="J70" s="50">
        <v>0.0</v>
      </c>
      <c r="K70" s="50">
        <v>0.0</v>
      </c>
      <c r="L70" s="50">
        <v>0.0</v>
      </c>
      <c r="M70" s="50">
        <v>0.0</v>
      </c>
      <c r="N70" s="50">
        <v>0.0</v>
      </c>
      <c r="O70" s="50">
        <v>0.0</v>
      </c>
      <c r="P70" s="50">
        <v>0.0</v>
      </c>
      <c r="Q70" s="50">
        <v>0.0</v>
      </c>
      <c r="R70" s="50">
        <v>0.0</v>
      </c>
      <c r="S70" s="50">
        <v>0.0</v>
      </c>
      <c r="T70" s="50">
        <v>2.8125</v>
      </c>
      <c r="U70" s="50">
        <v>0.0</v>
      </c>
      <c r="V70" s="50">
        <v>0.0</v>
      </c>
      <c r="W70" s="50">
        <v>0.0</v>
      </c>
      <c r="X70" s="50">
        <v>2.8125</v>
      </c>
      <c r="Y70" s="50">
        <v>5.625</v>
      </c>
    </row>
    <row r="71">
      <c r="A71" s="26">
        <v>65.0</v>
      </c>
      <c r="B71" s="65">
        <v>1.1057950596795094</v>
      </c>
      <c r="C71" s="65">
        <v>0.17350286987434943</v>
      </c>
      <c r="D71" s="65">
        <v>0.9793658626327383</v>
      </c>
      <c r="E71" s="65">
        <v>-0.9110206517986378</v>
      </c>
      <c r="F71" s="65">
        <v>9.835133107502472</v>
      </c>
      <c r="G71" s="50">
        <v>0.0</v>
      </c>
      <c r="H71" s="50">
        <v>0.0</v>
      </c>
      <c r="I71" s="50">
        <v>0.0</v>
      </c>
      <c r="J71" s="50">
        <v>0.0</v>
      </c>
      <c r="K71" s="50">
        <v>0.0</v>
      </c>
      <c r="L71" s="50">
        <v>0.0</v>
      </c>
      <c r="M71" s="50">
        <v>0.0</v>
      </c>
      <c r="N71" s="50">
        <v>0.0</v>
      </c>
      <c r="O71" s="50">
        <v>0.0</v>
      </c>
      <c r="P71" s="50">
        <v>0.0</v>
      </c>
      <c r="Q71" s="50">
        <v>0.0</v>
      </c>
      <c r="R71" s="50">
        <v>0.0</v>
      </c>
      <c r="S71" s="50">
        <v>0.0</v>
      </c>
      <c r="T71" s="50">
        <v>2.8125</v>
      </c>
      <c r="U71" s="50">
        <v>0.0</v>
      </c>
      <c r="V71" s="50">
        <v>0.0</v>
      </c>
      <c r="W71" s="50">
        <v>0.0</v>
      </c>
      <c r="X71" s="50">
        <v>2.8125</v>
      </c>
      <c r="Y71" s="50">
        <v>5.625</v>
      </c>
    </row>
    <row r="72">
      <c r="A72" s="26">
        <v>66.0</v>
      </c>
      <c r="B72" s="65">
        <v>1.2528137542395472</v>
      </c>
      <c r="C72" s="65">
        <v>0.08402957940894427</v>
      </c>
      <c r="D72" s="65">
        <v>-0.35347045929470433</v>
      </c>
      <c r="E72" s="65">
        <v>-1.9061113172374977</v>
      </c>
      <c r="F72" s="65">
        <v>1.3175396026413035</v>
      </c>
      <c r="G72" s="50">
        <v>0.0</v>
      </c>
      <c r="H72" s="50">
        <v>0.0</v>
      </c>
      <c r="I72" s="50">
        <v>0.0</v>
      </c>
      <c r="J72" s="50">
        <v>0.0</v>
      </c>
      <c r="K72" s="50">
        <v>0.0</v>
      </c>
      <c r="L72" s="50">
        <v>0.0</v>
      </c>
      <c r="M72" s="50">
        <v>0.0</v>
      </c>
      <c r="N72" s="50">
        <v>0.0</v>
      </c>
      <c r="O72" s="50">
        <v>0.0</v>
      </c>
      <c r="P72" s="50">
        <v>0.0</v>
      </c>
      <c r="Q72" s="50">
        <v>0.0</v>
      </c>
      <c r="R72" s="50">
        <v>0.0</v>
      </c>
      <c r="S72" s="50">
        <v>0.0</v>
      </c>
      <c r="T72" s="50">
        <v>2.8125</v>
      </c>
      <c r="U72" s="50">
        <v>0.0</v>
      </c>
      <c r="V72" s="50">
        <v>0.0</v>
      </c>
      <c r="W72" s="50">
        <v>0.0</v>
      </c>
      <c r="X72" s="50">
        <v>2.8125</v>
      </c>
      <c r="Y72" s="50">
        <v>5.625</v>
      </c>
    </row>
    <row r="73">
      <c r="A73" s="26">
        <v>67.0</v>
      </c>
      <c r="B73" s="65">
        <v>0.09579139904278802</v>
      </c>
      <c r="C73" s="65">
        <v>0.4830202890658485</v>
      </c>
      <c r="D73" s="65">
        <v>-1.0516045870603625</v>
      </c>
      <c r="E73" s="65">
        <v>0.801728498288332</v>
      </c>
      <c r="F73" s="65">
        <v>8.761777698725979</v>
      </c>
      <c r="G73" s="50">
        <v>0.0</v>
      </c>
      <c r="H73" s="50">
        <v>0.0</v>
      </c>
      <c r="I73" s="50">
        <v>0.0</v>
      </c>
      <c r="J73" s="50">
        <v>0.0</v>
      </c>
      <c r="K73" s="50">
        <v>0.0</v>
      </c>
      <c r="L73" s="50">
        <v>0.0</v>
      </c>
      <c r="M73" s="50">
        <v>0.0</v>
      </c>
      <c r="N73" s="50">
        <v>0.0</v>
      </c>
      <c r="O73" s="50">
        <v>0.0</v>
      </c>
      <c r="P73" s="50">
        <v>0.0</v>
      </c>
      <c r="Q73" s="50">
        <v>0.0</v>
      </c>
      <c r="R73" s="50">
        <v>9.9</v>
      </c>
      <c r="S73" s="50">
        <v>0.0</v>
      </c>
      <c r="T73" s="50">
        <v>2.8125</v>
      </c>
      <c r="U73" s="50">
        <v>0.0</v>
      </c>
      <c r="V73" s="50">
        <v>0.0</v>
      </c>
      <c r="W73" s="50">
        <v>0.0</v>
      </c>
      <c r="X73" s="50">
        <v>2.8125</v>
      </c>
      <c r="Y73" s="50">
        <v>15.525</v>
      </c>
    </row>
    <row r="74">
      <c r="A74" s="26">
        <v>68.0</v>
      </c>
      <c r="B74" s="65">
        <v>-0.411523907130649</v>
      </c>
      <c r="C74" s="65">
        <v>-1.6764988855928429</v>
      </c>
      <c r="D74" s="65">
        <v>0.8253691593134188</v>
      </c>
      <c r="E74" s="65">
        <v>-0.12940304007428372</v>
      </c>
      <c r="F74" s="65">
        <v>5.0984221989024245</v>
      </c>
      <c r="G74" s="50">
        <v>0.0</v>
      </c>
      <c r="H74" s="50">
        <v>0.0</v>
      </c>
      <c r="I74" s="50">
        <v>0.0</v>
      </c>
      <c r="J74" s="50">
        <v>0.0</v>
      </c>
      <c r="K74" s="50">
        <v>0.0</v>
      </c>
      <c r="L74" s="50">
        <v>0.0</v>
      </c>
      <c r="M74" s="50">
        <v>0.0</v>
      </c>
      <c r="N74" s="50">
        <v>0.0</v>
      </c>
      <c r="O74" s="50">
        <v>0.0</v>
      </c>
      <c r="P74" s="50">
        <v>0.0</v>
      </c>
      <c r="Q74" s="50">
        <v>0.0</v>
      </c>
      <c r="R74" s="50">
        <v>0.0</v>
      </c>
      <c r="S74" s="50">
        <v>0.0</v>
      </c>
      <c r="T74" s="50">
        <v>2.8125</v>
      </c>
      <c r="U74" s="50">
        <v>0.0</v>
      </c>
      <c r="V74" s="50">
        <v>5.625</v>
      </c>
      <c r="W74" s="50">
        <v>0.0</v>
      </c>
      <c r="X74" s="50">
        <v>2.8125</v>
      </c>
      <c r="Y74" s="50">
        <v>11.25</v>
      </c>
    </row>
    <row r="75">
      <c r="A75" s="26">
        <v>69.0</v>
      </c>
      <c r="B75" s="65">
        <v>0.06313405264876212</v>
      </c>
      <c r="C75" s="65">
        <v>-1.0325829192560576</v>
      </c>
      <c r="D75" s="65">
        <v>-0.41530479883465027</v>
      </c>
      <c r="E75" s="65">
        <v>-0.6149755946404696</v>
      </c>
      <c r="F75" s="65">
        <v>2.5361206362576385</v>
      </c>
      <c r="G75" s="50">
        <v>0.0</v>
      </c>
      <c r="H75" s="50">
        <v>0.0</v>
      </c>
      <c r="I75" s="50">
        <v>0.0</v>
      </c>
      <c r="J75" s="50">
        <v>0.0</v>
      </c>
      <c r="K75" s="50">
        <v>0.0</v>
      </c>
      <c r="L75" s="50">
        <v>0.0</v>
      </c>
      <c r="M75" s="50">
        <v>0.0</v>
      </c>
      <c r="N75" s="50">
        <v>0.0</v>
      </c>
      <c r="O75" s="50">
        <v>7.425000000000001</v>
      </c>
      <c r="P75" s="50">
        <v>0.0</v>
      </c>
      <c r="Q75" s="50">
        <v>0.0</v>
      </c>
      <c r="R75" s="50">
        <v>0.0</v>
      </c>
      <c r="S75" s="50">
        <v>0.0</v>
      </c>
      <c r="T75" s="50">
        <v>2.8125</v>
      </c>
      <c r="U75" s="50">
        <v>0.0</v>
      </c>
      <c r="V75" s="50">
        <v>5.625</v>
      </c>
      <c r="W75" s="50">
        <v>0.0</v>
      </c>
      <c r="X75" s="50">
        <v>2.8125</v>
      </c>
      <c r="Y75" s="50">
        <v>18.675</v>
      </c>
    </row>
    <row r="76">
      <c r="A76" s="26">
        <v>70.0</v>
      </c>
      <c r="B76" s="65">
        <v>0.174519565136648</v>
      </c>
      <c r="C76" s="65">
        <v>1.1439230868370933</v>
      </c>
      <c r="D76" s="65">
        <v>-0.489738826267088</v>
      </c>
      <c r="E76" s="65">
        <v>-0.11808714560214288</v>
      </c>
      <c r="F76" s="65">
        <v>2.4093728179997154</v>
      </c>
      <c r="G76" s="50">
        <v>0.0</v>
      </c>
      <c r="H76" s="50">
        <v>0.0</v>
      </c>
      <c r="I76" s="50">
        <v>0.0</v>
      </c>
      <c r="J76" s="50">
        <v>0.0</v>
      </c>
      <c r="K76" s="50">
        <v>0.0</v>
      </c>
      <c r="L76" s="50">
        <v>0.0</v>
      </c>
      <c r="M76" s="50">
        <v>0.0</v>
      </c>
      <c r="N76" s="50">
        <v>0.0</v>
      </c>
      <c r="O76" s="50">
        <v>0.0</v>
      </c>
      <c r="P76" s="50">
        <v>0.0</v>
      </c>
      <c r="Q76" s="50">
        <v>0.0</v>
      </c>
      <c r="R76" s="50">
        <v>0.0</v>
      </c>
      <c r="S76" s="50">
        <v>0.0</v>
      </c>
      <c r="T76" s="50">
        <v>2.8125</v>
      </c>
      <c r="U76" s="50">
        <v>0.0</v>
      </c>
      <c r="V76" s="50">
        <v>0.0</v>
      </c>
      <c r="W76" s="50">
        <v>4.95</v>
      </c>
      <c r="X76" s="50">
        <v>2.8125</v>
      </c>
      <c r="Y76" s="50">
        <v>10.575</v>
      </c>
    </row>
    <row r="77">
      <c r="A77" s="26">
        <v>71.0</v>
      </c>
      <c r="B77" s="65">
        <v>2.4694941553837966</v>
      </c>
      <c r="C77" s="65">
        <v>0.9386838810032886</v>
      </c>
      <c r="D77" s="65">
        <v>1.9391178140951204</v>
      </c>
      <c r="E77" s="65">
        <v>-0.029393599343909917</v>
      </c>
      <c r="F77" s="65">
        <v>2.6865156244894006</v>
      </c>
      <c r="G77" s="50">
        <v>0.0</v>
      </c>
      <c r="H77" s="50">
        <v>0.0</v>
      </c>
      <c r="I77" s="50">
        <v>0.0</v>
      </c>
      <c r="J77" s="50">
        <v>0.0</v>
      </c>
      <c r="K77" s="50">
        <v>0.0</v>
      </c>
      <c r="L77" s="50">
        <v>0.0</v>
      </c>
      <c r="M77" s="50">
        <v>0.0</v>
      </c>
      <c r="N77" s="50">
        <v>0.0</v>
      </c>
      <c r="O77" s="50">
        <v>0.0</v>
      </c>
      <c r="P77" s="50">
        <v>0.0</v>
      </c>
      <c r="Q77" s="50">
        <v>0.0</v>
      </c>
      <c r="R77" s="50">
        <v>0.0</v>
      </c>
      <c r="S77" s="50">
        <v>0.0</v>
      </c>
      <c r="T77" s="50">
        <v>2.8125</v>
      </c>
      <c r="U77" s="50">
        <v>0.0</v>
      </c>
      <c r="V77" s="50">
        <v>0.0</v>
      </c>
      <c r="W77" s="50">
        <v>0.0</v>
      </c>
      <c r="X77" s="50">
        <v>2.8125</v>
      </c>
      <c r="Y77" s="50">
        <v>5.625</v>
      </c>
    </row>
    <row r="78">
      <c r="A78" s="26">
        <v>72.0</v>
      </c>
      <c r="B78" s="65">
        <v>-1.016392848627516</v>
      </c>
      <c r="C78" s="65">
        <v>1.4218013331538668</v>
      </c>
      <c r="D78" s="65">
        <v>-0.673981645189235</v>
      </c>
      <c r="E78" s="65">
        <v>-0.6431419339837864</v>
      </c>
      <c r="F78" s="65">
        <v>9.775670290724797</v>
      </c>
      <c r="G78" s="50">
        <v>0.0</v>
      </c>
      <c r="H78" s="50">
        <v>0.0</v>
      </c>
      <c r="I78" s="50">
        <v>0.0</v>
      </c>
      <c r="J78" s="50">
        <v>0.0</v>
      </c>
      <c r="K78" s="50">
        <v>0.0</v>
      </c>
      <c r="L78" s="50">
        <v>0.0</v>
      </c>
      <c r="M78" s="50">
        <v>0.0</v>
      </c>
      <c r="N78" s="50">
        <v>0.0</v>
      </c>
      <c r="O78" s="50">
        <v>0.0</v>
      </c>
      <c r="P78" s="50">
        <v>0.0</v>
      </c>
      <c r="Q78" s="50">
        <v>0.0</v>
      </c>
      <c r="R78" s="50">
        <v>0.0</v>
      </c>
      <c r="S78" s="50">
        <v>0.0</v>
      </c>
      <c r="T78" s="50">
        <v>2.8125</v>
      </c>
      <c r="U78" s="50">
        <v>0.0</v>
      </c>
      <c r="V78" s="50">
        <v>0.0</v>
      </c>
      <c r="W78" s="50">
        <v>0.0</v>
      </c>
      <c r="X78" s="50">
        <v>2.8125</v>
      </c>
      <c r="Y78" s="50">
        <v>5.625</v>
      </c>
    </row>
    <row r="79">
      <c r="A79" s="26">
        <v>73.0</v>
      </c>
      <c r="B79" s="65">
        <v>0.36352990460465723</v>
      </c>
      <c r="C79" s="65">
        <v>0.42052214771711</v>
      </c>
      <c r="D79" s="65">
        <v>-1.860939745002496</v>
      </c>
      <c r="E79" s="65">
        <v>0.195484084133005</v>
      </c>
      <c r="F79" s="65">
        <v>8.563459654646145</v>
      </c>
      <c r="G79" s="50">
        <v>0.0</v>
      </c>
      <c r="H79" s="50">
        <v>0.0</v>
      </c>
      <c r="I79" s="50">
        <v>0.0</v>
      </c>
      <c r="J79" s="50">
        <v>0.0</v>
      </c>
      <c r="K79" s="50">
        <v>0.0</v>
      </c>
      <c r="L79" s="50">
        <v>0.0</v>
      </c>
      <c r="M79" s="50">
        <v>0.0</v>
      </c>
      <c r="N79" s="50">
        <v>0.0</v>
      </c>
      <c r="O79" s="50">
        <v>0.0</v>
      </c>
      <c r="P79" s="50">
        <v>0.0</v>
      </c>
      <c r="Q79" s="50">
        <v>0.0</v>
      </c>
      <c r="R79" s="50">
        <v>0.0</v>
      </c>
      <c r="S79" s="50">
        <v>0.0</v>
      </c>
      <c r="T79" s="50">
        <v>2.8125</v>
      </c>
      <c r="U79" s="50">
        <v>0.0</v>
      </c>
      <c r="V79" s="50">
        <v>0.0</v>
      </c>
      <c r="W79" s="50">
        <v>0.0</v>
      </c>
      <c r="X79" s="50">
        <v>2.8125</v>
      </c>
      <c r="Y79" s="50">
        <v>5.625</v>
      </c>
    </row>
    <row r="80">
      <c r="A80" s="26">
        <v>74.0</v>
      </c>
      <c r="B80" s="65">
        <v>0.6352025590024254</v>
      </c>
      <c r="C80" s="65">
        <v>-0.506462460845361</v>
      </c>
      <c r="D80" s="65">
        <v>1.5306509544878646</v>
      </c>
      <c r="E80" s="65">
        <v>0.24808538095962265</v>
      </c>
      <c r="F80" s="65">
        <v>2.995885432795999</v>
      </c>
      <c r="G80" s="50">
        <v>0.0</v>
      </c>
      <c r="H80" s="50">
        <v>0.0</v>
      </c>
      <c r="I80" s="50">
        <v>0.0</v>
      </c>
      <c r="J80" s="50">
        <v>0.0</v>
      </c>
      <c r="K80" s="50">
        <v>0.0</v>
      </c>
      <c r="L80" s="50">
        <v>0.0</v>
      </c>
      <c r="M80" s="50">
        <v>0.0</v>
      </c>
      <c r="N80" s="50">
        <v>0.0</v>
      </c>
      <c r="O80" s="50">
        <v>0.0</v>
      </c>
      <c r="P80" s="50">
        <v>0.0</v>
      </c>
      <c r="Q80" s="50">
        <v>0.0</v>
      </c>
      <c r="R80" s="50">
        <v>0.0</v>
      </c>
      <c r="S80" s="50">
        <v>0.0</v>
      </c>
      <c r="T80" s="50">
        <v>2.8125</v>
      </c>
      <c r="U80" s="50">
        <v>0.0</v>
      </c>
      <c r="V80" s="50">
        <v>0.0</v>
      </c>
      <c r="W80" s="50">
        <v>0.0</v>
      </c>
      <c r="X80" s="50">
        <v>2.8125</v>
      </c>
      <c r="Y80" s="50">
        <v>5.625</v>
      </c>
    </row>
    <row r="81">
      <c r="A81" s="26">
        <v>75.0</v>
      </c>
      <c r="B81" s="65">
        <v>0.2644798714065524</v>
      </c>
      <c r="C81" s="65">
        <v>-1.3120873274582197</v>
      </c>
      <c r="D81" s="65">
        <v>2.1938369268271436</v>
      </c>
      <c r="E81" s="65">
        <v>-0.1004992263799865</v>
      </c>
      <c r="F81" s="65">
        <v>9.722209406488762</v>
      </c>
      <c r="G81" s="50">
        <v>0.0</v>
      </c>
      <c r="H81" s="50">
        <v>0.0</v>
      </c>
      <c r="I81" s="50">
        <v>0.0</v>
      </c>
      <c r="J81" s="50">
        <v>0.0</v>
      </c>
      <c r="K81" s="50">
        <v>0.0</v>
      </c>
      <c r="L81" s="50">
        <v>0.0</v>
      </c>
      <c r="M81" s="50">
        <v>0.0</v>
      </c>
      <c r="N81" s="50">
        <v>0.0</v>
      </c>
      <c r="O81" s="50">
        <v>0.0</v>
      </c>
      <c r="P81" s="50">
        <v>0.0</v>
      </c>
      <c r="Q81" s="50">
        <v>0.0</v>
      </c>
      <c r="R81" s="50">
        <v>0.0</v>
      </c>
      <c r="S81" s="50">
        <v>0.0</v>
      </c>
      <c r="T81" s="50">
        <v>2.8125</v>
      </c>
      <c r="U81" s="50">
        <v>0.0</v>
      </c>
      <c r="V81" s="50">
        <v>0.0</v>
      </c>
      <c r="W81" s="50">
        <v>0.0</v>
      </c>
      <c r="X81" s="50">
        <v>2.8125</v>
      </c>
      <c r="Y81" s="50">
        <v>5.625</v>
      </c>
    </row>
    <row r="82">
      <c r="A82" s="26">
        <v>76.0</v>
      </c>
      <c r="B82" s="65">
        <v>-0.11506159876407593</v>
      </c>
      <c r="C82" s="65">
        <v>0.4722268796445176</v>
      </c>
      <c r="D82" s="65">
        <v>-0.4238981601692575</v>
      </c>
      <c r="E82" s="65">
        <v>-0.7516005645674516</v>
      </c>
      <c r="F82" s="65">
        <v>6.6549622679265354</v>
      </c>
      <c r="G82" s="50">
        <v>0.0</v>
      </c>
      <c r="H82" s="50">
        <v>0.0</v>
      </c>
      <c r="I82" s="50">
        <v>0.0</v>
      </c>
      <c r="J82" s="50">
        <v>0.0</v>
      </c>
      <c r="K82" s="50">
        <v>0.0</v>
      </c>
      <c r="L82" s="50">
        <v>0.0</v>
      </c>
      <c r="M82" s="50">
        <v>0.0</v>
      </c>
      <c r="N82" s="50">
        <v>0.0</v>
      </c>
      <c r="O82" s="50">
        <v>0.0</v>
      </c>
      <c r="P82" s="50">
        <v>0.0</v>
      </c>
      <c r="Q82" s="50">
        <v>0.0</v>
      </c>
      <c r="R82" s="50">
        <v>0.0</v>
      </c>
      <c r="S82" s="50">
        <v>0.0</v>
      </c>
      <c r="T82" s="50">
        <v>2.8125</v>
      </c>
      <c r="U82" s="50">
        <v>0.0</v>
      </c>
      <c r="V82" s="50">
        <v>0.0</v>
      </c>
      <c r="W82" s="50">
        <v>0.0</v>
      </c>
      <c r="X82" s="50">
        <v>2.8125</v>
      </c>
      <c r="Y82" s="50">
        <v>5.625</v>
      </c>
    </row>
    <row r="83">
      <c r="A83" s="26">
        <v>77.0</v>
      </c>
      <c r="B83" s="65">
        <v>0.253670963348706</v>
      </c>
      <c r="C83" s="65">
        <v>1.0887752499743495</v>
      </c>
      <c r="D83" s="65">
        <v>1.7571194196123376</v>
      </c>
      <c r="E83" s="65">
        <v>0.8163985416493573</v>
      </c>
      <c r="F83" s="65">
        <v>2.424756866940728</v>
      </c>
      <c r="G83" s="50">
        <v>0.0</v>
      </c>
      <c r="H83" s="50">
        <v>0.0</v>
      </c>
      <c r="I83" s="50">
        <v>0.0</v>
      </c>
      <c r="J83" s="50">
        <v>0.0</v>
      </c>
      <c r="K83" s="50">
        <v>0.0</v>
      </c>
      <c r="L83" s="50">
        <v>0.0</v>
      </c>
      <c r="M83" s="50">
        <v>0.0</v>
      </c>
      <c r="N83" s="50">
        <v>0.0</v>
      </c>
      <c r="O83" s="50">
        <v>0.0</v>
      </c>
      <c r="P83" s="50">
        <v>0.0</v>
      </c>
      <c r="Q83" s="50">
        <v>0.0</v>
      </c>
      <c r="R83" s="50">
        <v>0.0</v>
      </c>
      <c r="S83" s="50">
        <v>0.0</v>
      </c>
      <c r="T83" s="50">
        <v>2.8125</v>
      </c>
      <c r="U83" s="50">
        <v>0.0</v>
      </c>
      <c r="V83" s="50">
        <v>0.0</v>
      </c>
      <c r="W83" s="50">
        <v>4.95</v>
      </c>
      <c r="X83" s="50">
        <v>2.8125</v>
      </c>
      <c r="Y83" s="50">
        <v>10.575</v>
      </c>
    </row>
    <row r="84">
      <c r="A84" s="26">
        <v>78.0</v>
      </c>
      <c r="B84" s="65">
        <v>-0.4372796240190275</v>
      </c>
      <c r="C84" s="65">
        <v>0.41574848693084976</v>
      </c>
      <c r="D84" s="65">
        <v>1.0249670706971377</v>
      </c>
      <c r="E84" s="65">
        <v>0.6123870330714122</v>
      </c>
      <c r="F84" s="65">
        <v>5.9647881638255615</v>
      </c>
      <c r="G84" s="50">
        <v>0.0</v>
      </c>
      <c r="H84" s="50">
        <v>0.0</v>
      </c>
      <c r="I84" s="50">
        <v>0.0</v>
      </c>
      <c r="J84" s="50">
        <v>0.0</v>
      </c>
      <c r="K84" s="50">
        <v>0.0</v>
      </c>
      <c r="L84" s="50">
        <v>0.0</v>
      </c>
      <c r="M84" s="50">
        <v>0.0</v>
      </c>
      <c r="N84" s="50">
        <v>0.0</v>
      </c>
      <c r="O84" s="50">
        <v>0.0</v>
      </c>
      <c r="P84" s="50">
        <v>0.0</v>
      </c>
      <c r="Q84" s="50">
        <v>0.0</v>
      </c>
      <c r="R84" s="50">
        <v>0.0</v>
      </c>
      <c r="S84" s="50">
        <v>0.0</v>
      </c>
      <c r="T84" s="50">
        <v>2.8125</v>
      </c>
      <c r="U84" s="50">
        <v>0.0</v>
      </c>
      <c r="V84" s="50">
        <v>0.0</v>
      </c>
      <c r="W84" s="50">
        <v>0.0</v>
      </c>
      <c r="X84" s="50">
        <v>2.8125</v>
      </c>
      <c r="Y84" s="50">
        <v>5.625</v>
      </c>
    </row>
    <row r="85">
      <c r="A85" s="26">
        <v>79.0</v>
      </c>
      <c r="B85" s="65">
        <v>-1.1321495663954286</v>
      </c>
      <c r="C85" s="65">
        <v>-0.04546725232537418</v>
      </c>
      <c r="D85" s="65">
        <v>1.6668852215483185</v>
      </c>
      <c r="E85" s="65">
        <v>-0.17598090032828706</v>
      </c>
      <c r="F85" s="65">
        <v>3.536951588639017</v>
      </c>
      <c r="G85" s="50">
        <v>0.0</v>
      </c>
      <c r="H85" s="50">
        <v>0.0</v>
      </c>
      <c r="I85" s="50">
        <v>0.0</v>
      </c>
      <c r="J85" s="50">
        <v>0.0</v>
      </c>
      <c r="K85" s="50">
        <v>0.0</v>
      </c>
      <c r="L85" s="50">
        <v>0.0</v>
      </c>
      <c r="M85" s="50">
        <v>0.0</v>
      </c>
      <c r="N85" s="50">
        <v>0.0</v>
      </c>
      <c r="O85" s="50">
        <v>0.0</v>
      </c>
      <c r="P85" s="50">
        <v>0.0</v>
      </c>
      <c r="Q85" s="50">
        <v>0.0</v>
      </c>
      <c r="R85" s="50">
        <v>0.0</v>
      </c>
      <c r="S85" s="50">
        <v>0.0</v>
      </c>
      <c r="T85" s="50">
        <v>2.8125</v>
      </c>
      <c r="U85" s="50">
        <v>9.9</v>
      </c>
      <c r="V85" s="50">
        <v>5.625</v>
      </c>
      <c r="W85" s="50">
        <v>0.0</v>
      </c>
      <c r="X85" s="50">
        <v>2.8125</v>
      </c>
      <c r="Y85" s="50">
        <v>21.15</v>
      </c>
    </row>
    <row r="86">
      <c r="A86" s="26">
        <v>80.0</v>
      </c>
      <c r="B86" s="65">
        <v>-0.40183137301492</v>
      </c>
      <c r="C86" s="65">
        <v>0.9975204333547083</v>
      </c>
      <c r="D86" s="65">
        <v>0.13730575407623752</v>
      </c>
      <c r="E86" s="65">
        <v>0.014969642680039785</v>
      </c>
      <c r="F86" s="65">
        <v>8.648979510323912</v>
      </c>
      <c r="G86" s="50">
        <v>0.0</v>
      </c>
      <c r="H86" s="50">
        <v>0.0</v>
      </c>
      <c r="I86" s="50">
        <v>0.0</v>
      </c>
      <c r="J86" s="50">
        <v>0.0</v>
      </c>
      <c r="K86" s="50">
        <v>0.0</v>
      </c>
      <c r="L86" s="50">
        <v>0.0</v>
      </c>
      <c r="M86" s="50">
        <v>0.0</v>
      </c>
      <c r="N86" s="50">
        <v>0.0</v>
      </c>
      <c r="O86" s="50">
        <v>0.0</v>
      </c>
      <c r="P86" s="50">
        <v>2.475</v>
      </c>
      <c r="Q86" s="50">
        <v>0.0</v>
      </c>
      <c r="R86" s="50">
        <v>0.0</v>
      </c>
      <c r="S86" s="50">
        <v>0.0</v>
      </c>
      <c r="T86" s="50">
        <v>2.8125</v>
      </c>
      <c r="U86" s="50">
        <v>0.0</v>
      </c>
      <c r="V86" s="50">
        <v>5.625</v>
      </c>
      <c r="W86" s="50">
        <v>0.0</v>
      </c>
      <c r="X86" s="50">
        <v>2.8125</v>
      </c>
      <c r="Y86" s="50">
        <v>13.725</v>
      </c>
    </row>
    <row r="87">
      <c r="A87" s="26">
        <v>81.0</v>
      </c>
      <c r="B87" s="65">
        <v>-1.0276722057393384</v>
      </c>
      <c r="C87" s="65">
        <v>0.13274243810027103</v>
      </c>
      <c r="D87" s="65">
        <v>-0.1975182921496496</v>
      </c>
      <c r="E87" s="65">
        <v>-1.0093727160904569</v>
      </c>
      <c r="F87" s="65">
        <v>8.813200334850396</v>
      </c>
      <c r="G87" s="50">
        <v>0.0</v>
      </c>
      <c r="H87" s="50">
        <v>0.0</v>
      </c>
      <c r="I87" s="50">
        <v>0.0</v>
      </c>
      <c r="J87" s="50">
        <v>0.0</v>
      </c>
      <c r="K87" s="50">
        <v>0.0</v>
      </c>
      <c r="L87" s="50">
        <v>0.0</v>
      </c>
      <c r="M87" s="50">
        <v>0.0</v>
      </c>
      <c r="N87" s="50">
        <v>0.0</v>
      </c>
      <c r="O87" s="50">
        <v>0.0</v>
      </c>
      <c r="P87" s="50">
        <v>0.0</v>
      </c>
      <c r="Q87" s="50">
        <v>0.0</v>
      </c>
      <c r="R87" s="50">
        <v>0.0</v>
      </c>
      <c r="S87" s="50">
        <v>0.0</v>
      </c>
      <c r="T87" s="50">
        <v>2.8125</v>
      </c>
      <c r="U87" s="50">
        <v>0.0</v>
      </c>
      <c r="V87" s="50">
        <v>5.625</v>
      </c>
      <c r="W87" s="50">
        <v>0.0</v>
      </c>
      <c r="X87" s="50">
        <v>2.8125</v>
      </c>
      <c r="Y87" s="50">
        <v>11.25</v>
      </c>
    </row>
    <row r="88">
      <c r="A88" s="26">
        <v>82.0</v>
      </c>
      <c r="B88" s="65">
        <v>-0.30923118599732763</v>
      </c>
      <c r="C88" s="65">
        <v>2.0276050344332277</v>
      </c>
      <c r="D88" s="65">
        <v>0.6660231603246186</v>
      </c>
      <c r="E88" s="65">
        <v>-0.19077725393825062</v>
      </c>
      <c r="F88" s="65">
        <v>1.5671796922642562</v>
      </c>
      <c r="G88" s="50">
        <v>0.0</v>
      </c>
      <c r="H88" s="50">
        <v>0.0</v>
      </c>
      <c r="I88" s="50">
        <v>0.0</v>
      </c>
      <c r="J88" s="50">
        <v>0.0</v>
      </c>
      <c r="K88" s="50">
        <v>0.0</v>
      </c>
      <c r="L88" s="50">
        <v>0.0</v>
      </c>
      <c r="M88" s="50">
        <v>0.0</v>
      </c>
      <c r="N88" s="50">
        <v>0.0</v>
      </c>
      <c r="O88" s="50">
        <v>0.0</v>
      </c>
      <c r="P88" s="50">
        <v>0.0</v>
      </c>
      <c r="Q88" s="50">
        <v>0.0</v>
      </c>
      <c r="R88" s="50">
        <v>0.0</v>
      </c>
      <c r="S88" s="50">
        <v>0.0</v>
      </c>
      <c r="T88" s="50">
        <v>2.8125</v>
      </c>
      <c r="U88" s="50">
        <v>0.0</v>
      </c>
      <c r="V88" s="50">
        <v>5.625</v>
      </c>
      <c r="W88" s="50">
        <v>4.95</v>
      </c>
      <c r="X88" s="50">
        <v>2.8125</v>
      </c>
      <c r="Y88" s="50">
        <v>16.2</v>
      </c>
    </row>
    <row r="89">
      <c r="A89" s="26">
        <v>83.0</v>
      </c>
      <c r="B89" s="65">
        <v>2.389891830035389</v>
      </c>
      <c r="C89" s="65">
        <v>0.9024141872880402</v>
      </c>
      <c r="D89" s="65">
        <v>0.9465383001794277</v>
      </c>
      <c r="E89" s="65">
        <v>-0.27836481062806295</v>
      </c>
      <c r="F89" s="65">
        <v>2.197272450077524</v>
      </c>
      <c r="G89" s="50">
        <v>0.0</v>
      </c>
      <c r="H89" s="50">
        <v>0.0</v>
      </c>
      <c r="I89" s="50">
        <v>0.0</v>
      </c>
      <c r="J89" s="50">
        <v>0.0</v>
      </c>
      <c r="K89" s="50">
        <v>0.0</v>
      </c>
      <c r="L89" s="50">
        <v>0.0</v>
      </c>
      <c r="M89" s="50">
        <v>0.0</v>
      </c>
      <c r="N89" s="50">
        <v>0.0</v>
      </c>
      <c r="O89" s="50">
        <v>0.0</v>
      </c>
      <c r="P89" s="50">
        <v>0.0</v>
      </c>
      <c r="Q89" s="50">
        <v>0.0</v>
      </c>
      <c r="R89" s="50">
        <v>0.0</v>
      </c>
      <c r="S89" s="50">
        <v>0.0</v>
      </c>
      <c r="T89" s="50">
        <v>0.0</v>
      </c>
      <c r="U89" s="50">
        <v>0.0</v>
      </c>
      <c r="V89" s="50">
        <v>0.0</v>
      </c>
      <c r="W89" s="50">
        <v>0.0</v>
      </c>
      <c r="X89" s="50">
        <v>2.8125</v>
      </c>
      <c r="Y89" s="50">
        <v>2.8125</v>
      </c>
    </row>
    <row r="90">
      <c r="A90" s="26">
        <v>84.0</v>
      </c>
      <c r="B90" s="65">
        <v>0.19110714916667335</v>
      </c>
      <c r="C90" s="65">
        <v>1.3500283300615845</v>
      </c>
      <c r="D90" s="65">
        <v>-0.11562058507066596</v>
      </c>
      <c r="E90" s="65">
        <v>1.4897125906211226</v>
      </c>
      <c r="F90" s="65">
        <v>10.036185250227609</v>
      </c>
      <c r="G90" s="50">
        <v>0.0</v>
      </c>
      <c r="H90" s="50">
        <v>0.0</v>
      </c>
      <c r="I90" s="50">
        <v>0.0</v>
      </c>
      <c r="J90" s="50">
        <v>0.0</v>
      </c>
      <c r="K90" s="50">
        <v>0.0</v>
      </c>
      <c r="L90" s="50">
        <v>0.0</v>
      </c>
      <c r="M90" s="50">
        <v>0.0</v>
      </c>
      <c r="N90" s="50">
        <v>0.0</v>
      </c>
      <c r="O90" s="50">
        <v>0.0</v>
      </c>
      <c r="P90" s="50">
        <v>0.0</v>
      </c>
      <c r="Q90" s="50">
        <v>0.0</v>
      </c>
      <c r="R90" s="50">
        <v>0.0</v>
      </c>
      <c r="S90" s="50">
        <v>0.0</v>
      </c>
      <c r="T90" s="50">
        <v>2.8125</v>
      </c>
      <c r="U90" s="50">
        <v>0.0</v>
      </c>
      <c r="V90" s="50">
        <v>0.0</v>
      </c>
      <c r="W90" s="50">
        <v>0.0</v>
      </c>
      <c r="X90" s="50">
        <v>2.8125</v>
      </c>
      <c r="Y90" s="50">
        <v>5.625</v>
      </c>
    </row>
    <row r="91">
      <c r="A91" s="26">
        <v>85.0</v>
      </c>
      <c r="B91" s="65">
        <v>2.2773848444843248</v>
      </c>
      <c r="C91" s="65">
        <v>-1.0121256491307964</v>
      </c>
      <c r="D91" s="65">
        <v>1.54019562017568</v>
      </c>
      <c r="E91" s="65">
        <v>-0.6906866822560779</v>
      </c>
      <c r="F91" s="65">
        <v>2.976104473228047</v>
      </c>
      <c r="G91" s="50">
        <v>0.0</v>
      </c>
      <c r="H91" s="50">
        <v>0.0</v>
      </c>
      <c r="I91" s="50">
        <v>0.0</v>
      </c>
      <c r="J91" s="50">
        <v>0.0</v>
      </c>
      <c r="K91" s="50">
        <v>0.0</v>
      </c>
      <c r="L91" s="50">
        <v>0.0</v>
      </c>
      <c r="M91" s="50">
        <v>0.0</v>
      </c>
      <c r="N91" s="50">
        <v>0.0</v>
      </c>
      <c r="O91" s="50">
        <v>0.0</v>
      </c>
      <c r="P91" s="50">
        <v>0.0</v>
      </c>
      <c r="Q91" s="50">
        <v>0.0</v>
      </c>
      <c r="R91" s="50">
        <v>0.0</v>
      </c>
      <c r="S91" s="50">
        <v>0.0</v>
      </c>
      <c r="T91" s="50">
        <v>2.8125</v>
      </c>
      <c r="U91" s="50">
        <v>0.0</v>
      </c>
      <c r="V91" s="50">
        <v>0.0</v>
      </c>
      <c r="W91" s="50">
        <v>0.0</v>
      </c>
      <c r="X91" s="50">
        <v>2.8125</v>
      </c>
      <c r="Y91" s="50">
        <v>5.625</v>
      </c>
    </row>
    <row r="92">
      <c r="A92" s="26">
        <v>86.0</v>
      </c>
      <c r="B92" s="65">
        <v>-0.09832337490322689</v>
      </c>
      <c r="C92" s="65">
        <v>0.6666214995569105</v>
      </c>
      <c r="D92" s="65">
        <v>-0.8923978790902188</v>
      </c>
      <c r="E92" s="65">
        <v>1.1039796556950425</v>
      </c>
      <c r="F92" s="65">
        <v>4.462797507051073</v>
      </c>
      <c r="G92" s="50">
        <v>0.0</v>
      </c>
      <c r="H92" s="50">
        <v>0.0</v>
      </c>
      <c r="I92" s="50">
        <v>0.0</v>
      </c>
      <c r="J92" s="50">
        <v>0.0</v>
      </c>
      <c r="K92" s="50">
        <v>0.0</v>
      </c>
      <c r="L92" s="50">
        <v>0.0</v>
      </c>
      <c r="M92" s="50">
        <v>0.0</v>
      </c>
      <c r="N92" s="50">
        <v>0.0</v>
      </c>
      <c r="O92" s="50">
        <v>0.0</v>
      </c>
      <c r="P92" s="50">
        <v>0.0</v>
      </c>
      <c r="Q92" s="50">
        <v>0.0</v>
      </c>
      <c r="R92" s="50">
        <v>0.0</v>
      </c>
      <c r="S92" s="50">
        <v>0.0</v>
      </c>
      <c r="T92" s="50">
        <v>2.8125</v>
      </c>
      <c r="U92" s="50">
        <v>0.0</v>
      </c>
      <c r="V92" s="50">
        <v>0.0</v>
      </c>
      <c r="W92" s="50">
        <v>0.0</v>
      </c>
      <c r="X92" s="50">
        <v>2.8125</v>
      </c>
      <c r="Y92" s="50">
        <v>5.625</v>
      </c>
    </row>
    <row r="93">
      <c r="A93" s="26">
        <v>87.0</v>
      </c>
      <c r="B93" s="65">
        <v>-0.781122133018295</v>
      </c>
      <c r="C93" s="65">
        <v>-1.3303784590575312</v>
      </c>
      <c r="D93" s="65">
        <v>-1.7792110829431307</v>
      </c>
      <c r="E93" s="65">
        <v>-2.386541796601915</v>
      </c>
      <c r="F93" s="65">
        <v>3.113944888212939</v>
      </c>
      <c r="G93" s="50">
        <v>0.0</v>
      </c>
      <c r="H93" s="50">
        <v>0.0</v>
      </c>
      <c r="I93" s="50">
        <v>0.0</v>
      </c>
      <c r="J93" s="50">
        <v>0.0</v>
      </c>
      <c r="K93" s="50">
        <v>0.0</v>
      </c>
      <c r="L93" s="50">
        <v>0.0</v>
      </c>
      <c r="M93" s="50">
        <v>0.0</v>
      </c>
      <c r="N93" s="50">
        <v>0.0</v>
      </c>
      <c r="O93" s="50">
        <v>0.0</v>
      </c>
      <c r="P93" s="50">
        <v>2.475</v>
      </c>
      <c r="Q93" s="50">
        <v>0.0</v>
      </c>
      <c r="R93" s="50">
        <v>0.0</v>
      </c>
      <c r="S93" s="50">
        <v>0.0</v>
      </c>
      <c r="T93" s="50">
        <v>2.8125</v>
      </c>
      <c r="U93" s="50">
        <v>0.0</v>
      </c>
      <c r="V93" s="50">
        <v>5.625</v>
      </c>
      <c r="W93" s="50">
        <v>0.0</v>
      </c>
      <c r="X93" s="50">
        <v>2.8125</v>
      </c>
      <c r="Y93" s="50">
        <v>13.725</v>
      </c>
    </row>
    <row r="94">
      <c r="A94" s="26">
        <v>88.0</v>
      </c>
      <c r="B94" s="65">
        <v>1.067741560689832</v>
      </c>
      <c r="C94" s="65">
        <v>-0.6663058931689521</v>
      </c>
      <c r="D94" s="65">
        <v>3.0063783089187206</v>
      </c>
      <c r="E94" s="65">
        <v>-0.5647023952719222</v>
      </c>
      <c r="F94" s="65">
        <v>2.0253422752086436</v>
      </c>
      <c r="G94" s="50">
        <v>0.0</v>
      </c>
      <c r="H94" s="50">
        <v>0.0</v>
      </c>
      <c r="I94" s="50">
        <v>0.0</v>
      </c>
      <c r="J94" s="50">
        <v>0.0</v>
      </c>
      <c r="K94" s="50">
        <v>0.0</v>
      </c>
      <c r="L94" s="50">
        <v>0.0</v>
      </c>
      <c r="M94" s="50">
        <v>0.0</v>
      </c>
      <c r="N94" s="50">
        <v>0.0</v>
      </c>
      <c r="O94" s="50">
        <v>7.425000000000001</v>
      </c>
      <c r="P94" s="50">
        <v>0.0</v>
      </c>
      <c r="Q94" s="50">
        <v>0.0</v>
      </c>
      <c r="R94" s="50">
        <v>0.0</v>
      </c>
      <c r="S94" s="50">
        <v>0.0</v>
      </c>
      <c r="T94" s="50">
        <v>2.8125</v>
      </c>
      <c r="U94" s="50">
        <v>0.0</v>
      </c>
      <c r="V94" s="50">
        <v>0.0</v>
      </c>
      <c r="W94" s="50">
        <v>0.0</v>
      </c>
      <c r="X94" s="50">
        <v>2.8125</v>
      </c>
      <c r="Y94" s="50">
        <v>13.05</v>
      </c>
    </row>
    <row r="95">
      <c r="A95" s="26">
        <v>89.0</v>
      </c>
      <c r="B95" s="65">
        <v>0.2521410252064334</v>
      </c>
      <c r="C95" s="65">
        <v>0.40780438480247944</v>
      </c>
      <c r="D95" s="65">
        <v>1.4620902492569268</v>
      </c>
      <c r="E95" s="65">
        <v>0.025806366954885602</v>
      </c>
      <c r="F95" s="65">
        <v>1.6883636729321558</v>
      </c>
      <c r="G95" s="50">
        <v>0.0</v>
      </c>
      <c r="H95" s="50">
        <v>0.0</v>
      </c>
      <c r="I95" s="50">
        <v>0.0</v>
      </c>
      <c r="J95" s="50">
        <v>0.0</v>
      </c>
      <c r="K95" s="50">
        <v>0.0</v>
      </c>
      <c r="L95" s="50">
        <v>0.0</v>
      </c>
      <c r="M95" s="50">
        <v>0.0</v>
      </c>
      <c r="N95" s="50">
        <v>0.0</v>
      </c>
      <c r="O95" s="50">
        <v>0.0</v>
      </c>
      <c r="P95" s="50">
        <v>0.0</v>
      </c>
      <c r="Q95" s="50">
        <v>0.0</v>
      </c>
      <c r="R95" s="50">
        <v>0.0</v>
      </c>
      <c r="S95" s="50">
        <v>0.0</v>
      </c>
      <c r="T95" s="50">
        <v>2.8125</v>
      </c>
      <c r="U95" s="50">
        <v>0.0</v>
      </c>
      <c r="V95" s="50">
        <v>0.0</v>
      </c>
      <c r="W95" s="50">
        <v>0.0</v>
      </c>
      <c r="X95" s="50">
        <v>2.8125</v>
      </c>
      <c r="Y95" s="50">
        <v>5.625</v>
      </c>
    </row>
    <row r="96">
      <c r="A96" s="26">
        <v>90.0</v>
      </c>
      <c r="B96" s="65">
        <v>-0.13534577544571827</v>
      </c>
      <c r="C96" s="65">
        <v>-1.3622632130065486</v>
      </c>
      <c r="D96" s="65">
        <v>-0.2908187561733359</v>
      </c>
      <c r="E96" s="65">
        <v>-0.19887055143461016</v>
      </c>
      <c r="F96" s="65">
        <v>2.5260904009258387</v>
      </c>
      <c r="G96" s="50">
        <v>0.0</v>
      </c>
      <c r="H96" s="50">
        <v>0.0</v>
      </c>
      <c r="I96" s="50">
        <v>0.0</v>
      </c>
      <c r="J96" s="50">
        <v>0.0</v>
      </c>
      <c r="K96" s="50">
        <v>0.0</v>
      </c>
      <c r="L96" s="50">
        <v>0.0</v>
      </c>
      <c r="M96" s="50">
        <v>0.0</v>
      </c>
      <c r="N96" s="50">
        <v>0.0</v>
      </c>
      <c r="O96" s="50">
        <v>7.425000000000001</v>
      </c>
      <c r="P96" s="50">
        <v>0.0</v>
      </c>
      <c r="Q96" s="50">
        <v>0.0</v>
      </c>
      <c r="R96" s="50">
        <v>0.0</v>
      </c>
      <c r="S96" s="50">
        <v>0.0</v>
      </c>
      <c r="T96" s="50">
        <v>2.8125</v>
      </c>
      <c r="U96" s="50">
        <v>0.0</v>
      </c>
      <c r="V96" s="50">
        <v>0.0</v>
      </c>
      <c r="W96" s="50">
        <v>0.0</v>
      </c>
      <c r="X96" s="50">
        <v>2.8125</v>
      </c>
      <c r="Y96" s="50">
        <v>13.05</v>
      </c>
    </row>
    <row r="97">
      <c r="A97" s="26">
        <v>91.0</v>
      </c>
      <c r="B97" s="65">
        <v>-0.09558533223195805</v>
      </c>
      <c r="C97" s="65">
        <v>1.7810589746357595</v>
      </c>
      <c r="D97" s="65">
        <v>0.396706319883618</v>
      </c>
      <c r="E97" s="65">
        <v>-1.3195923337185307</v>
      </c>
      <c r="F97" s="65">
        <v>13.368775673617822</v>
      </c>
      <c r="G97" s="50">
        <v>0.0</v>
      </c>
      <c r="H97" s="50">
        <v>0.0</v>
      </c>
      <c r="I97" s="50">
        <v>0.0</v>
      </c>
      <c r="J97" s="50">
        <v>0.0</v>
      </c>
      <c r="K97" s="50">
        <v>0.0</v>
      </c>
      <c r="L97" s="50">
        <v>0.0</v>
      </c>
      <c r="M97" s="50">
        <v>0.0</v>
      </c>
      <c r="N97" s="50">
        <v>0.0</v>
      </c>
      <c r="O97" s="50">
        <v>0.0</v>
      </c>
      <c r="P97" s="50">
        <v>0.0</v>
      </c>
      <c r="Q97" s="50">
        <v>0.0</v>
      </c>
      <c r="R97" s="50">
        <v>0.0</v>
      </c>
      <c r="S97" s="50">
        <v>0.0</v>
      </c>
      <c r="T97" s="50">
        <v>2.8125</v>
      </c>
      <c r="U97" s="50">
        <v>9.9</v>
      </c>
      <c r="V97" s="50">
        <v>0.0</v>
      </c>
      <c r="W97" s="50">
        <v>0.0</v>
      </c>
      <c r="X97" s="50">
        <v>2.8125</v>
      </c>
      <c r="Y97" s="50">
        <v>15.525</v>
      </c>
    </row>
    <row r="98">
      <c r="A98" s="26">
        <v>92.0</v>
      </c>
      <c r="B98" s="65">
        <v>0.27159369568910563</v>
      </c>
      <c r="C98" s="65">
        <v>2.0663020575489726</v>
      </c>
      <c r="D98" s="65">
        <v>0.5620257527711827</v>
      </c>
      <c r="E98" s="65">
        <v>-0.9863958099200612</v>
      </c>
      <c r="F98" s="65">
        <v>2.871513692012132</v>
      </c>
      <c r="G98" s="50">
        <v>0.0</v>
      </c>
      <c r="H98" s="50">
        <v>0.0</v>
      </c>
      <c r="I98" s="50">
        <v>0.0</v>
      </c>
      <c r="J98" s="50">
        <v>0.0</v>
      </c>
      <c r="K98" s="50">
        <v>0.0</v>
      </c>
      <c r="L98" s="50">
        <v>0.0</v>
      </c>
      <c r="M98" s="50">
        <v>0.0</v>
      </c>
      <c r="N98" s="50">
        <v>0.0</v>
      </c>
      <c r="O98" s="50">
        <v>0.0</v>
      </c>
      <c r="P98" s="50">
        <v>0.0</v>
      </c>
      <c r="Q98" s="50">
        <v>0.0</v>
      </c>
      <c r="R98" s="50">
        <v>9.9</v>
      </c>
      <c r="S98" s="50">
        <v>0.0</v>
      </c>
      <c r="T98" s="50">
        <v>2.8125</v>
      </c>
      <c r="U98" s="50">
        <v>0.0</v>
      </c>
      <c r="V98" s="50">
        <v>0.0</v>
      </c>
      <c r="W98" s="50">
        <v>0.0</v>
      </c>
      <c r="X98" s="50">
        <v>2.8125</v>
      </c>
      <c r="Y98" s="50">
        <v>15.525</v>
      </c>
    </row>
    <row r="99">
      <c r="A99" s="26">
        <v>93.0</v>
      </c>
      <c r="B99" s="65">
        <v>0.5684552156320739</v>
      </c>
      <c r="C99" s="65">
        <v>-2.1389514708392388</v>
      </c>
      <c r="D99" s="65">
        <v>-1.2050250566812486</v>
      </c>
      <c r="E99" s="65">
        <v>1.3318735059153861</v>
      </c>
      <c r="F99" s="65">
        <v>12.489263599422134</v>
      </c>
      <c r="G99" s="50">
        <v>0.0</v>
      </c>
      <c r="H99" s="50">
        <v>0.0</v>
      </c>
      <c r="I99" s="50">
        <v>0.0</v>
      </c>
      <c r="J99" s="50">
        <v>0.0</v>
      </c>
      <c r="K99" s="50">
        <v>0.0</v>
      </c>
      <c r="L99" s="50">
        <v>0.0</v>
      </c>
      <c r="M99" s="50">
        <v>0.0</v>
      </c>
      <c r="N99" s="50">
        <v>0.0</v>
      </c>
      <c r="O99" s="50">
        <v>0.0</v>
      </c>
      <c r="P99" s="50">
        <v>0.0</v>
      </c>
      <c r="Q99" s="50">
        <v>0.0</v>
      </c>
      <c r="R99" s="50">
        <v>0.0</v>
      </c>
      <c r="S99" s="50">
        <v>0.0</v>
      </c>
      <c r="T99" s="50">
        <v>2.8125</v>
      </c>
      <c r="U99" s="50">
        <v>0.0</v>
      </c>
      <c r="V99" s="50">
        <v>0.0</v>
      </c>
      <c r="W99" s="50">
        <v>0.0</v>
      </c>
      <c r="X99" s="50">
        <v>2.8125</v>
      </c>
      <c r="Y99" s="50">
        <v>5.625</v>
      </c>
    </row>
    <row r="100">
      <c r="A100" s="26">
        <v>94.0</v>
      </c>
      <c r="B100" s="65">
        <v>0.3284240836788239</v>
      </c>
      <c r="C100" s="65">
        <v>0.027947057362095913</v>
      </c>
      <c r="D100" s="65">
        <v>0.9737445325500441</v>
      </c>
      <c r="E100" s="65">
        <v>0.25566607255499807</v>
      </c>
      <c r="F100" s="65">
        <v>3.317659894279862</v>
      </c>
      <c r="G100" s="50">
        <v>0.0</v>
      </c>
      <c r="H100" s="50">
        <v>0.0</v>
      </c>
      <c r="I100" s="50">
        <v>0.0</v>
      </c>
      <c r="J100" s="50">
        <v>0.0</v>
      </c>
      <c r="K100" s="50">
        <v>0.0</v>
      </c>
      <c r="L100" s="50">
        <v>0.0</v>
      </c>
      <c r="M100" s="50">
        <v>0.0</v>
      </c>
      <c r="N100" s="50">
        <v>0.0</v>
      </c>
      <c r="O100" s="50">
        <v>0.0</v>
      </c>
      <c r="P100" s="50">
        <v>0.0</v>
      </c>
      <c r="Q100" s="50">
        <v>0.0</v>
      </c>
      <c r="R100" s="50">
        <v>0.0</v>
      </c>
      <c r="S100" s="50">
        <v>0.0</v>
      </c>
      <c r="T100" s="50">
        <v>2.8125</v>
      </c>
      <c r="U100" s="50">
        <v>0.0</v>
      </c>
      <c r="V100" s="50">
        <v>0.0</v>
      </c>
      <c r="W100" s="50">
        <v>0.0</v>
      </c>
      <c r="X100" s="50">
        <v>2.8125</v>
      </c>
      <c r="Y100" s="50">
        <v>5.625</v>
      </c>
    </row>
    <row r="101">
      <c r="A101" s="26">
        <v>95.0</v>
      </c>
      <c r="B101" s="65">
        <v>0.5674505579625106</v>
      </c>
      <c r="C101" s="65">
        <v>3.234785985044792E-4</v>
      </c>
      <c r="D101" s="65">
        <v>0.7447322064210513</v>
      </c>
      <c r="E101" s="65">
        <v>-1.5695810475457428</v>
      </c>
      <c r="F101" s="65">
        <v>1.0435908123361783</v>
      </c>
      <c r="G101" s="50">
        <v>0.0</v>
      </c>
      <c r="H101" s="50">
        <v>0.0</v>
      </c>
      <c r="I101" s="50">
        <v>0.0</v>
      </c>
      <c r="J101" s="50">
        <v>0.0</v>
      </c>
      <c r="K101" s="50">
        <v>0.0</v>
      </c>
      <c r="L101" s="50">
        <v>0.0</v>
      </c>
      <c r="M101" s="50">
        <v>0.0</v>
      </c>
      <c r="N101" s="50">
        <v>0.0</v>
      </c>
      <c r="O101" s="50">
        <v>0.0</v>
      </c>
      <c r="P101" s="50">
        <v>0.0</v>
      </c>
      <c r="Q101" s="50">
        <v>0.0</v>
      </c>
      <c r="R101" s="50">
        <v>0.0</v>
      </c>
      <c r="S101" s="50">
        <v>0.0</v>
      </c>
      <c r="T101" s="50">
        <v>2.8125</v>
      </c>
      <c r="U101" s="50">
        <v>0.0</v>
      </c>
      <c r="V101" s="50">
        <v>5.625</v>
      </c>
      <c r="W101" s="50">
        <v>0.0</v>
      </c>
      <c r="X101" s="50">
        <v>2.8125</v>
      </c>
      <c r="Y101" s="50">
        <v>11.25</v>
      </c>
    </row>
    <row r="102">
      <c r="A102" s="26">
        <v>96.0</v>
      </c>
      <c r="B102" s="65">
        <v>-0.1926036780761921</v>
      </c>
      <c r="C102" s="65">
        <v>1.3670841192332341</v>
      </c>
      <c r="D102" s="65">
        <v>-0.942397767805469</v>
      </c>
      <c r="E102" s="65">
        <v>0.4138794499673403</v>
      </c>
      <c r="F102" s="65">
        <v>6.02858154504112</v>
      </c>
      <c r="G102" s="50">
        <v>0.0</v>
      </c>
      <c r="H102" s="50">
        <v>0.0</v>
      </c>
      <c r="I102" s="50">
        <v>0.0</v>
      </c>
      <c r="J102" s="50">
        <v>0.0</v>
      </c>
      <c r="K102" s="50">
        <v>0.0</v>
      </c>
      <c r="L102" s="50">
        <v>0.0</v>
      </c>
      <c r="M102" s="50">
        <v>0.0</v>
      </c>
      <c r="N102" s="50">
        <v>0.0</v>
      </c>
      <c r="O102" s="50">
        <v>0.0</v>
      </c>
      <c r="P102" s="50">
        <v>0.0</v>
      </c>
      <c r="Q102" s="50">
        <v>0.0</v>
      </c>
      <c r="R102" s="50">
        <v>0.0</v>
      </c>
      <c r="S102" s="50">
        <v>0.0</v>
      </c>
      <c r="T102" s="50">
        <v>2.8125</v>
      </c>
      <c r="U102" s="50">
        <v>0.0</v>
      </c>
      <c r="V102" s="50">
        <v>0.0</v>
      </c>
      <c r="W102" s="50">
        <v>0.0</v>
      </c>
      <c r="X102" s="50">
        <v>2.8125</v>
      </c>
      <c r="Y102" s="50">
        <v>5.625</v>
      </c>
    </row>
    <row r="103">
      <c r="A103" s="26">
        <v>97.0</v>
      </c>
      <c r="B103" s="65">
        <v>-0.626373799559445</v>
      </c>
      <c r="C103" s="65">
        <v>0.10195498405501727</v>
      </c>
      <c r="D103" s="65">
        <v>1.316646386700988</v>
      </c>
      <c r="E103" s="65">
        <v>0.5885587797156743</v>
      </c>
      <c r="F103" s="65">
        <v>8.723841842467401</v>
      </c>
      <c r="G103" s="50">
        <v>0.0</v>
      </c>
      <c r="H103" s="50">
        <v>0.0</v>
      </c>
      <c r="I103" s="50">
        <v>0.0</v>
      </c>
      <c r="J103" s="50">
        <v>0.0</v>
      </c>
      <c r="K103" s="50">
        <v>0.0</v>
      </c>
      <c r="L103" s="50">
        <v>0.0</v>
      </c>
      <c r="M103" s="50">
        <v>0.0</v>
      </c>
      <c r="N103" s="50">
        <v>0.0</v>
      </c>
      <c r="O103" s="50">
        <v>0.0</v>
      </c>
      <c r="P103" s="50">
        <v>0.0</v>
      </c>
      <c r="Q103" s="50">
        <v>0.0</v>
      </c>
      <c r="R103" s="50">
        <v>0.0</v>
      </c>
      <c r="S103" s="50">
        <v>0.0</v>
      </c>
      <c r="T103" s="50">
        <v>2.8125</v>
      </c>
      <c r="U103" s="50">
        <v>0.0</v>
      </c>
      <c r="V103" s="50">
        <v>0.0</v>
      </c>
      <c r="W103" s="50">
        <v>0.0</v>
      </c>
      <c r="X103" s="50">
        <v>2.8125</v>
      </c>
      <c r="Y103" s="50">
        <v>5.625</v>
      </c>
    </row>
    <row r="104">
      <c r="A104" s="26">
        <v>98.0</v>
      </c>
      <c r="B104" s="65">
        <v>0.46163604366093663</v>
      </c>
      <c r="C104" s="65">
        <v>-1.5774171781460027</v>
      </c>
      <c r="D104" s="65">
        <v>1.1063691248815108</v>
      </c>
      <c r="E104" s="65">
        <v>1.0034425128131623</v>
      </c>
      <c r="F104" s="65">
        <v>1.835815702105753</v>
      </c>
      <c r="G104" s="50">
        <v>0.0</v>
      </c>
      <c r="H104" s="50">
        <v>0.0</v>
      </c>
      <c r="I104" s="50">
        <v>0.0</v>
      </c>
      <c r="J104" s="50">
        <v>0.0</v>
      </c>
      <c r="K104" s="50">
        <v>0.0</v>
      </c>
      <c r="L104" s="50">
        <v>0.0</v>
      </c>
      <c r="M104" s="50">
        <v>0.0</v>
      </c>
      <c r="N104" s="50">
        <v>0.0</v>
      </c>
      <c r="O104" s="50">
        <v>7.425000000000001</v>
      </c>
      <c r="P104" s="50">
        <v>0.0</v>
      </c>
      <c r="Q104" s="50">
        <v>0.0</v>
      </c>
      <c r="R104" s="50">
        <v>0.0</v>
      </c>
      <c r="S104" s="50">
        <v>0.0</v>
      </c>
      <c r="T104" s="50">
        <v>2.8125</v>
      </c>
      <c r="U104" s="50">
        <v>0.0</v>
      </c>
      <c r="V104" s="50">
        <v>0.0</v>
      </c>
      <c r="W104" s="50">
        <v>0.0</v>
      </c>
      <c r="X104" s="50">
        <v>2.8125</v>
      </c>
      <c r="Y104" s="50">
        <v>13.05</v>
      </c>
    </row>
    <row r="105">
      <c r="A105" s="26">
        <v>99.0</v>
      </c>
      <c r="B105" s="65">
        <v>-0.7206584513276266</v>
      </c>
      <c r="C105" s="65">
        <v>-0.7584313918280269</v>
      </c>
      <c r="D105" s="65">
        <v>-0.7591556438873112</v>
      </c>
      <c r="E105" s="65">
        <v>0.4081805834610895</v>
      </c>
      <c r="F105" s="65">
        <v>6.669469407250496</v>
      </c>
      <c r="G105" s="50">
        <v>0.0</v>
      </c>
      <c r="H105" s="50">
        <v>0.0</v>
      </c>
      <c r="I105" s="50">
        <v>0.0</v>
      </c>
      <c r="J105" s="50">
        <v>0.0</v>
      </c>
      <c r="K105" s="50">
        <v>0.0</v>
      </c>
      <c r="L105" s="50">
        <v>0.0</v>
      </c>
      <c r="M105" s="50">
        <v>0.0</v>
      </c>
      <c r="N105" s="50">
        <v>0.0</v>
      </c>
      <c r="O105" s="50">
        <v>0.0</v>
      </c>
      <c r="P105" s="50">
        <v>2.475</v>
      </c>
      <c r="Q105" s="50">
        <v>0.0</v>
      </c>
      <c r="R105" s="50">
        <v>9.9</v>
      </c>
      <c r="S105" s="50">
        <v>0.0</v>
      </c>
      <c r="T105" s="50">
        <v>2.8125</v>
      </c>
      <c r="U105" s="50">
        <v>0.0</v>
      </c>
      <c r="V105" s="50">
        <v>0.0</v>
      </c>
      <c r="W105" s="50">
        <v>0.0</v>
      </c>
      <c r="X105" s="50">
        <v>2.8125</v>
      </c>
      <c r="Y105" s="50">
        <v>18.0</v>
      </c>
    </row>
    <row r="106">
      <c r="A106" s="26">
        <v>100.0</v>
      </c>
      <c r="B106" s="65">
        <v>-1.6293961305888185</v>
      </c>
      <c r="C106" s="65">
        <v>-0.34696378097588215</v>
      </c>
      <c r="D106" s="65">
        <v>-0.36032494615822674</v>
      </c>
      <c r="E106" s="65">
        <v>-0.32030743029037373</v>
      </c>
      <c r="F106" s="65">
        <v>5.458210586719578</v>
      </c>
      <c r="G106" s="50">
        <v>0.0</v>
      </c>
      <c r="H106" s="50">
        <v>0.0</v>
      </c>
      <c r="I106" s="50">
        <v>0.0</v>
      </c>
      <c r="J106" s="50">
        <v>0.0</v>
      </c>
      <c r="K106" s="50">
        <v>0.0</v>
      </c>
      <c r="L106" s="50">
        <v>0.0</v>
      </c>
      <c r="M106" s="50">
        <v>0.0</v>
      </c>
      <c r="N106" s="50">
        <v>0.0</v>
      </c>
      <c r="O106" s="50">
        <v>7.425000000000001</v>
      </c>
      <c r="P106" s="50">
        <v>0.0</v>
      </c>
      <c r="Q106" s="50">
        <v>0.0</v>
      </c>
      <c r="R106" s="50">
        <v>9.9</v>
      </c>
      <c r="S106" s="50">
        <v>0.0</v>
      </c>
      <c r="T106" s="50">
        <v>2.8125</v>
      </c>
      <c r="U106" s="50">
        <v>9.9</v>
      </c>
      <c r="V106" s="50">
        <v>5.625</v>
      </c>
      <c r="W106" s="50">
        <v>0.0</v>
      </c>
      <c r="X106" s="50">
        <v>2.8125</v>
      </c>
      <c r="Y106" s="50">
        <v>38.475</v>
      </c>
    </row>
    <row r="107">
      <c r="A107" s="26">
        <v>101.0</v>
      </c>
      <c r="B107" s="65">
        <v>0.8173733716659058</v>
      </c>
      <c r="C107" s="65">
        <v>0.6404838352408784</v>
      </c>
      <c r="D107" s="65">
        <v>-1.1346568829358745</v>
      </c>
      <c r="E107" s="65">
        <v>-0.4968397934603974</v>
      </c>
      <c r="F107" s="65">
        <v>0.6930590664662969</v>
      </c>
      <c r="G107" s="50">
        <v>0.0</v>
      </c>
      <c r="H107" s="50">
        <v>0.0</v>
      </c>
      <c r="I107" s="50">
        <v>0.0</v>
      </c>
      <c r="J107" s="50">
        <v>0.0</v>
      </c>
      <c r="K107" s="50">
        <v>0.0</v>
      </c>
      <c r="L107" s="50">
        <v>0.0</v>
      </c>
      <c r="M107" s="50">
        <v>0.0</v>
      </c>
      <c r="N107" s="50">
        <v>0.0</v>
      </c>
      <c r="O107" s="50">
        <v>0.0</v>
      </c>
      <c r="P107" s="50">
        <v>2.475</v>
      </c>
      <c r="Q107" s="50">
        <v>0.0</v>
      </c>
      <c r="R107" s="50">
        <v>0.0</v>
      </c>
      <c r="S107" s="50">
        <v>0.0</v>
      </c>
      <c r="T107" s="50">
        <v>2.8125</v>
      </c>
      <c r="U107" s="50">
        <v>0.0</v>
      </c>
      <c r="V107" s="50">
        <v>0.0</v>
      </c>
      <c r="W107" s="50">
        <v>0.0</v>
      </c>
      <c r="X107" s="50">
        <v>2.8125</v>
      </c>
      <c r="Y107" s="50">
        <v>8.1</v>
      </c>
    </row>
    <row r="108">
      <c r="A108" s="26">
        <v>102.0</v>
      </c>
      <c r="B108" s="65">
        <v>-0.5326547278379475</v>
      </c>
      <c r="C108" s="65">
        <v>-0.690836592248919</v>
      </c>
      <c r="D108" s="65">
        <v>1.0028639043829104</v>
      </c>
      <c r="E108" s="65">
        <v>-1.7408321413350458</v>
      </c>
      <c r="F108" s="65">
        <v>4.548100786575873</v>
      </c>
      <c r="G108" s="50">
        <v>0.0</v>
      </c>
      <c r="H108" s="50">
        <v>0.0</v>
      </c>
      <c r="I108" s="50">
        <v>0.0</v>
      </c>
      <c r="J108" s="50">
        <v>0.0</v>
      </c>
      <c r="K108" s="50">
        <v>0.0</v>
      </c>
      <c r="L108" s="50">
        <v>0.0</v>
      </c>
      <c r="M108" s="50">
        <v>0.0</v>
      </c>
      <c r="N108" s="50">
        <v>0.0</v>
      </c>
      <c r="O108" s="50">
        <v>0.0</v>
      </c>
      <c r="P108" s="50">
        <v>0.0</v>
      </c>
      <c r="Q108" s="50">
        <v>0.0</v>
      </c>
      <c r="R108" s="50">
        <v>0.0</v>
      </c>
      <c r="S108" s="50">
        <v>0.0</v>
      </c>
      <c r="T108" s="50">
        <v>2.8125</v>
      </c>
      <c r="U108" s="50">
        <v>0.0</v>
      </c>
      <c r="V108" s="50">
        <v>5.625</v>
      </c>
      <c r="W108" s="50">
        <v>0.0</v>
      </c>
      <c r="X108" s="50">
        <v>2.8125</v>
      </c>
      <c r="Y108" s="50">
        <v>11.25</v>
      </c>
    </row>
    <row r="109">
      <c r="A109" s="26">
        <v>103.0</v>
      </c>
      <c r="B109" s="65">
        <v>-1.8116120393234516</v>
      </c>
      <c r="C109" s="65">
        <v>-1.1598275343386073</v>
      </c>
      <c r="D109" s="65">
        <v>-0.23886738984422443</v>
      </c>
      <c r="E109" s="65">
        <v>0.6365754076935054</v>
      </c>
      <c r="F109" s="65">
        <v>3.195767997951056</v>
      </c>
      <c r="G109" s="50">
        <v>0.0</v>
      </c>
      <c r="H109" s="50">
        <v>0.0</v>
      </c>
      <c r="I109" s="50">
        <v>0.0</v>
      </c>
      <c r="J109" s="50">
        <v>0.0</v>
      </c>
      <c r="K109" s="50">
        <v>0.0</v>
      </c>
      <c r="L109" s="50">
        <v>0.0</v>
      </c>
      <c r="M109" s="50">
        <v>0.0</v>
      </c>
      <c r="N109" s="50">
        <v>0.0</v>
      </c>
      <c r="O109" s="50">
        <v>0.0</v>
      </c>
      <c r="P109" s="50">
        <v>2.475</v>
      </c>
      <c r="Q109" s="50">
        <v>0.0</v>
      </c>
      <c r="R109" s="50">
        <v>9.9</v>
      </c>
      <c r="S109" s="50">
        <v>0.0</v>
      </c>
      <c r="T109" s="50">
        <v>2.8125</v>
      </c>
      <c r="U109" s="50">
        <v>0.0</v>
      </c>
      <c r="V109" s="50">
        <v>5.625</v>
      </c>
      <c r="W109" s="50">
        <v>4.95</v>
      </c>
      <c r="X109" s="50">
        <v>2.8125</v>
      </c>
      <c r="Y109" s="50">
        <v>28.575</v>
      </c>
    </row>
    <row r="110">
      <c r="A110" s="26">
        <v>104.0</v>
      </c>
      <c r="B110" s="65">
        <v>1.169314784569754</v>
      </c>
      <c r="C110" s="65">
        <v>-0.7803835734129624</v>
      </c>
      <c r="D110" s="65">
        <v>-0.8286171870384099</v>
      </c>
      <c r="E110" s="65">
        <v>0.882732901676826</v>
      </c>
      <c r="F110" s="65">
        <v>3.6738417518778834</v>
      </c>
      <c r="G110" s="50">
        <v>0.0</v>
      </c>
      <c r="H110" s="50">
        <v>0.0</v>
      </c>
      <c r="I110" s="50">
        <v>0.0</v>
      </c>
      <c r="J110" s="50">
        <v>0.0</v>
      </c>
      <c r="K110" s="50">
        <v>0.0</v>
      </c>
      <c r="L110" s="50">
        <v>0.0</v>
      </c>
      <c r="M110" s="50">
        <v>0.0</v>
      </c>
      <c r="N110" s="50">
        <v>0.0</v>
      </c>
      <c r="O110" s="50">
        <v>0.0</v>
      </c>
      <c r="P110" s="50">
        <v>0.0</v>
      </c>
      <c r="Q110" s="50">
        <v>0.0</v>
      </c>
      <c r="R110" s="50">
        <v>0.0</v>
      </c>
      <c r="S110" s="50">
        <v>0.0</v>
      </c>
      <c r="T110" s="50">
        <v>2.8125</v>
      </c>
      <c r="U110" s="50">
        <v>0.0</v>
      </c>
      <c r="V110" s="50">
        <v>0.0</v>
      </c>
      <c r="W110" s="50">
        <v>0.0</v>
      </c>
      <c r="X110" s="50">
        <v>2.8125</v>
      </c>
      <c r="Y110" s="50">
        <v>5.625</v>
      </c>
    </row>
    <row r="111">
      <c r="A111" s="26">
        <v>105.0</v>
      </c>
      <c r="B111" s="65">
        <v>-1.2100563729744949</v>
      </c>
      <c r="C111" s="65">
        <v>0.8235394391451244</v>
      </c>
      <c r="D111" s="65">
        <v>1.2634226725877056</v>
      </c>
      <c r="E111" s="65">
        <v>-0.15704324600949648</v>
      </c>
      <c r="F111" s="65">
        <v>4.296282898995947</v>
      </c>
      <c r="G111" s="50">
        <v>0.0</v>
      </c>
      <c r="H111" s="50">
        <v>0.0</v>
      </c>
      <c r="I111" s="50">
        <v>0.0</v>
      </c>
      <c r="J111" s="50">
        <v>0.0</v>
      </c>
      <c r="K111" s="50">
        <v>0.0</v>
      </c>
      <c r="L111" s="50">
        <v>0.0</v>
      </c>
      <c r="M111" s="50">
        <v>0.0</v>
      </c>
      <c r="N111" s="50">
        <v>0.0</v>
      </c>
      <c r="O111" s="50">
        <v>0.0</v>
      </c>
      <c r="P111" s="50">
        <v>0.0</v>
      </c>
      <c r="Q111" s="50">
        <v>0.0</v>
      </c>
      <c r="R111" s="50">
        <v>0.0</v>
      </c>
      <c r="S111" s="50">
        <v>0.0</v>
      </c>
      <c r="T111" s="50">
        <v>2.8125</v>
      </c>
      <c r="U111" s="50">
        <v>0.0</v>
      </c>
      <c r="V111" s="50">
        <v>5.625</v>
      </c>
      <c r="W111" s="50">
        <v>0.0</v>
      </c>
      <c r="X111" s="50">
        <v>2.8125</v>
      </c>
      <c r="Y111" s="50">
        <v>11.25</v>
      </c>
    </row>
    <row r="112">
      <c r="A112" s="26">
        <v>106.0</v>
      </c>
      <c r="B112" s="65">
        <v>0.8763020779891783</v>
      </c>
      <c r="C112" s="65">
        <v>1.2642442429420624</v>
      </c>
      <c r="D112" s="65">
        <v>-1.2944416035190647</v>
      </c>
      <c r="E112" s="65">
        <v>0.07180807327055537</v>
      </c>
      <c r="F112" s="65">
        <v>7.144656542768344</v>
      </c>
      <c r="G112" s="50">
        <v>0.0</v>
      </c>
      <c r="H112" s="50">
        <v>0.0</v>
      </c>
      <c r="I112" s="50">
        <v>0.0</v>
      </c>
      <c r="J112" s="50">
        <v>0.0</v>
      </c>
      <c r="K112" s="50">
        <v>0.0</v>
      </c>
      <c r="L112" s="50">
        <v>0.0</v>
      </c>
      <c r="M112" s="50">
        <v>0.0</v>
      </c>
      <c r="N112" s="50">
        <v>0.0</v>
      </c>
      <c r="O112" s="50">
        <v>0.0</v>
      </c>
      <c r="P112" s="50">
        <v>0.0</v>
      </c>
      <c r="Q112" s="50">
        <v>0.0</v>
      </c>
      <c r="R112" s="50">
        <v>0.0</v>
      </c>
      <c r="S112" s="50">
        <v>0.0</v>
      </c>
      <c r="T112" s="50">
        <v>2.8125</v>
      </c>
      <c r="U112" s="50">
        <v>0.0</v>
      </c>
      <c r="V112" s="50">
        <v>0.0</v>
      </c>
      <c r="W112" s="50">
        <v>0.0</v>
      </c>
      <c r="X112" s="50">
        <v>2.8125</v>
      </c>
      <c r="Y112" s="50">
        <v>5.625</v>
      </c>
    </row>
    <row r="113">
      <c r="A113" s="26">
        <v>107.0</v>
      </c>
      <c r="B113" s="65">
        <v>1.143601389957275</v>
      </c>
      <c r="C113" s="65">
        <v>1.1866625871306788</v>
      </c>
      <c r="D113" s="65">
        <v>-1.1094910712342563</v>
      </c>
      <c r="E113" s="65">
        <v>1.6569072632565047</v>
      </c>
      <c r="F113" s="65">
        <v>7.041555657543141</v>
      </c>
      <c r="G113" s="50">
        <v>0.0</v>
      </c>
      <c r="H113" s="50">
        <v>0.0</v>
      </c>
      <c r="I113" s="50">
        <v>0.0</v>
      </c>
      <c r="J113" s="50">
        <v>0.0</v>
      </c>
      <c r="K113" s="50">
        <v>0.0</v>
      </c>
      <c r="L113" s="50">
        <v>0.0</v>
      </c>
      <c r="M113" s="50">
        <v>0.0</v>
      </c>
      <c r="N113" s="50">
        <v>0.0</v>
      </c>
      <c r="O113" s="50">
        <v>0.0</v>
      </c>
      <c r="P113" s="50">
        <v>0.0</v>
      </c>
      <c r="Q113" s="50">
        <v>0.0</v>
      </c>
      <c r="R113" s="50">
        <v>0.0</v>
      </c>
      <c r="S113" s="50">
        <v>0.0</v>
      </c>
      <c r="T113" s="50">
        <v>2.8125</v>
      </c>
      <c r="U113" s="50">
        <v>0.0</v>
      </c>
      <c r="V113" s="50">
        <v>0.0</v>
      </c>
      <c r="W113" s="50">
        <v>0.0</v>
      </c>
      <c r="X113" s="50">
        <v>2.8125</v>
      </c>
      <c r="Y113" s="50">
        <v>5.625</v>
      </c>
    </row>
    <row r="114">
      <c r="A114" s="26">
        <v>108.0</v>
      </c>
      <c r="B114" s="65">
        <v>-1.0059622251715923</v>
      </c>
      <c r="C114" s="65">
        <v>-0.5689305550112552</v>
      </c>
      <c r="D114" s="65">
        <v>0.3318722343399762</v>
      </c>
      <c r="E114" s="65">
        <v>0.4062535712693658</v>
      </c>
      <c r="F114" s="65">
        <v>5.177036869798923</v>
      </c>
      <c r="G114" s="50">
        <v>0.0</v>
      </c>
      <c r="H114" s="50">
        <v>0.0</v>
      </c>
      <c r="I114" s="50">
        <v>0.0</v>
      </c>
      <c r="J114" s="50">
        <v>0.0</v>
      </c>
      <c r="K114" s="50">
        <v>0.0</v>
      </c>
      <c r="L114" s="50">
        <v>0.0</v>
      </c>
      <c r="M114" s="50">
        <v>0.0</v>
      </c>
      <c r="N114" s="50">
        <v>0.0</v>
      </c>
      <c r="O114" s="50">
        <v>0.0</v>
      </c>
      <c r="P114" s="50">
        <v>0.0</v>
      </c>
      <c r="Q114" s="50">
        <v>0.0</v>
      </c>
      <c r="R114" s="50">
        <v>0.0</v>
      </c>
      <c r="S114" s="50">
        <v>0.0</v>
      </c>
      <c r="T114" s="50">
        <v>2.8125</v>
      </c>
      <c r="U114" s="50">
        <v>0.0</v>
      </c>
      <c r="V114" s="50">
        <v>5.625</v>
      </c>
      <c r="W114" s="50">
        <v>0.0</v>
      </c>
      <c r="X114" s="50">
        <v>2.8125</v>
      </c>
      <c r="Y114" s="50">
        <v>11.25</v>
      </c>
    </row>
    <row r="115">
      <c r="A115" s="26">
        <v>109.0</v>
      </c>
      <c r="B115" s="65">
        <v>-0.08467201561138862</v>
      </c>
      <c r="C115" s="65">
        <v>0.07869834953103934</v>
      </c>
      <c r="D115" s="65">
        <v>-0.3247596168885309</v>
      </c>
      <c r="E115" s="65">
        <v>0.14214946377272594</v>
      </c>
      <c r="F115" s="65">
        <v>3.420569293730823</v>
      </c>
      <c r="G115" s="50">
        <v>0.0</v>
      </c>
      <c r="H115" s="50">
        <v>0.0</v>
      </c>
      <c r="I115" s="50">
        <v>0.0</v>
      </c>
      <c r="J115" s="50">
        <v>0.0</v>
      </c>
      <c r="K115" s="50">
        <v>0.0</v>
      </c>
      <c r="L115" s="50">
        <v>0.0</v>
      </c>
      <c r="M115" s="50">
        <v>0.0</v>
      </c>
      <c r="N115" s="50">
        <v>0.0</v>
      </c>
      <c r="O115" s="50">
        <v>0.0</v>
      </c>
      <c r="P115" s="50">
        <v>0.0</v>
      </c>
      <c r="Q115" s="50">
        <v>0.0</v>
      </c>
      <c r="R115" s="50">
        <v>0.0</v>
      </c>
      <c r="S115" s="50">
        <v>0.0</v>
      </c>
      <c r="T115" s="50">
        <v>2.8125</v>
      </c>
      <c r="U115" s="50">
        <v>0.0</v>
      </c>
      <c r="V115" s="50">
        <v>5.625</v>
      </c>
      <c r="W115" s="50">
        <v>0.0</v>
      </c>
      <c r="X115" s="50">
        <v>2.8125</v>
      </c>
      <c r="Y115" s="50">
        <v>11.25</v>
      </c>
    </row>
    <row r="116">
      <c r="A116" s="26">
        <v>110.0</v>
      </c>
      <c r="B116" s="65">
        <v>-0.46796858839321614</v>
      </c>
      <c r="C116" s="65">
        <v>0.5946444239377998</v>
      </c>
      <c r="D116" s="65">
        <v>1.650092307801134</v>
      </c>
      <c r="E116" s="65">
        <v>-0.2953679694143452</v>
      </c>
      <c r="F116" s="65">
        <v>1.7197949470292964</v>
      </c>
      <c r="G116" s="50">
        <v>0.0</v>
      </c>
      <c r="H116" s="50">
        <v>0.0</v>
      </c>
      <c r="I116" s="50">
        <v>0.0</v>
      </c>
      <c r="J116" s="50">
        <v>0.0</v>
      </c>
      <c r="K116" s="50">
        <v>0.0</v>
      </c>
      <c r="L116" s="50">
        <v>0.0</v>
      </c>
      <c r="M116" s="50">
        <v>0.0</v>
      </c>
      <c r="N116" s="50">
        <v>0.0</v>
      </c>
      <c r="O116" s="50">
        <v>7.425000000000001</v>
      </c>
      <c r="P116" s="50">
        <v>2.475</v>
      </c>
      <c r="Q116" s="50">
        <v>0.0</v>
      </c>
      <c r="R116" s="50">
        <v>0.0</v>
      </c>
      <c r="S116" s="50">
        <v>0.0</v>
      </c>
      <c r="T116" s="50">
        <v>2.8125</v>
      </c>
      <c r="U116" s="50">
        <v>0.0</v>
      </c>
      <c r="V116" s="50">
        <v>0.0</v>
      </c>
      <c r="W116" s="50">
        <v>0.0</v>
      </c>
      <c r="X116" s="50">
        <v>2.8125</v>
      </c>
      <c r="Y116" s="50">
        <v>15.525</v>
      </c>
    </row>
    <row r="117">
      <c r="A117" s="26">
        <v>111.0</v>
      </c>
      <c r="B117" s="65">
        <v>0.9042832840755886</v>
      </c>
      <c r="C117" s="65">
        <v>0.20188601372414564</v>
      </c>
      <c r="D117" s="65">
        <v>-0.40427702500273033</v>
      </c>
      <c r="E117" s="65">
        <v>-0.4162651854578828</v>
      </c>
      <c r="F117" s="65">
        <v>1.1239337060153025</v>
      </c>
      <c r="G117" s="50">
        <v>0.0</v>
      </c>
      <c r="H117" s="50">
        <v>0.0</v>
      </c>
      <c r="I117" s="50">
        <v>0.0</v>
      </c>
      <c r="J117" s="50">
        <v>0.0</v>
      </c>
      <c r="K117" s="50">
        <v>0.0</v>
      </c>
      <c r="L117" s="50">
        <v>0.0</v>
      </c>
      <c r="M117" s="50">
        <v>0.0</v>
      </c>
      <c r="N117" s="50">
        <v>0.0</v>
      </c>
      <c r="O117" s="50">
        <v>0.0</v>
      </c>
      <c r="P117" s="50">
        <v>0.0</v>
      </c>
      <c r="Q117" s="50">
        <v>0.0</v>
      </c>
      <c r="R117" s="50">
        <v>0.0</v>
      </c>
      <c r="S117" s="50">
        <v>0.0</v>
      </c>
      <c r="T117" s="50">
        <v>2.8125</v>
      </c>
      <c r="U117" s="50">
        <v>0.0</v>
      </c>
      <c r="V117" s="50">
        <v>0.0</v>
      </c>
      <c r="W117" s="50">
        <v>0.0</v>
      </c>
      <c r="X117" s="50">
        <v>2.8125</v>
      </c>
      <c r="Y117" s="50">
        <v>5.625</v>
      </c>
    </row>
    <row r="118">
      <c r="A118" s="26">
        <v>112.0</v>
      </c>
      <c r="B118" s="65">
        <v>-0.9533346171382663</v>
      </c>
      <c r="C118" s="65">
        <v>1.6342641152340538</v>
      </c>
      <c r="D118" s="65">
        <v>-0.8684464289859742</v>
      </c>
      <c r="E118" s="65">
        <v>-2.701395635969705</v>
      </c>
      <c r="F118" s="65">
        <v>4.10638628702485</v>
      </c>
      <c r="G118" s="50">
        <v>0.0</v>
      </c>
      <c r="H118" s="50">
        <v>0.0</v>
      </c>
      <c r="I118" s="50">
        <v>0.0</v>
      </c>
      <c r="J118" s="50">
        <v>0.0</v>
      </c>
      <c r="K118" s="50">
        <v>0.0</v>
      </c>
      <c r="L118" s="50">
        <v>0.0</v>
      </c>
      <c r="M118" s="50">
        <v>0.0</v>
      </c>
      <c r="N118" s="50">
        <v>0.0</v>
      </c>
      <c r="O118" s="50">
        <v>0.0</v>
      </c>
      <c r="P118" s="50">
        <v>0.0</v>
      </c>
      <c r="Q118" s="50">
        <v>0.0</v>
      </c>
      <c r="R118" s="50">
        <v>9.9</v>
      </c>
      <c r="S118" s="50">
        <v>0.0</v>
      </c>
      <c r="T118" s="50">
        <v>2.8125</v>
      </c>
      <c r="U118" s="50">
        <v>0.0</v>
      </c>
      <c r="V118" s="50">
        <v>5.625</v>
      </c>
      <c r="W118" s="50">
        <v>4.95</v>
      </c>
      <c r="X118" s="50">
        <v>2.8125</v>
      </c>
      <c r="Y118" s="50">
        <v>26.099999999999998</v>
      </c>
    </row>
    <row r="119">
      <c r="A119" s="26">
        <v>113.0</v>
      </c>
      <c r="B119" s="65">
        <v>-0.06829415148856119</v>
      </c>
      <c r="C119" s="65">
        <v>0.8431970135196284</v>
      </c>
      <c r="D119" s="65">
        <v>1.112417320778398</v>
      </c>
      <c r="E119" s="65">
        <v>1.6125354965063805</v>
      </c>
      <c r="F119" s="65">
        <v>3.5575458071977906</v>
      </c>
      <c r="G119" s="50">
        <v>0.0</v>
      </c>
      <c r="H119" s="50">
        <v>0.0</v>
      </c>
      <c r="I119" s="50">
        <v>0.0</v>
      </c>
      <c r="J119" s="50">
        <v>0.0</v>
      </c>
      <c r="K119" s="50">
        <v>0.0</v>
      </c>
      <c r="L119" s="50">
        <v>0.0</v>
      </c>
      <c r="M119" s="50">
        <v>0.0</v>
      </c>
      <c r="N119" s="50">
        <v>0.0</v>
      </c>
      <c r="O119" s="50">
        <v>7.425000000000001</v>
      </c>
      <c r="P119" s="50">
        <v>0.0</v>
      </c>
      <c r="Q119" s="50">
        <v>0.0</v>
      </c>
      <c r="R119" s="50">
        <v>0.0</v>
      </c>
      <c r="S119" s="50">
        <v>0.0</v>
      </c>
      <c r="T119" s="50">
        <v>2.8125</v>
      </c>
      <c r="U119" s="50">
        <v>0.0</v>
      </c>
      <c r="V119" s="50">
        <v>0.0</v>
      </c>
      <c r="W119" s="50">
        <v>0.0</v>
      </c>
      <c r="X119" s="50">
        <v>2.8125</v>
      </c>
      <c r="Y119" s="50">
        <v>13.05</v>
      </c>
    </row>
    <row r="120">
      <c r="A120" s="26">
        <v>114.0</v>
      </c>
      <c r="B120" s="65">
        <v>0.22036111915259965</v>
      </c>
      <c r="C120" s="65">
        <v>0.3190281405331839</v>
      </c>
      <c r="D120" s="65">
        <v>0.22829820991568633</v>
      </c>
      <c r="E120" s="65">
        <v>0.4690255802992333</v>
      </c>
      <c r="F120" s="65">
        <v>3.465900464747689</v>
      </c>
      <c r="G120" s="50">
        <v>0.0</v>
      </c>
      <c r="H120" s="50">
        <v>0.0</v>
      </c>
      <c r="I120" s="50">
        <v>0.0</v>
      </c>
      <c r="J120" s="50">
        <v>0.0</v>
      </c>
      <c r="K120" s="50">
        <v>0.0</v>
      </c>
      <c r="L120" s="50">
        <v>0.0</v>
      </c>
      <c r="M120" s="50">
        <v>0.0</v>
      </c>
      <c r="N120" s="50">
        <v>0.0</v>
      </c>
      <c r="O120" s="50">
        <v>0.0</v>
      </c>
      <c r="P120" s="50">
        <v>0.0</v>
      </c>
      <c r="Q120" s="50">
        <v>0.0</v>
      </c>
      <c r="R120" s="50">
        <v>0.0</v>
      </c>
      <c r="S120" s="50">
        <v>0.0</v>
      </c>
      <c r="T120" s="50">
        <v>2.8125</v>
      </c>
      <c r="U120" s="50">
        <v>0.0</v>
      </c>
      <c r="V120" s="50">
        <v>0.0</v>
      </c>
      <c r="W120" s="50">
        <v>4.95</v>
      </c>
      <c r="X120" s="50">
        <v>2.8125</v>
      </c>
      <c r="Y120" s="50">
        <v>10.575</v>
      </c>
    </row>
    <row r="121">
      <c r="A121" s="26">
        <v>115.0</v>
      </c>
      <c r="B121" s="65">
        <v>0.11886297206187905</v>
      </c>
      <c r="C121" s="65">
        <v>1.0310425285644549</v>
      </c>
      <c r="D121" s="65">
        <v>-0.2775003150308045</v>
      </c>
      <c r="E121" s="65">
        <v>0.07824988084931432</v>
      </c>
      <c r="F121" s="65">
        <v>5.235255418731903</v>
      </c>
      <c r="G121" s="50">
        <v>0.0</v>
      </c>
      <c r="H121" s="50">
        <v>0.0</v>
      </c>
      <c r="I121" s="50">
        <v>0.0</v>
      </c>
      <c r="J121" s="50">
        <v>0.0</v>
      </c>
      <c r="K121" s="50">
        <v>0.0</v>
      </c>
      <c r="L121" s="50">
        <v>0.0</v>
      </c>
      <c r="M121" s="50">
        <v>0.0</v>
      </c>
      <c r="N121" s="50">
        <v>0.0</v>
      </c>
      <c r="O121" s="50">
        <v>0.0</v>
      </c>
      <c r="P121" s="50">
        <v>0.0</v>
      </c>
      <c r="Q121" s="50">
        <v>0.0</v>
      </c>
      <c r="R121" s="50">
        <v>0.0</v>
      </c>
      <c r="S121" s="50">
        <v>0.0</v>
      </c>
      <c r="T121" s="50">
        <v>2.8125</v>
      </c>
      <c r="U121" s="50">
        <v>0.0</v>
      </c>
      <c r="V121" s="50">
        <v>0.0</v>
      </c>
      <c r="W121" s="50">
        <v>0.0</v>
      </c>
      <c r="X121" s="50">
        <v>2.8125</v>
      </c>
      <c r="Y121" s="50">
        <v>5.625</v>
      </c>
    </row>
    <row r="122">
      <c r="A122" s="26">
        <v>116.0</v>
      </c>
      <c r="B122" s="65">
        <v>0.23276271723708847</v>
      </c>
      <c r="C122" s="65">
        <v>-0.13310256617792837</v>
      </c>
      <c r="D122" s="65">
        <v>0.1291105009786746</v>
      </c>
      <c r="E122" s="65">
        <v>-1.1280319753024801</v>
      </c>
      <c r="F122" s="65">
        <v>0.7825858676489991</v>
      </c>
      <c r="G122" s="50">
        <v>0.0</v>
      </c>
      <c r="H122" s="50">
        <v>0.0</v>
      </c>
      <c r="I122" s="50">
        <v>0.0</v>
      </c>
      <c r="J122" s="50">
        <v>0.0</v>
      </c>
      <c r="K122" s="50">
        <v>0.0</v>
      </c>
      <c r="L122" s="50">
        <v>0.0</v>
      </c>
      <c r="M122" s="50">
        <v>0.0</v>
      </c>
      <c r="N122" s="50">
        <v>0.0</v>
      </c>
      <c r="O122" s="50">
        <v>0.0</v>
      </c>
      <c r="P122" s="50">
        <v>0.0</v>
      </c>
      <c r="Q122" s="50">
        <v>0.0</v>
      </c>
      <c r="R122" s="50">
        <v>0.0</v>
      </c>
      <c r="S122" s="50">
        <v>0.0</v>
      </c>
      <c r="T122" s="50">
        <v>2.8125</v>
      </c>
      <c r="U122" s="50">
        <v>9.9</v>
      </c>
      <c r="V122" s="50">
        <v>5.625</v>
      </c>
      <c r="W122" s="50">
        <v>4.95</v>
      </c>
      <c r="X122" s="50">
        <v>2.8125</v>
      </c>
      <c r="Y122" s="50">
        <v>26.099999999999998</v>
      </c>
    </row>
    <row r="123">
      <c r="A123" s="26">
        <v>117.0</v>
      </c>
      <c r="B123" s="65">
        <v>-0.5472618698719314</v>
      </c>
      <c r="C123" s="65">
        <v>-0.4386539740311841</v>
      </c>
      <c r="D123" s="65">
        <v>-0.46441903767951237</v>
      </c>
      <c r="E123" s="65">
        <v>0.4956477687055908</v>
      </c>
      <c r="F123" s="65">
        <v>6.460182318590179</v>
      </c>
      <c r="G123" s="50">
        <v>0.0</v>
      </c>
      <c r="H123" s="50">
        <v>0.0</v>
      </c>
      <c r="I123" s="50">
        <v>0.0</v>
      </c>
      <c r="J123" s="50">
        <v>0.0</v>
      </c>
      <c r="K123" s="50">
        <v>0.0</v>
      </c>
      <c r="L123" s="50">
        <v>0.0</v>
      </c>
      <c r="M123" s="50">
        <v>0.0</v>
      </c>
      <c r="N123" s="50">
        <v>0.0</v>
      </c>
      <c r="O123" s="50">
        <v>0.0</v>
      </c>
      <c r="P123" s="50">
        <v>0.0</v>
      </c>
      <c r="Q123" s="50">
        <v>0.0</v>
      </c>
      <c r="R123" s="50">
        <v>0.0</v>
      </c>
      <c r="S123" s="50">
        <v>0.0</v>
      </c>
      <c r="T123" s="50">
        <v>2.8125</v>
      </c>
      <c r="U123" s="50">
        <v>0.0</v>
      </c>
      <c r="V123" s="50">
        <v>0.0</v>
      </c>
      <c r="W123" s="50">
        <v>0.0</v>
      </c>
      <c r="X123" s="50">
        <v>2.8125</v>
      </c>
      <c r="Y123" s="50">
        <v>5.625</v>
      </c>
    </row>
    <row r="124">
      <c r="A124" s="26">
        <v>118.0</v>
      </c>
      <c r="B124" s="65">
        <v>1.3888854085053814</v>
      </c>
      <c r="C124" s="65">
        <v>0.7411371516291444</v>
      </c>
      <c r="D124" s="65">
        <v>0.367104527070864</v>
      </c>
      <c r="E124" s="65">
        <v>0.6498599233680468</v>
      </c>
      <c r="F124" s="65">
        <v>4.251220297359596</v>
      </c>
      <c r="G124" s="50">
        <v>0.0</v>
      </c>
      <c r="H124" s="50">
        <v>0.0</v>
      </c>
      <c r="I124" s="50">
        <v>0.0</v>
      </c>
      <c r="J124" s="50">
        <v>0.0</v>
      </c>
      <c r="K124" s="50">
        <v>0.0</v>
      </c>
      <c r="L124" s="50">
        <v>0.0</v>
      </c>
      <c r="M124" s="50">
        <v>0.0</v>
      </c>
      <c r="N124" s="50">
        <v>0.0</v>
      </c>
      <c r="O124" s="50">
        <v>0.0</v>
      </c>
      <c r="P124" s="50">
        <v>0.0</v>
      </c>
      <c r="Q124" s="50">
        <v>0.0</v>
      </c>
      <c r="R124" s="50">
        <v>0.0</v>
      </c>
      <c r="S124" s="50">
        <v>0.0</v>
      </c>
      <c r="T124" s="50">
        <v>2.8125</v>
      </c>
      <c r="U124" s="50">
        <v>0.0</v>
      </c>
      <c r="V124" s="50">
        <v>0.0</v>
      </c>
      <c r="W124" s="50">
        <v>0.0</v>
      </c>
      <c r="X124" s="50">
        <v>2.8125</v>
      </c>
      <c r="Y124" s="50">
        <v>5.625</v>
      </c>
    </row>
    <row r="125">
      <c r="A125" s="26">
        <v>119.0</v>
      </c>
      <c r="B125" s="65">
        <v>0.4599304256026935</v>
      </c>
      <c r="C125" s="65">
        <v>-0.541972640353884</v>
      </c>
      <c r="D125" s="65">
        <v>1.1688622014700856</v>
      </c>
      <c r="E125" s="65">
        <v>-0.22558214145388453</v>
      </c>
      <c r="F125" s="65">
        <v>2.7730294567646547</v>
      </c>
      <c r="G125" s="50">
        <v>0.0</v>
      </c>
      <c r="H125" s="50">
        <v>0.0</v>
      </c>
      <c r="I125" s="50">
        <v>0.0</v>
      </c>
      <c r="J125" s="50">
        <v>0.0</v>
      </c>
      <c r="K125" s="50">
        <v>0.0</v>
      </c>
      <c r="L125" s="50">
        <v>0.0</v>
      </c>
      <c r="M125" s="50">
        <v>0.0</v>
      </c>
      <c r="N125" s="50">
        <v>0.0</v>
      </c>
      <c r="O125" s="50">
        <v>0.0</v>
      </c>
      <c r="P125" s="50">
        <v>0.0</v>
      </c>
      <c r="Q125" s="50">
        <v>0.0</v>
      </c>
      <c r="R125" s="50">
        <v>0.0</v>
      </c>
      <c r="S125" s="50">
        <v>0.0</v>
      </c>
      <c r="T125" s="50">
        <v>2.8125</v>
      </c>
      <c r="U125" s="50">
        <v>0.0</v>
      </c>
      <c r="V125" s="50">
        <v>5.625</v>
      </c>
      <c r="W125" s="50">
        <v>0.0</v>
      </c>
      <c r="X125" s="50">
        <v>2.8125</v>
      </c>
      <c r="Y125" s="50">
        <v>11.25</v>
      </c>
    </row>
    <row r="126">
      <c r="A126" s="26">
        <v>120.0</v>
      </c>
      <c r="B126" s="65">
        <v>0.34714718874064604</v>
      </c>
      <c r="C126" s="65">
        <v>0.20625194908073474</v>
      </c>
      <c r="D126" s="65">
        <v>-0.4170876240929285</v>
      </c>
      <c r="E126" s="65">
        <v>-0.7012538226279125</v>
      </c>
      <c r="F126" s="65">
        <v>2.311251763736048</v>
      </c>
      <c r="G126" s="50">
        <v>0.0</v>
      </c>
      <c r="H126" s="50">
        <v>0.0</v>
      </c>
      <c r="I126" s="50">
        <v>0.0</v>
      </c>
      <c r="J126" s="50">
        <v>0.0</v>
      </c>
      <c r="K126" s="50">
        <v>0.0</v>
      </c>
      <c r="L126" s="50">
        <v>0.0</v>
      </c>
      <c r="M126" s="50">
        <v>0.0</v>
      </c>
      <c r="N126" s="50">
        <v>0.0</v>
      </c>
      <c r="O126" s="50">
        <v>7.425000000000001</v>
      </c>
      <c r="P126" s="50">
        <v>0.0</v>
      </c>
      <c r="Q126" s="50">
        <v>0.0</v>
      </c>
      <c r="R126" s="50">
        <v>0.0</v>
      </c>
      <c r="S126" s="50">
        <v>0.0</v>
      </c>
      <c r="T126" s="50">
        <v>2.8125</v>
      </c>
      <c r="U126" s="50">
        <v>0.0</v>
      </c>
      <c r="V126" s="50">
        <v>0.0</v>
      </c>
      <c r="W126" s="50">
        <v>0.0</v>
      </c>
      <c r="X126" s="50">
        <v>2.8125</v>
      </c>
      <c r="Y126" s="50">
        <v>13.05</v>
      </c>
    </row>
    <row r="127">
      <c r="A127" s="26">
        <v>121.0</v>
      </c>
      <c r="B127" s="65">
        <v>0.4358913645478075</v>
      </c>
      <c r="C127" s="65">
        <v>-0.68951801210121</v>
      </c>
      <c r="D127" s="65">
        <v>-0.9892031777969871</v>
      </c>
      <c r="E127" s="65">
        <v>0.7738229594336798</v>
      </c>
      <c r="F127" s="65">
        <v>4.414215489468737</v>
      </c>
      <c r="G127" s="50">
        <v>0.0</v>
      </c>
      <c r="H127" s="50">
        <v>0.0</v>
      </c>
      <c r="I127" s="50">
        <v>0.0</v>
      </c>
      <c r="J127" s="50">
        <v>0.0</v>
      </c>
      <c r="K127" s="50">
        <v>0.0</v>
      </c>
      <c r="L127" s="50">
        <v>0.0</v>
      </c>
      <c r="M127" s="50">
        <v>0.0</v>
      </c>
      <c r="N127" s="50">
        <v>0.0</v>
      </c>
      <c r="O127" s="50">
        <v>0.0</v>
      </c>
      <c r="P127" s="50">
        <v>0.0</v>
      </c>
      <c r="Q127" s="50">
        <v>0.0</v>
      </c>
      <c r="R127" s="50">
        <v>9.9</v>
      </c>
      <c r="S127" s="50">
        <v>0.0</v>
      </c>
      <c r="T127" s="50">
        <v>2.8125</v>
      </c>
      <c r="U127" s="50">
        <v>0.0</v>
      </c>
      <c r="V127" s="50">
        <v>0.0</v>
      </c>
      <c r="W127" s="50">
        <v>0.0</v>
      </c>
      <c r="X127" s="50">
        <v>2.8125</v>
      </c>
      <c r="Y127" s="50">
        <v>15.525</v>
      </c>
    </row>
    <row r="128">
      <c r="A128" s="26">
        <v>122.0</v>
      </c>
      <c r="B128" s="65">
        <v>-0.8227823071393694</v>
      </c>
      <c r="C128" s="65">
        <v>0.9219265376496346</v>
      </c>
      <c r="D128" s="65">
        <v>0.09940746553859645</v>
      </c>
      <c r="E128" s="65">
        <v>0.3739948719924548</v>
      </c>
      <c r="F128" s="65">
        <v>2.995947728452719</v>
      </c>
      <c r="G128" s="50">
        <v>0.0</v>
      </c>
      <c r="H128" s="50">
        <v>0.0</v>
      </c>
      <c r="I128" s="50">
        <v>0.0</v>
      </c>
      <c r="J128" s="50">
        <v>0.0</v>
      </c>
      <c r="K128" s="50">
        <v>0.0</v>
      </c>
      <c r="L128" s="50">
        <v>0.0</v>
      </c>
      <c r="M128" s="50">
        <v>0.0</v>
      </c>
      <c r="N128" s="50">
        <v>0.0</v>
      </c>
      <c r="O128" s="50">
        <v>7.425000000000001</v>
      </c>
      <c r="P128" s="50">
        <v>0.0</v>
      </c>
      <c r="Q128" s="50">
        <v>0.0</v>
      </c>
      <c r="R128" s="50">
        <v>0.0</v>
      </c>
      <c r="S128" s="50">
        <v>0.0</v>
      </c>
      <c r="T128" s="50">
        <v>2.8125</v>
      </c>
      <c r="U128" s="50">
        <v>0.0</v>
      </c>
      <c r="V128" s="50">
        <v>5.625</v>
      </c>
      <c r="W128" s="50">
        <v>0.0</v>
      </c>
      <c r="X128" s="50">
        <v>2.8125</v>
      </c>
      <c r="Y128" s="50">
        <v>18.675</v>
      </c>
    </row>
    <row r="129">
      <c r="A129" s="26">
        <v>123.0</v>
      </c>
      <c r="B129" s="65">
        <v>-0.16870059263988377</v>
      </c>
      <c r="C129" s="65">
        <v>1.1400408944006901</v>
      </c>
      <c r="D129" s="65">
        <v>0.2738856520147043</v>
      </c>
      <c r="E129" s="65">
        <v>0.4402739418503988</v>
      </c>
      <c r="F129" s="65">
        <v>9.576394461810377</v>
      </c>
      <c r="G129" s="50">
        <v>0.0</v>
      </c>
      <c r="H129" s="50">
        <v>0.0</v>
      </c>
      <c r="I129" s="50">
        <v>0.0</v>
      </c>
      <c r="J129" s="50">
        <v>0.0</v>
      </c>
      <c r="K129" s="50">
        <v>0.0</v>
      </c>
      <c r="L129" s="50">
        <v>0.0</v>
      </c>
      <c r="M129" s="50">
        <v>0.0</v>
      </c>
      <c r="N129" s="50">
        <v>0.0</v>
      </c>
      <c r="O129" s="50">
        <v>0.0</v>
      </c>
      <c r="P129" s="50">
        <v>0.0</v>
      </c>
      <c r="Q129" s="50">
        <v>0.0</v>
      </c>
      <c r="R129" s="50">
        <v>0.0</v>
      </c>
      <c r="S129" s="50">
        <v>0.0</v>
      </c>
      <c r="T129" s="50">
        <v>2.8125</v>
      </c>
      <c r="U129" s="50">
        <v>0.0</v>
      </c>
      <c r="V129" s="50">
        <v>0.0</v>
      </c>
      <c r="W129" s="50">
        <v>0.0</v>
      </c>
      <c r="X129" s="50">
        <v>2.8125</v>
      </c>
      <c r="Y129" s="50">
        <v>5.625</v>
      </c>
    </row>
    <row r="130">
      <c r="A130" s="26">
        <v>124.0</v>
      </c>
      <c r="B130" s="65">
        <v>-0.8649978204809193</v>
      </c>
      <c r="C130" s="65">
        <v>-0.038730631208101204</v>
      </c>
      <c r="D130" s="65">
        <v>0.6544098190006312</v>
      </c>
      <c r="E130" s="65">
        <v>0.8972646293835168</v>
      </c>
      <c r="F130" s="65">
        <v>5.943604306713695</v>
      </c>
      <c r="G130" s="50">
        <v>0.0</v>
      </c>
      <c r="H130" s="50">
        <v>0.0</v>
      </c>
      <c r="I130" s="50">
        <v>0.0</v>
      </c>
      <c r="J130" s="50">
        <v>0.0</v>
      </c>
      <c r="K130" s="50">
        <v>0.0</v>
      </c>
      <c r="L130" s="50">
        <v>0.0</v>
      </c>
      <c r="M130" s="50">
        <v>0.0</v>
      </c>
      <c r="N130" s="50">
        <v>0.0</v>
      </c>
      <c r="O130" s="50">
        <v>0.0</v>
      </c>
      <c r="P130" s="50">
        <v>0.0</v>
      </c>
      <c r="Q130" s="50">
        <v>0.0</v>
      </c>
      <c r="R130" s="50">
        <v>0.0</v>
      </c>
      <c r="S130" s="50">
        <v>0.0</v>
      </c>
      <c r="T130" s="50">
        <v>2.8125</v>
      </c>
      <c r="U130" s="50">
        <v>0.0</v>
      </c>
      <c r="V130" s="50">
        <v>0.0</v>
      </c>
      <c r="W130" s="50">
        <v>0.0</v>
      </c>
      <c r="X130" s="50">
        <v>2.8125</v>
      </c>
      <c r="Y130" s="50">
        <v>5.625</v>
      </c>
    </row>
    <row r="131">
      <c r="A131" s="26">
        <v>125.0</v>
      </c>
      <c r="B131" s="65">
        <v>-0.12616682345896682</v>
      </c>
      <c r="C131" s="65">
        <v>0.22753787001259543</v>
      </c>
      <c r="D131" s="65">
        <v>-0.4616717096418812</v>
      </c>
      <c r="E131" s="65">
        <v>0.23574733164017045</v>
      </c>
      <c r="F131" s="65">
        <v>1.6139897109090433</v>
      </c>
      <c r="G131" s="50">
        <v>0.0</v>
      </c>
      <c r="H131" s="50">
        <v>0.0</v>
      </c>
      <c r="I131" s="50">
        <v>0.0</v>
      </c>
      <c r="J131" s="50">
        <v>0.0</v>
      </c>
      <c r="K131" s="50">
        <v>0.0</v>
      </c>
      <c r="L131" s="50">
        <v>0.0</v>
      </c>
      <c r="M131" s="50">
        <v>0.0</v>
      </c>
      <c r="N131" s="50">
        <v>0.0</v>
      </c>
      <c r="O131" s="50">
        <v>0.0</v>
      </c>
      <c r="P131" s="50">
        <v>0.0</v>
      </c>
      <c r="Q131" s="50">
        <v>0.0</v>
      </c>
      <c r="R131" s="50">
        <v>0.0</v>
      </c>
      <c r="S131" s="50">
        <v>0.0</v>
      </c>
      <c r="T131" s="50">
        <v>2.8125</v>
      </c>
      <c r="U131" s="50">
        <v>0.0</v>
      </c>
      <c r="V131" s="50">
        <v>0.0</v>
      </c>
      <c r="W131" s="50">
        <v>4.95</v>
      </c>
      <c r="X131" s="50">
        <v>2.8125</v>
      </c>
      <c r="Y131" s="50">
        <v>10.575</v>
      </c>
    </row>
    <row r="132">
      <c r="A132" s="26">
        <v>126.0</v>
      </c>
      <c r="B132" s="65">
        <v>-0.4954587043774174</v>
      </c>
      <c r="C132" s="65">
        <v>-0.10935307729070408</v>
      </c>
      <c r="D132" s="65">
        <v>0.22362986869882678</v>
      </c>
      <c r="E132" s="65">
        <v>0.9029704868524471</v>
      </c>
      <c r="F132" s="65">
        <v>1.8341799953422393</v>
      </c>
      <c r="G132" s="50">
        <v>0.0</v>
      </c>
      <c r="H132" s="50">
        <v>0.0</v>
      </c>
      <c r="I132" s="50">
        <v>0.0</v>
      </c>
      <c r="J132" s="50">
        <v>0.0</v>
      </c>
      <c r="K132" s="50">
        <v>0.0</v>
      </c>
      <c r="L132" s="50">
        <v>0.0</v>
      </c>
      <c r="M132" s="50">
        <v>0.0</v>
      </c>
      <c r="N132" s="50">
        <v>0.0</v>
      </c>
      <c r="O132" s="50">
        <v>7.425000000000001</v>
      </c>
      <c r="P132" s="50">
        <v>0.0</v>
      </c>
      <c r="Q132" s="50">
        <v>0.0</v>
      </c>
      <c r="R132" s="50">
        <v>9.9</v>
      </c>
      <c r="S132" s="50">
        <v>0.0</v>
      </c>
      <c r="T132" s="50">
        <v>2.8125</v>
      </c>
      <c r="U132" s="50">
        <v>0.0</v>
      </c>
      <c r="V132" s="50">
        <v>5.625</v>
      </c>
      <c r="W132" s="50">
        <v>0.0</v>
      </c>
      <c r="X132" s="50">
        <v>2.8125</v>
      </c>
      <c r="Y132" s="50">
        <v>28.575000000000003</v>
      </c>
    </row>
    <row r="133">
      <c r="A133" s="26">
        <v>127.0</v>
      </c>
      <c r="B133" s="65">
        <v>0.5292757651200889</v>
      </c>
      <c r="C133" s="65">
        <v>0.25763994569825643</v>
      </c>
      <c r="D133" s="65">
        <v>-1.264437865942435</v>
      </c>
      <c r="E133" s="65">
        <v>0.09157715011094343</v>
      </c>
      <c r="F133" s="65">
        <v>11.736434819859294</v>
      </c>
      <c r="G133" s="50">
        <v>0.0</v>
      </c>
      <c r="H133" s="50">
        <v>0.0</v>
      </c>
      <c r="I133" s="50">
        <v>0.0</v>
      </c>
      <c r="J133" s="50">
        <v>0.0</v>
      </c>
      <c r="K133" s="50">
        <v>0.0</v>
      </c>
      <c r="L133" s="50">
        <v>0.0</v>
      </c>
      <c r="M133" s="50">
        <v>0.0</v>
      </c>
      <c r="N133" s="50">
        <v>0.0</v>
      </c>
      <c r="O133" s="50">
        <v>0.0</v>
      </c>
      <c r="P133" s="50">
        <v>0.0</v>
      </c>
      <c r="Q133" s="50">
        <v>0.0</v>
      </c>
      <c r="R133" s="50">
        <v>0.0</v>
      </c>
      <c r="S133" s="50">
        <v>0.0</v>
      </c>
      <c r="T133" s="50">
        <v>2.8125</v>
      </c>
      <c r="U133" s="50">
        <v>0.0</v>
      </c>
      <c r="V133" s="50">
        <v>5.625</v>
      </c>
      <c r="W133" s="50">
        <v>0.0</v>
      </c>
      <c r="X133" s="50">
        <v>2.8125</v>
      </c>
      <c r="Y133" s="50">
        <v>11.25</v>
      </c>
    </row>
    <row r="134">
      <c r="A134" s="26">
        <v>128.0</v>
      </c>
      <c r="B134" s="65">
        <v>0.6525107176379809</v>
      </c>
      <c r="C134" s="65">
        <v>0.3292447157490448</v>
      </c>
      <c r="D134" s="65">
        <v>0.12534864414177047</v>
      </c>
      <c r="E134" s="65">
        <v>0.6493960593317409</v>
      </c>
      <c r="F134" s="65">
        <v>7.8805931907437</v>
      </c>
      <c r="G134" s="50">
        <v>0.0</v>
      </c>
      <c r="H134" s="50">
        <v>0.0</v>
      </c>
      <c r="I134" s="50">
        <v>0.0</v>
      </c>
      <c r="J134" s="50">
        <v>0.0</v>
      </c>
      <c r="K134" s="50">
        <v>0.0</v>
      </c>
      <c r="L134" s="50">
        <v>0.0</v>
      </c>
      <c r="M134" s="50">
        <v>0.0</v>
      </c>
      <c r="N134" s="50">
        <v>0.0</v>
      </c>
      <c r="O134" s="50">
        <v>0.0</v>
      </c>
      <c r="P134" s="50">
        <v>0.0</v>
      </c>
      <c r="Q134" s="50">
        <v>0.0</v>
      </c>
      <c r="R134" s="50">
        <v>0.0</v>
      </c>
      <c r="S134" s="50">
        <v>0.0</v>
      </c>
      <c r="T134" s="50">
        <v>2.8125</v>
      </c>
      <c r="U134" s="50">
        <v>0.0</v>
      </c>
      <c r="V134" s="50">
        <v>0.0</v>
      </c>
      <c r="W134" s="50">
        <v>0.0</v>
      </c>
      <c r="X134" s="50">
        <v>2.8125</v>
      </c>
      <c r="Y134" s="50">
        <v>5.625</v>
      </c>
    </row>
    <row r="135">
      <c r="A135" s="26">
        <v>129.0</v>
      </c>
      <c r="B135" s="65">
        <v>1.1152899472523856</v>
      </c>
      <c r="C135" s="65">
        <v>0.9820653784494107</v>
      </c>
      <c r="D135" s="65">
        <v>1.6757372392941887</v>
      </c>
      <c r="E135" s="65">
        <v>1.3871096128376963</v>
      </c>
      <c r="F135" s="65">
        <v>2.94546980219091</v>
      </c>
      <c r="G135" s="50">
        <v>0.0</v>
      </c>
      <c r="H135" s="50">
        <v>0.0</v>
      </c>
      <c r="I135" s="50">
        <v>0.0</v>
      </c>
      <c r="J135" s="50">
        <v>0.0</v>
      </c>
      <c r="K135" s="50">
        <v>0.0</v>
      </c>
      <c r="L135" s="50">
        <v>0.0</v>
      </c>
      <c r="M135" s="50">
        <v>0.0</v>
      </c>
      <c r="N135" s="50">
        <v>0.0</v>
      </c>
      <c r="O135" s="50">
        <v>0.0</v>
      </c>
      <c r="P135" s="50">
        <v>0.0</v>
      </c>
      <c r="Q135" s="50">
        <v>0.0</v>
      </c>
      <c r="R135" s="50">
        <v>0.0</v>
      </c>
      <c r="S135" s="50">
        <v>0.0</v>
      </c>
      <c r="T135" s="50">
        <v>2.8125</v>
      </c>
      <c r="U135" s="50">
        <v>0.0</v>
      </c>
      <c r="V135" s="50">
        <v>0.0</v>
      </c>
      <c r="W135" s="50">
        <v>0.0</v>
      </c>
      <c r="X135" s="50">
        <v>2.8125</v>
      </c>
      <c r="Y135" s="50">
        <v>5.625</v>
      </c>
    </row>
    <row r="136">
      <c r="A136" s="26">
        <v>130.0</v>
      </c>
      <c r="B136" s="65">
        <v>0.6652660967086886</v>
      </c>
      <c r="C136" s="65">
        <v>-0.9489470217304316</v>
      </c>
      <c r="D136" s="65">
        <v>-1.4333526627556739</v>
      </c>
      <c r="E136" s="65">
        <v>0.7176810651736262</v>
      </c>
      <c r="F136" s="65">
        <v>2.3858289273301385</v>
      </c>
      <c r="G136" s="50">
        <v>0.0</v>
      </c>
      <c r="H136" s="50">
        <v>0.0</v>
      </c>
      <c r="I136" s="50">
        <v>0.0</v>
      </c>
      <c r="J136" s="50">
        <v>0.0</v>
      </c>
      <c r="K136" s="50">
        <v>0.0</v>
      </c>
      <c r="L136" s="50">
        <v>0.0</v>
      </c>
      <c r="M136" s="50">
        <v>0.0</v>
      </c>
      <c r="N136" s="50">
        <v>0.0</v>
      </c>
      <c r="O136" s="50">
        <v>0.0</v>
      </c>
      <c r="P136" s="50">
        <v>0.0</v>
      </c>
      <c r="Q136" s="50">
        <v>0.0</v>
      </c>
      <c r="R136" s="50">
        <v>0.0</v>
      </c>
      <c r="S136" s="50">
        <v>11.25</v>
      </c>
      <c r="T136" s="50">
        <v>2.8125</v>
      </c>
      <c r="U136" s="50">
        <v>0.0</v>
      </c>
      <c r="V136" s="50">
        <v>0.0</v>
      </c>
      <c r="W136" s="50">
        <v>0.0</v>
      </c>
      <c r="X136" s="50">
        <v>2.8125</v>
      </c>
      <c r="Y136" s="50">
        <v>16.875</v>
      </c>
    </row>
    <row r="137">
      <c r="A137" s="26">
        <v>131.0</v>
      </c>
      <c r="B137" s="65">
        <v>-0.7227505824870244</v>
      </c>
      <c r="C137" s="65">
        <v>-1.3294523477428681</v>
      </c>
      <c r="D137" s="65">
        <v>0.06421012401743702</v>
      </c>
      <c r="E137" s="65">
        <v>0.5900980217665094</v>
      </c>
      <c r="F137" s="65">
        <v>1.1457534323771603</v>
      </c>
      <c r="G137" s="50">
        <v>0.0</v>
      </c>
      <c r="H137" s="50">
        <v>0.0</v>
      </c>
      <c r="I137" s="50">
        <v>0.0</v>
      </c>
      <c r="J137" s="50">
        <v>0.0</v>
      </c>
      <c r="K137" s="50">
        <v>0.0</v>
      </c>
      <c r="L137" s="50">
        <v>0.0</v>
      </c>
      <c r="M137" s="50">
        <v>0.0</v>
      </c>
      <c r="N137" s="50">
        <v>0.0</v>
      </c>
      <c r="O137" s="50">
        <v>7.425000000000001</v>
      </c>
      <c r="P137" s="50">
        <v>0.0</v>
      </c>
      <c r="Q137" s="50">
        <v>0.0</v>
      </c>
      <c r="R137" s="50">
        <v>0.0</v>
      </c>
      <c r="S137" s="50">
        <v>0.0</v>
      </c>
      <c r="T137" s="50">
        <v>2.8125</v>
      </c>
      <c r="U137" s="50">
        <v>0.0</v>
      </c>
      <c r="V137" s="50">
        <v>0.0</v>
      </c>
      <c r="W137" s="50">
        <v>0.0</v>
      </c>
      <c r="X137" s="50">
        <v>2.8125</v>
      </c>
      <c r="Y137" s="50">
        <v>13.05</v>
      </c>
    </row>
    <row r="138">
      <c r="A138" s="26">
        <v>132.0</v>
      </c>
      <c r="B138" s="65">
        <v>-1.8505757071036586</v>
      </c>
      <c r="C138" s="65">
        <v>-1.1213626458831394</v>
      </c>
      <c r="D138" s="65">
        <v>0.8094634229696028</v>
      </c>
      <c r="E138" s="65">
        <v>0.5517481250422777</v>
      </c>
      <c r="F138" s="65">
        <v>2.879485462627776</v>
      </c>
      <c r="G138" s="50">
        <v>0.0</v>
      </c>
      <c r="H138" s="50">
        <v>0.0</v>
      </c>
      <c r="I138" s="50">
        <v>0.0</v>
      </c>
      <c r="J138" s="50">
        <v>0.0</v>
      </c>
      <c r="K138" s="50">
        <v>0.0</v>
      </c>
      <c r="L138" s="50">
        <v>0.0</v>
      </c>
      <c r="M138" s="50">
        <v>0.0</v>
      </c>
      <c r="N138" s="50">
        <v>0.0</v>
      </c>
      <c r="O138" s="50">
        <v>7.425000000000001</v>
      </c>
      <c r="P138" s="50">
        <v>0.0</v>
      </c>
      <c r="Q138" s="50">
        <v>0.0</v>
      </c>
      <c r="R138" s="50">
        <v>0.0</v>
      </c>
      <c r="S138" s="50">
        <v>0.0</v>
      </c>
      <c r="T138" s="50">
        <v>2.8125</v>
      </c>
      <c r="U138" s="50">
        <v>9.9</v>
      </c>
      <c r="V138" s="50">
        <v>5.625</v>
      </c>
      <c r="W138" s="50">
        <v>0.0</v>
      </c>
      <c r="X138" s="50">
        <v>2.8125</v>
      </c>
      <c r="Y138" s="50">
        <v>28.575000000000003</v>
      </c>
    </row>
    <row r="139">
      <c r="A139" s="26">
        <v>133.0</v>
      </c>
      <c r="B139" s="65">
        <v>-0.9525139318849764</v>
      </c>
      <c r="C139" s="65">
        <v>0.3539573443233926</v>
      </c>
      <c r="D139" s="65">
        <v>2.1342901833381145</v>
      </c>
      <c r="E139" s="65">
        <v>1.0024254273506412</v>
      </c>
      <c r="F139" s="65">
        <v>2.516133930067999</v>
      </c>
      <c r="G139" s="50">
        <v>0.0</v>
      </c>
      <c r="H139" s="50">
        <v>0.0</v>
      </c>
      <c r="I139" s="50">
        <v>0.0</v>
      </c>
      <c r="J139" s="50">
        <v>0.0</v>
      </c>
      <c r="K139" s="50">
        <v>0.0</v>
      </c>
      <c r="L139" s="50">
        <v>0.0</v>
      </c>
      <c r="M139" s="50">
        <v>0.0</v>
      </c>
      <c r="N139" s="50">
        <v>0.0</v>
      </c>
      <c r="O139" s="50">
        <v>0.0</v>
      </c>
      <c r="P139" s="50">
        <v>0.0</v>
      </c>
      <c r="Q139" s="50">
        <v>0.0</v>
      </c>
      <c r="R139" s="50">
        <v>0.0</v>
      </c>
      <c r="S139" s="50">
        <v>0.0</v>
      </c>
      <c r="T139" s="50">
        <v>2.8125</v>
      </c>
      <c r="U139" s="50">
        <v>0.0</v>
      </c>
      <c r="V139" s="50">
        <v>0.0</v>
      </c>
      <c r="W139" s="50">
        <v>0.0</v>
      </c>
      <c r="X139" s="50">
        <v>2.8125</v>
      </c>
      <c r="Y139" s="50">
        <v>5.625</v>
      </c>
    </row>
    <row r="140">
      <c r="A140" s="26">
        <v>134.0</v>
      </c>
      <c r="B140" s="65">
        <v>1.0300188587418493</v>
      </c>
      <c r="C140" s="65">
        <v>-1.348087222414269</v>
      </c>
      <c r="D140" s="65">
        <v>-2.125298446824777</v>
      </c>
      <c r="E140" s="65">
        <v>-1.1056233262534083</v>
      </c>
      <c r="F140" s="65">
        <v>4.977597562421111</v>
      </c>
      <c r="G140" s="50">
        <v>0.0</v>
      </c>
      <c r="H140" s="50">
        <v>0.0</v>
      </c>
      <c r="I140" s="50">
        <v>0.0</v>
      </c>
      <c r="J140" s="50">
        <v>0.0</v>
      </c>
      <c r="K140" s="50">
        <v>0.0</v>
      </c>
      <c r="L140" s="50">
        <v>0.0</v>
      </c>
      <c r="M140" s="50">
        <v>0.0</v>
      </c>
      <c r="N140" s="50">
        <v>0.0</v>
      </c>
      <c r="O140" s="50">
        <v>0.0</v>
      </c>
      <c r="P140" s="50">
        <v>0.0</v>
      </c>
      <c r="Q140" s="50">
        <v>0.0</v>
      </c>
      <c r="R140" s="50">
        <v>0.0</v>
      </c>
      <c r="S140" s="50">
        <v>0.0</v>
      </c>
      <c r="T140" s="50">
        <v>2.8125</v>
      </c>
      <c r="U140" s="50">
        <v>0.0</v>
      </c>
      <c r="V140" s="50">
        <v>5.625</v>
      </c>
      <c r="W140" s="50">
        <v>0.0</v>
      </c>
      <c r="X140" s="50">
        <v>2.8125</v>
      </c>
      <c r="Y140" s="50">
        <v>11.25</v>
      </c>
    </row>
    <row r="141">
      <c r="A141" s="26">
        <v>135.0</v>
      </c>
      <c r="B141" s="65">
        <v>-0.01906893507699664</v>
      </c>
      <c r="C141" s="65">
        <v>-0.028938367573599782</v>
      </c>
      <c r="D141" s="65">
        <v>-0.31352010437802297</v>
      </c>
      <c r="E141" s="65">
        <v>0.006160659025271719</v>
      </c>
      <c r="F141" s="65">
        <v>6.736833283297031</v>
      </c>
      <c r="G141" s="50">
        <v>0.0</v>
      </c>
      <c r="H141" s="50">
        <v>0.0</v>
      </c>
      <c r="I141" s="50">
        <v>0.0</v>
      </c>
      <c r="J141" s="50">
        <v>0.0</v>
      </c>
      <c r="K141" s="50">
        <v>0.0</v>
      </c>
      <c r="L141" s="50">
        <v>0.0</v>
      </c>
      <c r="M141" s="50">
        <v>0.0</v>
      </c>
      <c r="N141" s="50">
        <v>0.0</v>
      </c>
      <c r="O141" s="50">
        <v>0.0</v>
      </c>
      <c r="P141" s="50">
        <v>0.0</v>
      </c>
      <c r="Q141" s="50">
        <v>0.0</v>
      </c>
      <c r="R141" s="50">
        <v>0.0</v>
      </c>
      <c r="S141" s="50">
        <v>0.0</v>
      </c>
      <c r="T141" s="50">
        <v>2.8125</v>
      </c>
      <c r="U141" s="50">
        <v>0.0</v>
      </c>
      <c r="V141" s="50">
        <v>0.0</v>
      </c>
      <c r="W141" s="50">
        <v>0.0</v>
      </c>
      <c r="X141" s="50">
        <v>2.8125</v>
      </c>
      <c r="Y141" s="50">
        <v>5.625</v>
      </c>
    </row>
    <row r="142">
      <c r="A142" s="26">
        <v>136.0</v>
      </c>
      <c r="B142" s="65">
        <v>-1.4488976592266387</v>
      </c>
      <c r="C142" s="65">
        <v>-1.1985780616395902</v>
      </c>
      <c r="D142" s="65">
        <v>1.5338488413637728</v>
      </c>
      <c r="E142" s="65">
        <v>1.2293701003915776</v>
      </c>
      <c r="F142" s="65">
        <v>3.489375268371665</v>
      </c>
      <c r="G142" s="50">
        <v>0.0</v>
      </c>
      <c r="H142" s="50">
        <v>0.0</v>
      </c>
      <c r="I142" s="50">
        <v>0.0</v>
      </c>
      <c r="J142" s="50">
        <v>0.0</v>
      </c>
      <c r="K142" s="50">
        <v>0.0</v>
      </c>
      <c r="L142" s="50">
        <v>0.0</v>
      </c>
      <c r="M142" s="50">
        <v>0.0</v>
      </c>
      <c r="N142" s="50">
        <v>0.0</v>
      </c>
      <c r="O142" s="50">
        <v>0.0</v>
      </c>
      <c r="P142" s="50">
        <v>0.0</v>
      </c>
      <c r="Q142" s="50">
        <v>0.0</v>
      </c>
      <c r="R142" s="50">
        <v>0.0</v>
      </c>
      <c r="S142" s="50">
        <v>0.0</v>
      </c>
      <c r="T142" s="50">
        <v>2.8125</v>
      </c>
      <c r="U142" s="50">
        <v>0.0</v>
      </c>
      <c r="V142" s="50">
        <v>0.0</v>
      </c>
      <c r="W142" s="50">
        <v>0.0</v>
      </c>
      <c r="X142" s="50">
        <v>2.8125</v>
      </c>
      <c r="Y142" s="50">
        <v>5.625</v>
      </c>
    </row>
    <row r="143">
      <c r="A143" s="26">
        <v>137.0</v>
      </c>
      <c r="B143" s="65">
        <v>0.6371310771443451</v>
      </c>
      <c r="C143" s="65">
        <v>2.026352741220906</v>
      </c>
      <c r="D143" s="65">
        <v>-0.024568558085247702</v>
      </c>
      <c r="E143" s="65">
        <v>-0.7099531927470677</v>
      </c>
      <c r="F143" s="65">
        <v>1.9061310377523946</v>
      </c>
      <c r="G143" s="50">
        <v>0.0</v>
      </c>
      <c r="H143" s="50">
        <v>0.0</v>
      </c>
      <c r="I143" s="50">
        <v>0.0</v>
      </c>
      <c r="J143" s="50">
        <v>0.0</v>
      </c>
      <c r="K143" s="50">
        <v>0.0</v>
      </c>
      <c r="L143" s="50">
        <v>0.0</v>
      </c>
      <c r="M143" s="50">
        <v>0.0</v>
      </c>
      <c r="N143" s="50">
        <v>0.0</v>
      </c>
      <c r="O143" s="50">
        <v>0.0</v>
      </c>
      <c r="P143" s="50">
        <v>2.475</v>
      </c>
      <c r="Q143" s="50">
        <v>0.0</v>
      </c>
      <c r="R143" s="50">
        <v>0.0</v>
      </c>
      <c r="S143" s="50">
        <v>0.0</v>
      </c>
      <c r="T143" s="50">
        <v>2.8125</v>
      </c>
      <c r="U143" s="50">
        <v>0.0</v>
      </c>
      <c r="V143" s="50">
        <v>0.0</v>
      </c>
      <c r="W143" s="50">
        <v>0.0</v>
      </c>
      <c r="X143" s="50">
        <v>2.8125</v>
      </c>
      <c r="Y143" s="50">
        <v>8.1</v>
      </c>
    </row>
    <row r="144">
      <c r="A144" s="26">
        <v>138.0</v>
      </c>
      <c r="B144" s="65">
        <v>2.1722782096924433</v>
      </c>
      <c r="C144" s="65">
        <v>0.3016492941107839</v>
      </c>
      <c r="D144" s="65">
        <v>-0.20989355110366195</v>
      </c>
      <c r="E144" s="65">
        <v>0.7466280935857913</v>
      </c>
      <c r="F144" s="65">
        <v>5.317482727515575</v>
      </c>
      <c r="G144" s="50">
        <v>0.0</v>
      </c>
      <c r="H144" s="50">
        <v>0.0</v>
      </c>
      <c r="I144" s="50">
        <v>0.0</v>
      </c>
      <c r="J144" s="50">
        <v>0.0</v>
      </c>
      <c r="K144" s="50">
        <v>0.0</v>
      </c>
      <c r="L144" s="50">
        <v>0.0</v>
      </c>
      <c r="M144" s="50">
        <v>0.0</v>
      </c>
      <c r="N144" s="50">
        <v>0.0</v>
      </c>
      <c r="O144" s="50">
        <v>0.0</v>
      </c>
      <c r="P144" s="50">
        <v>0.0</v>
      </c>
      <c r="Q144" s="50">
        <v>0.0</v>
      </c>
      <c r="R144" s="50">
        <v>0.0</v>
      </c>
      <c r="S144" s="50">
        <v>0.0</v>
      </c>
      <c r="T144" s="50">
        <v>2.8125</v>
      </c>
      <c r="U144" s="50">
        <v>0.0</v>
      </c>
      <c r="V144" s="50">
        <v>0.0</v>
      </c>
      <c r="W144" s="50">
        <v>0.0</v>
      </c>
      <c r="X144" s="50">
        <v>2.8125</v>
      </c>
      <c r="Y144" s="50">
        <v>5.625</v>
      </c>
    </row>
    <row r="145">
      <c r="A145" s="26">
        <v>139.0</v>
      </c>
      <c r="B145" s="65">
        <v>-0.6811457052450534</v>
      </c>
      <c r="C145" s="65">
        <v>-1.6115751296478786</v>
      </c>
      <c r="D145" s="65">
        <v>0.3924456669181942</v>
      </c>
      <c r="E145" s="65">
        <v>-0.9977668966844931</v>
      </c>
      <c r="F145" s="65">
        <v>9.333829919088657</v>
      </c>
      <c r="G145" s="50">
        <v>0.0</v>
      </c>
      <c r="H145" s="50">
        <v>0.0</v>
      </c>
      <c r="I145" s="50">
        <v>0.0</v>
      </c>
      <c r="J145" s="50">
        <v>0.0</v>
      </c>
      <c r="K145" s="50">
        <v>0.0</v>
      </c>
      <c r="L145" s="50">
        <v>0.0</v>
      </c>
      <c r="M145" s="50">
        <v>0.0</v>
      </c>
      <c r="N145" s="50">
        <v>0.0</v>
      </c>
      <c r="O145" s="50">
        <v>0.0</v>
      </c>
      <c r="P145" s="50">
        <v>0.0</v>
      </c>
      <c r="Q145" s="50">
        <v>0.0</v>
      </c>
      <c r="R145" s="50">
        <v>0.0</v>
      </c>
      <c r="S145" s="50">
        <v>0.0</v>
      </c>
      <c r="T145" s="50">
        <v>2.8125</v>
      </c>
      <c r="U145" s="50">
        <v>0.0</v>
      </c>
      <c r="V145" s="50">
        <v>5.625</v>
      </c>
      <c r="W145" s="50">
        <v>0.0</v>
      </c>
      <c r="X145" s="50">
        <v>2.8125</v>
      </c>
      <c r="Y145" s="50">
        <v>11.25</v>
      </c>
    </row>
    <row r="146">
      <c r="A146" s="26">
        <v>140.0</v>
      </c>
      <c r="B146" s="65">
        <v>-0.4052613295665301</v>
      </c>
      <c r="C146" s="65">
        <v>-1.3099862201607757</v>
      </c>
      <c r="D146" s="65">
        <v>1.4234431331386364</v>
      </c>
      <c r="E146" s="65">
        <v>-0.22260042923141862</v>
      </c>
      <c r="F146" s="65">
        <v>3.499178354608521</v>
      </c>
      <c r="G146" s="50">
        <v>0.0</v>
      </c>
      <c r="H146" s="50">
        <v>0.0</v>
      </c>
      <c r="I146" s="50">
        <v>0.0</v>
      </c>
      <c r="J146" s="50">
        <v>0.0</v>
      </c>
      <c r="K146" s="50">
        <v>0.0</v>
      </c>
      <c r="L146" s="50">
        <v>0.0</v>
      </c>
      <c r="M146" s="50">
        <v>0.0</v>
      </c>
      <c r="N146" s="50">
        <v>0.0</v>
      </c>
      <c r="O146" s="50">
        <v>0.0</v>
      </c>
      <c r="P146" s="50">
        <v>0.0</v>
      </c>
      <c r="Q146" s="50">
        <v>0.0</v>
      </c>
      <c r="R146" s="50">
        <v>0.0</v>
      </c>
      <c r="S146" s="50">
        <v>0.0</v>
      </c>
      <c r="T146" s="50">
        <v>2.8125</v>
      </c>
      <c r="U146" s="50">
        <v>0.0</v>
      </c>
      <c r="V146" s="50">
        <v>0.0</v>
      </c>
      <c r="W146" s="50">
        <v>0.0</v>
      </c>
      <c r="X146" s="50">
        <v>2.8125</v>
      </c>
      <c r="Y146" s="50">
        <v>5.625</v>
      </c>
    </row>
    <row r="147">
      <c r="A147" s="26">
        <v>141.0</v>
      </c>
      <c r="B147" s="65">
        <v>0.5918618933115122</v>
      </c>
      <c r="C147" s="65">
        <v>-0.29253356680877024</v>
      </c>
      <c r="D147" s="65">
        <v>0.016324652069211854</v>
      </c>
      <c r="E147" s="65">
        <v>0.19873707617825742</v>
      </c>
      <c r="F147" s="65">
        <v>7.65298334664612</v>
      </c>
      <c r="G147" s="50">
        <v>0.0</v>
      </c>
      <c r="H147" s="50">
        <v>0.0</v>
      </c>
      <c r="I147" s="50">
        <v>0.0</v>
      </c>
      <c r="J147" s="50">
        <v>0.0</v>
      </c>
      <c r="K147" s="50">
        <v>0.0</v>
      </c>
      <c r="L147" s="50">
        <v>0.0</v>
      </c>
      <c r="M147" s="50">
        <v>0.0</v>
      </c>
      <c r="N147" s="50">
        <v>0.0</v>
      </c>
      <c r="O147" s="50">
        <v>0.0</v>
      </c>
      <c r="P147" s="50">
        <v>0.0</v>
      </c>
      <c r="Q147" s="50">
        <v>0.0</v>
      </c>
      <c r="R147" s="50">
        <v>0.0</v>
      </c>
      <c r="S147" s="50">
        <v>0.0</v>
      </c>
      <c r="T147" s="50">
        <v>2.8125</v>
      </c>
      <c r="U147" s="50">
        <v>0.0</v>
      </c>
      <c r="V147" s="50">
        <v>0.0</v>
      </c>
      <c r="W147" s="50">
        <v>0.0</v>
      </c>
      <c r="X147" s="50">
        <v>2.8125</v>
      </c>
      <c r="Y147" s="50">
        <v>5.625</v>
      </c>
    </row>
    <row r="148">
      <c r="A148" s="26">
        <v>142.0</v>
      </c>
      <c r="B148" s="65">
        <v>-1.5752706993773025</v>
      </c>
      <c r="C148" s="65">
        <v>0.4756859099194187</v>
      </c>
      <c r="D148" s="65">
        <v>-1.713106828371504</v>
      </c>
      <c r="E148" s="65">
        <v>0.0939101436851707</v>
      </c>
      <c r="F148" s="65">
        <v>3.4754943242273098</v>
      </c>
      <c r="G148" s="50">
        <v>0.0</v>
      </c>
      <c r="H148" s="50">
        <v>0.0</v>
      </c>
      <c r="I148" s="50">
        <v>0.0</v>
      </c>
      <c r="J148" s="50">
        <v>0.0</v>
      </c>
      <c r="K148" s="50">
        <v>0.0</v>
      </c>
      <c r="L148" s="50">
        <v>0.0</v>
      </c>
      <c r="M148" s="50">
        <v>0.0</v>
      </c>
      <c r="N148" s="50">
        <v>0.0</v>
      </c>
      <c r="O148" s="50">
        <v>0.0</v>
      </c>
      <c r="P148" s="50">
        <v>2.475</v>
      </c>
      <c r="Q148" s="50">
        <v>13.5</v>
      </c>
      <c r="R148" s="50">
        <v>0.0</v>
      </c>
      <c r="S148" s="50">
        <v>0.0</v>
      </c>
      <c r="T148" s="50">
        <v>2.8125</v>
      </c>
      <c r="U148" s="50">
        <v>0.0</v>
      </c>
      <c r="V148" s="50">
        <v>0.0</v>
      </c>
      <c r="W148" s="50">
        <v>0.0</v>
      </c>
      <c r="X148" s="50">
        <v>2.8125</v>
      </c>
      <c r="Y148" s="50">
        <v>21.6</v>
      </c>
    </row>
    <row r="149">
      <c r="A149" s="26">
        <v>143.0</v>
      </c>
      <c r="B149" s="65">
        <v>-1.3684806839001105</v>
      </c>
      <c r="C149" s="65">
        <v>0.31635121646920766</v>
      </c>
      <c r="D149" s="65">
        <v>-0.38303754035082216</v>
      </c>
      <c r="E149" s="65">
        <v>-1.0847823749940777</v>
      </c>
      <c r="F149" s="65">
        <v>3.108033029917814</v>
      </c>
      <c r="G149" s="50">
        <v>0.0</v>
      </c>
      <c r="H149" s="50">
        <v>0.0</v>
      </c>
      <c r="I149" s="50">
        <v>0.0</v>
      </c>
      <c r="J149" s="50">
        <v>0.0</v>
      </c>
      <c r="K149" s="50">
        <v>0.0</v>
      </c>
      <c r="L149" s="50">
        <v>0.0</v>
      </c>
      <c r="M149" s="50">
        <v>0.0</v>
      </c>
      <c r="N149" s="50">
        <v>0.0</v>
      </c>
      <c r="O149" s="50">
        <v>0.0</v>
      </c>
      <c r="P149" s="50">
        <v>0.0</v>
      </c>
      <c r="Q149" s="50">
        <v>0.0</v>
      </c>
      <c r="R149" s="50">
        <v>0.0</v>
      </c>
      <c r="S149" s="50">
        <v>0.0</v>
      </c>
      <c r="T149" s="50">
        <v>2.8125</v>
      </c>
      <c r="U149" s="50">
        <v>0.0</v>
      </c>
      <c r="V149" s="50">
        <v>5.625</v>
      </c>
      <c r="W149" s="50">
        <v>0.0</v>
      </c>
      <c r="X149" s="50">
        <v>2.8125</v>
      </c>
      <c r="Y149" s="50">
        <v>11.25</v>
      </c>
    </row>
    <row r="150">
      <c r="A150" s="26">
        <v>144.0</v>
      </c>
      <c r="B150" s="65">
        <v>-0.045733636167971076</v>
      </c>
      <c r="C150" s="65">
        <v>-0.5354553855273234</v>
      </c>
      <c r="D150" s="65">
        <v>-1.2121624780547569</v>
      </c>
      <c r="E150" s="65">
        <v>1.4748318359098196</v>
      </c>
      <c r="F150" s="65">
        <v>8.100686785038878</v>
      </c>
      <c r="G150" s="50">
        <v>0.0</v>
      </c>
      <c r="H150" s="50">
        <v>0.0</v>
      </c>
      <c r="I150" s="50">
        <v>0.0</v>
      </c>
      <c r="J150" s="50">
        <v>0.0</v>
      </c>
      <c r="K150" s="50">
        <v>0.0</v>
      </c>
      <c r="L150" s="50">
        <v>0.0</v>
      </c>
      <c r="M150" s="50">
        <v>0.0</v>
      </c>
      <c r="N150" s="50">
        <v>0.0</v>
      </c>
      <c r="O150" s="50">
        <v>0.0</v>
      </c>
      <c r="P150" s="50">
        <v>0.0</v>
      </c>
      <c r="Q150" s="50">
        <v>0.0</v>
      </c>
      <c r="R150" s="50">
        <v>0.0</v>
      </c>
      <c r="S150" s="50">
        <v>0.0</v>
      </c>
      <c r="T150" s="50">
        <v>2.8125</v>
      </c>
      <c r="U150" s="50">
        <v>0.0</v>
      </c>
      <c r="V150" s="50">
        <v>5.625</v>
      </c>
      <c r="W150" s="50">
        <v>0.0</v>
      </c>
      <c r="X150" s="50">
        <v>2.8125</v>
      </c>
      <c r="Y150" s="50">
        <v>11.25</v>
      </c>
    </row>
    <row r="151">
      <c r="A151" s="26">
        <v>145.0</v>
      </c>
      <c r="B151" s="65">
        <v>-0.10253885796929813</v>
      </c>
      <c r="C151" s="65">
        <v>-0.9546686807365968</v>
      </c>
      <c r="D151" s="65">
        <v>-1.0934215992511078</v>
      </c>
      <c r="E151" s="65">
        <v>-0.20889342245503467</v>
      </c>
      <c r="F151" s="65">
        <v>11.788049998901082</v>
      </c>
      <c r="G151" s="50">
        <v>0.0</v>
      </c>
      <c r="H151" s="50">
        <v>0.0</v>
      </c>
      <c r="I151" s="50">
        <v>0.0</v>
      </c>
      <c r="J151" s="50">
        <v>0.0</v>
      </c>
      <c r="K151" s="50">
        <v>0.0</v>
      </c>
      <c r="L151" s="50">
        <v>0.0</v>
      </c>
      <c r="M151" s="50">
        <v>0.0</v>
      </c>
      <c r="N151" s="50">
        <v>0.0</v>
      </c>
      <c r="O151" s="50">
        <v>0.0</v>
      </c>
      <c r="P151" s="50">
        <v>0.0</v>
      </c>
      <c r="Q151" s="50">
        <v>0.0</v>
      </c>
      <c r="R151" s="50">
        <v>0.0</v>
      </c>
      <c r="S151" s="50">
        <v>0.0</v>
      </c>
      <c r="T151" s="50">
        <v>2.8125</v>
      </c>
      <c r="U151" s="50">
        <v>0.0</v>
      </c>
      <c r="V151" s="50">
        <v>0.0</v>
      </c>
      <c r="W151" s="50">
        <v>0.0</v>
      </c>
      <c r="X151" s="50">
        <v>2.8125</v>
      </c>
      <c r="Y151" s="50">
        <v>5.625</v>
      </c>
    </row>
    <row r="152">
      <c r="A152" s="26">
        <v>146.0</v>
      </c>
      <c r="B152" s="65">
        <v>1.3424821665727404</v>
      </c>
      <c r="C152" s="65">
        <v>0.04559644451676614</v>
      </c>
      <c r="D152" s="65">
        <v>0.0011549225547406383</v>
      </c>
      <c r="E152" s="65">
        <v>-0.4831653617093446</v>
      </c>
      <c r="F152" s="65">
        <v>7.457203636074602</v>
      </c>
      <c r="G152" s="50">
        <v>0.0</v>
      </c>
      <c r="H152" s="50">
        <v>0.0</v>
      </c>
      <c r="I152" s="50">
        <v>0.0</v>
      </c>
      <c r="J152" s="50">
        <v>0.0</v>
      </c>
      <c r="K152" s="50">
        <v>0.0</v>
      </c>
      <c r="L152" s="50">
        <v>0.0</v>
      </c>
      <c r="M152" s="50">
        <v>0.0</v>
      </c>
      <c r="N152" s="50">
        <v>0.0</v>
      </c>
      <c r="O152" s="50">
        <v>0.0</v>
      </c>
      <c r="P152" s="50">
        <v>0.0</v>
      </c>
      <c r="Q152" s="50">
        <v>0.0</v>
      </c>
      <c r="R152" s="50">
        <v>0.0</v>
      </c>
      <c r="S152" s="50">
        <v>0.0</v>
      </c>
      <c r="T152" s="50">
        <v>2.8125</v>
      </c>
      <c r="U152" s="50">
        <v>0.0</v>
      </c>
      <c r="V152" s="50">
        <v>0.0</v>
      </c>
      <c r="W152" s="50">
        <v>0.0</v>
      </c>
      <c r="X152" s="50">
        <v>2.8125</v>
      </c>
      <c r="Y152" s="50">
        <v>5.625</v>
      </c>
    </row>
    <row r="153">
      <c r="A153" s="26">
        <v>147.0</v>
      </c>
      <c r="B153" s="65">
        <v>-0.556465747844223</v>
      </c>
      <c r="C153" s="65">
        <v>-0.5474275670190583</v>
      </c>
      <c r="D153" s="65">
        <v>-0.6120400449392986</v>
      </c>
      <c r="E153" s="65">
        <v>-0.43700142645104206</v>
      </c>
      <c r="F153" s="65">
        <v>6.129385417082871</v>
      </c>
      <c r="G153" s="50">
        <v>0.0</v>
      </c>
      <c r="H153" s="50">
        <v>0.0</v>
      </c>
      <c r="I153" s="50">
        <v>0.0</v>
      </c>
      <c r="J153" s="50">
        <v>0.0</v>
      </c>
      <c r="K153" s="50">
        <v>0.0</v>
      </c>
      <c r="L153" s="50">
        <v>0.0</v>
      </c>
      <c r="M153" s="50">
        <v>0.0</v>
      </c>
      <c r="N153" s="50">
        <v>0.0</v>
      </c>
      <c r="O153" s="50">
        <v>0.0</v>
      </c>
      <c r="P153" s="50">
        <v>0.0</v>
      </c>
      <c r="Q153" s="50">
        <v>0.0</v>
      </c>
      <c r="R153" s="50">
        <v>0.0</v>
      </c>
      <c r="S153" s="50">
        <v>0.0</v>
      </c>
      <c r="T153" s="50">
        <v>2.8125</v>
      </c>
      <c r="U153" s="50">
        <v>0.0</v>
      </c>
      <c r="V153" s="50">
        <v>0.0</v>
      </c>
      <c r="W153" s="50">
        <v>0.0</v>
      </c>
      <c r="X153" s="50">
        <v>2.8125</v>
      </c>
      <c r="Y153" s="50">
        <v>5.625</v>
      </c>
    </row>
    <row r="154">
      <c r="A154" s="26">
        <v>148.0</v>
      </c>
      <c r="B154" s="65">
        <v>-0.34359011644804427</v>
      </c>
      <c r="C154" s="65">
        <v>-1.186444954983906</v>
      </c>
      <c r="D154" s="65">
        <v>0.2577594290660841</v>
      </c>
      <c r="E154" s="65">
        <v>-0.37791114034968937</v>
      </c>
      <c r="F154" s="65">
        <v>6.314429197297142</v>
      </c>
      <c r="G154" s="50">
        <v>0.0</v>
      </c>
      <c r="H154" s="50">
        <v>0.0</v>
      </c>
      <c r="I154" s="50">
        <v>0.0</v>
      </c>
      <c r="J154" s="50">
        <v>0.0</v>
      </c>
      <c r="K154" s="50">
        <v>0.0</v>
      </c>
      <c r="L154" s="50">
        <v>0.0</v>
      </c>
      <c r="M154" s="50">
        <v>0.0</v>
      </c>
      <c r="N154" s="50">
        <v>0.0</v>
      </c>
      <c r="O154" s="50">
        <v>7.425000000000001</v>
      </c>
      <c r="P154" s="50">
        <v>0.0</v>
      </c>
      <c r="Q154" s="50">
        <v>0.0</v>
      </c>
      <c r="R154" s="50">
        <v>0.0</v>
      </c>
      <c r="S154" s="50">
        <v>0.0</v>
      </c>
      <c r="T154" s="50">
        <v>2.8125</v>
      </c>
      <c r="U154" s="50">
        <v>0.0</v>
      </c>
      <c r="V154" s="50">
        <v>0.0</v>
      </c>
      <c r="W154" s="50">
        <v>0.0</v>
      </c>
      <c r="X154" s="50">
        <v>2.8125</v>
      </c>
      <c r="Y154" s="50">
        <v>13.05</v>
      </c>
    </row>
    <row r="155">
      <c r="A155" s="26">
        <v>149.0</v>
      </c>
      <c r="B155" s="65">
        <v>1.7212034524087467</v>
      </c>
      <c r="C155" s="65">
        <v>0.44350708164324204</v>
      </c>
      <c r="D155" s="65">
        <v>0.3165748149353036</v>
      </c>
      <c r="E155" s="65">
        <v>0.6401621264511671</v>
      </c>
      <c r="F155" s="65">
        <v>1.3272179501792993</v>
      </c>
      <c r="G155" s="50">
        <v>0.0</v>
      </c>
      <c r="H155" s="50">
        <v>0.0</v>
      </c>
      <c r="I155" s="50">
        <v>0.0</v>
      </c>
      <c r="J155" s="50">
        <v>0.0</v>
      </c>
      <c r="K155" s="50">
        <v>0.0</v>
      </c>
      <c r="L155" s="50">
        <v>0.0</v>
      </c>
      <c r="M155" s="50">
        <v>0.0</v>
      </c>
      <c r="N155" s="50">
        <v>0.0</v>
      </c>
      <c r="O155" s="50">
        <v>0.0</v>
      </c>
      <c r="P155" s="50">
        <v>0.0</v>
      </c>
      <c r="Q155" s="50">
        <v>0.0</v>
      </c>
      <c r="R155" s="50">
        <v>0.0</v>
      </c>
      <c r="S155" s="50">
        <v>0.0</v>
      </c>
      <c r="T155" s="50">
        <v>0.0</v>
      </c>
      <c r="U155" s="50">
        <v>0.0</v>
      </c>
      <c r="V155" s="50">
        <v>0.0</v>
      </c>
      <c r="W155" s="50">
        <v>0.0</v>
      </c>
      <c r="X155" s="50">
        <v>2.8125</v>
      </c>
      <c r="Y155" s="50">
        <v>2.8125</v>
      </c>
    </row>
    <row r="156">
      <c r="A156" s="26">
        <v>150.0</v>
      </c>
      <c r="B156" s="65">
        <v>0.12816930465877957</v>
      </c>
      <c r="C156" s="65">
        <v>-0.879949102616944</v>
      </c>
      <c r="D156" s="65">
        <v>-0.009249304332937155</v>
      </c>
      <c r="E156" s="65">
        <v>0.893674902266213</v>
      </c>
      <c r="F156" s="65">
        <v>4.743697008855803</v>
      </c>
      <c r="G156" s="50">
        <v>0.0</v>
      </c>
      <c r="H156" s="50">
        <v>0.0</v>
      </c>
      <c r="I156" s="50">
        <v>0.0</v>
      </c>
      <c r="J156" s="50">
        <v>0.0</v>
      </c>
      <c r="K156" s="50">
        <v>0.0</v>
      </c>
      <c r="L156" s="50">
        <v>0.0</v>
      </c>
      <c r="M156" s="50">
        <v>0.0</v>
      </c>
      <c r="N156" s="50">
        <v>0.0</v>
      </c>
      <c r="O156" s="50">
        <v>0.0</v>
      </c>
      <c r="P156" s="50">
        <v>0.0</v>
      </c>
      <c r="Q156" s="50">
        <v>0.0</v>
      </c>
      <c r="R156" s="50">
        <v>0.0</v>
      </c>
      <c r="S156" s="50">
        <v>0.0</v>
      </c>
      <c r="T156" s="50">
        <v>2.8125</v>
      </c>
      <c r="U156" s="50">
        <v>0.0</v>
      </c>
      <c r="V156" s="50">
        <v>0.0</v>
      </c>
      <c r="W156" s="50">
        <v>0.0</v>
      </c>
      <c r="X156" s="50">
        <v>2.8125</v>
      </c>
      <c r="Y156" s="50">
        <v>5.625</v>
      </c>
    </row>
    <row r="157">
      <c r="A157" s="26">
        <v>151.0</v>
      </c>
      <c r="B157" s="65">
        <v>0.018739409452799182</v>
      </c>
      <c r="C157" s="65">
        <v>1.2893566533872942</v>
      </c>
      <c r="D157" s="65">
        <v>-1.5125237298321335</v>
      </c>
      <c r="E157" s="65">
        <v>0.3997784092467273</v>
      </c>
      <c r="F157" s="65">
        <v>4.513159401450412</v>
      </c>
      <c r="G157" s="50">
        <v>0.0</v>
      </c>
      <c r="H157" s="50">
        <v>0.0</v>
      </c>
      <c r="I157" s="50">
        <v>0.0</v>
      </c>
      <c r="J157" s="50">
        <v>0.0</v>
      </c>
      <c r="K157" s="50">
        <v>0.0</v>
      </c>
      <c r="L157" s="50">
        <v>0.0</v>
      </c>
      <c r="M157" s="50">
        <v>0.0</v>
      </c>
      <c r="N157" s="50">
        <v>0.0</v>
      </c>
      <c r="O157" s="50">
        <v>0.0</v>
      </c>
      <c r="P157" s="50">
        <v>0.0</v>
      </c>
      <c r="Q157" s="50">
        <v>0.0</v>
      </c>
      <c r="R157" s="50">
        <v>0.0</v>
      </c>
      <c r="S157" s="50">
        <v>0.0</v>
      </c>
      <c r="T157" s="50">
        <v>2.8125</v>
      </c>
      <c r="U157" s="50">
        <v>0.0</v>
      </c>
      <c r="V157" s="50">
        <v>0.0</v>
      </c>
      <c r="W157" s="50">
        <v>0.0</v>
      </c>
      <c r="X157" s="50">
        <v>2.8125</v>
      </c>
      <c r="Y157" s="50">
        <v>5.625</v>
      </c>
    </row>
    <row r="158">
      <c r="A158" s="26">
        <v>152.0</v>
      </c>
      <c r="B158" s="65">
        <v>2.8292623915194692</v>
      </c>
      <c r="C158" s="65">
        <v>0.2659912806244497</v>
      </c>
      <c r="D158" s="65">
        <v>0.5942131107323038</v>
      </c>
      <c r="E158" s="65">
        <v>-0.9313098667865074</v>
      </c>
      <c r="F158" s="65">
        <v>2.9243899002670113</v>
      </c>
      <c r="G158" s="50">
        <v>0.0</v>
      </c>
      <c r="H158" s="50">
        <v>0.0</v>
      </c>
      <c r="I158" s="50">
        <v>0.0</v>
      </c>
      <c r="J158" s="50">
        <v>0.0</v>
      </c>
      <c r="K158" s="50">
        <v>0.0</v>
      </c>
      <c r="L158" s="50">
        <v>0.0</v>
      </c>
      <c r="M158" s="50">
        <v>0.0</v>
      </c>
      <c r="N158" s="50">
        <v>0.0</v>
      </c>
      <c r="O158" s="50">
        <v>0.0</v>
      </c>
      <c r="P158" s="50">
        <v>0.0</v>
      </c>
      <c r="Q158" s="50">
        <v>0.0</v>
      </c>
      <c r="R158" s="50">
        <v>0.0</v>
      </c>
      <c r="S158" s="50">
        <v>0.0</v>
      </c>
      <c r="T158" s="50">
        <v>2.8125</v>
      </c>
      <c r="U158" s="50">
        <v>0.0</v>
      </c>
      <c r="V158" s="50">
        <v>0.0</v>
      </c>
      <c r="W158" s="50">
        <v>0.0</v>
      </c>
      <c r="X158" s="50">
        <v>2.8125</v>
      </c>
      <c r="Y158" s="50">
        <v>5.625</v>
      </c>
    </row>
    <row r="159">
      <c r="A159" s="26">
        <v>153.0</v>
      </c>
      <c r="B159" s="65">
        <v>1.841137073124118</v>
      </c>
      <c r="C159" s="65">
        <v>1.0270747634645492</v>
      </c>
      <c r="D159" s="65">
        <v>0.3735127906508563</v>
      </c>
      <c r="E159" s="65">
        <v>-1.0821858541854674</v>
      </c>
      <c r="F159" s="65">
        <v>7.556805416375745</v>
      </c>
      <c r="G159" s="50">
        <v>0.0</v>
      </c>
      <c r="H159" s="50">
        <v>0.0</v>
      </c>
      <c r="I159" s="50">
        <v>0.0</v>
      </c>
      <c r="J159" s="50">
        <v>0.0</v>
      </c>
      <c r="K159" s="50">
        <v>0.0</v>
      </c>
      <c r="L159" s="50">
        <v>0.0</v>
      </c>
      <c r="M159" s="50">
        <v>0.0</v>
      </c>
      <c r="N159" s="50">
        <v>0.0</v>
      </c>
      <c r="O159" s="50">
        <v>0.0</v>
      </c>
      <c r="P159" s="50">
        <v>0.0</v>
      </c>
      <c r="Q159" s="50">
        <v>0.0</v>
      </c>
      <c r="R159" s="50">
        <v>0.0</v>
      </c>
      <c r="S159" s="50">
        <v>0.0</v>
      </c>
      <c r="T159" s="50">
        <v>2.8125</v>
      </c>
      <c r="U159" s="50">
        <v>0.0</v>
      </c>
      <c r="V159" s="50">
        <v>0.0</v>
      </c>
      <c r="W159" s="50">
        <v>0.0</v>
      </c>
      <c r="X159" s="50">
        <v>2.8125</v>
      </c>
      <c r="Y159" s="50">
        <v>5.625</v>
      </c>
    </row>
    <row r="160">
      <c r="A160" s="26">
        <v>154.0</v>
      </c>
      <c r="B160" s="65">
        <v>1.9328143082344218</v>
      </c>
      <c r="C160" s="65">
        <v>0.5261529996341014</v>
      </c>
      <c r="D160" s="65">
        <v>-0.2936250673869389</v>
      </c>
      <c r="E160" s="65">
        <v>0.5137637182439873</v>
      </c>
      <c r="F160" s="65">
        <v>3.7656634143617493</v>
      </c>
      <c r="G160" s="50">
        <v>0.0</v>
      </c>
      <c r="H160" s="50">
        <v>0.0</v>
      </c>
      <c r="I160" s="50">
        <v>0.0</v>
      </c>
      <c r="J160" s="50">
        <v>0.0</v>
      </c>
      <c r="K160" s="50">
        <v>0.0</v>
      </c>
      <c r="L160" s="50">
        <v>0.0</v>
      </c>
      <c r="M160" s="50">
        <v>0.0</v>
      </c>
      <c r="N160" s="50">
        <v>0.0</v>
      </c>
      <c r="O160" s="50">
        <v>0.0</v>
      </c>
      <c r="P160" s="50">
        <v>0.0</v>
      </c>
      <c r="Q160" s="50">
        <v>0.0</v>
      </c>
      <c r="R160" s="50">
        <v>0.0</v>
      </c>
      <c r="S160" s="50">
        <v>0.0</v>
      </c>
      <c r="T160" s="50">
        <v>2.8125</v>
      </c>
      <c r="U160" s="50">
        <v>0.0</v>
      </c>
      <c r="V160" s="50">
        <v>0.0</v>
      </c>
      <c r="W160" s="50">
        <v>0.0</v>
      </c>
      <c r="X160" s="50">
        <v>2.8125</v>
      </c>
      <c r="Y160" s="50">
        <v>5.625</v>
      </c>
    </row>
    <row r="161">
      <c r="A161" s="26">
        <v>155.0</v>
      </c>
      <c r="B161" s="65">
        <v>-0.9214501550253932</v>
      </c>
      <c r="C161" s="65">
        <v>-0.957302111282703</v>
      </c>
      <c r="D161" s="65">
        <v>0.31968700157671415</v>
      </c>
      <c r="E161" s="65">
        <v>-0.7426007216812712</v>
      </c>
      <c r="F161" s="65">
        <v>6.550788276282035</v>
      </c>
      <c r="G161" s="50">
        <v>0.0</v>
      </c>
      <c r="H161" s="50">
        <v>0.0</v>
      </c>
      <c r="I161" s="50">
        <v>0.0</v>
      </c>
      <c r="J161" s="50">
        <v>0.0</v>
      </c>
      <c r="K161" s="50">
        <v>0.0</v>
      </c>
      <c r="L161" s="50">
        <v>0.0</v>
      </c>
      <c r="M161" s="50">
        <v>0.0</v>
      </c>
      <c r="N161" s="50">
        <v>0.0</v>
      </c>
      <c r="O161" s="50">
        <v>7.425000000000001</v>
      </c>
      <c r="P161" s="50">
        <v>0.0</v>
      </c>
      <c r="Q161" s="50">
        <v>0.0</v>
      </c>
      <c r="R161" s="50">
        <v>0.0</v>
      </c>
      <c r="S161" s="50">
        <v>0.0</v>
      </c>
      <c r="T161" s="50">
        <v>2.8125</v>
      </c>
      <c r="U161" s="50">
        <v>0.0</v>
      </c>
      <c r="V161" s="50">
        <v>5.625</v>
      </c>
      <c r="W161" s="50">
        <v>0.0</v>
      </c>
      <c r="X161" s="50">
        <v>2.8125</v>
      </c>
      <c r="Y161" s="50">
        <v>18.675</v>
      </c>
    </row>
    <row r="162">
      <c r="A162" s="26">
        <v>156.0</v>
      </c>
      <c r="B162" s="65">
        <v>0.48638052082791006</v>
      </c>
      <c r="C162" s="65">
        <v>-1.1329293277329568</v>
      </c>
      <c r="D162" s="65">
        <v>0.3614138278973565</v>
      </c>
      <c r="E162" s="65">
        <v>2.413924665094968</v>
      </c>
      <c r="F162" s="65">
        <v>6.711121808449727</v>
      </c>
      <c r="G162" s="50">
        <v>0.0</v>
      </c>
      <c r="H162" s="50">
        <v>0.0</v>
      </c>
      <c r="I162" s="50">
        <v>0.0</v>
      </c>
      <c r="J162" s="50">
        <v>0.0</v>
      </c>
      <c r="K162" s="50">
        <v>0.0</v>
      </c>
      <c r="L162" s="50">
        <v>0.0</v>
      </c>
      <c r="M162" s="50">
        <v>0.0</v>
      </c>
      <c r="N162" s="50">
        <v>0.0</v>
      </c>
      <c r="O162" s="50">
        <v>0.0</v>
      </c>
      <c r="P162" s="50">
        <v>0.0</v>
      </c>
      <c r="Q162" s="50">
        <v>0.0</v>
      </c>
      <c r="R162" s="50">
        <v>0.0</v>
      </c>
      <c r="S162" s="50">
        <v>0.0</v>
      </c>
      <c r="T162" s="50">
        <v>2.8125</v>
      </c>
      <c r="U162" s="50">
        <v>0.0</v>
      </c>
      <c r="V162" s="50">
        <v>0.0</v>
      </c>
      <c r="W162" s="50">
        <v>0.0</v>
      </c>
      <c r="X162" s="50">
        <v>2.8125</v>
      </c>
      <c r="Y162" s="50">
        <v>5.625</v>
      </c>
    </row>
    <row r="163">
      <c r="A163" s="26">
        <v>157.0</v>
      </c>
      <c r="B163" s="65">
        <v>1.9096285432381344</v>
      </c>
      <c r="C163" s="65">
        <v>-1.1541002992622464</v>
      </c>
      <c r="D163" s="65">
        <v>-0.4992717838243198</v>
      </c>
      <c r="E163" s="65">
        <v>-0.9522749192113255</v>
      </c>
      <c r="F163" s="65">
        <v>5.344598554211185</v>
      </c>
      <c r="G163" s="50">
        <v>0.0</v>
      </c>
      <c r="H163" s="50">
        <v>0.0</v>
      </c>
      <c r="I163" s="50">
        <v>0.0</v>
      </c>
      <c r="J163" s="50">
        <v>0.0</v>
      </c>
      <c r="K163" s="50">
        <v>0.0</v>
      </c>
      <c r="L163" s="50">
        <v>0.0</v>
      </c>
      <c r="M163" s="50">
        <v>0.0</v>
      </c>
      <c r="N163" s="50">
        <v>0.0</v>
      </c>
      <c r="O163" s="50">
        <v>0.0</v>
      </c>
      <c r="P163" s="50">
        <v>0.0</v>
      </c>
      <c r="Q163" s="50">
        <v>0.0</v>
      </c>
      <c r="R163" s="50">
        <v>0.0</v>
      </c>
      <c r="S163" s="50">
        <v>0.0</v>
      </c>
      <c r="T163" s="50">
        <v>2.8125</v>
      </c>
      <c r="U163" s="50">
        <v>0.0</v>
      </c>
      <c r="V163" s="50">
        <v>0.0</v>
      </c>
      <c r="W163" s="50">
        <v>0.0</v>
      </c>
      <c r="X163" s="50">
        <v>2.8125</v>
      </c>
      <c r="Y163" s="50">
        <v>5.625</v>
      </c>
    </row>
    <row r="164">
      <c r="A164" s="26">
        <v>158.0</v>
      </c>
      <c r="B164" s="65">
        <v>-0.6276165387144694</v>
      </c>
      <c r="C164" s="65">
        <v>-0.500125036713359</v>
      </c>
      <c r="D164" s="65">
        <v>-0.30231085947119263</v>
      </c>
      <c r="E164" s="65">
        <v>1.2436646118943777</v>
      </c>
      <c r="F164" s="65">
        <v>5.071648208932073</v>
      </c>
      <c r="G164" s="50">
        <v>0.0</v>
      </c>
      <c r="H164" s="50">
        <v>0.0</v>
      </c>
      <c r="I164" s="50">
        <v>0.0</v>
      </c>
      <c r="J164" s="50">
        <v>0.0</v>
      </c>
      <c r="K164" s="50">
        <v>0.0</v>
      </c>
      <c r="L164" s="50">
        <v>0.0</v>
      </c>
      <c r="M164" s="50">
        <v>0.0</v>
      </c>
      <c r="N164" s="50">
        <v>0.0</v>
      </c>
      <c r="O164" s="50">
        <v>7.425000000000001</v>
      </c>
      <c r="P164" s="50">
        <v>0.0</v>
      </c>
      <c r="Q164" s="50">
        <v>0.0</v>
      </c>
      <c r="R164" s="50">
        <v>0.0</v>
      </c>
      <c r="S164" s="50">
        <v>0.0</v>
      </c>
      <c r="T164" s="50">
        <v>2.8125</v>
      </c>
      <c r="U164" s="50">
        <v>0.0</v>
      </c>
      <c r="V164" s="50">
        <v>0.0</v>
      </c>
      <c r="W164" s="50">
        <v>0.0</v>
      </c>
      <c r="X164" s="50">
        <v>2.8125</v>
      </c>
      <c r="Y164" s="50">
        <v>13.05</v>
      </c>
    </row>
    <row r="165">
      <c r="A165" s="26">
        <v>159.0</v>
      </c>
      <c r="B165" s="65">
        <v>-1.5079776961476767</v>
      </c>
      <c r="C165" s="65">
        <v>1.138208698367119</v>
      </c>
      <c r="D165" s="65">
        <v>-0.8047976627666785</v>
      </c>
      <c r="E165" s="65">
        <v>1.1342772216009664</v>
      </c>
      <c r="F165" s="65">
        <v>2.1233746134337634</v>
      </c>
      <c r="G165" s="50">
        <v>0.0</v>
      </c>
      <c r="H165" s="50">
        <v>0.0</v>
      </c>
      <c r="I165" s="50">
        <v>0.0</v>
      </c>
      <c r="J165" s="50">
        <v>0.0</v>
      </c>
      <c r="K165" s="50">
        <v>0.0</v>
      </c>
      <c r="L165" s="50">
        <v>0.0</v>
      </c>
      <c r="M165" s="50">
        <v>0.0</v>
      </c>
      <c r="N165" s="50">
        <v>0.0</v>
      </c>
      <c r="O165" s="50">
        <v>7.425000000000001</v>
      </c>
      <c r="P165" s="50">
        <v>2.475</v>
      </c>
      <c r="Q165" s="50">
        <v>0.0</v>
      </c>
      <c r="R165" s="50">
        <v>9.9</v>
      </c>
      <c r="S165" s="50">
        <v>0.0</v>
      </c>
      <c r="T165" s="50">
        <v>2.8125</v>
      </c>
      <c r="U165" s="50">
        <v>0.0</v>
      </c>
      <c r="V165" s="50">
        <v>5.625</v>
      </c>
      <c r="W165" s="50">
        <v>0.0</v>
      </c>
      <c r="X165" s="50">
        <v>2.8125</v>
      </c>
      <c r="Y165" s="50">
        <v>31.05</v>
      </c>
    </row>
    <row r="166">
      <c r="A166" s="26">
        <v>160.0</v>
      </c>
      <c r="B166" s="65">
        <v>-1.3985790001089868</v>
      </c>
      <c r="C166" s="65">
        <v>-2.0746389147080424</v>
      </c>
      <c r="D166" s="65">
        <v>1.5784692416888568</v>
      </c>
      <c r="E166" s="65">
        <v>-1.4477522066377486</v>
      </c>
      <c r="F166" s="65">
        <v>9.959592725051973</v>
      </c>
      <c r="G166" s="50">
        <v>0.0</v>
      </c>
      <c r="H166" s="50">
        <v>0.0</v>
      </c>
      <c r="I166" s="50">
        <v>0.0</v>
      </c>
      <c r="J166" s="50">
        <v>0.0</v>
      </c>
      <c r="K166" s="50">
        <v>0.0</v>
      </c>
      <c r="L166" s="50">
        <v>0.0</v>
      </c>
      <c r="M166" s="50">
        <v>0.0</v>
      </c>
      <c r="N166" s="50">
        <v>0.0</v>
      </c>
      <c r="O166" s="50">
        <v>7.425000000000001</v>
      </c>
      <c r="P166" s="50">
        <v>0.0</v>
      </c>
      <c r="Q166" s="50">
        <v>0.0</v>
      </c>
      <c r="R166" s="50">
        <v>0.0</v>
      </c>
      <c r="S166" s="50">
        <v>0.0</v>
      </c>
      <c r="T166" s="50">
        <v>2.8125</v>
      </c>
      <c r="U166" s="50">
        <v>0.0</v>
      </c>
      <c r="V166" s="50">
        <v>5.625</v>
      </c>
      <c r="W166" s="50">
        <v>0.0</v>
      </c>
      <c r="X166" s="50">
        <v>2.8125</v>
      </c>
      <c r="Y166" s="50">
        <v>18.675</v>
      </c>
    </row>
    <row r="167">
      <c r="A167" s="26">
        <v>161.0</v>
      </c>
      <c r="B167" s="65">
        <v>0.3835755029069876</v>
      </c>
      <c r="C167" s="65">
        <v>-0.6985422092861162</v>
      </c>
      <c r="D167" s="65">
        <v>-0.3498997910833846</v>
      </c>
      <c r="E167" s="65">
        <v>-0.5379907617832798</v>
      </c>
      <c r="F167" s="65">
        <v>8.260182368812886</v>
      </c>
      <c r="G167" s="50">
        <v>0.0</v>
      </c>
      <c r="H167" s="50">
        <v>0.0</v>
      </c>
      <c r="I167" s="50">
        <v>0.0</v>
      </c>
      <c r="J167" s="50">
        <v>0.0</v>
      </c>
      <c r="K167" s="50">
        <v>0.0</v>
      </c>
      <c r="L167" s="50">
        <v>0.0</v>
      </c>
      <c r="M167" s="50">
        <v>0.0</v>
      </c>
      <c r="N167" s="50">
        <v>0.0</v>
      </c>
      <c r="O167" s="50">
        <v>0.0</v>
      </c>
      <c r="P167" s="50">
        <v>0.0</v>
      </c>
      <c r="Q167" s="50">
        <v>0.0</v>
      </c>
      <c r="R167" s="50">
        <v>0.0</v>
      </c>
      <c r="S167" s="50">
        <v>0.0</v>
      </c>
      <c r="T167" s="50">
        <v>2.8125</v>
      </c>
      <c r="U167" s="50">
        <v>0.0</v>
      </c>
      <c r="V167" s="50">
        <v>0.0</v>
      </c>
      <c r="W167" s="50">
        <v>0.0</v>
      </c>
      <c r="X167" s="50">
        <v>2.8125</v>
      </c>
      <c r="Y167" s="50">
        <v>5.625</v>
      </c>
    </row>
    <row r="168">
      <c r="A168" s="26">
        <v>162.0</v>
      </c>
      <c r="B168" s="65">
        <v>0.7788843633658863</v>
      </c>
      <c r="C168" s="65">
        <v>-0.3946001194880225</v>
      </c>
      <c r="D168" s="65">
        <v>0.05894495513101366</v>
      </c>
      <c r="E168" s="65">
        <v>-0.46995865449456</v>
      </c>
      <c r="F168" s="65">
        <v>7.664060847406044</v>
      </c>
      <c r="G168" s="50">
        <v>0.0</v>
      </c>
      <c r="H168" s="50">
        <v>0.0</v>
      </c>
      <c r="I168" s="50">
        <v>0.0</v>
      </c>
      <c r="J168" s="50">
        <v>0.0</v>
      </c>
      <c r="K168" s="50">
        <v>0.0</v>
      </c>
      <c r="L168" s="50">
        <v>0.0</v>
      </c>
      <c r="M168" s="50">
        <v>0.0</v>
      </c>
      <c r="N168" s="50">
        <v>0.0</v>
      </c>
      <c r="O168" s="50">
        <v>0.0</v>
      </c>
      <c r="P168" s="50">
        <v>0.0</v>
      </c>
      <c r="Q168" s="50">
        <v>0.0</v>
      </c>
      <c r="R168" s="50">
        <v>0.0</v>
      </c>
      <c r="S168" s="50">
        <v>0.0</v>
      </c>
      <c r="T168" s="50">
        <v>2.8125</v>
      </c>
      <c r="U168" s="50">
        <v>0.0</v>
      </c>
      <c r="V168" s="50">
        <v>0.0</v>
      </c>
      <c r="W168" s="50">
        <v>0.0</v>
      </c>
      <c r="X168" s="50">
        <v>2.8125</v>
      </c>
      <c r="Y168" s="50">
        <v>5.625</v>
      </c>
    </row>
    <row r="169">
      <c r="A169" s="26">
        <v>163.0</v>
      </c>
      <c r="B169" s="65">
        <v>1.7523208941956097</v>
      </c>
      <c r="C169" s="65">
        <v>0.12037001059926664</v>
      </c>
      <c r="D169" s="65">
        <v>0.23624445769544009</v>
      </c>
      <c r="E169" s="65">
        <v>-0.2573681531665756</v>
      </c>
      <c r="F169" s="65">
        <v>6.903690464222894</v>
      </c>
      <c r="G169" s="50">
        <v>0.0</v>
      </c>
      <c r="H169" s="50">
        <v>0.0</v>
      </c>
      <c r="I169" s="50">
        <v>0.0</v>
      </c>
      <c r="J169" s="50">
        <v>0.0</v>
      </c>
      <c r="K169" s="50">
        <v>0.0</v>
      </c>
      <c r="L169" s="50">
        <v>0.0</v>
      </c>
      <c r="M169" s="50">
        <v>0.0</v>
      </c>
      <c r="N169" s="50">
        <v>0.0</v>
      </c>
      <c r="O169" s="50">
        <v>0.0</v>
      </c>
      <c r="P169" s="50">
        <v>0.0</v>
      </c>
      <c r="Q169" s="50">
        <v>0.0</v>
      </c>
      <c r="R169" s="50">
        <v>0.0</v>
      </c>
      <c r="S169" s="50">
        <v>0.0</v>
      </c>
      <c r="T169" s="50">
        <v>2.8125</v>
      </c>
      <c r="U169" s="50">
        <v>0.0</v>
      </c>
      <c r="V169" s="50">
        <v>0.0</v>
      </c>
      <c r="W169" s="50">
        <v>0.0</v>
      </c>
      <c r="X169" s="50">
        <v>2.8125</v>
      </c>
      <c r="Y169" s="50">
        <v>5.625</v>
      </c>
    </row>
    <row r="170">
      <c r="A170" s="26">
        <v>164.0</v>
      </c>
      <c r="B170" s="65">
        <v>-0.7230532498831023</v>
      </c>
      <c r="C170" s="65">
        <v>1.641495430039545</v>
      </c>
      <c r="D170" s="65">
        <v>0.36240361186925535</v>
      </c>
      <c r="E170" s="65">
        <v>1.4200900977782882</v>
      </c>
      <c r="F170" s="65">
        <v>3.0102750794567705</v>
      </c>
      <c r="G170" s="50">
        <v>0.0</v>
      </c>
      <c r="H170" s="50">
        <v>0.0</v>
      </c>
      <c r="I170" s="50">
        <v>0.0</v>
      </c>
      <c r="J170" s="50">
        <v>0.0</v>
      </c>
      <c r="K170" s="50">
        <v>0.0</v>
      </c>
      <c r="L170" s="50">
        <v>0.0</v>
      </c>
      <c r="M170" s="50">
        <v>0.0</v>
      </c>
      <c r="N170" s="50">
        <v>0.0</v>
      </c>
      <c r="O170" s="50">
        <v>0.0</v>
      </c>
      <c r="P170" s="50">
        <v>0.0</v>
      </c>
      <c r="Q170" s="50">
        <v>0.0</v>
      </c>
      <c r="R170" s="50">
        <v>9.9</v>
      </c>
      <c r="S170" s="50">
        <v>0.0</v>
      </c>
      <c r="T170" s="50">
        <v>2.8125</v>
      </c>
      <c r="U170" s="50">
        <v>0.0</v>
      </c>
      <c r="V170" s="50">
        <v>0.0</v>
      </c>
      <c r="W170" s="50">
        <v>4.95</v>
      </c>
      <c r="X170" s="50">
        <v>2.8125</v>
      </c>
      <c r="Y170" s="50">
        <v>20.475</v>
      </c>
    </row>
    <row r="171">
      <c r="A171" s="26">
        <v>165.0</v>
      </c>
      <c r="B171" s="65">
        <v>-2.3563373064229753</v>
      </c>
      <c r="C171" s="65">
        <v>1.5720320894894273</v>
      </c>
      <c r="D171" s="65">
        <v>1.774762228665104</v>
      </c>
      <c r="E171" s="65">
        <v>0.4644128660913426</v>
      </c>
      <c r="F171" s="65">
        <v>9.027945439096118</v>
      </c>
      <c r="G171" s="50">
        <v>0.0</v>
      </c>
      <c r="H171" s="50">
        <v>0.0</v>
      </c>
      <c r="I171" s="50">
        <v>0.0</v>
      </c>
      <c r="J171" s="50">
        <v>0.0</v>
      </c>
      <c r="K171" s="50">
        <v>0.0</v>
      </c>
      <c r="L171" s="50">
        <v>0.0</v>
      </c>
      <c r="M171" s="50">
        <v>0.0</v>
      </c>
      <c r="N171" s="50">
        <v>0.0</v>
      </c>
      <c r="O171" s="50">
        <v>0.0</v>
      </c>
      <c r="P171" s="50">
        <v>0.0</v>
      </c>
      <c r="Q171" s="50">
        <v>0.0</v>
      </c>
      <c r="R171" s="50">
        <v>0.0</v>
      </c>
      <c r="S171" s="50">
        <v>0.0</v>
      </c>
      <c r="T171" s="50">
        <v>2.8125</v>
      </c>
      <c r="U171" s="50">
        <v>0.0</v>
      </c>
      <c r="V171" s="50">
        <v>5.625</v>
      </c>
      <c r="W171" s="50">
        <v>0.0</v>
      </c>
      <c r="X171" s="50">
        <v>2.8125</v>
      </c>
      <c r="Y171" s="50">
        <v>11.25</v>
      </c>
    </row>
    <row r="172">
      <c r="A172" s="26">
        <v>166.0</v>
      </c>
      <c r="B172" s="65">
        <v>-1.095704665044561</v>
      </c>
      <c r="C172" s="65">
        <v>-0.7675776360832205</v>
      </c>
      <c r="D172" s="65">
        <v>0.4548124142678376</v>
      </c>
      <c r="E172" s="65">
        <v>0.2162285437486954</v>
      </c>
      <c r="F172" s="65">
        <v>11.141921051682562</v>
      </c>
      <c r="G172" s="50">
        <v>0.0</v>
      </c>
      <c r="H172" s="50">
        <v>0.0</v>
      </c>
      <c r="I172" s="50">
        <v>0.0</v>
      </c>
      <c r="J172" s="50">
        <v>0.0</v>
      </c>
      <c r="K172" s="50">
        <v>0.0</v>
      </c>
      <c r="L172" s="50">
        <v>0.0</v>
      </c>
      <c r="M172" s="50">
        <v>0.0</v>
      </c>
      <c r="N172" s="50">
        <v>0.0</v>
      </c>
      <c r="O172" s="50">
        <v>0.0</v>
      </c>
      <c r="P172" s="50">
        <v>0.0</v>
      </c>
      <c r="Q172" s="50">
        <v>0.0</v>
      </c>
      <c r="R172" s="50">
        <v>0.0</v>
      </c>
      <c r="S172" s="50">
        <v>0.0</v>
      </c>
      <c r="T172" s="50">
        <v>2.8125</v>
      </c>
      <c r="U172" s="50">
        <v>0.0</v>
      </c>
      <c r="V172" s="50">
        <v>5.625</v>
      </c>
      <c r="W172" s="50">
        <v>0.0</v>
      </c>
      <c r="X172" s="50">
        <v>2.8125</v>
      </c>
      <c r="Y172" s="50">
        <v>11.25</v>
      </c>
    </row>
    <row r="173">
      <c r="A173" s="26">
        <v>167.0</v>
      </c>
      <c r="B173" s="65">
        <v>1.7368012315256471</v>
      </c>
      <c r="C173" s="65">
        <v>-1.1405864254970717</v>
      </c>
      <c r="D173" s="65">
        <v>1.3169246196542024</v>
      </c>
      <c r="E173" s="65">
        <v>-0.5348306343023307</v>
      </c>
      <c r="F173" s="65">
        <v>3.502352334082096</v>
      </c>
      <c r="G173" s="50">
        <v>0.0</v>
      </c>
      <c r="H173" s="50">
        <v>0.0</v>
      </c>
      <c r="I173" s="50">
        <v>0.0</v>
      </c>
      <c r="J173" s="50">
        <v>0.0</v>
      </c>
      <c r="K173" s="50">
        <v>0.0</v>
      </c>
      <c r="L173" s="50">
        <v>0.0</v>
      </c>
      <c r="M173" s="50">
        <v>0.0</v>
      </c>
      <c r="N173" s="50">
        <v>0.0</v>
      </c>
      <c r="O173" s="50">
        <v>0.0</v>
      </c>
      <c r="P173" s="50">
        <v>0.0</v>
      </c>
      <c r="Q173" s="50">
        <v>0.0</v>
      </c>
      <c r="R173" s="50">
        <v>0.0</v>
      </c>
      <c r="S173" s="50">
        <v>0.0</v>
      </c>
      <c r="T173" s="50">
        <v>2.8125</v>
      </c>
      <c r="U173" s="50">
        <v>0.0</v>
      </c>
      <c r="V173" s="50">
        <v>0.0</v>
      </c>
      <c r="W173" s="50">
        <v>0.0</v>
      </c>
      <c r="X173" s="50">
        <v>2.8125</v>
      </c>
      <c r="Y173" s="50">
        <v>5.625</v>
      </c>
    </row>
    <row r="174">
      <c r="A174" s="26">
        <v>168.0</v>
      </c>
      <c r="B174" s="65">
        <v>-0.5663437077709148</v>
      </c>
      <c r="C174" s="65">
        <v>-0.17799194092218562</v>
      </c>
      <c r="D174" s="65">
        <v>-0.9741779719505168</v>
      </c>
      <c r="E174" s="65">
        <v>-0.9743075720480325</v>
      </c>
      <c r="F174" s="65">
        <v>8.596490644034327</v>
      </c>
      <c r="G174" s="50">
        <v>0.0</v>
      </c>
      <c r="H174" s="50">
        <v>0.0</v>
      </c>
      <c r="I174" s="50">
        <v>0.0</v>
      </c>
      <c r="J174" s="50">
        <v>0.0</v>
      </c>
      <c r="K174" s="50">
        <v>0.0</v>
      </c>
      <c r="L174" s="50">
        <v>0.0</v>
      </c>
      <c r="M174" s="50">
        <v>0.0</v>
      </c>
      <c r="N174" s="50">
        <v>0.0</v>
      </c>
      <c r="O174" s="50">
        <v>0.0</v>
      </c>
      <c r="P174" s="50">
        <v>0.0</v>
      </c>
      <c r="Q174" s="50">
        <v>0.0</v>
      </c>
      <c r="R174" s="50">
        <v>0.0</v>
      </c>
      <c r="S174" s="50">
        <v>0.0</v>
      </c>
      <c r="T174" s="50">
        <v>2.8125</v>
      </c>
      <c r="U174" s="50">
        <v>0.0</v>
      </c>
      <c r="V174" s="50">
        <v>5.625</v>
      </c>
      <c r="W174" s="50">
        <v>0.0</v>
      </c>
      <c r="X174" s="50">
        <v>2.8125</v>
      </c>
      <c r="Y174" s="50">
        <v>11.25</v>
      </c>
    </row>
    <row r="175">
      <c r="A175" s="26">
        <v>169.0</v>
      </c>
      <c r="B175" s="65">
        <v>0.3519998864344086</v>
      </c>
      <c r="C175" s="65">
        <v>0.5322716644883767</v>
      </c>
      <c r="D175" s="65">
        <v>1.0512100278029992</v>
      </c>
      <c r="E175" s="65">
        <v>1.4047066760848717</v>
      </c>
      <c r="F175" s="65">
        <v>4.11919636761738</v>
      </c>
      <c r="G175" s="50">
        <v>0.0</v>
      </c>
      <c r="H175" s="50">
        <v>0.0</v>
      </c>
      <c r="I175" s="50">
        <v>0.0</v>
      </c>
      <c r="J175" s="50">
        <v>0.0</v>
      </c>
      <c r="K175" s="50">
        <v>0.0</v>
      </c>
      <c r="L175" s="50">
        <v>0.0</v>
      </c>
      <c r="M175" s="50">
        <v>0.0</v>
      </c>
      <c r="N175" s="50">
        <v>0.0</v>
      </c>
      <c r="O175" s="50">
        <v>0.0</v>
      </c>
      <c r="P175" s="50">
        <v>0.0</v>
      </c>
      <c r="Q175" s="50">
        <v>0.0</v>
      </c>
      <c r="R175" s="50">
        <v>0.0</v>
      </c>
      <c r="S175" s="50">
        <v>0.0</v>
      </c>
      <c r="T175" s="50">
        <v>2.8125</v>
      </c>
      <c r="U175" s="50">
        <v>0.0</v>
      </c>
      <c r="V175" s="50">
        <v>0.0</v>
      </c>
      <c r="W175" s="50">
        <v>0.0</v>
      </c>
      <c r="X175" s="50">
        <v>2.8125</v>
      </c>
      <c r="Y175" s="50">
        <v>5.625</v>
      </c>
    </row>
    <row r="176">
      <c r="A176" s="26">
        <v>170.0</v>
      </c>
      <c r="B176" s="65">
        <v>-1.485263661170724</v>
      </c>
      <c r="C176" s="65">
        <v>0.4816680971600461</v>
      </c>
      <c r="D176" s="65">
        <v>-0.9571963699806011</v>
      </c>
      <c r="E176" s="65">
        <v>-1.0773310427191531</v>
      </c>
      <c r="F176" s="65">
        <v>4.265688208441035</v>
      </c>
      <c r="G176" s="50">
        <v>0.0</v>
      </c>
      <c r="H176" s="50">
        <v>0.0</v>
      </c>
      <c r="I176" s="50">
        <v>0.0</v>
      </c>
      <c r="J176" s="50">
        <v>0.0</v>
      </c>
      <c r="K176" s="50">
        <v>0.0</v>
      </c>
      <c r="L176" s="50">
        <v>0.0</v>
      </c>
      <c r="M176" s="50">
        <v>0.0</v>
      </c>
      <c r="N176" s="50">
        <v>0.0</v>
      </c>
      <c r="O176" s="50">
        <v>0.0</v>
      </c>
      <c r="P176" s="50">
        <v>2.475</v>
      </c>
      <c r="Q176" s="50">
        <v>0.0</v>
      </c>
      <c r="R176" s="50">
        <v>9.9</v>
      </c>
      <c r="S176" s="50">
        <v>0.0</v>
      </c>
      <c r="T176" s="50">
        <v>2.8125</v>
      </c>
      <c r="U176" s="50">
        <v>0.0</v>
      </c>
      <c r="V176" s="50">
        <v>5.625</v>
      </c>
      <c r="W176" s="50">
        <v>0.0</v>
      </c>
      <c r="X176" s="50">
        <v>2.8125</v>
      </c>
      <c r="Y176" s="50">
        <v>23.625</v>
      </c>
    </row>
    <row r="177">
      <c r="A177" s="26">
        <v>171.0</v>
      </c>
      <c r="B177" s="65">
        <v>0.27167568210755394</v>
      </c>
      <c r="C177" s="65">
        <v>-0.3718063472797262</v>
      </c>
      <c r="D177" s="65">
        <v>-0.03692940481510701</v>
      </c>
      <c r="E177" s="65">
        <v>-0.44203233111223084</v>
      </c>
      <c r="F177" s="65">
        <v>3.1862414316119883</v>
      </c>
      <c r="G177" s="50">
        <v>0.0</v>
      </c>
      <c r="H177" s="50">
        <v>0.0</v>
      </c>
      <c r="I177" s="50">
        <v>0.0</v>
      </c>
      <c r="J177" s="50">
        <v>0.0</v>
      </c>
      <c r="K177" s="50">
        <v>0.0</v>
      </c>
      <c r="L177" s="50">
        <v>0.0</v>
      </c>
      <c r="M177" s="50">
        <v>0.0</v>
      </c>
      <c r="N177" s="50">
        <v>0.0</v>
      </c>
      <c r="O177" s="50">
        <v>0.0</v>
      </c>
      <c r="P177" s="50">
        <v>0.0</v>
      </c>
      <c r="Q177" s="50">
        <v>0.0</v>
      </c>
      <c r="R177" s="50">
        <v>0.0</v>
      </c>
      <c r="S177" s="50">
        <v>0.0</v>
      </c>
      <c r="T177" s="50">
        <v>2.8125</v>
      </c>
      <c r="U177" s="50">
        <v>0.0</v>
      </c>
      <c r="V177" s="50">
        <v>0.0</v>
      </c>
      <c r="W177" s="50">
        <v>0.0</v>
      </c>
      <c r="X177" s="50">
        <v>2.8125</v>
      </c>
      <c r="Y177" s="50">
        <v>5.625</v>
      </c>
    </row>
    <row r="178">
      <c r="A178" s="26">
        <v>172.0</v>
      </c>
      <c r="B178" s="65">
        <v>0.4134051468692397</v>
      </c>
      <c r="C178" s="65">
        <v>0.1604370701010998</v>
      </c>
      <c r="D178" s="65">
        <v>-1.5602012568493717</v>
      </c>
      <c r="E178" s="65">
        <v>0.1063905801270753</v>
      </c>
      <c r="F178" s="65">
        <v>4.913388098619409</v>
      </c>
      <c r="G178" s="50">
        <v>0.0</v>
      </c>
      <c r="H178" s="50">
        <v>0.0</v>
      </c>
      <c r="I178" s="50">
        <v>0.0</v>
      </c>
      <c r="J178" s="50">
        <v>0.0</v>
      </c>
      <c r="K178" s="50">
        <v>0.0</v>
      </c>
      <c r="L178" s="50">
        <v>0.0</v>
      </c>
      <c r="M178" s="50">
        <v>0.0</v>
      </c>
      <c r="N178" s="50">
        <v>0.0</v>
      </c>
      <c r="O178" s="50">
        <v>0.0</v>
      </c>
      <c r="P178" s="50">
        <v>0.0</v>
      </c>
      <c r="Q178" s="50">
        <v>0.0</v>
      </c>
      <c r="R178" s="50">
        <v>0.0</v>
      </c>
      <c r="S178" s="50">
        <v>0.0</v>
      </c>
      <c r="T178" s="50">
        <v>2.8125</v>
      </c>
      <c r="U178" s="50">
        <v>0.0</v>
      </c>
      <c r="V178" s="50">
        <v>5.625</v>
      </c>
      <c r="W178" s="50">
        <v>0.0</v>
      </c>
      <c r="X178" s="50">
        <v>2.8125</v>
      </c>
      <c r="Y178" s="50">
        <v>11.25</v>
      </c>
    </row>
    <row r="179">
      <c r="A179" s="26">
        <v>173.0</v>
      </c>
      <c r="B179" s="65">
        <v>1.0393564901817187</v>
      </c>
      <c r="C179" s="65">
        <v>0.22271407797855655</v>
      </c>
      <c r="D179" s="65">
        <v>-0.305833530519638</v>
      </c>
      <c r="E179" s="65">
        <v>0.18470511209258686</v>
      </c>
      <c r="F179" s="65">
        <v>3.372137094908721</v>
      </c>
      <c r="G179" s="50">
        <v>0.0</v>
      </c>
      <c r="H179" s="50">
        <v>0.0</v>
      </c>
      <c r="I179" s="50">
        <v>0.0</v>
      </c>
      <c r="J179" s="50">
        <v>0.0</v>
      </c>
      <c r="K179" s="50">
        <v>0.0</v>
      </c>
      <c r="L179" s="50">
        <v>0.0</v>
      </c>
      <c r="M179" s="50">
        <v>0.0</v>
      </c>
      <c r="N179" s="50">
        <v>0.0</v>
      </c>
      <c r="O179" s="50">
        <v>0.0</v>
      </c>
      <c r="P179" s="50">
        <v>0.0</v>
      </c>
      <c r="Q179" s="50">
        <v>0.0</v>
      </c>
      <c r="R179" s="50">
        <v>0.0</v>
      </c>
      <c r="S179" s="50">
        <v>0.0</v>
      </c>
      <c r="T179" s="50">
        <v>2.8125</v>
      </c>
      <c r="U179" s="50">
        <v>0.0</v>
      </c>
      <c r="V179" s="50">
        <v>0.0</v>
      </c>
      <c r="W179" s="50">
        <v>0.0</v>
      </c>
      <c r="X179" s="50">
        <v>2.8125</v>
      </c>
      <c r="Y179" s="50">
        <v>5.625</v>
      </c>
    </row>
    <row r="180">
      <c r="A180" s="26">
        <v>174.0</v>
      </c>
      <c r="B180" s="65">
        <v>0.12421303239202015</v>
      </c>
      <c r="C180" s="65">
        <v>2.8020615707267655</v>
      </c>
      <c r="D180" s="65">
        <v>0.4326306142243018</v>
      </c>
      <c r="E180" s="65">
        <v>-0.1594236265373475</v>
      </c>
      <c r="F180" s="65">
        <v>1.7945082319527748</v>
      </c>
      <c r="G180" s="50">
        <v>0.0</v>
      </c>
      <c r="H180" s="50">
        <v>0.0</v>
      </c>
      <c r="I180" s="50">
        <v>0.0</v>
      </c>
      <c r="J180" s="50">
        <v>0.0</v>
      </c>
      <c r="K180" s="50">
        <v>0.0</v>
      </c>
      <c r="L180" s="50">
        <v>0.0</v>
      </c>
      <c r="M180" s="50">
        <v>0.0</v>
      </c>
      <c r="N180" s="50">
        <v>0.0</v>
      </c>
      <c r="O180" s="50">
        <v>0.0</v>
      </c>
      <c r="P180" s="50">
        <v>0.0</v>
      </c>
      <c r="Q180" s="50">
        <v>0.0</v>
      </c>
      <c r="R180" s="50">
        <v>0.0</v>
      </c>
      <c r="S180" s="50">
        <v>0.0</v>
      </c>
      <c r="T180" s="50">
        <v>2.8125</v>
      </c>
      <c r="U180" s="50">
        <v>0.0</v>
      </c>
      <c r="V180" s="50">
        <v>5.625</v>
      </c>
      <c r="W180" s="50">
        <v>4.95</v>
      </c>
      <c r="X180" s="50">
        <v>2.8125</v>
      </c>
      <c r="Y180" s="50">
        <v>16.2</v>
      </c>
    </row>
    <row r="181">
      <c r="A181" s="26">
        <v>175.0</v>
      </c>
      <c r="B181" s="65">
        <v>0.38060768150252255</v>
      </c>
      <c r="C181" s="65">
        <v>-0.5536746769189543</v>
      </c>
      <c r="D181" s="65">
        <v>0.7072211511890153</v>
      </c>
      <c r="E181" s="65">
        <v>-0.032639893970107185</v>
      </c>
      <c r="F181" s="65">
        <v>4.974026345225941</v>
      </c>
      <c r="G181" s="50">
        <v>0.0</v>
      </c>
      <c r="H181" s="50">
        <v>0.0</v>
      </c>
      <c r="I181" s="50">
        <v>0.0</v>
      </c>
      <c r="J181" s="50">
        <v>0.0</v>
      </c>
      <c r="K181" s="50">
        <v>0.0</v>
      </c>
      <c r="L181" s="50">
        <v>0.0</v>
      </c>
      <c r="M181" s="50">
        <v>0.0</v>
      </c>
      <c r="N181" s="50">
        <v>0.0</v>
      </c>
      <c r="O181" s="50">
        <v>0.0</v>
      </c>
      <c r="P181" s="50">
        <v>0.0</v>
      </c>
      <c r="Q181" s="50">
        <v>0.0</v>
      </c>
      <c r="R181" s="50">
        <v>0.0</v>
      </c>
      <c r="S181" s="50">
        <v>0.0</v>
      </c>
      <c r="T181" s="50">
        <v>2.8125</v>
      </c>
      <c r="U181" s="50">
        <v>0.0</v>
      </c>
      <c r="V181" s="50">
        <v>0.0</v>
      </c>
      <c r="W181" s="50">
        <v>0.0</v>
      </c>
      <c r="X181" s="50">
        <v>2.8125</v>
      </c>
      <c r="Y181" s="50">
        <v>5.625</v>
      </c>
    </row>
    <row r="182">
      <c r="A182" s="26">
        <v>176.0</v>
      </c>
      <c r="B182" s="65">
        <v>-0.37471911785357004</v>
      </c>
      <c r="C182" s="65">
        <v>-0.008260996271076897</v>
      </c>
      <c r="D182" s="65">
        <v>-0.011889438173160544</v>
      </c>
      <c r="E182" s="65">
        <v>-0.5807291306005358</v>
      </c>
      <c r="F182" s="65">
        <v>1.2150522579046599</v>
      </c>
      <c r="G182" s="50">
        <v>0.0</v>
      </c>
      <c r="H182" s="50">
        <v>0.0</v>
      </c>
      <c r="I182" s="50">
        <v>0.0</v>
      </c>
      <c r="J182" s="50">
        <v>0.0</v>
      </c>
      <c r="K182" s="50">
        <v>0.0</v>
      </c>
      <c r="L182" s="50">
        <v>0.0</v>
      </c>
      <c r="M182" s="50">
        <v>0.0</v>
      </c>
      <c r="N182" s="50">
        <v>0.0</v>
      </c>
      <c r="O182" s="50">
        <v>7.425000000000001</v>
      </c>
      <c r="P182" s="50">
        <v>2.475</v>
      </c>
      <c r="Q182" s="50">
        <v>0.0</v>
      </c>
      <c r="R182" s="50">
        <v>0.0</v>
      </c>
      <c r="S182" s="50">
        <v>0.0</v>
      </c>
      <c r="T182" s="50">
        <v>2.8125</v>
      </c>
      <c r="U182" s="50">
        <v>9.9</v>
      </c>
      <c r="V182" s="50">
        <v>5.625</v>
      </c>
      <c r="W182" s="50">
        <v>0.0</v>
      </c>
      <c r="X182" s="50">
        <v>2.8125</v>
      </c>
      <c r="Y182" s="50">
        <v>31.05</v>
      </c>
    </row>
    <row r="183">
      <c r="A183" s="26">
        <v>177.0</v>
      </c>
      <c r="B183" s="65">
        <v>-0.917207300265806</v>
      </c>
      <c r="C183" s="65">
        <v>0.6324176403129396</v>
      </c>
      <c r="D183" s="65">
        <v>-1.2916876021440762</v>
      </c>
      <c r="E183" s="65">
        <v>-1.9891358004347435</v>
      </c>
      <c r="F183" s="65">
        <v>7.0332286938458175</v>
      </c>
      <c r="G183" s="50">
        <v>0.0</v>
      </c>
      <c r="H183" s="50">
        <v>0.0</v>
      </c>
      <c r="I183" s="50">
        <v>0.0</v>
      </c>
      <c r="J183" s="50">
        <v>0.0</v>
      </c>
      <c r="K183" s="50">
        <v>0.0</v>
      </c>
      <c r="L183" s="50">
        <v>0.0</v>
      </c>
      <c r="M183" s="50">
        <v>0.0</v>
      </c>
      <c r="N183" s="50">
        <v>0.0</v>
      </c>
      <c r="O183" s="50">
        <v>0.0</v>
      </c>
      <c r="P183" s="50">
        <v>0.0</v>
      </c>
      <c r="Q183" s="50">
        <v>0.0</v>
      </c>
      <c r="R183" s="50">
        <v>0.0</v>
      </c>
      <c r="S183" s="50">
        <v>0.0</v>
      </c>
      <c r="T183" s="50">
        <v>2.8125</v>
      </c>
      <c r="U183" s="50">
        <v>9.9</v>
      </c>
      <c r="V183" s="50">
        <v>5.625</v>
      </c>
      <c r="W183" s="50">
        <v>0.0</v>
      </c>
      <c r="X183" s="50">
        <v>2.8125</v>
      </c>
      <c r="Y183" s="50">
        <v>21.15</v>
      </c>
    </row>
    <row r="184">
      <c r="A184" s="26">
        <v>178.0</v>
      </c>
      <c r="B184" s="65">
        <v>-0.6101208427795275</v>
      </c>
      <c r="C184" s="65">
        <v>-0.8106370385742011</v>
      </c>
      <c r="D184" s="65">
        <v>2.281545132941881</v>
      </c>
      <c r="E184" s="65">
        <v>1.5834523757425552</v>
      </c>
      <c r="F184" s="65">
        <v>7.843166098606444</v>
      </c>
      <c r="G184" s="50">
        <v>0.0</v>
      </c>
      <c r="H184" s="50">
        <v>0.0</v>
      </c>
      <c r="I184" s="50">
        <v>0.0</v>
      </c>
      <c r="J184" s="50">
        <v>0.0</v>
      </c>
      <c r="K184" s="50">
        <v>0.0</v>
      </c>
      <c r="L184" s="50">
        <v>0.0</v>
      </c>
      <c r="M184" s="50">
        <v>0.0</v>
      </c>
      <c r="N184" s="50">
        <v>0.0</v>
      </c>
      <c r="O184" s="50">
        <v>0.0</v>
      </c>
      <c r="P184" s="50">
        <v>0.0</v>
      </c>
      <c r="Q184" s="50">
        <v>0.0</v>
      </c>
      <c r="R184" s="50">
        <v>0.0</v>
      </c>
      <c r="S184" s="50">
        <v>0.0</v>
      </c>
      <c r="T184" s="50">
        <v>2.8125</v>
      </c>
      <c r="U184" s="50">
        <v>0.0</v>
      </c>
      <c r="V184" s="50">
        <v>0.0</v>
      </c>
      <c r="W184" s="50">
        <v>4.95</v>
      </c>
      <c r="X184" s="50">
        <v>2.8125</v>
      </c>
      <c r="Y184" s="50">
        <v>10.575</v>
      </c>
    </row>
    <row r="185">
      <c r="A185" s="26">
        <v>179.0</v>
      </c>
      <c r="B185" s="65">
        <v>0.07605709482672152</v>
      </c>
      <c r="C185" s="65">
        <v>0.35639437497743</v>
      </c>
      <c r="D185" s="65">
        <v>1.4693323093006045</v>
      </c>
      <c r="E185" s="65">
        <v>-0.4416039166306049</v>
      </c>
      <c r="F185" s="65">
        <v>6.571414961414198</v>
      </c>
      <c r="G185" s="50">
        <v>0.0</v>
      </c>
      <c r="H185" s="50">
        <v>0.0</v>
      </c>
      <c r="I185" s="50">
        <v>0.0</v>
      </c>
      <c r="J185" s="50">
        <v>0.0</v>
      </c>
      <c r="K185" s="50">
        <v>0.0</v>
      </c>
      <c r="L185" s="50">
        <v>0.0</v>
      </c>
      <c r="M185" s="50">
        <v>0.0</v>
      </c>
      <c r="N185" s="50">
        <v>0.0</v>
      </c>
      <c r="O185" s="50">
        <v>0.0</v>
      </c>
      <c r="P185" s="50">
        <v>0.0</v>
      </c>
      <c r="Q185" s="50">
        <v>0.0</v>
      </c>
      <c r="R185" s="50">
        <v>0.0</v>
      </c>
      <c r="S185" s="50">
        <v>0.0</v>
      </c>
      <c r="T185" s="50">
        <v>2.8125</v>
      </c>
      <c r="U185" s="50">
        <v>0.0</v>
      </c>
      <c r="V185" s="50">
        <v>5.625</v>
      </c>
      <c r="W185" s="50">
        <v>0.0</v>
      </c>
      <c r="X185" s="50">
        <v>2.8125</v>
      </c>
      <c r="Y185" s="50">
        <v>11.25</v>
      </c>
    </row>
    <row r="186">
      <c r="A186" s="26">
        <v>180.0</v>
      </c>
      <c r="B186" s="65">
        <v>-0.4316033354182633</v>
      </c>
      <c r="C186" s="65">
        <v>0.08592141021094005</v>
      </c>
      <c r="D186" s="65">
        <v>0.7831695782161844</v>
      </c>
      <c r="E186" s="65">
        <v>-0.03772045149830852</v>
      </c>
      <c r="F186" s="65">
        <v>1.0801904995743041</v>
      </c>
      <c r="G186" s="50">
        <v>0.0</v>
      </c>
      <c r="H186" s="50">
        <v>0.0</v>
      </c>
      <c r="I186" s="50">
        <v>0.0</v>
      </c>
      <c r="J186" s="50">
        <v>0.0</v>
      </c>
      <c r="K186" s="50">
        <v>0.0</v>
      </c>
      <c r="L186" s="50">
        <v>0.0</v>
      </c>
      <c r="M186" s="50">
        <v>0.0</v>
      </c>
      <c r="N186" s="50">
        <v>0.0</v>
      </c>
      <c r="O186" s="50">
        <v>7.425000000000001</v>
      </c>
      <c r="P186" s="50">
        <v>2.475</v>
      </c>
      <c r="Q186" s="50">
        <v>0.0</v>
      </c>
      <c r="R186" s="50">
        <v>0.0</v>
      </c>
      <c r="S186" s="50">
        <v>0.0</v>
      </c>
      <c r="T186" s="50">
        <v>2.8125</v>
      </c>
      <c r="U186" s="50">
        <v>9.9</v>
      </c>
      <c r="V186" s="50">
        <v>0.0</v>
      </c>
      <c r="W186" s="50">
        <v>4.95</v>
      </c>
      <c r="X186" s="50">
        <v>0.0</v>
      </c>
      <c r="Y186" s="50">
        <v>27.5625</v>
      </c>
    </row>
    <row r="187">
      <c r="A187" s="26">
        <v>181.0</v>
      </c>
      <c r="B187" s="65">
        <v>-0.6518790969556051</v>
      </c>
      <c r="C187" s="65">
        <v>1.053493005967193</v>
      </c>
      <c r="D187" s="65">
        <v>-0.4277805734483437</v>
      </c>
      <c r="E187" s="65">
        <v>1.0885749587611488</v>
      </c>
      <c r="F187" s="65">
        <v>4.404644667446506</v>
      </c>
      <c r="G187" s="50">
        <v>0.0</v>
      </c>
      <c r="H187" s="50">
        <v>0.0</v>
      </c>
      <c r="I187" s="50">
        <v>0.0</v>
      </c>
      <c r="J187" s="50">
        <v>0.0</v>
      </c>
      <c r="K187" s="50">
        <v>0.0</v>
      </c>
      <c r="L187" s="50">
        <v>0.0</v>
      </c>
      <c r="M187" s="50">
        <v>0.0</v>
      </c>
      <c r="N187" s="50">
        <v>0.0</v>
      </c>
      <c r="O187" s="50">
        <v>0.0</v>
      </c>
      <c r="P187" s="50">
        <v>2.475</v>
      </c>
      <c r="Q187" s="50">
        <v>0.0</v>
      </c>
      <c r="R187" s="50">
        <v>0.0</v>
      </c>
      <c r="S187" s="50">
        <v>0.0</v>
      </c>
      <c r="T187" s="50">
        <v>2.8125</v>
      </c>
      <c r="U187" s="50">
        <v>0.0</v>
      </c>
      <c r="V187" s="50">
        <v>0.0</v>
      </c>
      <c r="W187" s="50">
        <v>0.0</v>
      </c>
      <c r="X187" s="50">
        <v>2.8125</v>
      </c>
      <c r="Y187" s="50">
        <v>8.1</v>
      </c>
    </row>
    <row r="188">
      <c r="A188" s="26">
        <v>182.0</v>
      </c>
      <c r="B188" s="65">
        <v>-1.2809598834476335</v>
      </c>
      <c r="C188" s="65">
        <v>-0.8076709808541956</v>
      </c>
      <c r="D188" s="65">
        <v>-0.011614474134238096</v>
      </c>
      <c r="E188" s="65">
        <v>0.7539945382677166</v>
      </c>
      <c r="F188" s="65">
        <v>5.2815168355337345</v>
      </c>
      <c r="G188" s="50">
        <v>0.0</v>
      </c>
      <c r="H188" s="50">
        <v>0.0</v>
      </c>
      <c r="I188" s="50">
        <v>0.0</v>
      </c>
      <c r="J188" s="50">
        <v>0.0</v>
      </c>
      <c r="K188" s="50">
        <v>0.0</v>
      </c>
      <c r="L188" s="50">
        <v>0.0</v>
      </c>
      <c r="M188" s="50">
        <v>0.0</v>
      </c>
      <c r="N188" s="50">
        <v>0.0</v>
      </c>
      <c r="O188" s="50">
        <v>7.425000000000001</v>
      </c>
      <c r="P188" s="50">
        <v>0.0</v>
      </c>
      <c r="Q188" s="50">
        <v>0.0</v>
      </c>
      <c r="R188" s="50">
        <v>0.0</v>
      </c>
      <c r="S188" s="50">
        <v>0.0</v>
      </c>
      <c r="T188" s="50">
        <v>2.8125</v>
      </c>
      <c r="U188" s="50">
        <v>0.0</v>
      </c>
      <c r="V188" s="50">
        <v>5.625</v>
      </c>
      <c r="W188" s="50">
        <v>0.0</v>
      </c>
      <c r="X188" s="50">
        <v>2.8125</v>
      </c>
      <c r="Y188" s="50">
        <v>18.675</v>
      </c>
    </row>
    <row r="189">
      <c r="A189" s="26">
        <v>183.0</v>
      </c>
      <c r="B189" s="65">
        <v>0.3492885800373063</v>
      </c>
      <c r="C189" s="65">
        <v>0.9399010757091413</v>
      </c>
      <c r="D189" s="65">
        <v>-0.8812567935528128</v>
      </c>
      <c r="E189" s="65">
        <v>-0.0928343927644819</v>
      </c>
      <c r="F189" s="65">
        <v>3.607783385487321</v>
      </c>
      <c r="G189" s="50">
        <v>0.0</v>
      </c>
      <c r="H189" s="50">
        <v>0.0</v>
      </c>
      <c r="I189" s="50">
        <v>0.0</v>
      </c>
      <c r="J189" s="50">
        <v>0.0</v>
      </c>
      <c r="K189" s="50">
        <v>0.0</v>
      </c>
      <c r="L189" s="50">
        <v>0.0</v>
      </c>
      <c r="M189" s="50">
        <v>0.0</v>
      </c>
      <c r="N189" s="50">
        <v>0.0</v>
      </c>
      <c r="O189" s="50">
        <v>0.0</v>
      </c>
      <c r="P189" s="50">
        <v>0.0</v>
      </c>
      <c r="Q189" s="50">
        <v>0.0</v>
      </c>
      <c r="R189" s="50">
        <v>0.0</v>
      </c>
      <c r="S189" s="50">
        <v>0.0</v>
      </c>
      <c r="T189" s="50">
        <v>2.8125</v>
      </c>
      <c r="U189" s="50">
        <v>0.0</v>
      </c>
      <c r="V189" s="50">
        <v>5.625</v>
      </c>
      <c r="W189" s="50">
        <v>0.0</v>
      </c>
      <c r="X189" s="50">
        <v>2.8125</v>
      </c>
      <c r="Y189" s="50">
        <v>11.25</v>
      </c>
    </row>
    <row r="190">
      <c r="A190" s="26">
        <v>184.0</v>
      </c>
      <c r="B190" s="65">
        <v>-0.13961567269232086</v>
      </c>
      <c r="C190" s="65">
        <v>-0.9049453969134957</v>
      </c>
      <c r="D190" s="65">
        <v>0.3853163048664323</v>
      </c>
      <c r="E190" s="65">
        <v>0.7305829626848868</v>
      </c>
      <c r="F190" s="65">
        <v>4.1210455736928875</v>
      </c>
      <c r="G190" s="50">
        <v>0.0</v>
      </c>
      <c r="H190" s="50">
        <v>0.0</v>
      </c>
      <c r="I190" s="50">
        <v>0.0</v>
      </c>
      <c r="J190" s="50">
        <v>0.0</v>
      </c>
      <c r="K190" s="50">
        <v>0.0</v>
      </c>
      <c r="L190" s="50">
        <v>0.0</v>
      </c>
      <c r="M190" s="50">
        <v>0.0</v>
      </c>
      <c r="N190" s="50">
        <v>0.0</v>
      </c>
      <c r="O190" s="50">
        <v>0.0</v>
      </c>
      <c r="P190" s="50">
        <v>0.0</v>
      </c>
      <c r="Q190" s="50">
        <v>0.0</v>
      </c>
      <c r="R190" s="50">
        <v>0.0</v>
      </c>
      <c r="S190" s="50">
        <v>0.0</v>
      </c>
      <c r="T190" s="50">
        <v>2.8125</v>
      </c>
      <c r="U190" s="50">
        <v>0.0</v>
      </c>
      <c r="V190" s="50">
        <v>0.0</v>
      </c>
      <c r="W190" s="50">
        <v>0.0</v>
      </c>
      <c r="X190" s="50">
        <v>2.8125</v>
      </c>
      <c r="Y190" s="50">
        <v>5.625</v>
      </c>
    </row>
    <row r="191">
      <c r="A191" s="26">
        <v>185.0</v>
      </c>
      <c r="B191" s="65">
        <v>-1.722961026347823</v>
      </c>
      <c r="C191" s="65">
        <v>-0.09275920130176973</v>
      </c>
      <c r="D191" s="65">
        <v>-0.9024592695693875</v>
      </c>
      <c r="E191" s="65">
        <v>2.4749526980581873</v>
      </c>
      <c r="F191" s="65">
        <v>3.886468747234995</v>
      </c>
      <c r="G191" s="50">
        <v>0.0</v>
      </c>
      <c r="H191" s="50">
        <v>0.0</v>
      </c>
      <c r="I191" s="50">
        <v>0.0</v>
      </c>
      <c r="J191" s="50">
        <v>0.0</v>
      </c>
      <c r="K191" s="50">
        <v>0.0</v>
      </c>
      <c r="L191" s="50">
        <v>0.0</v>
      </c>
      <c r="M191" s="50">
        <v>0.0</v>
      </c>
      <c r="N191" s="50">
        <v>0.0</v>
      </c>
      <c r="O191" s="50">
        <v>0.0</v>
      </c>
      <c r="P191" s="50">
        <v>0.0</v>
      </c>
      <c r="Q191" s="50">
        <v>0.0</v>
      </c>
      <c r="R191" s="50">
        <v>0.0</v>
      </c>
      <c r="S191" s="50">
        <v>0.0</v>
      </c>
      <c r="T191" s="50">
        <v>2.8125</v>
      </c>
      <c r="U191" s="50">
        <v>0.0</v>
      </c>
      <c r="V191" s="50">
        <v>0.0</v>
      </c>
      <c r="W191" s="50">
        <v>4.95</v>
      </c>
      <c r="X191" s="50">
        <v>2.8125</v>
      </c>
      <c r="Y191" s="50">
        <v>10.575</v>
      </c>
    </row>
    <row r="192">
      <c r="A192" s="26">
        <v>186.0</v>
      </c>
      <c r="B192" s="65">
        <v>0.32215551732157904</v>
      </c>
      <c r="C192" s="65">
        <v>0.29033698863988394</v>
      </c>
      <c r="D192" s="65">
        <v>-0.05329439265997016</v>
      </c>
      <c r="E192" s="65">
        <v>0.7893697784759234</v>
      </c>
      <c r="F192" s="65">
        <v>6.635922843126158</v>
      </c>
      <c r="G192" s="50">
        <v>0.0</v>
      </c>
      <c r="H192" s="50">
        <v>0.0</v>
      </c>
      <c r="I192" s="50">
        <v>0.0</v>
      </c>
      <c r="J192" s="50">
        <v>0.0</v>
      </c>
      <c r="K192" s="50">
        <v>0.0</v>
      </c>
      <c r="L192" s="50">
        <v>0.0</v>
      </c>
      <c r="M192" s="50">
        <v>0.0</v>
      </c>
      <c r="N192" s="50">
        <v>0.0</v>
      </c>
      <c r="O192" s="50">
        <v>0.0</v>
      </c>
      <c r="P192" s="50">
        <v>0.0</v>
      </c>
      <c r="Q192" s="50">
        <v>0.0</v>
      </c>
      <c r="R192" s="50">
        <v>0.0</v>
      </c>
      <c r="S192" s="50">
        <v>0.0</v>
      </c>
      <c r="T192" s="50">
        <v>2.8125</v>
      </c>
      <c r="U192" s="50">
        <v>0.0</v>
      </c>
      <c r="V192" s="50">
        <v>0.0</v>
      </c>
      <c r="W192" s="50">
        <v>4.95</v>
      </c>
      <c r="X192" s="50">
        <v>2.8125</v>
      </c>
      <c r="Y192" s="50">
        <v>10.575</v>
      </c>
    </row>
    <row r="193">
      <c r="A193" s="26">
        <v>187.0</v>
      </c>
      <c r="B193" s="65">
        <v>0.7174689684570352</v>
      </c>
      <c r="C193" s="65">
        <v>-0.5226805136272699</v>
      </c>
      <c r="D193" s="65">
        <v>-0.5504326390191487</v>
      </c>
      <c r="E193" s="65">
        <v>0.5025366361661115</v>
      </c>
      <c r="F193" s="65">
        <v>0.7150902052599245</v>
      </c>
      <c r="G193" s="50">
        <v>0.0</v>
      </c>
      <c r="H193" s="50">
        <v>0.0</v>
      </c>
      <c r="I193" s="50">
        <v>0.0</v>
      </c>
      <c r="J193" s="50">
        <v>0.0</v>
      </c>
      <c r="K193" s="50">
        <v>0.0</v>
      </c>
      <c r="L193" s="50">
        <v>0.0</v>
      </c>
      <c r="M193" s="50">
        <v>0.0</v>
      </c>
      <c r="N193" s="50">
        <v>0.0</v>
      </c>
      <c r="O193" s="50">
        <v>0.0</v>
      </c>
      <c r="P193" s="50">
        <v>2.475</v>
      </c>
      <c r="Q193" s="50">
        <v>0.0</v>
      </c>
      <c r="R193" s="50">
        <v>0.0</v>
      </c>
      <c r="S193" s="50">
        <v>0.0</v>
      </c>
      <c r="T193" s="50">
        <v>2.8125</v>
      </c>
      <c r="U193" s="50">
        <v>0.0</v>
      </c>
      <c r="V193" s="50">
        <v>0.0</v>
      </c>
      <c r="W193" s="50">
        <v>0.0</v>
      </c>
      <c r="X193" s="50">
        <v>2.8125</v>
      </c>
      <c r="Y193" s="50">
        <v>8.1</v>
      </c>
    </row>
    <row r="194">
      <c r="A194" s="26">
        <v>188.0</v>
      </c>
      <c r="B194" s="65">
        <v>-0.37052176626338956</v>
      </c>
      <c r="C194" s="65">
        <v>0.5022500369336328</v>
      </c>
      <c r="D194" s="65">
        <v>0.42159849417074435</v>
      </c>
      <c r="E194" s="65">
        <v>0.06544482427166601</v>
      </c>
      <c r="F194" s="65">
        <v>2.3922307973815227</v>
      </c>
      <c r="G194" s="50">
        <v>0.0</v>
      </c>
      <c r="H194" s="50">
        <v>0.0</v>
      </c>
      <c r="I194" s="50">
        <v>0.0</v>
      </c>
      <c r="J194" s="50">
        <v>0.0</v>
      </c>
      <c r="K194" s="50">
        <v>0.0</v>
      </c>
      <c r="L194" s="50">
        <v>0.0</v>
      </c>
      <c r="M194" s="50">
        <v>0.0</v>
      </c>
      <c r="N194" s="50">
        <v>0.0</v>
      </c>
      <c r="O194" s="50">
        <v>0.0</v>
      </c>
      <c r="P194" s="50">
        <v>2.475</v>
      </c>
      <c r="Q194" s="50">
        <v>0.0</v>
      </c>
      <c r="R194" s="50">
        <v>9.9</v>
      </c>
      <c r="S194" s="50">
        <v>0.0</v>
      </c>
      <c r="T194" s="50">
        <v>2.8125</v>
      </c>
      <c r="U194" s="50">
        <v>0.0</v>
      </c>
      <c r="V194" s="50">
        <v>5.625</v>
      </c>
      <c r="W194" s="50">
        <v>0.0</v>
      </c>
      <c r="X194" s="50">
        <v>2.8125</v>
      </c>
      <c r="Y194" s="50">
        <v>23.625</v>
      </c>
    </row>
    <row r="195">
      <c r="A195" s="26">
        <v>189.0</v>
      </c>
      <c r="B195" s="65">
        <v>-0.7829310424788001</v>
      </c>
      <c r="C195" s="65">
        <v>1.0301816405236057</v>
      </c>
      <c r="D195" s="65">
        <v>-1.1668957818526504</v>
      </c>
      <c r="E195" s="65">
        <v>0.8595327138222892</v>
      </c>
      <c r="F195" s="65">
        <v>2.9912380083632986</v>
      </c>
      <c r="G195" s="50">
        <v>0.0</v>
      </c>
      <c r="H195" s="50">
        <v>0.0</v>
      </c>
      <c r="I195" s="50">
        <v>0.0</v>
      </c>
      <c r="J195" s="50">
        <v>0.0</v>
      </c>
      <c r="K195" s="50">
        <v>0.0</v>
      </c>
      <c r="L195" s="50">
        <v>0.0</v>
      </c>
      <c r="M195" s="50">
        <v>0.0</v>
      </c>
      <c r="N195" s="50">
        <v>0.0</v>
      </c>
      <c r="O195" s="50">
        <v>0.0</v>
      </c>
      <c r="P195" s="50">
        <v>0.0</v>
      </c>
      <c r="Q195" s="50">
        <v>0.0</v>
      </c>
      <c r="R195" s="50">
        <v>0.0</v>
      </c>
      <c r="S195" s="50">
        <v>0.0</v>
      </c>
      <c r="T195" s="50">
        <v>2.8125</v>
      </c>
      <c r="U195" s="50">
        <v>0.0</v>
      </c>
      <c r="V195" s="50">
        <v>0.0</v>
      </c>
      <c r="W195" s="50">
        <v>0.0</v>
      </c>
      <c r="X195" s="50">
        <v>2.8125</v>
      </c>
      <c r="Y195" s="50">
        <v>5.625</v>
      </c>
    </row>
    <row r="196">
      <c r="A196" s="26">
        <v>190.0</v>
      </c>
      <c r="B196" s="65">
        <v>1.1831473235528451</v>
      </c>
      <c r="C196" s="65">
        <v>-2.4029470374834165</v>
      </c>
      <c r="D196" s="65">
        <v>-1.7669025384537551</v>
      </c>
      <c r="E196" s="65">
        <v>-0.04676349056495753</v>
      </c>
      <c r="F196" s="65">
        <v>7.475421428459212</v>
      </c>
      <c r="G196" s="50">
        <v>0.0</v>
      </c>
      <c r="H196" s="50">
        <v>0.0</v>
      </c>
      <c r="I196" s="50">
        <v>0.0</v>
      </c>
      <c r="J196" s="50">
        <v>0.0</v>
      </c>
      <c r="K196" s="50">
        <v>0.0</v>
      </c>
      <c r="L196" s="50">
        <v>0.0</v>
      </c>
      <c r="M196" s="50">
        <v>0.0</v>
      </c>
      <c r="N196" s="50">
        <v>0.0</v>
      </c>
      <c r="O196" s="50">
        <v>0.0</v>
      </c>
      <c r="P196" s="50">
        <v>0.0</v>
      </c>
      <c r="Q196" s="50">
        <v>0.0</v>
      </c>
      <c r="R196" s="50">
        <v>0.0</v>
      </c>
      <c r="S196" s="50">
        <v>0.0</v>
      </c>
      <c r="T196" s="50">
        <v>2.8125</v>
      </c>
      <c r="U196" s="50">
        <v>0.0</v>
      </c>
      <c r="V196" s="50">
        <v>0.0</v>
      </c>
      <c r="W196" s="50">
        <v>0.0</v>
      </c>
      <c r="X196" s="50">
        <v>2.8125</v>
      </c>
      <c r="Y196" s="50">
        <v>5.625</v>
      </c>
    </row>
    <row r="197">
      <c r="A197" s="26">
        <v>191.0</v>
      </c>
      <c r="B197" s="65">
        <v>0.9158492800620578</v>
      </c>
      <c r="C197" s="65">
        <v>-0.6133795795109839</v>
      </c>
      <c r="D197" s="65">
        <v>0.9396540492445462</v>
      </c>
      <c r="E197" s="65">
        <v>-0.9333195575385602</v>
      </c>
      <c r="F197" s="65">
        <v>8.939621130716517</v>
      </c>
      <c r="G197" s="50">
        <v>0.0</v>
      </c>
      <c r="H197" s="50">
        <v>0.0</v>
      </c>
      <c r="I197" s="50">
        <v>0.0</v>
      </c>
      <c r="J197" s="50">
        <v>0.0</v>
      </c>
      <c r="K197" s="50">
        <v>0.0</v>
      </c>
      <c r="L197" s="50">
        <v>0.0</v>
      </c>
      <c r="M197" s="50">
        <v>0.0</v>
      </c>
      <c r="N197" s="50">
        <v>0.0</v>
      </c>
      <c r="O197" s="50">
        <v>0.0</v>
      </c>
      <c r="P197" s="50">
        <v>0.0</v>
      </c>
      <c r="Q197" s="50">
        <v>0.0</v>
      </c>
      <c r="R197" s="50">
        <v>0.0</v>
      </c>
      <c r="S197" s="50">
        <v>0.0</v>
      </c>
      <c r="T197" s="50">
        <v>2.8125</v>
      </c>
      <c r="U197" s="50">
        <v>0.0</v>
      </c>
      <c r="V197" s="50">
        <v>0.0</v>
      </c>
      <c r="W197" s="50">
        <v>4.95</v>
      </c>
      <c r="X197" s="50">
        <v>2.8125</v>
      </c>
      <c r="Y197" s="50">
        <v>10.575</v>
      </c>
    </row>
    <row r="198">
      <c r="A198" s="26">
        <v>192.0</v>
      </c>
      <c r="B198" s="65">
        <v>-1.3064645789514477</v>
      </c>
      <c r="C198" s="65">
        <v>0.9488156330808696</v>
      </c>
      <c r="D198" s="65">
        <v>-0.3579229020113863</v>
      </c>
      <c r="E198" s="65">
        <v>-0.18229763706595964</v>
      </c>
      <c r="F198" s="65">
        <v>1.7458731738034658</v>
      </c>
      <c r="G198" s="50">
        <v>0.0</v>
      </c>
      <c r="H198" s="50">
        <v>0.0</v>
      </c>
      <c r="I198" s="50">
        <v>0.0</v>
      </c>
      <c r="J198" s="50">
        <v>0.0</v>
      </c>
      <c r="K198" s="50">
        <v>0.0</v>
      </c>
      <c r="L198" s="50">
        <v>0.0</v>
      </c>
      <c r="M198" s="50">
        <v>0.0</v>
      </c>
      <c r="N198" s="50">
        <v>0.0</v>
      </c>
      <c r="O198" s="50">
        <v>0.0</v>
      </c>
      <c r="P198" s="50">
        <v>2.475</v>
      </c>
      <c r="Q198" s="50">
        <v>0.0</v>
      </c>
      <c r="R198" s="50">
        <v>9.9</v>
      </c>
      <c r="S198" s="50">
        <v>0.0</v>
      </c>
      <c r="T198" s="50">
        <v>2.8125</v>
      </c>
      <c r="U198" s="50">
        <v>0.0</v>
      </c>
      <c r="V198" s="50">
        <v>0.0</v>
      </c>
      <c r="W198" s="50">
        <v>4.95</v>
      </c>
      <c r="X198" s="50">
        <v>2.8125</v>
      </c>
      <c r="Y198" s="50">
        <v>22.95</v>
      </c>
    </row>
    <row r="199">
      <c r="A199" s="26">
        <v>193.0</v>
      </c>
      <c r="B199" s="65">
        <v>-0.13861179707869792</v>
      </c>
      <c r="C199" s="65">
        <v>-0.49408496334083485</v>
      </c>
      <c r="D199" s="65">
        <v>0.7108528075037319</v>
      </c>
      <c r="E199" s="65">
        <v>0.9164185053340884</v>
      </c>
      <c r="F199" s="65">
        <v>1.494535040303967</v>
      </c>
      <c r="G199" s="50">
        <v>0.0</v>
      </c>
      <c r="H199" s="50">
        <v>0.0</v>
      </c>
      <c r="I199" s="50">
        <v>0.0</v>
      </c>
      <c r="J199" s="50">
        <v>0.0</v>
      </c>
      <c r="K199" s="50">
        <v>0.0</v>
      </c>
      <c r="L199" s="50">
        <v>0.0</v>
      </c>
      <c r="M199" s="50">
        <v>0.0</v>
      </c>
      <c r="N199" s="50">
        <v>0.0</v>
      </c>
      <c r="O199" s="50">
        <v>0.0</v>
      </c>
      <c r="P199" s="50">
        <v>0.0</v>
      </c>
      <c r="Q199" s="50">
        <v>0.0</v>
      </c>
      <c r="R199" s="50">
        <v>0.0</v>
      </c>
      <c r="S199" s="50">
        <v>0.0</v>
      </c>
      <c r="T199" s="50">
        <v>2.8125</v>
      </c>
      <c r="U199" s="50">
        <v>0.0</v>
      </c>
      <c r="V199" s="50">
        <v>5.625</v>
      </c>
      <c r="W199" s="50">
        <v>0.0</v>
      </c>
      <c r="X199" s="50">
        <v>2.8125</v>
      </c>
      <c r="Y199" s="50">
        <v>11.25</v>
      </c>
    </row>
    <row r="200">
      <c r="A200" s="26">
        <v>194.0</v>
      </c>
      <c r="B200" s="65">
        <v>-0.6388692164261914</v>
      </c>
      <c r="C200" s="65">
        <v>-0.7503318724745722</v>
      </c>
      <c r="D200" s="65">
        <v>-0.6746416662662668</v>
      </c>
      <c r="E200" s="65">
        <v>0.1375509654902554</v>
      </c>
      <c r="F200" s="65">
        <v>6.872237780263522</v>
      </c>
      <c r="G200" s="50">
        <v>0.0</v>
      </c>
      <c r="H200" s="50">
        <v>0.0</v>
      </c>
      <c r="I200" s="50">
        <v>0.0</v>
      </c>
      <c r="J200" s="50">
        <v>0.0</v>
      </c>
      <c r="K200" s="50">
        <v>0.0</v>
      </c>
      <c r="L200" s="50">
        <v>0.0</v>
      </c>
      <c r="M200" s="50">
        <v>0.0</v>
      </c>
      <c r="N200" s="50">
        <v>0.0</v>
      </c>
      <c r="O200" s="50">
        <v>0.0</v>
      </c>
      <c r="P200" s="50">
        <v>0.0</v>
      </c>
      <c r="Q200" s="50">
        <v>0.0</v>
      </c>
      <c r="R200" s="50">
        <v>0.0</v>
      </c>
      <c r="S200" s="50">
        <v>0.0</v>
      </c>
      <c r="T200" s="50">
        <v>2.8125</v>
      </c>
      <c r="U200" s="50">
        <v>0.0</v>
      </c>
      <c r="V200" s="50">
        <v>5.625</v>
      </c>
      <c r="W200" s="50">
        <v>0.0</v>
      </c>
      <c r="X200" s="50">
        <v>2.8125</v>
      </c>
      <c r="Y200" s="50">
        <v>11.25</v>
      </c>
    </row>
    <row r="201">
      <c r="A201" s="26">
        <v>195.0</v>
      </c>
      <c r="B201" s="65">
        <v>-0.8639697897849844</v>
      </c>
      <c r="C201" s="65">
        <v>-0.7393423876958006</v>
      </c>
      <c r="D201" s="65">
        <v>0.44158696469651265</v>
      </c>
      <c r="E201" s="65">
        <v>-0.042010588451225135</v>
      </c>
      <c r="F201" s="65">
        <v>2.443993533434512</v>
      </c>
      <c r="G201" s="50">
        <v>0.0</v>
      </c>
      <c r="H201" s="50">
        <v>0.0</v>
      </c>
      <c r="I201" s="50">
        <v>0.0</v>
      </c>
      <c r="J201" s="50">
        <v>0.0</v>
      </c>
      <c r="K201" s="50">
        <v>0.0</v>
      </c>
      <c r="L201" s="50">
        <v>0.0</v>
      </c>
      <c r="M201" s="50">
        <v>0.0</v>
      </c>
      <c r="N201" s="50">
        <v>0.0</v>
      </c>
      <c r="O201" s="50">
        <v>0.0</v>
      </c>
      <c r="P201" s="50">
        <v>0.0</v>
      </c>
      <c r="Q201" s="50">
        <v>0.0</v>
      </c>
      <c r="R201" s="50">
        <v>0.0</v>
      </c>
      <c r="S201" s="50">
        <v>0.0</v>
      </c>
      <c r="T201" s="50">
        <v>2.8125</v>
      </c>
      <c r="U201" s="50">
        <v>0.0</v>
      </c>
      <c r="V201" s="50">
        <v>5.625</v>
      </c>
      <c r="W201" s="50">
        <v>0.0</v>
      </c>
      <c r="X201" s="50">
        <v>2.8125</v>
      </c>
      <c r="Y201" s="50">
        <v>11.25</v>
      </c>
    </row>
    <row r="202">
      <c r="A202" s="26">
        <v>196.0</v>
      </c>
      <c r="B202" s="65">
        <v>-0.361512233171818</v>
      </c>
      <c r="C202" s="65">
        <v>-0.4509921718287608</v>
      </c>
      <c r="D202" s="65">
        <v>2.1883723185905284</v>
      </c>
      <c r="E202" s="65">
        <v>-0.5621698168574161</v>
      </c>
      <c r="F202" s="65">
        <v>7.98767575493307</v>
      </c>
      <c r="G202" s="50">
        <v>0.0</v>
      </c>
      <c r="H202" s="50">
        <v>0.0</v>
      </c>
      <c r="I202" s="50">
        <v>0.0</v>
      </c>
      <c r="J202" s="50">
        <v>0.0</v>
      </c>
      <c r="K202" s="50">
        <v>0.0</v>
      </c>
      <c r="L202" s="50">
        <v>0.0</v>
      </c>
      <c r="M202" s="50">
        <v>0.0</v>
      </c>
      <c r="N202" s="50">
        <v>0.0</v>
      </c>
      <c r="O202" s="50">
        <v>0.0</v>
      </c>
      <c r="P202" s="50">
        <v>0.0</v>
      </c>
      <c r="Q202" s="50">
        <v>0.0</v>
      </c>
      <c r="R202" s="50">
        <v>0.0</v>
      </c>
      <c r="S202" s="50">
        <v>0.0</v>
      </c>
      <c r="T202" s="50">
        <v>2.8125</v>
      </c>
      <c r="U202" s="50">
        <v>0.0</v>
      </c>
      <c r="V202" s="50">
        <v>0.0</v>
      </c>
      <c r="W202" s="50">
        <v>0.0</v>
      </c>
      <c r="X202" s="50">
        <v>2.8125</v>
      </c>
      <c r="Y202" s="50">
        <v>5.625</v>
      </c>
    </row>
    <row r="203">
      <c r="A203" s="26">
        <v>197.0</v>
      </c>
      <c r="B203" s="65">
        <v>-0.10453612305801295</v>
      </c>
      <c r="C203" s="65">
        <v>0.9055055992029679</v>
      </c>
      <c r="D203" s="65">
        <v>-1.0187670584877244</v>
      </c>
      <c r="E203" s="65">
        <v>-1.5751435936691003</v>
      </c>
      <c r="F203" s="65">
        <v>6.729525086171452</v>
      </c>
      <c r="G203" s="50">
        <v>0.0</v>
      </c>
      <c r="H203" s="50">
        <v>0.0</v>
      </c>
      <c r="I203" s="50">
        <v>0.0</v>
      </c>
      <c r="J203" s="50">
        <v>0.0</v>
      </c>
      <c r="K203" s="50">
        <v>0.0</v>
      </c>
      <c r="L203" s="50">
        <v>0.0</v>
      </c>
      <c r="M203" s="50">
        <v>0.0</v>
      </c>
      <c r="N203" s="50">
        <v>0.0</v>
      </c>
      <c r="O203" s="50">
        <v>0.0</v>
      </c>
      <c r="P203" s="50">
        <v>0.0</v>
      </c>
      <c r="Q203" s="50">
        <v>0.0</v>
      </c>
      <c r="R203" s="50">
        <v>0.0</v>
      </c>
      <c r="S203" s="50">
        <v>0.0</v>
      </c>
      <c r="T203" s="50">
        <v>2.8125</v>
      </c>
      <c r="U203" s="50">
        <v>0.0</v>
      </c>
      <c r="V203" s="50">
        <v>5.625</v>
      </c>
      <c r="W203" s="50">
        <v>4.95</v>
      </c>
      <c r="X203" s="50">
        <v>2.8125</v>
      </c>
      <c r="Y203" s="50">
        <v>16.2</v>
      </c>
    </row>
    <row r="204">
      <c r="A204" s="26">
        <v>198.0</v>
      </c>
      <c r="B204" s="65">
        <v>0.10201093285368033</v>
      </c>
      <c r="C204" s="65">
        <v>-1.0559727686430864</v>
      </c>
      <c r="D204" s="65">
        <v>-0.4265528393869663</v>
      </c>
      <c r="E204" s="65">
        <v>-0.4746351297876762</v>
      </c>
      <c r="F204" s="65">
        <v>1.945280022486951</v>
      </c>
      <c r="G204" s="50">
        <v>0.0</v>
      </c>
      <c r="H204" s="50">
        <v>0.0</v>
      </c>
      <c r="I204" s="50">
        <v>0.0</v>
      </c>
      <c r="J204" s="50">
        <v>0.0</v>
      </c>
      <c r="K204" s="50">
        <v>0.0</v>
      </c>
      <c r="L204" s="50">
        <v>0.0</v>
      </c>
      <c r="M204" s="50">
        <v>0.0</v>
      </c>
      <c r="N204" s="50">
        <v>0.0</v>
      </c>
      <c r="O204" s="50">
        <v>0.0</v>
      </c>
      <c r="P204" s="50">
        <v>0.0</v>
      </c>
      <c r="Q204" s="50">
        <v>0.0</v>
      </c>
      <c r="R204" s="50">
        <v>9.9</v>
      </c>
      <c r="S204" s="50">
        <v>0.0</v>
      </c>
      <c r="T204" s="50">
        <v>2.8125</v>
      </c>
      <c r="U204" s="50">
        <v>9.9</v>
      </c>
      <c r="V204" s="50">
        <v>5.625</v>
      </c>
      <c r="W204" s="50">
        <v>4.95</v>
      </c>
      <c r="X204" s="50">
        <v>2.8125</v>
      </c>
      <c r="Y204" s="50">
        <v>36.0</v>
      </c>
    </row>
    <row r="205">
      <c r="A205" s="26">
        <v>199.0</v>
      </c>
      <c r="B205" s="65">
        <v>0.10734260892334939</v>
      </c>
      <c r="C205" s="65">
        <v>-1.0948007113217493</v>
      </c>
      <c r="D205" s="65">
        <v>-1.3706448962030289</v>
      </c>
      <c r="E205" s="65">
        <v>0.45731577533154977</v>
      </c>
      <c r="F205" s="65">
        <v>1.2587421173945719</v>
      </c>
      <c r="G205" s="50">
        <v>0.0</v>
      </c>
      <c r="H205" s="50">
        <v>0.0</v>
      </c>
      <c r="I205" s="50">
        <v>0.0</v>
      </c>
      <c r="J205" s="50">
        <v>0.0</v>
      </c>
      <c r="K205" s="50">
        <v>0.0</v>
      </c>
      <c r="L205" s="50">
        <v>0.0</v>
      </c>
      <c r="M205" s="50">
        <v>0.0</v>
      </c>
      <c r="N205" s="50">
        <v>0.0</v>
      </c>
      <c r="O205" s="50">
        <v>7.425000000000001</v>
      </c>
      <c r="P205" s="50">
        <v>0.0</v>
      </c>
      <c r="Q205" s="50">
        <v>0.0</v>
      </c>
      <c r="R205" s="50">
        <v>9.9</v>
      </c>
      <c r="S205" s="50">
        <v>11.25</v>
      </c>
      <c r="T205" s="50">
        <v>2.8125</v>
      </c>
      <c r="U205" s="50">
        <v>0.0</v>
      </c>
      <c r="V205" s="50">
        <v>0.0</v>
      </c>
      <c r="W205" s="50">
        <v>0.0</v>
      </c>
      <c r="X205" s="50">
        <v>2.8125</v>
      </c>
      <c r="Y205" s="50">
        <v>34.2</v>
      </c>
    </row>
    <row r="206">
      <c r="A206" s="26">
        <v>200.0</v>
      </c>
      <c r="B206" s="65">
        <v>-1.9305330563890784</v>
      </c>
      <c r="C206" s="65">
        <v>-0.6042126495543161</v>
      </c>
      <c r="D206" s="65">
        <v>-0.814441363428012</v>
      </c>
      <c r="E206" s="65">
        <v>-0.2014219125519196</v>
      </c>
      <c r="F206" s="65">
        <v>17.599587514470418</v>
      </c>
      <c r="G206" s="50">
        <v>0.0</v>
      </c>
      <c r="H206" s="50">
        <v>0.0</v>
      </c>
      <c r="I206" s="50">
        <v>0.0</v>
      </c>
      <c r="J206" s="50">
        <v>0.0</v>
      </c>
      <c r="K206" s="50">
        <v>0.0</v>
      </c>
      <c r="L206" s="50">
        <v>0.0</v>
      </c>
      <c r="M206" s="50">
        <v>0.0</v>
      </c>
      <c r="N206" s="50">
        <v>0.0</v>
      </c>
      <c r="O206" s="50">
        <v>0.0</v>
      </c>
      <c r="P206" s="50">
        <v>0.0</v>
      </c>
      <c r="Q206" s="50">
        <v>0.0</v>
      </c>
      <c r="R206" s="50">
        <v>0.0</v>
      </c>
      <c r="S206" s="50">
        <v>0.0</v>
      </c>
      <c r="T206" s="50">
        <v>2.8125</v>
      </c>
      <c r="U206" s="50">
        <v>0.0</v>
      </c>
      <c r="V206" s="50">
        <v>5.625</v>
      </c>
      <c r="W206" s="50">
        <v>0.0</v>
      </c>
      <c r="X206" s="50">
        <v>2.8125</v>
      </c>
      <c r="Y206" s="50">
        <v>11.25</v>
      </c>
    </row>
    <row r="207">
      <c r="A207" s="26">
        <v>201.0</v>
      </c>
      <c r="B207" s="65">
        <v>0.20177605893371964</v>
      </c>
      <c r="C207" s="65">
        <v>-0.487206263458518</v>
      </c>
      <c r="D207" s="65">
        <v>-3.0120811764591258</v>
      </c>
      <c r="E207" s="65">
        <v>-0.025103796299749355</v>
      </c>
      <c r="F207" s="65">
        <v>1.4309450193029618</v>
      </c>
      <c r="G207" s="50">
        <v>0.0</v>
      </c>
      <c r="H207" s="50">
        <v>0.0</v>
      </c>
      <c r="I207" s="50">
        <v>0.0</v>
      </c>
      <c r="J207" s="50">
        <v>0.0</v>
      </c>
      <c r="K207" s="50">
        <v>0.0</v>
      </c>
      <c r="L207" s="50">
        <v>0.0</v>
      </c>
      <c r="M207" s="50">
        <v>0.0</v>
      </c>
      <c r="N207" s="50">
        <v>0.0</v>
      </c>
      <c r="O207" s="50">
        <v>0.0</v>
      </c>
      <c r="P207" s="50">
        <v>2.475</v>
      </c>
      <c r="Q207" s="50">
        <v>0.0</v>
      </c>
      <c r="R207" s="50">
        <v>9.9</v>
      </c>
      <c r="S207" s="50">
        <v>0.0</v>
      </c>
      <c r="T207" s="50">
        <v>2.8125</v>
      </c>
      <c r="U207" s="50">
        <v>9.9</v>
      </c>
      <c r="V207" s="50">
        <v>0.0</v>
      </c>
      <c r="W207" s="50">
        <v>0.0</v>
      </c>
      <c r="X207" s="50">
        <v>2.8125</v>
      </c>
      <c r="Y207" s="50">
        <v>27.9</v>
      </c>
    </row>
    <row r="208">
      <c r="A208" s="26">
        <v>202.0</v>
      </c>
      <c r="B208" s="65">
        <v>-0.5599031664650954</v>
      </c>
      <c r="C208" s="65">
        <v>-0.6826622087446199</v>
      </c>
      <c r="D208" s="65">
        <v>0.8529576161355041</v>
      </c>
      <c r="E208" s="65">
        <v>0.1973044277450828</v>
      </c>
      <c r="F208" s="65">
        <v>6.110651714771503</v>
      </c>
      <c r="G208" s="50">
        <v>0.0</v>
      </c>
      <c r="H208" s="50">
        <v>0.0</v>
      </c>
      <c r="I208" s="50">
        <v>0.0</v>
      </c>
      <c r="J208" s="50">
        <v>0.0</v>
      </c>
      <c r="K208" s="50">
        <v>0.0</v>
      </c>
      <c r="L208" s="50">
        <v>0.0</v>
      </c>
      <c r="M208" s="50">
        <v>0.0</v>
      </c>
      <c r="N208" s="50">
        <v>0.0</v>
      </c>
      <c r="O208" s="50">
        <v>7.425000000000001</v>
      </c>
      <c r="P208" s="50">
        <v>0.0</v>
      </c>
      <c r="Q208" s="50">
        <v>0.0</v>
      </c>
      <c r="R208" s="50">
        <v>0.0</v>
      </c>
      <c r="S208" s="50">
        <v>0.0</v>
      </c>
      <c r="T208" s="50">
        <v>2.8125</v>
      </c>
      <c r="U208" s="50">
        <v>0.0</v>
      </c>
      <c r="V208" s="50">
        <v>0.0</v>
      </c>
      <c r="W208" s="50">
        <v>0.0</v>
      </c>
      <c r="X208" s="50">
        <v>2.8125</v>
      </c>
      <c r="Y208" s="50">
        <v>13.05</v>
      </c>
    </row>
    <row r="209">
      <c r="A209" s="26">
        <v>203.0</v>
      </c>
      <c r="B209" s="65">
        <v>-0.3342240028587377</v>
      </c>
      <c r="C209" s="65">
        <v>-1.2173142844621518</v>
      </c>
      <c r="D209" s="65">
        <v>-1.4533114118450297</v>
      </c>
      <c r="E209" s="65">
        <v>0.9849652733623571</v>
      </c>
      <c r="F209" s="65">
        <v>5.350205493978857</v>
      </c>
      <c r="G209" s="50">
        <v>0.0</v>
      </c>
      <c r="H209" s="50">
        <v>0.0</v>
      </c>
      <c r="I209" s="50">
        <v>0.0</v>
      </c>
      <c r="J209" s="50">
        <v>0.0</v>
      </c>
      <c r="K209" s="50">
        <v>0.0</v>
      </c>
      <c r="L209" s="50">
        <v>0.0</v>
      </c>
      <c r="M209" s="50">
        <v>0.0</v>
      </c>
      <c r="N209" s="50">
        <v>0.0</v>
      </c>
      <c r="O209" s="50">
        <v>7.425000000000001</v>
      </c>
      <c r="P209" s="50">
        <v>0.0</v>
      </c>
      <c r="Q209" s="50">
        <v>0.0</v>
      </c>
      <c r="R209" s="50">
        <v>0.0</v>
      </c>
      <c r="S209" s="50">
        <v>0.0</v>
      </c>
      <c r="T209" s="50">
        <v>2.8125</v>
      </c>
      <c r="U209" s="50">
        <v>0.0</v>
      </c>
      <c r="V209" s="50">
        <v>0.0</v>
      </c>
      <c r="W209" s="50">
        <v>4.95</v>
      </c>
      <c r="X209" s="50">
        <v>2.8125</v>
      </c>
      <c r="Y209" s="50">
        <v>18.0</v>
      </c>
    </row>
    <row r="210">
      <c r="A210" s="26">
        <v>204.0</v>
      </c>
      <c r="B210" s="65">
        <v>0.724927270813203</v>
      </c>
      <c r="C210" s="65">
        <v>0.6417374145635294</v>
      </c>
      <c r="D210" s="65">
        <v>-0.34460595791384663</v>
      </c>
      <c r="E210" s="65">
        <v>0.21735383264058403</v>
      </c>
      <c r="F210" s="65">
        <v>10.765352900218543</v>
      </c>
      <c r="G210" s="50">
        <v>0.0</v>
      </c>
      <c r="H210" s="50">
        <v>0.0</v>
      </c>
      <c r="I210" s="50">
        <v>0.0</v>
      </c>
      <c r="J210" s="50">
        <v>0.0</v>
      </c>
      <c r="K210" s="50">
        <v>0.0</v>
      </c>
      <c r="L210" s="50">
        <v>0.0</v>
      </c>
      <c r="M210" s="50">
        <v>0.0</v>
      </c>
      <c r="N210" s="50">
        <v>0.0</v>
      </c>
      <c r="O210" s="50">
        <v>0.0</v>
      </c>
      <c r="P210" s="50">
        <v>0.0</v>
      </c>
      <c r="Q210" s="50">
        <v>0.0</v>
      </c>
      <c r="R210" s="50">
        <v>0.0</v>
      </c>
      <c r="S210" s="50">
        <v>0.0</v>
      </c>
      <c r="T210" s="50">
        <v>2.8125</v>
      </c>
      <c r="U210" s="50">
        <v>0.0</v>
      </c>
      <c r="V210" s="50">
        <v>0.0</v>
      </c>
      <c r="W210" s="50">
        <v>0.0</v>
      </c>
      <c r="X210" s="50">
        <v>2.8125</v>
      </c>
      <c r="Y210" s="50">
        <v>5.625</v>
      </c>
    </row>
    <row r="211">
      <c r="A211" s="26">
        <v>205.0</v>
      </c>
      <c r="B211" s="65">
        <v>-0.7396935491480424</v>
      </c>
      <c r="C211" s="65">
        <v>0.5518571324945443</v>
      </c>
      <c r="D211" s="65">
        <v>-0.0716728360514388</v>
      </c>
      <c r="E211" s="65">
        <v>1.4430173945640372</v>
      </c>
      <c r="F211" s="65">
        <v>7.661933248740758</v>
      </c>
      <c r="G211" s="50">
        <v>0.0</v>
      </c>
      <c r="H211" s="50">
        <v>0.0</v>
      </c>
      <c r="I211" s="50">
        <v>0.0</v>
      </c>
      <c r="J211" s="50">
        <v>0.0</v>
      </c>
      <c r="K211" s="50">
        <v>0.0</v>
      </c>
      <c r="L211" s="50">
        <v>0.0</v>
      </c>
      <c r="M211" s="50">
        <v>0.0</v>
      </c>
      <c r="N211" s="50">
        <v>0.0</v>
      </c>
      <c r="O211" s="50">
        <v>0.0</v>
      </c>
      <c r="P211" s="50">
        <v>0.0</v>
      </c>
      <c r="Q211" s="50">
        <v>0.0</v>
      </c>
      <c r="R211" s="50">
        <v>0.0</v>
      </c>
      <c r="S211" s="50">
        <v>0.0</v>
      </c>
      <c r="T211" s="50">
        <v>2.8125</v>
      </c>
      <c r="U211" s="50">
        <v>0.0</v>
      </c>
      <c r="V211" s="50">
        <v>0.0</v>
      </c>
      <c r="W211" s="50">
        <v>0.0</v>
      </c>
      <c r="X211" s="50">
        <v>2.8125</v>
      </c>
      <c r="Y211" s="50">
        <v>5.625</v>
      </c>
    </row>
    <row r="212">
      <c r="A212" s="26">
        <v>206.0</v>
      </c>
      <c r="B212" s="65">
        <v>0.6996151000446713</v>
      </c>
      <c r="C212" s="65">
        <v>-0.40035399368127345</v>
      </c>
      <c r="D212" s="65">
        <v>1.204811655581508</v>
      </c>
      <c r="E212" s="65">
        <v>-0.7276414009682076</v>
      </c>
      <c r="F212" s="65">
        <v>4.520127284419295</v>
      </c>
      <c r="G212" s="50">
        <v>0.0</v>
      </c>
      <c r="H212" s="50">
        <v>0.0</v>
      </c>
      <c r="I212" s="50">
        <v>0.0</v>
      </c>
      <c r="J212" s="50">
        <v>0.0</v>
      </c>
      <c r="K212" s="50">
        <v>0.0</v>
      </c>
      <c r="L212" s="50">
        <v>0.0</v>
      </c>
      <c r="M212" s="50">
        <v>0.0</v>
      </c>
      <c r="N212" s="50">
        <v>0.0</v>
      </c>
      <c r="O212" s="50">
        <v>0.0</v>
      </c>
      <c r="P212" s="50">
        <v>0.0</v>
      </c>
      <c r="Q212" s="50">
        <v>0.0</v>
      </c>
      <c r="R212" s="50">
        <v>0.0</v>
      </c>
      <c r="S212" s="50">
        <v>0.0</v>
      </c>
      <c r="T212" s="50">
        <v>2.8125</v>
      </c>
      <c r="U212" s="50">
        <v>0.0</v>
      </c>
      <c r="V212" s="50">
        <v>5.625</v>
      </c>
      <c r="W212" s="50">
        <v>0.0</v>
      </c>
      <c r="X212" s="50">
        <v>2.8125</v>
      </c>
      <c r="Y212" s="50">
        <v>11.25</v>
      </c>
    </row>
    <row r="213">
      <c r="A213" s="26">
        <v>207.0</v>
      </c>
      <c r="B213" s="65">
        <v>-1.3855361986032162</v>
      </c>
      <c r="C213" s="65">
        <v>1.458077649162101</v>
      </c>
      <c r="D213" s="65">
        <v>0.060670905735249685</v>
      </c>
      <c r="E213" s="65">
        <v>-0.84996529923498</v>
      </c>
      <c r="F213" s="65">
        <v>7.55722671094003</v>
      </c>
      <c r="G213" s="50">
        <v>0.0</v>
      </c>
      <c r="H213" s="50">
        <v>0.0</v>
      </c>
      <c r="I213" s="50">
        <v>0.0</v>
      </c>
      <c r="J213" s="50">
        <v>0.0</v>
      </c>
      <c r="K213" s="50">
        <v>0.0</v>
      </c>
      <c r="L213" s="50">
        <v>0.0</v>
      </c>
      <c r="M213" s="50">
        <v>0.0</v>
      </c>
      <c r="N213" s="50">
        <v>0.0</v>
      </c>
      <c r="O213" s="50">
        <v>0.0</v>
      </c>
      <c r="P213" s="50">
        <v>0.0</v>
      </c>
      <c r="Q213" s="50">
        <v>0.0</v>
      </c>
      <c r="R213" s="50">
        <v>0.0</v>
      </c>
      <c r="S213" s="50">
        <v>0.0</v>
      </c>
      <c r="T213" s="50">
        <v>2.8125</v>
      </c>
      <c r="U213" s="50">
        <v>0.0</v>
      </c>
      <c r="V213" s="50">
        <v>0.0</v>
      </c>
      <c r="W213" s="50">
        <v>4.95</v>
      </c>
      <c r="X213" s="50">
        <v>2.8125</v>
      </c>
      <c r="Y213" s="50">
        <v>10.575</v>
      </c>
    </row>
    <row r="214">
      <c r="A214" s="26">
        <v>208.0</v>
      </c>
      <c r="B214" s="65">
        <v>-0.18621471972437714</v>
      </c>
      <c r="C214" s="65">
        <v>2.0343603032543225</v>
      </c>
      <c r="D214" s="65">
        <v>0.9672052752005752</v>
      </c>
      <c r="E214" s="65">
        <v>0.6893523343044169</v>
      </c>
      <c r="F214" s="65">
        <v>4.027417896209633</v>
      </c>
      <c r="G214" s="50">
        <v>0.0</v>
      </c>
      <c r="H214" s="50">
        <v>0.0</v>
      </c>
      <c r="I214" s="50">
        <v>0.0</v>
      </c>
      <c r="J214" s="50">
        <v>0.0</v>
      </c>
      <c r="K214" s="50">
        <v>0.0</v>
      </c>
      <c r="L214" s="50">
        <v>0.0</v>
      </c>
      <c r="M214" s="50">
        <v>0.0</v>
      </c>
      <c r="N214" s="50">
        <v>0.0</v>
      </c>
      <c r="O214" s="50">
        <v>0.0</v>
      </c>
      <c r="P214" s="50">
        <v>0.0</v>
      </c>
      <c r="Q214" s="50">
        <v>0.0</v>
      </c>
      <c r="R214" s="50">
        <v>0.0</v>
      </c>
      <c r="S214" s="50">
        <v>0.0</v>
      </c>
      <c r="T214" s="50">
        <v>2.8125</v>
      </c>
      <c r="U214" s="50">
        <v>0.0</v>
      </c>
      <c r="V214" s="50">
        <v>0.0</v>
      </c>
      <c r="W214" s="50">
        <v>0.0</v>
      </c>
      <c r="X214" s="50">
        <v>2.8125</v>
      </c>
      <c r="Y214" s="50">
        <v>5.625</v>
      </c>
    </row>
    <row r="215">
      <c r="A215" s="26">
        <v>209.0</v>
      </c>
      <c r="B215" s="65">
        <v>-0.3564901831880249</v>
      </c>
      <c r="C215" s="65">
        <v>1.473421500434734</v>
      </c>
      <c r="D215" s="65">
        <v>-0.6847969469944858</v>
      </c>
      <c r="E215" s="65">
        <v>-1.0867627841942022</v>
      </c>
      <c r="F215" s="65">
        <v>5.746820499688109</v>
      </c>
      <c r="G215" s="50">
        <v>0.0</v>
      </c>
      <c r="H215" s="50">
        <v>0.0</v>
      </c>
      <c r="I215" s="50">
        <v>0.0</v>
      </c>
      <c r="J215" s="50">
        <v>0.0</v>
      </c>
      <c r="K215" s="50">
        <v>0.0</v>
      </c>
      <c r="L215" s="50">
        <v>0.0</v>
      </c>
      <c r="M215" s="50">
        <v>0.0</v>
      </c>
      <c r="N215" s="50">
        <v>0.0</v>
      </c>
      <c r="O215" s="50">
        <v>0.0</v>
      </c>
      <c r="P215" s="50">
        <v>0.0</v>
      </c>
      <c r="Q215" s="50">
        <v>0.0</v>
      </c>
      <c r="R215" s="50">
        <v>9.9</v>
      </c>
      <c r="S215" s="50">
        <v>0.0</v>
      </c>
      <c r="T215" s="50">
        <v>2.8125</v>
      </c>
      <c r="U215" s="50">
        <v>9.9</v>
      </c>
      <c r="V215" s="50">
        <v>5.625</v>
      </c>
      <c r="W215" s="50">
        <v>0.0</v>
      </c>
      <c r="X215" s="50">
        <v>2.8125</v>
      </c>
      <c r="Y215" s="50">
        <v>31.05</v>
      </c>
    </row>
    <row r="216">
      <c r="A216" s="26">
        <v>210.0</v>
      </c>
      <c r="B216" s="65">
        <v>-0.2406692662492535</v>
      </c>
      <c r="C216" s="65">
        <v>0.5571975542251331</v>
      </c>
      <c r="D216" s="65">
        <v>2.3718759381390475</v>
      </c>
      <c r="E216" s="65">
        <v>0.696688693694728</v>
      </c>
      <c r="F216" s="65">
        <v>4.672650529093726</v>
      </c>
      <c r="G216" s="50">
        <v>0.0</v>
      </c>
      <c r="H216" s="50">
        <v>0.0</v>
      </c>
      <c r="I216" s="50">
        <v>0.0</v>
      </c>
      <c r="J216" s="50">
        <v>0.0</v>
      </c>
      <c r="K216" s="50">
        <v>0.0</v>
      </c>
      <c r="L216" s="50">
        <v>0.0</v>
      </c>
      <c r="M216" s="50">
        <v>0.0</v>
      </c>
      <c r="N216" s="50">
        <v>0.0</v>
      </c>
      <c r="O216" s="50">
        <v>7.425000000000001</v>
      </c>
      <c r="P216" s="50">
        <v>0.0</v>
      </c>
      <c r="Q216" s="50">
        <v>0.0</v>
      </c>
      <c r="R216" s="50">
        <v>0.0</v>
      </c>
      <c r="S216" s="50">
        <v>0.0</v>
      </c>
      <c r="T216" s="50">
        <v>2.8125</v>
      </c>
      <c r="U216" s="50">
        <v>0.0</v>
      </c>
      <c r="V216" s="50">
        <v>0.0</v>
      </c>
      <c r="W216" s="50">
        <v>0.0</v>
      </c>
      <c r="X216" s="50">
        <v>2.8125</v>
      </c>
      <c r="Y216" s="50">
        <v>13.05</v>
      </c>
    </row>
    <row r="217">
      <c r="A217" s="26">
        <v>211.0</v>
      </c>
      <c r="B217" s="65">
        <v>-0.8884112419989987</v>
      </c>
      <c r="C217" s="65">
        <v>-0.22290235083566926</v>
      </c>
      <c r="D217" s="65">
        <v>1.2228455296829432</v>
      </c>
      <c r="E217" s="65">
        <v>-0.718634519401481</v>
      </c>
      <c r="F217" s="65">
        <v>3.56516938550469</v>
      </c>
      <c r="G217" s="50">
        <v>0.0</v>
      </c>
      <c r="H217" s="50">
        <v>0.0</v>
      </c>
      <c r="I217" s="50">
        <v>0.0</v>
      </c>
      <c r="J217" s="50">
        <v>0.0</v>
      </c>
      <c r="K217" s="50">
        <v>0.0</v>
      </c>
      <c r="L217" s="50">
        <v>0.0</v>
      </c>
      <c r="M217" s="50">
        <v>0.0</v>
      </c>
      <c r="N217" s="50">
        <v>0.0</v>
      </c>
      <c r="O217" s="50">
        <v>0.0</v>
      </c>
      <c r="P217" s="50">
        <v>0.0</v>
      </c>
      <c r="Q217" s="50">
        <v>0.0</v>
      </c>
      <c r="R217" s="50">
        <v>0.0</v>
      </c>
      <c r="S217" s="50">
        <v>0.0</v>
      </c>
      <c r="T217" s="50">
        <v>2.8125</v>
      </c>
      <c r="U217" s="50">
        <v>0.0</v>
      </c>
      <c r="V217" s="50">
        <v>5.625</v>
      </c>
      <c r="W217" s="50">
        <v>4.95</v>
      </c>
      <c r="X217" s="50">
        <v>2.8125</v>
      </c>
      <c r="Y217" s="50">
        <v>16.2</v>
      </c>
    </row>
    <row r="218">
      <c r="A218" s="26">
        <v>212.0</v>
      </c>
      <c r="B218" s="65">
        <v>0.4660488327583088</v>
      </c>
      <c r="C218" s="65">
        <v>-0.5954465904787125</v>
      </c>
      <c r="D218" s="65">
        <v>-1.4657338165899578</v>
      </c>
      <c r="E218" s="65">
        <v>0.8529815885925137</v>
      </c>
      <c r="F218" s="65">
        <v>0.8815433054659477</v>
      </c>
      <c r="G218" s="50">
        <v>0.0</v>
      </c>
      <c r="H218" s="50">
        <v>0.0</v>
      </c>
      <c r="I218" s="50">
        <v>0.0</v>
      </c>
      <c r="J218" s="50">
        <v>0.0</v>
      </c>
      <c r="K218" s="50">
        <v>0.0</v>
      </c>
      <c r="L218" s="50">
        <v>0.0</v>
      </c>
      <c r="M218" s="50">
        <v>0.0</v>
      </c>
      <c r="N218" s="50">
        <v>0.0</v>
      </c>
      <c r="O218" s="50">
        <v>0.0</v>
      </c>
      <c r="P218" s="50">
        <v>0.0</v>
      </c>
      <c r="Q218" s="50">
        <v>0.0</v>
      </c>
      <c r="R218" s="50">
        <v>0.0</v>
      </c>
      <c r="S218" s="50">
        <v>0.0</v>
      </c>
      <c r="T218" s="50">
        <v>2.8125</v>
      </c>
      <c r="U218" s="50">
        <v>0.0</v>
      </c>
      <c r="V218" s="50">
        <v>0.0</v>
      </c>
      <c r="W218" s="50">
        <v>0.0</v>
      </c>
      <c r="X218" s="50">
        <v>2.8125</v>
      </c>
      <c r="Y218" s="50">
        <v>5.625</v>
      </c>
    </row>
    <row r="219">
      <c r="A219" s="26">
        <v>213.0</v>
      </c>
      <c r="B219" s="65">
        <v>-0.3250919358195342</v>
      </c>
      <c r="C219" s="65">
        <v>-0.9039292486738739</v>
      </c>
      <c r="D219" s="65">
        <v>0.4667764482524268</v>
      </c>
      <c r="E219" s="65">
        <v>-0.8396323207051377</v>
      </c>
      <c r="F219" s="65">
        <v>0.4160746059591429</v>
      </c>
      <c r="G219" s="50">
        <v>0.0</v>
      </c>
      <c r="H219" s="50">
        <v>0.0</v>
      </c>
      <c r="I219" s="50">
        <v>13.5</v>
      </c>
      <c r="J219" s="50">
        <v>0.0</v>
      </c>
      <c r="K219" s="50">
        <v>0.0</v>
      </c>
      <c r="L219" s="50">
        <v>0.0</v>
      </c>
      <c r="M219" s="50">
        <v>0.0</v>
      </c>
      <c r="N219" s="50">
        <v>0.0</v>
      </c>
      <c r="O219" s="50">
        <v>0.0</v>
      </c>
      <c r="P219" s="50">
        <v>0.0</v>
      </c>
      <c r="Q219" s="50">
        <v>0.0</v>
      </c>
      <c r="R219" s="50">
        <v>0.0</v>
      </c>
      <c r="S219" s="50">
        <v>0.0</v>
      </c>
      <c r="T219" s="50">
        <v>2.8125</v>
      </c>
      <c r="U219" s="50">
        <v>0.0</v>
      </c>
      <c r="V219" s="50">
        <v>5.625</v>
      </c>
      <c r="W219" s="50">
        <v>4.95</v>
      </c>
      <c r="X219" s="50">
        <v>2.8125</v>
      </c>
      <c r="Y219" s="50">
        <v>29.7</v>
      </c>
    </row>
    <row r="220">
      <c r="A220" s="26">
        <v>214.0</v>
      </c>
      <c r="B220" s="65">
        <v>-1.8852357318452582</v>
      </c>
      <c r="C220" s="65">
        <v>-0.10639639723246945</v>
      </c>
      <c r="D220" s="65">
        <v>-0.7358595716640295</v>
      </c>
      <c r="E220" s="65">
        <v>0.35205903951283035</v>
      </c>
      <c r="F220" s="65">
        <v>2.2446031278284737</v>
      </c>
      <c r="G220" s="50">
        <v>0.0</v>
      </c>
      <c r="H220" s="50">
        <v>0.0</v>
      </c>
      <c r="I220" s="50">
        <v>0.0</v>
      </c>
      <c r="J220" s="50">
        <v>0.0</v>
      </c>
      <c r="K220" s="50">
        <v>0.0</v>
      </c>
      <c r="L220" s="50">
        <v>0.0</v>
      </c>
      <c r="M220" s="50">
        <v>0.0</v>
      </c>
      <c r="N220" s="50">
        <v>0.0</v>
      </c>
      <c r="O220" s="50">
        <v>0.0</v>
      </c>
      <c r="P220" s="50">
        <v>2.475</v>
      </c>
      <c r="Q220" s="50">
        <v>0.0</v>
      </c>
      <c r="R220" s="50">
        <v>0.0</v>
      </c>
      <c r="S220" s="50">
        <v>0.0</v>
      </c>
      <c r="T220" s="50">
        <v>2.8125</v>
      </c>
      <c r="U220" s="50">
        <v>0.0</v>
      </c>
      <c r="V220" s="50">
        <v>5.625</v>
      </c>
      <c r="W220" s="50">
        <v>0.0</v>
      </c>
      <c r="X220" s="50">
        <v>2.8125</v>
      </c>
      <c r="Y220" s="50">
        <v>13.725</v>
      </c>
    </row>
    <row r="221">
      <c r="A221" s="26">
        <v>215.0</v>
      </c>
      <c r="B221" s="65">
        <v>0.9322722302894867</v>
      </c>
      <c r="C221" s="65">
        <v>0.9504281721607022</v>
      </c>
      <c r="D221" s="65">
        <v>0.549243436687708</v>
      </c>
      <c r="E221" s="65">
        <v>1.1558659300372809</v>
      </c>
      <c r="F221" s="65">
        <v>2.5430260609820947</v>
      </c>
      <c r="G221" s="50">
        <v>0.0</v>
      </c>
      <c r="H221" s="50">
        <v>0.0</v>
      </c>
      <c r="I221" s="50">
        <v>0.0</v>
      </c>
      <c r="J221" s="50">
        <v>0.0</v>
      </c>
      <c r="K221" s="50">
        <v>0.0</v>
      </c>
      <c r="L221" s="50">
        <v>0.0</v>
      </c>
      <c r="M221" s="50">
        <v>0.0</v>
      </c>
      <c r="N221" s="50">
        <v>0.0</v>
      </c>
      <c r="O221" s="50">
        <v>0.0</v>
      </c>
      <c r="P221" s="50">
        <v>0.0</v>
      </c>
      <c r="Q221" s="50">
        <v>0.0</v>
      </c>
      <c r="R221" s="50">
        <v>0.0</v>
      </c>
      <c r="S221" s="50">
        <v>0.0</v>
      </c>
      <c r="T221" s="50">
        <v>2.8125</v>
      </c>
      <c r="U221" s="50">
        <v>0.0</v>
      </c>
      <c r="V221" s="50">
        <v>0.0</v>
      </c>
      <c r="W221" s="50">
        <v>0.0</v>
      </c>
      <c r="X221" s="50">
        <v>2.8125</v>
      </c>
      <c r="Y221" s="50">
        <v>5.625</v>
      </c>
    </row>
    <row r="222">
      <c r="A222" s="26">
        <v>216.0</v>
      </c>
      <c r="B222" s="65">
        <v>1.655179075844672</v>
      </c>
      <c r="C222" s="65">
        <v>0.4824327587983228</v>
      </c>
      <c r="D222" s="65">
        <v>-0.3541551219643658</v>
      </c>
      <c r="E222" s="65">
        <v>0.04680531801797079</v>
      </c>
      <c r="F222" s="65">
        <v>2.612065430969318</v>
      </c>
      <c r="G222" s="50">
        <v>0.0</v>
      </c>
      <c r="H222" s="50">
        <v>0.0</v>
      </c>
      <c r="I222" s="50">
        <v>0.0</v>
      </c>
      <c r="J222" s="50">
        <v>0.0</v>
      </c>
      <c r="K222" s="50">
        <v>0.0</v>
      </c>
      <c r="L222" s="50">
        <v>0.0</v>
      </c>
      <c r="M222" s="50">
        <v>0.0</v>
      </c>
      <c r="N222" s="50">
        <v>0.0</v>
      </c>
      <c r="O222" s="50">
        <v>0.0</v>
      </c>
      <c r="P222" s="50">
        <v>0.0</v>
      </c>
      <c r="Q222" s="50">
        <v>0.0</v>
      </c>
      <c r="R222" s="50">
        <v>0.0</v>
      </c>
      <c r="S222" s="50">
        <v>0.0</v>
      </c>
      <c r="T222" s="50">
        <v>2.8125</v>
      </c>
      <c r="U222" s="50">
        <v>0.0</v>
      </c>
      <c r="V222" s="50">
        <v>0.0</v>
      </c>
      <c r="W222" s="50">
        <v>0.0</v>
      </c>
      <c r="X222" s="50">
        <v>2.8125</v>
      </c>
      <c r="Y222" s="50">
        <v>5.625</v>
      </c>
    </row>
    <row r="223">
      <c r="A223" s="26">
        <v>217.0</v>
      </c>
      <c r="B223" s="65">
        <v>0.11358558502026307</v>
      </c>
      <c r="C223" s="65">
        <v>1.1713316443275703</v>
      </c>
      <c r="D223" s="65">
        <v>-0.9850645296015786</v>
      </c>
      <c r="E223" s="65">
        <v>-1.574383784483961</v>
      </c>
      <c r="F223" s="65">
        <v>3.184280953508286</v>
      </c>
      <c r="G223" s="50">
        <v>0.0</v>
      </c>
      <c r="H223" s="50">
        <v>0.0</v>
      </c>
      <c r="I223" s="50">
        <v>0.0</v>
      </c>
      <c r="J223" s="50">
        <v>0.0</v>
      </c>
      <c r="K223" s="50">
        <v>0.0</v>
      </c>
      <c r="L223" s="50">
        <v>0.0</v>
      </c>
      <c r="M223" s="50">
        <v>0.0</v>
      </c>
      <c r="N223" s="50">
        <v>0.0</v>
      </c>
      <c r="O223" s="50">
        <v>0.0</v>
      </c>
      <c r="P223" s="50">
        <v>0.0</v>
      </c>
      <c r="Q223" s="50">
        <v>0.0</v>
      </c>
      <c r="R223" s="50">
        <v>0.0</v>
      </c>
      <c r="S223" s="50">
        <v>0.0</v>
      </c>
      <c r="T223" s="50">
        <v>2.8125</v>
      </c>
      <c r="U223" s="50">
        <v>0.0</v>
      </c>
      <c r="V223" s="50">
        <v>5.625</v>
      </c>
      <c r="W223" s="50">
        <v>4.95</v>
      </c>
      <c r="X223" s="50">
        <v>2.8125</v>
      </c>
      <c r="Y223" s="50">
        <v>16.2</v>
      </c>
    </row>
    <row r="224">
      <c r="A224" s="26">
        <v>218.0</v>
      </c>
      <c r="B224" s="65">
        <v>-1.269900195798559</v>
      </c>
      <c r="C224" s="65">
        <v>0.09090775408299297</v>
      </c>
      <c r="D224" s="65">
        <v>1.4067778662271868</v>
      </c>
      <c r="E224" s="65">
        <v>-0.5506187904119637</v>
      </c>
      <c r="F224" s="65">
        <v>11.176616744171753</v>
      </c>
      <c r="G224" s="50">
        <v>0.0</v>
      </c>
      <c r="H224" s="50">
        <v>0.0</v>
      </c>
      <c r="I224" s="50">
        <v>0.0</v>
      </c>
      <c r="J224" s="50">
        <v>0.0</v>
      </c>
      <c r="K224" s="50">
        <v>0.0</v>
      </c>
      <c r="L224" s="50">
        <v>0.0</v>
      </c>
      <c r="M224" s="50">
        <v>0.0</v>
      </c>
      <c r="N224" s="50">
        <v>0.0</v>
      </c>
      <c r="O224" s="50">
        <v>0.0</v>
      </c>
      <c r="P224" s="50">
        <v>0.0</v>
      </c>
      <c r="Q224" s="50">
        <v>0.0</v>
      </c>
      <c r="R224" s="50">
        <v>0.0</v>
      </c>
      <c r="S224" s="50">
        <v>0.0</v>
      </c>
      <c r="T224" s="50">
        <v>2.8125</v>
      </c>
      <c r="U224" s="50">
        <v>9.9</v>
      </c>
      <c r="V224" s="50">
        <v>0.0</v>
      </c>
      <c r="W224" s="50">
        <v>4.95</v>
      </c>
      <c r="X224" s="50">
        <v>2.8125</v>
      </c>
      <c r="Y224" s="50">
        <v>20.475</v>
      </c>
    </row>
    <row r="225">
      <c r="A225" s="26">
        <v>219.0</v>
      </c>
      <c r="B225" s="65">
        <v>-0.34555264374847827</v>
      </c>
      <c r="C225" s="65">
        <v>-0.8997996284187328</v>
      </c>
      <c r="D225" s="65">
        <v>0.5844652929352131</v>
      </c>
      <c r="E225" s="65">
        <v>0.7060525193248256</v>
      </c>
      <c r="F225" s="65">
        <v>10.006734432758485</v>
      </c>
      <c r="G225" s="50">
        <v>0.0</v>
      </c>
      <c r="H225" s="50">
        <v>0.0</v>
      </c>
      <c r="I225" s="50">
        <v>0.0</v>
      </c>
      <c r="J225" s="50">
        <v>0.0</v>
      </c>
      <c r="K225" s="50">
        <v>0.0</v>
      </c>
      <c r="L225" s="50">
        <v>0.0</v>
      </c>
      <c r="M225" s="50">
        <v>0.0</v>
      </c>
      <c r="N225" s="50">
        <v>0.0</v>
      </c>
      <c r="O225" s="50">
        <v>0.0</v>
      </c>
      <c r="P225" s="50">
        <v>0.0</v>
      </c>
      <c r="Q225" s="50">
        <v>0.0</v>
      </c>
      <c r="R225" s="50">
        <v>0.0</v>
      </c>
      <c r="S225" s="50">
        <v>0.0</v>
      </c>
      <c r="T225" s="50">
        <v>2.8125</v>
      </c>
      <c r="U225" s="50">
        <v>0.0</v>
      </c>
      <c r="V225" s="50">
        <v>0.0</v>
      </c>
      <c r="W225" s="50">
        <v>0.0</v>
      </c>
      <c r="X225" s="50">
        <v>2.8125</v>
      </c>
      <c r="Y225" s="50">
        <v>5.625</v>
      </c>
    </row>
    <row r="226">
      <c r="A226" s="26">
        <v>220.0</v>
      </c>
      <c r="B226" s="65">
        <v>1.3354581409156039</v>
      </c>
      <c r="C226" s="65">
        <v>-0.01683079615881449</v>
      </c>
      <c r="D226" s="65">
        <v>-1.563184869056235</v>
      </c>
      <c r="E226" s="65">
        <v>1.7606664919896615</v>
      </c>
      <c r="F226" s="65">
        <v>1.516167869253698</v>
      </c>
      <c r="G226" s="50">
        <v>0.0</v>
      </c>
      <c r="H226" s="50">
        <v>0.0</v>
      </c>
      <c r="I226" s="50">
        <v>0.0</v>
      </c>
      <c r="J226" s="50">
        <v>0.0</v>
      </c>
      <c r="K226" s="50">
        <v>0.0</v>
      </c>
      <c r="L226" s="50">
        <v>0.0</v>
      </c>
      <c r="M226" s="50">
        <v>0.0</v>
      </c>
      <c r="N226" s="50">
        <v>0.0</v>
      </c>
      <c r="O226" s="50">
        <v>0.0</v>
      </c>
      <c r="P226" s="50">
        <v>0.0</v>
      </c>
      <c r="Q226" s="50">
        <v>0.0</v>
      </c>
      <c r="R226" s="50">
        <v>0.0</v>
      </c>
      <c r="S226" s="50">
        <v>0.0</v>
      </c>
      <c r="T226" s="50">
        <v>2.8125</v>
      </c>
      <c r="U226" s="50">
        <v>0.0</v>
      </c>
      <c r="V226" s="50">
        <v>0.0</v>
      </c>
      <c r="W226" s="50">
        <v>0.0</v>
      </c>
      <c r="X226" s="50">
        <v>2.8125</v>
      </c>
      <c r="Y226" s="50">
        <v>5.625</v>
      </c>
    </row>
    <row r="227">
      <c r="A227" s="26">
        <v>221.0</v>
      </c>
      <c r="B227" s="65">
        <v>0.8650410636674353</v>
      </c>
      <c r="C227" s="65">
        <v>-0.4375506736201732</v>
      </c>
      <c r="D227" s="65">
        <v>1.0452287423918853</v>
      </c>
      <c r="E227" s="65">
        <v>-1.1834747183492245</v>
      </c>
      <c r="F227" s="65">
        <v>2.741816201959212</v>
      </c>
      <c r="G227" s="50">
        <v>0.0</v>
      </c>
      <c r="H227" s="50">
        <v>0.0</v>
      </c>
      <c r="I227" s="50">
        <v>0.0</v>
      </c>
      <c r="J227" s="50">
        <v>0.0</v>
      </c>
      <c r="K227" s="50">
        <v>0.0</v>
      </c>
      <c r="L227" s="50">
        <v>0.0</v>
      </c>
      <c r="M227" s="50">
        <v>0.0</v>
      </c>
      <c r="N227" s="50">
        <v>0.0</v>
      </c>
      <c r="O227" s="50">
        <v>0.0</v>
      </c>
      <c r="P227" s="50">
        <v>0.0</v>
      </c>
      <c r="Q227" s="50">
        <v>0.0</v>
      </c>
      <c r="R227" s="50">
        <v>0.0</v>
      </c>
      <c r="S227" s="50">
        <v>0.0</v>
      </c>
      <c r="T227" s="50">
        <v>2.8125</v>
      </c>
      <c r="U227" s="50">
        <v>0.0</v>
      </c>
      <c r="V227" s="50">
        <v>5.625</v>
      </c>
      <c r="W227" s="50">
        <v>0.0</v>
      </c>
      <c r="X227" s="50">
        <v>2.8125</v>
      </c>
      <c r="Y227" s="50">
        <v>11.25</v>
      </c>
    </row>
    <row r="228">
      <c r="A228" s="26">
        <v>222.0</v>
      </c>
      <c r="B228" s="65">
        <v>0.3057373082819472</v>
      </c>
      <c r="C228" s="65">
        <v>-0.573811213459605</v>
      </c>
      <c r="D228" s="65">
        <v>0.4703727695344698</v>
      </c>
      <c r="E228" s="65">
        <v>0.5936018222372715</v>
      </c>
      <c r="F228" s="65">
        <v>3.507968252410117</v>
      </c>
      <c r="G228" s="50">
        <v>0.0</v>
      </c>
      <c r="H228" s="50">
        <v>0.0</v>
      </c>
      <c r="I228" s="50">
        <v>0.0</v>
      </c>
      <c r="J228" s="50">
        <v>0.0</v>
      </c>
      <c r="K228" s="50">
        <v>0.0</v>
      </c>
      <c r="L228" s="50">
        <v>0.0</v>
      </c>
      <c r="M228" s="50">
        <v>0.0</v>
      </c>
      <c r="N228" s="50">
        <v>0.0</v>
      </c>
      <c r="O228" s="50">
        <v>0.0</v>
      </c>
      <c r="P228" s="50">
        <v>0.0</v>
      </c>
      <c r="Q228" s="50">
        <v>0.0</v>
      </c>
      <c r="R228" s="50">
        <v>9.9</v>
      </c>
      <c r="S228" s="50">
        <v>0.0</v>
      </c>
      <c r="T228" s="50">
        <v>2.8125</v>
      </c>
      <c r="U228" s="50">
        <v>0.0</v>
      </c>
      <c r="V228" s="50">
        <v>0.0</v>
      </c>
      <c r="W228" s="50">
        <v>0.0</v>
      </c>
      <c r="X228" s="50">
        <v>2.8125</v>
      </c>
      <c r="Y228" s="50">
        <v>15.525</v>
      </c>
    </row>
    <row r="229">
      <c r="A229" s="26">
        <v>223.0</v>
      </c>
      <c r="B229" s="65">
        <v>1.3963379869514765</v>
      </c>
      <c r="C229" s="65">
        <v>-0.719758177853011</v>
      </c>
      <c r="D229" s="65">
        <v>-1.4404675420995234</v>
      </c>
      <c r="E229" s="65">
        <v>-0.2935269036965482</v>
      </c>
      <c r="F229" s="65">
        <v>5.657077467186857</v>
      </c>
      <c r="G229" s="50">
        <v>0.0</v>
      </c>
      <c r="H229" s="50">
        <v>0.0</v>
      </c>
      <c r="I229" s="50">
        <v>0.0</v>
      </c>
      <c r="J229" s="50">
        <v>0.0</v>
      </c>
      <c r="K229" s="50">
        <v>0.0</v>
      </c>
      <c r="L229" s="50">
        <v>0.0</v>
      </c>
      <c r="M229" s="50">
        <v>0.0</v>
      </c>
      <c r="N229" s="50">
        <v>0.0</v>
      </c>
      <c r="O229" s="50">
        <v>0.0</v>
      </c>
      <c r="P229" s="50">
        <v>0.0</v>
      </c>
      <c r="Q229" s="50">
        <v>0.0</v>
      </c>
      <c r="R229" s="50">
        <v>0.0</v>
      </c>
      <c r="S229" s="50">
        <v>0.0</v>
      </c>
      <c r="T229" s="50">
        <v>2.8125</v>
      </c>
      <c r="U229" s="50">
        <v>0.0</v>
      </c>
      <c r="V229" s="50">
        <v>0.0</v>
      </c>
      <c r="W229" s="50">
        <v>0.0</v>
      </c>
      <c r="X229" s="50">
        <v>2.8125</v>
      </c>
      <c r="Y229" s="50">
        <v>5.625</v>
      </c>
    </row>
    <row r="230">
      <c r="A230" s="26">
        <v>224.0</v>
      </c>
      <c r="B230" s="65">
        <v>-0.7722581800998211</v>
      </c>
      <c r="C230" s="65">
        <v>0.400251002399582</v>
      </c>
      <c r="D230" s="65">
        <v>-0.21210116300919699</v>
      </c>
      <c r="E230" s="65">
        <v>0.15212608117674511</v>
      </c>
      <c r="F230" s="65">
        <v>5.7853396479765875</v>
      </c>
      <c r="G230" s="50">
        <v>0.0</v>
      </c>
      <c r="H230" s="50">
        <v>0.0</v>
      </c>
      <c r="I230" s="50">
        <v>0.0</v>
      </c>
      <c r="J230" s="50">
        <v>0.0</v>
      </c>
      <c r="K230" s="50">
        <v>0.0</v>
      </c>
      <c r="L230" s="50">
        <v>0.0</v>
      </c>
      <c r="M230" s="50">
        <v>0.0</v>
      </c>
      <c r="N230" s="50">
        <v>0.0</v>
      </c>
      <c r="O230" s="50">
        <v>7.425000000000001</v>
      </c>
      <c r="P230" s="50">
        <v>0.0</v>
      </c>
      <c r="Q230" s="50">
        <v>0.0</v>
      </c>
      <c r="R230" s="50">
        <v>0.0</v>
      </c>
      <c r="S230" s="50">
        <v>0.0</v>
      </c>
      <c r="T230" s="50">
        <v>2.8125</v>
      </c>
      <c r="U230" s="50">
        <v>0.0</v>
      </c>
      <c r="V230" s="50">
        <v>0.0</v>
      </c>
      <c r="W230" s="50">
        <v>0.0</v>
      </c>
      <c r="X230" s="50">
        <v>2.8125</v>
      </c>
      <c r="Y230" s="50">
        <v>13.05</v>
      </c>
    </row>
    <row r="231">
      <c r="A231" s="26">
        <v>225.0</v>
      </c>
      <c r="B231" s="65">
        <v>-1.0677286858486341</v>
      </c>
      <c r="C231" s="65">
        <v>-2.0411481174403594</v>
      </c>
      <c r="D231" s="65">
        <v>0.5826387914029303</v>
      </c>
      <c r="E231" s="65">
        <v>-0.8806539146904637</v>
      </c>
      <c r="F231" s="65">
        <v>1.4588698526582449</v>
      </c>
      <c r="G231" s="50">
        <v>0.0</v>
      </c>
      <c r="H231" s="50">
        <v>0.0</v>
      </c>
      <c r="I231" s="50">
        <v>0.0</v>
      </c>
      <c r="J231" s="50">
        <v>0.0</v>
      </c>
      <c r="K231" s="50">
        <v>0.0</v>
      </c>
      <c r="L231" s="50">
        <v>0.0</v>
      </c>
      <c r="M231" s="50">
        <v>0.0</v>
      </c>
      <c r="N231" s="50">
        <v>0.0</v>
      </c>
      <c r="O231" s="50">
        <v>0.0</v>
      </c>
      <c r="P231" s="50">
        <v>0.0</v>
      </c>
      <c r="Q231" s="50">
        <v>0.0</v>
      </c>
      <c r="R231" s="50">
        <v>0.0</v>
      </c>
      <c r="S231" s="50">
        <v>0.0</v>
      </c>
      <c r="T231" s="50">
        <v>2.8125</v>
      </c>
      <c r="U231" s="50">
        <v>9.9</v>
      </c>
      <c r="V231" s="50">
        <v>5.625</v>
      </c>
      <c r="W231" s="50">
        <v>0.0</v>
      </c>
      <c r="X231" s="50">
        <v>2.8125</v>
      </c>
      <c r="Y231" s="50">
        <v>21.15</v>
      </c>
    </row>
    <row r="232">
      <c r="A232" s="26">
        <v>226.0</v>
      </c>
      <c r="B232" s="65">
        <v>0.8624965334203022</v>
      </c>
      <c r="C232" s="65">
        <v>0.07495358042371986</v>
      </c>
      <c r="D232" s="65">
        <v>0.15186938714180237</v>
      </c>
      <c r="E232" s="65">
        <v>0.2626691019391959</v>
      </c>
      <c r="F232" s="65">
        <v>2.998637287543562</v>
      </c>
      <c r="G232" s="50">
        <v>0.0</v>
      </c>
      <c r="H232" s="50">
        <v>0.0</v>
      </c>
      <c r="I232" s="50">
        <v>0.0</v>
      </c>
      <c r="J232" s="50">
        <v>0.0</v>
      </c>
      <c r="K232" s="50">
        <v>0.0</v>
      </c>
      <c r="L232" s="50">
        <v>0.0</v>
      </c>
      <c r="M232" s="50">
        <v>0.0</v>
      </c>
      <c r="N232" s="50">
        <v>0.0</v>
      </c>
      <c r="O232" s="50">
        <v>0.0</v>
      </c>
      <c r="P232" s="50">
        <v>0.0</v>
      </c>
      <c r="Q232" s="50">
        <v>0.0</v>
      </c>
      <c r="R232" s="50">
        <v>0.0</v>
      </c>
      <c r="S232" s="50">
        <v>0.0</v>
      </c>
      <c r="T232" s="50">
        <v>2.8125</v>
      </c>
      <c r="U232" s="50">
        <v>0.0</v>
      </c>
      <c r="V232" s="50">
        <v>0.0</v>
      </c>
      <c r="W232" s="50">
        <v>0.0</v>
      </c>
      <c r="X232" s="50">
        <v>2.8125</v>
      </c>
      <c r="Y232" s="50">
        <v>5.625</v>
      </c>
    </row>
    <row r="233">
      <c r="A233" s="26">
        <v>227.0</v>
      </c>
      <c r="B233" s="65">
        <v>-1.5038490890541305</v>
      </c>
      <c r="C233" s="65">
        <v>-0.4397818590576818</v>
      </c>
      <c r="D233" s="65">
        <v>0.1994964252174254</v>
      </c>
      <c r="E233" s="65">
        <v>0.8993721643884001</v>
      </c>
      <c r="F233" s="65">
        <v>1.4329461973216953</v>
      </c>
      <c r="G233" s="50">
        <v>0.0</v>
      </c>
      <c r="H233" s="50">
        <v>0.0</v>
      </c>
      <c r="I233" s="50">
        <v>0.0</v>
      </c>
      <c r="J233" s="50">
        <v>0.0</v>
      </c>
      <c r="K233" s="50">
        <v>0.0</v>
      </c>
      <c r="L233" s="50">
        <v>0.0</v>
      </c>
      <c r="M233" s="50">
        <v>0.0</v>
      </c>
      <c r="N233" s="50">
        <v>0.0</v>
      </c>
      <c r="O233" s="50">
        <v>7.425000000000001</v>
      </c>
      <c r="P233" s="50">
        <v>0.0</v>
      </c>
      <c r="Q233" s="50">
        <v>0.0</v>
      </c>
      <c r="R233" s="50">
        <v>0.0</v>
      </c>
      <c r="S233" s="50">
        <v>0.0</v>
      </c>
      <c r="T233" s="50">
        <v>2.8125</v>
      </c>
      <c r="U233" s="50">
        <v>0.0</v>
      </c>
      <c r="V233" s="50">
        <v>5.625</v>
      </c>
      <c r="W233" s="50">
        <v>4.95</v>
      </c>
      <c r="X233" s="50">
        <v>2.8125</v>
      </c>
      <c r="Y233" s="50">
        <v>23.625</v>
      </c>
    </row>
    <row r="234">
      <c r="A234" s="26">
        <v>228.0</v>
      </c>
      <c r="B234" s="65">
        <v>-0.2854471658990243</v>
      </c>
      <c r="C234" s="65">
        <v>-0.08109488832510031</v>
      </c>
      <c r="D234" s="65">
        <v>0.9037611865453116</v>
      </c>
      <c r="E234" s="65">
        <v>0.976337867029477</v>
      </c>
      <c r="F234" s="65">
        <v>1.9649721561235105</v>
      </c>
      <c r="G234" s="50">
        <v>0.0</v>
      </c>
      <c r="H234" s="50">
        <v>0.0</v>
      </c>
      <c r="I234" s="50">
        <v>0.0</v>
      </c>
      <c r="J234" s="50">
        <v>0.0</v>
      </c>
      <c r="K234" s="50">
        <v>0.0</v>
      </c>
      <c r="L234" s="50">
        <v>0.0</v>
      </c>
      <c r="M234" s="50">
        <v>0.0</v>
      </c>
      <c r="N234" s="50">
        <v>0.0</v>
      </c>
      <c r="O234" s="50">
        <v>0.0</v>
      </c>
      <c r="P234" s="50">
        <v>0.0</v>
      </c>
      <c r="Q234" s="50">
        <v>0.0</v>
      </c>
      <c r="R234" s="50">
        <v>0.0</v>
      </c>
      <c r="S234" s="50">
        <v>0.0</v>
      </c>
      <c r="T234" s="50">
        <v>2.8125</v>
      </c>
      <c r="U234" s="50">
        <v>0.0</v>
      </c>
      <c r="V234" s="50">
        <v>0.0</v>
      </c>
      <c r="W234" s="50">
        <v>0.0</v>
      </c>
      <c r="X234" s="50">
        <v>2.8125</v>
      </c>
      <c r="Y234" s="50">
        <v>5.625</v>
      </c>
    </row>
    <row r="235">
      <c r="A235" s="26">
        <v>229.0</v>
      </c>
      <c r="B235" s="65">
        <v>1.6537639970948972</v>
      </c>
      <c r="C235" s="65">
        <v>1.6818669934056474</v>
      </c>
      <c r="D235" s="65">
        <v>1.7108557926200954</v>
      </c>
      <c r="E235" s="65">
        <v>-0.681124423671388</v>
      </c>
      <c r="F235" s="65">
        <v>1.9003788599962077</v>
      </c>
      <c r="G235" s="50">
        <v>0.0</v>
      </c>
      <c r="H235" s="50">
        <v>0.0</v>
      </c>
      <c r="I235" s="50">
        <v>0.0</v>
      </c>
      <c r="J235" s="50">
        <v>0.0</v>
      </c>
      <c r="K235" s="50">
        <v>0.0</v>
      </c>
      <c r="L235" s="50">
        <v>0.0</v>
      </c>
      <c r="M235" s="50">
        <v>0.0</v>
      </c>
      <c r="N235" s="50">
        <v>0.0</v>
      </c>
      <c r="O235" s="50">
        <v>0.0</v>
      </c>
      <c r="P235" s="50">
        <v>0.0</v>
      </c>
      <c r="Q235" s="50">
        <v>0.0</v>
      </c>
      <c r="R235" s="50">
        <v>0.0</v>
      </c>
      <c r="S235" s="50">
        <v>0.0</v>
      </c>
      <c r="T235" s="50">
        <v>2.8125</v>
      </c>
      <c r="U235" s="50">
        <v>0.0</v>
      </c>
      <c r="V235" s="50">
        <v>0.0</v>
      </c>
      <c r="W235" s="50">
        <v>0.0</v>
      </c>
      <c r="X235" s="50">
        <v>2.8125</v>
      </c>
      <c r="Y235" s="50">
        <v>5.625</v>
      </c>
    </row>
    <row r="236">
      <c r="A236" s="26">
        <v>230.0</v>
      </c>
      <c r="B236" s="65">
        <v>-1.3627304028454315</v>
      </c>
      <c r="C236" s="65">
        <v>0.7842480305292964</v>
      </c>
      <c r="D236" s="65">
        <v>-1.3344182321563787</v>
      </c>
      <c r="E236" s="65">
        <v>0.4349503181578357</v>
      </c>
      <c r="F236" s="65">
        <v>8.633422362069545</v>
      </c>
      <c r="G236" s="50">
        <v>0.0</v>
      </c>
      <c r="H236" s="50">
        <v>0.0</v>
      </c>
      <c r="I236" s="50">
        <v>0.0</v>
      </c>
      <c r="J236" s="50">
        <v>0.0</v>
      </c>
      <c r="K236" s="50">
        <v>0.0</v>
      </c>
      <c r="L236" s="50">
        <v>0.0</v>
      </c>
      <c r="M236" s="50">
        <v>0.0</v>
      </c>
      <c r="N236" s="50">
        <v>0.0</v>
      </c>
      <c r="O236" s="50">
        <v>0.0</v>
      </c>
      <c r="P236" s="50">
        <v>0.0</v>
      </c>
      <c r="Q236" s="50">
        <v>0.0</v>
      </c>
      <c r="R236" s="50">
        <v>0.0</v>
      </c>
      <c r="S236" s="50">
        <v>0.0</v>
      </c>
      <c r="T236" s="50">
        <v>2.8125</v>
      </c>
      <c r="U236" s="50">
        <v>0.0</v>
      </c>
      <c r="V236" s="50">
        <v>5.625</v>
      </c>
      <c r="W236" s="50">
        <v>0.0</v>
      </c>
      <c r="X236" s="50">
        <v>2.8125</v>
      </c>
      <c r="Y236" s="50">
        <v>11.25</v>
      </c>
    </row>
    <row r="237">
      <c r="A237" s="26">
        <v>231.0</v>
      </c>
      <c r="B237" s="65">
        <v>0.921379944582834</v>
      </c>
      <c r="C237" s="65">
        <v>0.699058980457513</v>
      </c>
      <c r="D237" s="65">
        <v>0.7786711895053718</v>
      </c>
      <c r="E237" s="65">
        <v>1.2494112177327192</v>
      </c>
      <c r="F237" s="65">
        <v>1.218035322110143</v>
      </c>
      <c r="G237" s="50">
        <v>0.0</v>
      </c>
      <c r="H237" s="50">
        <v>0.0</v>
      </c>
      <c r="I237" s="50">
        <v>0.0</v>
      </c>
      <c r="J237" s="50">
        <v>0.0</v>
      </c>
      <c r="K237" s="50">
        <v>0.0</v>
      </c>
      <c r="L237" s="50">
        <v>0.0</v>
      </c>
      <c r="M237" s="50">
        <v>0.0</v>
      </c>
      <c r="N237" s="50">
        <v>0.0</v>
      </c>
      <c r="O237" s="50">
        <v>0.0</v>
      </c>
      <c r="P237" s="50">
        <v>0.0</v>
      </c>
      <c r="Q237" s="50">
        <v>0.0</v>
      </c>
      <c r="R237" s="50">
        <v>0.0</v>
      </c>
      <c r="S237" s="50">
        <v>0.0</v>
      </c>
      <c r="T237" s="50">
        <v>2.8125</v>
      </c>
      <c r="U237" s="50">
        <v>0.0</v>
      </c>
      <c r="V237" s="50">
        <v>0.0</v>
      </c>
      <c r="W237" s="50">
        <v>0.0</v>
      </c>
      <c r="X237" s="50">
        <v>2.8125</v>
      </c>
      <c r="Y237" s="50">
        <v>5.625</v>
      </c>
    </row>
    <row r="238">
      <c r="A238" s="26">
        <v>232.0</v>
      </c>
      <c r="B238" s="65">
        <v>-1.333870422681616</v>
      </c>
      <c r="C238" s="65">
        <v>-0.9140335783829335</v>
      </c>
      <c r="D238" s="65">
        <v>0.41827540847018385</v>
      </c>
      <c r="E238" s="65">
        <v>1.1078200959605646</v>
      </c>
      <c r="F238" s="65">
        <v>4.581064146752436</v>
      </c>
      <c r="G238" s="50">
        <v>0.0</v>
      </c>
      <c r="H238" s="50">
        <v>0.0</v>
      </c>
      <c r="I238" s="50">
        <v>0.0</v>
      </c>
      <c r="J238" s="50">
        <v>0.0</v>
      </c>
      <c r="K238" s="50">
        <v>0.0</v>
      </c>
      <c r="L238" s="50">
        <v>0.0</v>
      </c>
      <c r="M238" s="50">
        <v>0.0</v>
      </c>
      <c r="N238" s="50">
        <v>0.0</v>
      </c>
      <c r="O238" s="50">
        <v>7.425000000000001</v>
      </c>
      <c r="P238" s="50">
        <v>0.0</v>
      </c>
      <c r="Q238" s="50">
        <v>0.0</v>
      </c>
      <c r="R238" s="50">
        <v>0.0</v>
      </c>
      <c r="S238" s="50">
        <v>0.0</v>
      </c>
      <c r="T238" s="50">
        <v>2.8125</v>
      </c>
      <c r="U238" s="50">
        <v>0.0</v>
      </c>
      <c r="V238" s="50">
        <v>0.0</v>
      </c>
      <c r="W238" s="50">
        <v>0.0</v>
      </c>
      <c r="X238" s="50">
        <v>2.8125</v>
      </c>
      <c r="Y238" s="50">
        <v>13.05</v>
      </c>
    </row>
    <row r="239">
      <c r="A239" s="26">
        <v>233.0</v>
      </c>
      <c r="B239" s="65">
        <v>1.4044245100114554</v>
      </c>
      <c r="C239" s="65">
        <v>0.8076010813545321</v>
      </c>
      <c r="D239" s="65">
        <v>1.464971488141326</v>
      </c>
      <c r="E239" s="65">
        <v>-0.46735084398725857</v>
      </c>
      <c r="F239" s="65">
        <v>3.3749919250165012</v>
      </c>
      <c r="G239" s="50">
        <v>0.0</v>
      </c>
      <c r="H239" s="50">
        <v>0.0</v>
      </c>
      <c r="I239" s="50">
        <v>0.0</v>
      </c>
      <c r="J239" s="50">
        <v>0.0</v>
      </c>
      <c r="K239" s="50">
        <v>0.0</v>
      </c>
      <c r="L239" s="50">
        <v>0.0</v>
      </c>
      <c r="M239" s="50">
        <v>0.0</v>
      </c>
      <c r="N239" s="50">
        <v>0.0</v>
      </c>
      <c r="O239" s="50">
        <v>0.0</v>
      </c>
      <c r="P239" s="50">
        <v>0.0</v>
      </c>
      <c r="Q239" s="50">
        <v>0.0</v>
      </c>
      <c r="R239" s="50">
        <v>0.0</v>
      </c>
      <c r="S239" s="50">
        <v>0.0</v>
      </c>
      <c r="T239" s="50">
        <v>2.8125</v>
      </c>
      <c r="U239" s="50">
        <v>0.0</v>
      </c>
      <c r="V239" s="50">
        <v>0.0</v>
      </c>
      <c r="W239" s="50">
        <v>0.0</v>
      </c>
      <c r="X239" s="50">
        <v>2.8125</v>
      </c>
      <c r="Y239" s="50">
        <v>5.625</v>
      </c>
    </row>
    <row r="240">
      <c r="A240" s="26">
        <v>234.0</v>
      </c>
      <c r="B240" s="65">
        <v>0.5497774000564889</v>
      </c>
      <c r="C240" s="65">
        <v>1.740847518991321</v>
      </c>
      <c r="D240" s="65">
        <v>-0.7408500016254428</v>
      </c>
      <c r="E240" s="65">
        <v>0.29738989865563664</v>
      </c>
      <c r="F240" s="65">
        <v>5.814045248888885</v>
      </c>
      <c r="G240" s="50">
        <v>0.0</v>
      </c>
      <c r="H240" s="50">
        <v>0.0</v>
      </c>
      <c r="I240" s="50">
        <v>0.0</v>
      </c>
      <c r="J240" s="50">
        <v>0.0</v>
      </c>
      <c r="K240" s="50">
        <v>0.0</v>
      </c>
      <c r="L240" s="50">
        <v>0.0</v>
      </c>
      <c r="M240" s="50">
        <v>0.0</v>
      </c>
      <c r="N240" s="50">
        <v>0.0</v>
      </c>
      <c r="O240" s="50">
        <v>0.0</v>
      </c>
      <c r="P240" s="50">
        <v>0.0</v>
      </c>
      <c r="Q240" s="50">
        <v>0.0</v>
      </c>
      <c r="R240" s="50">
        <v>0.0</v>
      </c>
      <c r="S240" s="50">
        <v>0.0</v>
      </c>
      <c r="T240" s="50">
        <v>2.8125</v>
      </c>
      <c r="U240" s="50">
        <v>0.0</v>
      </c>
      <c r="V240" s="50">
        <v>0.0</v>
      </c>
      <c r="W240" s="50">
        <v>0.0</v>
      </c>
      <c r="X240" s="50">
        <v>2.8125</v>
      </c>
      <c r="Y240" s="50">
        <v>5.625</v>
      </c>
    </row>
    <row r="241">
      <c r="A241" s="26">
        <v>235.0</v>
      </c>
      <c r="B241" s="65">
        <v>1.558590997106298</v>
      </c>
      <c r="C241" s="65">
        <v>-1.4520173163563264</v>
      </c>
      <c r="D241" s="65">
        <v>-0.9588490086059954</v>
      </c>
      <c r="E241" s="65">
        <v>0.8014726328082041</v>
      </c>
      <c r="F241" s="65">
        <v>2.888380261622649</v>
      </c>
      <c r="G241" s="50">
        <v>0.0</v>
      </c>
      <c r="H241" s="50">
        <v>0.0</v>
      </c>
      <c r="I241" s="50">
        <v>0.0</v>
      </c>
      <c r="J241" s="50">
        <v>0.0</v>
      </c>
      <c r="K241" s="50">
        <v>0.0</v>
      </c>
      <c r="L241" s="50">
        <v>0.0</v>
      </c>
      <c r="M241" s="50">
        <v>0.0</v>
      </c>
      <c r="N241" s="50">
        <v>0.0</v>
      </c>
      <c r="O241" s="50">
        <v>0.0</v>
      </c>
      <c r="P241" s="50">
        <v>0.0</v>
      </c>
      <c r="Q241" s="50">
        <v>0.0</v>
      </c>
      <c r="R241" s="50">
        <v>0.0</v>
      </c>
      <c r="S241" s="50">
        <v>0.0</v>
      </c>
      <c r="T241" s="50">
        <v>2.8125</v>
      </c>
      <c r="U241" s="50">
        <v>0.0</v>
      </c>
      <c r="V241" s="50">
        <v>0.0</v>
      </c>
      <c r="W241" s="50">
        <v>0.0</v>
      </c>
      <c r="X241" s="50">
        <v>0.0</v>
      </c>
      <c r="Y241" s="50">
        <v>2.8125</v>
      </c>
    </row>
    <row r="242">
      <c r="A242" s="26">
        <v>236.0</v>
      </c>
      <c r="B242" s="65">
        <v>0.1136501926734318</v>
      </c>
      <c r="C242" s="65">
        <v>0.5145957210675014</v>
      </c>
      <c r="D242" s="65">
        <v>0.2462989591220425</v>
      </c>
      <c r="E242" s="65">
        <v>1.7489238950843744</v>
      </c>
      <c r="F242" s="65">
        <v>5.105494252615924</v>
      </c>
      <c r="G242" s="50">
        <v>0.0</v>
      </c>
      <c r="H242" s="50">
        <v>0.0</v>
      </c>
      <c r="I242" s="50">
        <v>0.0</v>
      </c>
      <c r="J242" s="50">
        <v>0.0</v>
      </c>
      <c r="K242" s="50">
        <v>0.0</v>
      </c>
      <c r="L242" s="50">
        <v>0.0</v>
      </c>
      <c r="M242" s="50">
        <v>0.0</v>
      </c>
      <c r="N242" s="50">
        <v>0.0</v>
      </c>
      <c r="O242" s="50">
        <v>0.0</v>
      </c>
      <c r="P242" s="50">
        <v>0.0</v>
      </c>
      <c r="Q242" s="50">
        <v>0.0</v>
      </c>
      <c r="R242" s="50">
        <v>0.0</v>
      </c>
      <c r="S242" s="50">
        <v>0.0</v>
      </c>
      <c r="T242" s="50">
        <v>2.8125</v>
      </c>
      <c r="U242" s="50">
        <v>0.0</v>
      </c>
      <c r="V242" s="50">
        <v>0.0</v>
      </c>
      <c r="W242" s="50">
        <v>0.0</v>
      </c>
      <c r="X242" s="50">
        <v>2.8125</v>
      </c>
      <c r="Y242" s="50">
        <v>5.625</v>
      </c>
    </row>
    <row r="243">
      <c r="A243" s="26">
        <v>237.0</v>
      </c>
      <c r="B243" s="65">
        <v>-1.3034617273133335</v>
      </c>
      <c r="C243" s="65">
        <v>-1.3188444014077898</v>
      </c>
      <c r="D243" s="65">
        <v>0.9157112098914819</v>
      </c>
      <c r="E243" s="65">
        <v>-0.9917897156197802</v>
      </c>
      <c r="F243" s="65">
        <v>8.133602440086062</v>
      </c>
      <c r="G243" s="50">
        <v>0.0</v>
      </c>
      <c r="H243" s="50">
        <v>0.0</v>
      </c>
      <c r="I243" s="50">
        <v>0.0</v>
      </c>
      <c r="J243" s="50">
        <v>0.0</v>
      </c>
      <c r="K243" s="50">
        <v>0.0</v>
      </c>
      <c r="L243" s="50">
        <v>0.0</v>
      </c>
      <c r="M243" s="50">
        <v>0.0</v>
      </c>
      <c r="N243" s="50">
        <v>0.0</v>
      </c>
      <c r="O243" s="50">
        <v>7.425000000000001</v>
      </c>
      <c r="P243" s="50">
        <v>0.0</v>
      </c>
      <c r="Q243" s="50">
        <v>0.0</v>
      </c>
      <c r="R243" s="50">
        <v>0.0</v>
      </c>
      <c r="S243" s="50">
        <v>0.0</v>
      </c>
      <c r="T243" s="50">
        <v>2.8125</v>
      </c>
      <c r="U243" s="50">
        <v>0.0</v>
      </c>
      <c r="V243" s="50">
        <v>5.625</v>
      </c>
      <c r="W243" s="50">
        <v>0.0</v>
      </c>
      <c r="X243" s="50">
        <v>2.8125</v>
      </c>
      <c r="Y243" s="50">
        <v>18.675</v>
      </c>
    </row>
    <row r="244">
      <c r="A244" s="26">
        <v>238.0</v>
      </c>
      <c r="B244" s="65">
        <v>-0.3960812126595495</v>
      </c>
      <c r="C244" s="65">
        <v>1.9699024542908716</v>
      </c>
      <c r="D244" s="65">
        <v>-0.5207146707339967</v>
      </c>
      <c r="E244" s="65">
        <v>-0.5948567794501809</v>
      </c>
      <c r="F244" s="65">
        <v>2.6358085986250526</v>
      </c>
      <c r="G244" s="50">
        <v>0.0</v>
      </c>
      <c r="H244" s="50">
        <v>0.0</v>
      </c>
      <c r="I244" s="50">
        <v>0.0</v>
      </c>
      <c r="J244" s="50">
        <v>0.0</v>
      </c>
      <c r="K244" s="50">
        <v>0.0</v>
      </c>
      <c r="L244" s="50">
        <v>0.0</v>
      </c>
      <c r="M244" s="50">
        <v>0.0</v>
      </c>
      <c r="N244" s="50">
        <v>0.0</v>
      </c>
      <c r="O244" s="50">
        <v>0.0</v>
      </c>
      <c r="P244" s="50">
        <v>0.0</v>
      </c>
      <c r="Q244" s="50">
        <v>0.0</v>
      </c>
      <c r="R244" s="50">
        <v>0.0</v>
      </c>
      <c r="S244" s="50">
        <v>0.0</v>
      </c>
      <c r="T244" s="50">
        <v>2.8125</v>
      </c>
      <c r="U244" s="50">
        <v>0.0</v>
      </c>
      <c r="V244" s="50">
        <v>0.0</v>
      </c>
      <c r="W244" s="50">
        <v>0.0</v>
      </c>
      <c r="X244" s="50">
        <v>2.8125</v>
      </c>
      <c r="Y244" s="50">
        <v>5.625</v>
      </c>
    </row>
    <row r="245">
      <c r="A245" s="26">
        <v>239.0</v>
      </c>
      <c r="B245" s="65">
        <v>0.33881480551650794</v>
      </c>
      <c r="C245" s="65">
        <v>1.6788755490633918</v>
      </c>
      <c r="D245" s="65">
        <v>-1.419997250464666</v>
      </c>
      <c r="E245" s="65">
        <v>-0.7477045914917797</v>
      </c>
      <c r="F245" s="65">
        <v>11.47603230662358</v>
      </c>
      <c r="G245" s="50">
        <v>0.0</v>
      </c>
      <c r="H245" s="50">
        <v>0.0</v>
      </c>
      <c r="I245" s="50">
        <v>0.0</v>
      </c>
      <c r="J245" s="50">
        <v>0.0</v>
      </c>
      <c r="K245" s="50">
        <v>0.0</v>
      </c>
      <c r="L245" s="50">
        <v>0.0</v>
      </c>
      <c r="M245" s="50">
        <v>0.0</v>
      </c>
      <c r="N245" s="50">
        <v>0.0</v>
      </c>
      <c r="O245" s="50">
        <v>0.0</v>
      </c>
      <c r="P245" s="50">
        <v>0.0</v>
      </c>
      <c r="Q245" s="50">
        <v>0.0</v>
      </c>
      <c r="R245" s="50">
        <v>0.0</v>
      </c>
      <c r="S245" s="50">
        <v>0.0</v>
      </c>
      <c r="T245" s="50">
        <v>2.8125</v>
      </c>
      <c r="U245" s="50">
        <v>0.0</v>
      </c>
      <c r="V245" s="50">
        <v>0.0</v>
      </c>
      <c r="W245" s="50">
        <v>0.0</v>
      </c>
      <c r="X245" s="50">
        <v>2.8125</v>
      </c>
      <c r="Y245" s="50">
        <v>5.625</v>
      </c>
    </row>
    <row r="246">
      <c r="A246" s="26">
        <v>240.0</v>
      </c>
      <c r="B246" s="65">
        <v>0.11474986941263957</v>
      </c>
      <c r="C246" s="65">
        <v>-0.003353953769093433</v>
      </c>
      <c r="D246" s="65">
        <v>-0.28206280084776914</v>
      </c>
      <c r="E246" s="65">
        <v>-0.18646872289731958</v>
      </c>
      <c r="F246" s="65">
        <v>7.086236633806207</v>
      </c>
      <c r="G246" s="50">
        <v>0.0</v>
      </c>
      <c r="H246" s="50">
        <v>0.0</v>
      </c>
      <c r="I246" s="50">
        <v>0.0</v>
      </c>
      <c r="J246" s="50">
        <v>0.0</v>
      </c>
      <c r="K246" s="50">
        <v>0.0</v>
      </c>
      <c r="L246" s="50">
        <v>0.0</v>
      </c>
      <c r="M246" s="50">
        <v>0.0</v>
      </c>
      <c r="N246" s="50">
        <v>0.0</v>
      </c>
      <c r="O246" s="50">
        <v>0.0</v>
      </c>
      <c r="P246" s="50">
        <v>0.0</v>
      </c>
      <c r="Q246" s="50">
        <v>0.0</v>
      </c>
      <c r="R246" s="50">
        <v>0.0</v>
      </c>
      <c r="S246" s="50">
        <v>0.0</v>
      </c>
      <c r="T246" s="50">
        <v>2.8125</v>
      </c>
      <c r="U246" s="50">
        <v>0.0</v>
      </c>
      <c r="V246" s="50">
        <v>0.0</v>
      </c>
      <c r="W246" s="50">
        <v>0.0</v>
      </c>
      <c r="X246" s="50">
        <v>2.8125</v>
      </c>
      <c r="Y246" s="50">
        <v>5.625</v>
      </c>
    </row>
    <row r="247">
      <c r="A247" s="26">
        <v>241.0</v>
      </c>
      <c r="B247" s="65">
        <v>0.40320044973344554</v>
      </c>
      <c r="C247" s="65">
        <v>1.3061060047942643</v>
      </c>
      <c r="D247" s="65">
        <v>0.541487016302734</v>
      </c>
      <c r="E247" s="65">
        <v>0.6657488930142743</v>
      </c>
      <c r="F247" s="65">
        <v>3.9114558053303443</v>
      </c>
      <c r="G247" s="50">
        <v>0.0</v>
      </c>
      <c r="H247" s="50">
        <v>0.0</v>
      </c>
      <c r="I247" s="50">
        <v>0.0</v>
      </c>
      <c r="J247" s="50">
        <v>0.0</v>
      </c>
      <c r="K247" s="50">
        <v>0.0</v>
      </c>
      <c r="L247" s="50">
        <v>0.0</v>
      </c>
      <c r="M247" s="50">
        <v>0.0</v>
      </c>
      <c r="N247" s="50">
        <v>0.0</v>
      </c>
      <c r="O247" s="50">
        <v>0.0</v>
      </c>
      <c r="P247" s="50">
        <v>0.0</v>
      </c>
      <c r="Q247" s="50">
        <v>0.0</v>
      </c>
      <c r="R247" s="50">
        <v>0.0</v>
      </c>
      <c r="S247" s="50">
        <v>0.0</v>
      </c>
      <c r="T247" s="50">
        <v>2.8125</v>
      </c>
      <c r="U247" s="50">
        <v>0.0</v>
      </c>
      <c r="V247" s="50">
        <v>0.0</v>
      </c>
      <c r="W247" s="50">
        <v>0.0</v>
      </c>
      <c r="X247" s="50">
        <v>2.8125</v>
      </c>
      <c r="Y247" s="50">
        <v>5.625</v>
      </c>
    </row>
    <row r="248">
      <c r="A248" s="26">
        <v>242.0</v>
      </c>
      <c r="B248" s="65">
        <v>0.3175871143342104</v>
      </c>
      <c r="C248" s="65">
        <v>-0.8330219526283239</v>
      </c>
      <c r="D248" s="65">
        <v>-0.7852126543717428</v>
      </c>
      <c r="E248" s="65">
        <v>-2.1096271987592767</v>
      </c>
      <c r="F248" s="65">
        <v>10.085115291262241</v>
      </c>
      <c r="G248" s="50">
        <v>0.0</v>
      </c>
      <c r="H248" s="50">
        <v>0.0</v>
      </c>
      <c r="I248" s="50">
        <v>0.0</v>
      </c>
      <c r="J248" s="50">
        <v>0.0</v>
      </c>
      <c r="K248" s="50">
        <v>0.0</v>
      </c>
      <c r="L248" s="50">
        <v>0.0</v>
      </c>
      <c r="M248" s="50">
        <v>0.0</v>
      </c>
      <c r="N248" s="50">
        <v>0.0</v>
      </c>
      <c r="O248" s="50">
        <v>0.0</v>
      </c>
      <c r="P248" s="50">
        <v>0.0</v>
      </c>
      <c r="Q248" s="50">
        <v>0.0</v>
      </c>
      <c r="R248" s="50">
        <v>0.0</v>
      </c>
      <c r="S248" s="50">
        <v>0.0</v>
      </c>
      <c r="T248" s="50">
        <v>2.8125</v>
      </c>
      <c r="U248" s="50">
        <v>0.0</v>
      </c>
      <c r="V248" s="50">
        <v>0.0</v>
      </c>
      <c r="W248" s="50">
        <v>0.0</v>
      </c>
      <c r="X248" s="50">
        <v>2.8125</v>
      </c>
      <c r="Y248" s="50">
        <v>5.625</v>
      </c>
    </row>
    <row r="249">
      <c r="A249" s="26">
        <v>243.0</v>
      </c>
      <c r="B249" s="65">
        <v>0.6551498677853415</v>
      </c>
      <c r="C249" s="65">
        <v>-0.5239948642693066</v>
      </c>
      <c r="D249" s="65">
        <v>1.33570262351641</v>
      </c>
      <c r="E249" s="65">
        <v>-0.6460824895794314</v>
      </c>
      <c r="F249" s="65">
        <v>3.6612367470485414</v>
      </c>
      <c r="G249" s="50">
        <v>0.0</v>
      </c>
      <c r="H249" s="50">
        <v>0.0</v>
      </c>
      <c r="I249" s="50">
        <v>0.0</v>
      </c>
      <c r="J249" s="50">
        <v>0.0</v>
      </c>
      <c r="K249" s="50">
        <v>0.0</v>
      </c>
      <c r="L249" s="50">
        <v>0.0</v>
      </c>
      <c r="M249" s="50">
        <v>0.0</v>
      </c>
      <c r="N249" s="50">
        <v>0.0</v>
      </c>
      <c r="O249" s="50">
        <v>0.0</v>
      </c>
      <c r="P249" s="50">
        <v>0.0</v>
      </c>
      <c r="Q249" s="50">
        <v>0.0</v>
      </c>
      <c r="R249" s="50">
        <v>0.0</v>
      </c>
      <c r="S249" s="50">
        <v>0.0</v>
      </c>
      <c r="T249" s="50">
        <v>2.8125</v>
      </c>
      <c r="U249" s="50">
        <v>0.0</v>
      </c>
      <c r="V249" s="50">
        <v>0.0</v>
      </c>
      <c r="W249" s="50">
        <v>4.95</v>
      </c>
      <c r="X249" s="50">
        <v>2.8125</v>
      </c>
      <c r="Y249" s="50">
        <v>10.575</v>
      </c>
    </row>
    <row r="250">
      <c r="A250" s="26">
        <v>244.0</v>
      </c>
      <c r="B250" s="65">
        <v>-0.5380019888108297</v>
      </c>
      <c r="C250" s="65">
        <v>-0.34764822529664474</v>
      </c>
      <c r="D250" s="65">
        <v>1.7769501432937105</v>
      </c>
      <c r="E250" s="65">
        <v>0.6973599445209561</v>
      </c>
      <c r="F250" s="65">
        <v>5.3570957472662935</v>
      </c>
      <c r="G250" s="50">
        <v>0.0</v>
      </c>
      <c r="H250" s="50">
        <v>0.0</v>
      </c>
      <c r="I250" s="50">
        <v>0.0</v>
      </c>
      <c r="J250" s="50">
        <v>0.0</v>
      </c>
      <c r="K250" s="50">
        <v>0.0</v>
      </c>
      <c r="L250" s="50">
        <v>0.0</v>
      </c>
      <c r="M250" s="50">
        <v>0.0</v>
      </c>
      <c r="N250" s="50">
        <v>0.0</v>
      </c>
      <c r="O250" s="50">
        <v>0.0</v>
      </c>
      <c r="P250" s="50">
        <v>0.0</v>
      </c>
      <c r="Q250" s="50">
        <v>0.0</v>
      </c>
      <c r="R250" s="50">
        <v>0.0</v>
      </c>
      <c r="S250" s="50">
        <v>0.0</v>
      </c>
      <c r="T250" s="50">
        <v>2.8125</v>
      </c>
      <c r="U250" s="50">
        <v>0.0</v>
      </c>
      <c r="V250" s="50">
        <v>0.0</v>
      </c>
      <c r="W250" s="50">
        <v>4.95</v>
      </c>
      <c r="X250" s="50">
        <v>2.8125</v>
      </c>
      <c r="Y250" s="50">
        <v>10.575</v>
      </c>
    </row>
    <row r="251">
      <c r="A251" s="26">
        <v>245.0</v>
      </c>
      <c r="B251" s="65">
        <v>-0.578018727925703</v>
      </c>
      <c r="C251" s="65">
        <v>0.5625831100620826</v>
      </c>
      <c r="D251" s="65">
        <v>0.5415902455100434</v>
      </c>
      <c r="E251" s="65">
        <v>2.097359663884135</v>
      </c>
      <c r="F251" s="65">
        <v>3.673635537117065</v>
      </c>
      <c r="G251" s="50">
        <v>0.0</v>
      </c>
      <c r="H251" s="50">
        <v>0.0</v>
      </c>
      <c r="I251" s="50">
        <v>0.0</v>
      </c>
      <c r="J251" s="50">
        <v>0.0</v>
      </c>
      <c r="K251" s="50">
        <v>0.0</v>
      </c>
      <c r="L251" s="50">
        <v>0.0</v>
      </c>
      <c r="M251" s="50">
        <v>0.0</v>
      </c>
      <c r="N251" s="50">
        <v>0.0</v>
      </c>
      <c r="O251" s="50">
        <v>0.0</v>
      </c>
      <c r="P251" s="50">
        <v>2.475</v>
      </c>
      <c r="Q251" s="50">
        <v>0.0</v>
      </c>
      <c r="R251" s="50">
        <v>0.0</v>
      </c>
      <c r="S251" s="50">
        <v>0.0</v>
      </c>
      <c r="T251" s="50">
        <v>2.8125</v>
      </c>
      <c r="U251" s="50">
        <v>0.0</v>
      </c>
      <c r="V251" s="50">
        <v>0.0</v>
      </c>
      <c r="W251" s="50">
        <v>0.0</v>
      </c>
      <c r="X251" s="50">
        <v>2.8125</v>
      </c>
      <c r="Y251" s="50">
        <v>8.1</v>
      </c>
    </row>
    <row r="252">
      <c r="A252" s="26">
        <v>246.0</v>
      </c>
      <c r="B252" s="65">
        <v>0.9178247061076534</v>
      </c>
      <c r="C252" s="65">
        <v>-0.4865209454483907</v>
      </c>
      <c r="D252" s="65">
        <v>-0.3099727299231834</v>
      </c>
      <c r="E252" s="65">
        <v>0.22312508456880611</v>
      </c>
      <c r="F252" s="65">
        <v>2.769861581831226</v>
      </c>
      <c r="G252" s="50">
        <v>0.0</v>
      </c>
      <c r="H252" s="50">
        <v>0.0</v>
      </c>
      <c r="I252" s="50">
        <v>0.0</v>
      </c>
      <c r="J252" s="50">
        <v>0.0</v>
      </c>
      <c r="K252" s="50">
        <v>0.0</v>
      </c>
      <c r="L252" s="50">
        <v>0.0</v>
      </c>
      <c r="M252" s="50">
        <v>0.0</v>
      </c>
      <c r="N252" s="50">
        <v>0.0</v>
      </c>
      <c r="O252" s="50">
        <v>7.425000000000001</v>
      </c>
      <c r="P252" s="50">
        <v>0.0</v>
      </c>
      <c r="Q252" s="50">
        <v>0.0</v>
      </c>
      <c r="R252" s="50">
        <v>0.0</v>
      </c>
      <c r="S252" s="50">
        <v>0.0</v>
      </c>
      <c r="T252" s="50">
        <v>2.8125</v>
      </c>
      <c r="U252" s="50">
        <v>0.0</v>
      </c>
      <c r="V252" s="50">
        <v>0.0</v>
      </c>
      <c r="W252" s="50">
        <v>0.0</v>
      </c>
      <c r="X252" s="50">
        <v>2.8125</v>
      </c>
      <c r="Y252" s="50">
        <v>13.05</v>
      </c>
    </row>
    <row r="253">
      <c r="A253" s="26">
        <v>247.0</v>
      </c>
      <c r="B253" s="65">
        <v>0.4154796763593856</v>
      </c>
      <c r="C253" s="65">
        <v>0.22267754088846342</v>
      </c>
      <c r="D253" s="65">
        <v>-0.5820145737089673</v>
      </c>
      <c r="E253" s="65">
        <v>0.22520738275187727</v>
      </c>
      <c r="F253" s="65">
        <v>8.999103482877308</v>
      </c>
      <c r="G253" s="50">
        <v>0.0</v>
      </c>
      <c r="H253" s="50">
        <v>0.0</v>
      </c>
      <c r="I253" s="50">
        <v>0.0</v>
      </c>
      <c r="J253" s="50">
        <v>0.0</v>
      </c>
      <c r="K253" s="50">
        <v>0.0</v>
      </c>
      <c r="L253" s="50">
        <v>0.0</v>
      </c>
      <c r="M253" s="50">
        <v>0.0</v>
      </c>
      <c r="N253" s="50">
        <v>0.0</v>
      </c>
      <c r="O253" s="50">
        <v>0.0</v>
      </c>
      <c r="P253" s="50">
        <v>0.0</v>
      </c>
      <c r="Q253" s="50">
        <v>0.0</v>
      </c>
      <c r="R253" s="50">
        <v>0.0</v>
      </c>
      <c r="S253" s="50">
        <v>0.0</v>
      </c>
      <c r="T253" s="50">
        <v>2.8125</v>
      </c>
      <c r="U253" s="50">
        <v>0.0</v>
      </c>
      <c r="V253" s="50">
        <v>0.0</v>
      </c>
      <c r="W253" s="50">
        <v>0.0</v>
      </c>
      <c r="X253" s="50">
        <v>2.8125</v>
      </c>
      <c r="Y253" s="50">
        <v>5.625</v>
      </c>
    </row>
    <row r="254">
      <c r="A254" s="26">
        <v>248.0</v>
      </c>
      <c r="B254" s="65">
        <v>-0.23613871891100113</v>
      </c>
      <c r="C254" s="65">
        <v>-0.7369399409936933</v>
      </c>
      <c r="D254" s="65">
        <v>-0.9356066367444396</v>
      </c>
      <c r="E254" s="65">
        <v>1.7764245300516828</v>
      </c>
      <c r="F254" s="65">
        <v>7.4145606209161</v>
      </c>
      <c r="G254" s="50">
        <v>0.0</v>
      </c>
      <c r="H254" s="50">
        <v>0.0</v>
      </c>
      <c r="I254" s="50">
        <v>0.0</v>
      </c>
      <c r="J254" s="50">
        <v>0.0</v>
      </c>
      <c r="K254" s="50">
        <v>0.0</v>
      </c>
      <c r="L254" s="50">
        <v>0.0</v>
      </c>
      <c r="M254" s="50">
        <v>0.0</v>
      </c>
      <c r="N254" s="50">
        <v>0.0</v>
      </c>
      <c r="O254" s="50">
        <v>7.425000000000001</v>
      </c>
      <c r="P254" s="50">
        <v>0.0</v>
      </c>
      <c r="Q254" s="50">
        <v>0.0</v>
      </c>
      <c r="R254" s="50">
        <v>0.0</v>
      </c>
      <c r="S254" s="50">
        <v>0.0</v>
      </c>
      <c r="T254" s="50">
        <v>2.8125</v>
      </c>
      <c r="U254" s="50">
        <v>0.0</v>
      </c>
      <c r="V254" s="50">
        <v>0.0</v>
      </c>
      <c r="W254" s="50">
        <v>0.0</v>
      </c>
      <c r="X254" s="50">
        <v>2.8125</v>
      </c>
      <c r="Y254" s="50">
        <v>13.05</v>
      </c>
    </row>
    <row r="255">
      <c r="A255" s="26">
        <v>249.0</v>
      </c>
      <c r="B255" s="65">
        <v>-1.4695015180343414</v>
      </c>
      <c r="C255" s="65">
        <v>-0.9711970268423331</v>
      </c>
      <c r="D255" s="65">
        <v>-0.5386094179925865</v>
      </c>
      <c r="E255" s="65">
        <v>0.5117408397250409</v>
      </c>
      <c r="F255" s="65">
        <v>1.9285771343600164</v>
      </c>
      <c r="G255" s="50">
        <v>0.0</v>
      </c>
      <c r="H255" s="50">
        <v>0.0</v>
      </c>
      <c r="I255" s="50">
        <v>0.0</v>
      </c>
      <c r="J255" s="50">
        <v>0.0</v>
      </c>
      <c r="K255" s="50">
        <v>0.0</v>
      </c>
      <c r="L255" s="50">
        <v>0.0</v>
      </c>
      <c r="M255" s="50">
        <v>0.0</v>
      </c>
      <c r="N255" s="50">
        <v>0.0</v>
      </c>
      <c r="O255" s="50">
        <v>0.0</v>
      </c>
      <c r="P255" s="50">
        <v>2.475</v>
      </c>
      <c r="Q255" s="50">
        <v>0.0</v>
      </c>
      <c r="R255" s="50">
        <v>9.9</v>
      </c>
      <c r="S255" s="50">
        <v>0.0</v>
      </c>
      <c r="T255" s="50">
        <v>2.8125</v>
      </c>
      <c r="U255" s="50">
        <v>0.0</v>
      </c>
      <c r="V255" s="50">
        <v>5.625</v>
      </c>
      <c r="W255" s="50">
        <v>0.0</v>
      </c>
      <c r="X255" s="50">
        <v>2.8125</v>
      </c>
      <c r="Y255" s="50">
        <v>23.625</v>
      </c>
    </row>
    <row r="256">
      <c r="A256" s="26">
        <v>250.0</v>
      </c>
      <c r="B256" s="65">
        <v>-0.9117063191857288</v>
      </c>
      <c r="C256" s="65">
        <v>0.9357465259695774</v>
      </c>
      <c r="D256" s="65">
        <v>0.23876650171623762</v>
      </c>
      <c r="E256" s="65">
        <v>0.7055872043231286</v>
      </c>
      <c r="F256" s="65">
        <v>2.4937543407334664</v>
      </c>
      <c r="G256" s="50">
        <v>0.0</v>
      </c>
      <c r="H256" s="50">
        <v>0.0</v>
      </c>
      <c r="I256" s="50">
        <v>0.0</v>
      </c>
      <c r="J256" s="50">
        <v>0.0</v>
      </c>
      <c r="K256" s="50">
        <v>0.0</v>
      </c>
      <c r="L256" s="50">
        <v>0.0</v>
      </c>
      <c r="M256" s="50">
        <v>0.0</v>
      </c>
      <c r="N256" s="50">
        <v>0.0</v>
      </c>
      <c r="O256" s="50">
        <v>0.0</v>
      </c>
      <c r="P256" s="50">
        <v>2.475</v>
      </c>
      <c r="Q256" s="50">
        <v>13.5</v>
      </c>
      <c r="R256" s="50">
        <v>0.0</v>
      </c>
      <c r="S256" s="50">
        <v>0.0</v>
      </c>
      <c r="T256" s="50">
        <v>2.8125</v>
      </c>
      <c r="U256" s="50">
        <v>0.0</v>
      </c>
      <c r="V256" s="50">
        <v>0.0</v>
      </c>
      <c r="W256" s="50">
        <v>4.95</v>
      </c>
      <c r="X256" s="50">
        <v>2.8125</v>
      </c>
      <c r="Y256" s="50">
        <v>26.55</v>
      </c>
    </row>
    <row r="257">
      <c r="A257" s="26">
        <v>251.0</v>
      </c>
      <c r="B257" s="65">
        <v>9.282918270522381E-4</v>
      </c>
      <c r="C257" s="65">
        <v>0.814202612676623</v>
      </c>
      <c r="D257" s="65">
        <v>0.6153280356381075</v>
      </c>
      <c r="E257" s="65">
        <v>-0.2284368027133782</v>
      </c>
      <c r="F257" s="65">
        <v>2.9119823664087665</v>
      </c>
      <c r="G257" s="50">
        <v>0.0</v>
      </c>
      <c r="H257" s="50">
        <v>0.0</v>
      </c>
      <c r="I257" s="50">
        <v>0.0</v>
      </c>
      <c r="J257" s="50">
        <v>0.0</v>
      </c>
      <c r="K257" s="50">
        <v>0.0</v>
      </c>
      <c r="L257" s="50">
        <v>0.0</v>
      </c>
      <c r="M257" s="50">
        <v>0.0</v>
      </c>
      <c r="N257" s="50">
        <v>0.0</v>
      </c>
      <c r="O257" s="50">
        <v>0.0</v>
      </c>
      <c r="P257" s="50">
        <v>0.0</v>
      </c>
      <c r="Q257" s="50">
        <v>0.0</v>
      </c>
      <c r="R257" s="50">
        <v>0.0</v>
      </c>
      <c r="S257" s="50">
        <v>0.0</v>
      </c>
      <c r="T257" s="50">
        <v>2.8125</v>
      </c>
      <c r="U257" s="50">
        <v>0.0</v>
      </c>
      <c r="V257" s="50">
        <v>0.0</v>
      </c>
      <c r="W257" s="50">
        <v>0.0</v>
      </c>
      <c r="X257" s="50">
        <v>2.8125</v>
      </c>
      <c r="Y257" s="50">
        <v>5.625</v>
      </c>
    </row>
    <row r="258">
      <c r="A258" s="26">
        <v>252.0</v>
      </c>
      <c r="B258" s="65">
        <v>0.8067676096939708</v>
      </c>
      <c r="C258" s="65">
        <v>0.01449743742985798</v>
      </c>
      <c r="D258" s="65">
        <v>1.0308640024511433</v>
      </c>
      <c r="E258" s="65">
        <v>-0.08691868324234912</v>
      </c>
      <c r="F258" s="65">
        <v>9.263546976875213</v>
      </c>
      <c r="G258" s="50">
        <v>0.0</v>
      </c>
      <c r="H258" s="50">
        <v>0.0</v>
      </c>
      <c r="I258" s="50">
        <v>0.0</v>
      </c>
      <c r="J258" s="50">
        <v>0.0</v>
      </c>
      <c r="K258" s="50">
        <v>0.0</v>
      </c>
      <c r="L258" s="50">
        <v>0.0</v>
      </c>
      <c r="M258" s="50">
        <v>0.0</v>
      </c>
      <c r="N258" s="50">
        <v>0.0</v>
      </c>
      <c r="O258" s="50">
        <v>0.0</v>
      </c>
      <c r="P258" s="50">
        <v>0.0</v>
      </c>
      <c r="Q258" s="50">
        <v>0.0</v>
      </c>
      <c r="R258" s="50">
        <v>0.0</v>
      </c>
      <c r="S258" s="50">
        <v>0.0</v>
      </c>
      <c r="T258" s="50">
        <v>2.8125</v>
      </c>
      <c r="U258" s="50">
        <v>0.0</v>
      </c>
      <c r="V258" s="50">
        <v>0.0</v>
      </c>
      <c r="W258" s="50">
        <v>0.0</v>
      </c>
      <c r="X258" s="50">
        <v>2.8125</v>
      </c>
      <c r="Y258" s="50">
        <v>5.625</v>
      </c>
    </row>
    <row r="259">
      <c r="A259" s="26">
        <v>253.0</v>
      </c>
      <c r="B259" s="65">
        <v>0.8675210832383565</v>
      </c>
      <c r="C259" s="65">
        <v>1.5394336482140676</v>
      </c>
      <c r="D259" s="65">
        <v>-0.6318009230839815</v>
      </c>
      <c r="E259" s="65">
        <v>1.510460446087652</v>
      </c>
      <c r="F259" s="65">
        <v>5.211810571394949</v>
      </c>
      <c r="G259" s="50">
        <v>0.0</v>
      </c>
      <c r="H259" s="50">
        <v>0.0</v>
      </c>
      <c r="I259" s="50">
        <v>0.0</v>
      </c>
      <c r="J259" s="50">
        <v>0.0</v>
      </c>
      <c r="K259" s="50">
        <v>0.0</v>
      </c>
      <c r="L259" s="50">
        <v>0.0</v>
      </c>
      <c r="M259" s="50">
        <v>0.0</v>
      </c>
      <c r="N259" s="50">
        <v>0.0</v>
      </c>
      <c r="O259" s="50">
        <v>0.0</v>
      </c>
      <c r="P259" s="50">
        <v>0.0</v>
      </c>
      <c r="Q259" s="50">
        <v>0.0</v>
      </c>
      <c r="R259" s="50">
        <v>0.0</v>
      </c>
      <c r="S259" s="50">
        <v>0.0</v>
      </c>
      <c r="T259" s="50">
        <v>2.8125</v>
      </c>
      <c r="U259" s="50">
        <v>0.0</v>
      </c>
      <c r="V259" s="50">
        <v>5.625</v>
      </c>
      <c r="W259" s="50">
        <v>0.0</v>
      </c>
      <c r="X259" s="50">
        <v>2.8125</v>
      </c>
      <c r="Y259" s="50">
        <v>11.25</v>
      </c>
    </row>
    <row r="260">
      <c r="A260" s="26">
        <v>254.0</v>
      </c>
      <c r="B260" s="65">
        <v>0.6254158994404402</v>
      </c>
      <c r="C260" s="65">
        <v>1.827561152946454</v>
      </c>
      <c r="D260" s="65">
        <v>-0.40831364193892183</v>
      </c>
      <c r="E260" s="65">
        <v>-0.10609954671129511</v>
      </c>
      <c r="F260" s="65">
        <v>5.551155930028205</v>
      </c>
      <c r="G260" s="50">
        <v>0.0</v>
      </c>
      <c r="H260" s="50">
        <v>0.0</v>
      </c>
      <c r="I260" s="50">
        <v>0.0</v>
      </c>
      <c r="J260" s="50">
        <v>0.0</v>
      </c>
      <c r="K260" s="50">
        <v>0.0</v>
      </c>
      <c r="L260" s="50">
        <v>0.0</v>
      </c>
      <c r="M260" s="50">
        <v>0.0</v>
      </c>
      <c r="N260" s="50">
        <v>0.0</v>
      </c>
      <c r="O260" s="50">
        <v>0.0</v>
      </c>
      <c r="P260" s="50">
        <v>0.0</v>
      </c>
      <c r="Q260" s="50">
        <v>0.0</v>
      </c>
      <c r="R260" s="50">
        <v>0.0</v>
      </c>
      <c r="S260" s="50">
        <v>0.0</v>
      </c>
      <c r="T260" s="50">
        <v>2.8125</v>
      </c>
      <c r="U260" s="50">
        <v>0.0</v>
      </c>
      <c r="V260" s="50">
        <v>0.0</v>
      </c>
      <c r="W260" s="50">
        <v>0.0</v>
      </c>
      <c r="X260" s="50">
        <v>2.8125</v>
      </c>
      <c r="Y260" s="50">
        <v>5.625</v>
      </c>
    </row>
    <row r="261">
      <c r="A261" s="26">
        <v>255.0</v>
      </c>
      <c r="B261" s="65">
        <v>1.663216299410268</v>
      </c>
      <c r="C261" s="65">
        <v>0.5918558721254931</v>
      </c>
      <c r="D261" s="65">
        <v>-1.832576525856447</v>
      </c>
      <c r="E261" s="65">
        <v>0.978733246400467</v>
      </c>
      <c r="F261" s="65">
        <v>4.2110587907781545</v>
      </c>
      <c r="G261" s="50">
        <v>0.0</v>
      </c>
      <c r="H261" s="50">
        <v>0.0</v>
      </c>
      <c r="I261" s="50">
        <v>0.0</v>
      </c>
      <c r="J261" s="50">
        <v>0.0</v>
      </c>
      <c r="K261" s="50">
        <v>0.0</v>
      </c>
      <c r="L261" s="50">
        <v>0.0</v>
      </c>
      <c r="M261" s="50">
        <v>0.0</v>
      </c>
      <c r="N261" s="50">
        <v>0.0</v>
      </c>
      <c r="O261" s="50">
        <v>0.0</v>
      </c>
      <c r="P261" s="50">
        <v>0.0</v>
      </c>
      <c r="Q261" s="50">
        <v>0.0</v>
      </c>
      <c r="R261" s="50">
        <v>0.0</v>
      </c>
      <c r="S261" s="50">
        <v>0.0</v>
      </c>
      <c r="T261" s="50">
        <v>2.8125</v>
      </c>
      <c r="U261" s="50">
        <v>0.0</v>
      </c>
      <c r="V261" s="50">
        <v>0.0</v>
      </c>
      <c r="W261" s="50">
        <v>0.0</v>
      </c>
      <c r="X261" s="50">
        <v>2.8125</v>
      </c>
      <c r="Y261" s="50">
        <v>5.625</v>
      </c>
    </row>
    <row r="262">
      <c r="A262" s="26">
        <v>256.0</v>
      </c>
      <c r="B262" s="65">
        <v>0.30049281910768344</v>
      </c>
      <c r="C262" s="65">
        <v>1.410126864684298</v>
      </c>
      <c r="D262" s="65">
        <v>0.9893034674810759</v>
      </c>
      <c r="E262" s="65">
        <v>-0.17330184102507054</v>
      </c>
      <c r="F262" s="65">
        <v>3.007909567226284</v>
      </c>
      <c r="G262" s="50">
        <v>0.0</v>
      </c>
      <c r="H262" s="50">
        <v>0.0</v>
      </c>
      <c r="I262" s="50">
        <v>0.0</v>
      </c>
      <c r="J262" s="50">
        <v>0.0</v>
      </c>
      <c r="K262" s="50">
        <v>0.0</v>
      </c>
      <c r="L262" s="50">
        <v>0.0</v>
      </c>
      <c r="M262" s="50">
        <v>0.0</v>
      </c>
      <c r="N262" s="50">
        <v>0.0</v>
      </c>
      <c r="O262" s="50">
        <v>0.0</v>
      </c>
      <c r="P262" s="50">
        <v>2.475</v>
      </c>
      <c r="Q262" s="50">
        <v>0.0</v>
      </c>
      <c r="R262" s="50">
        <v>0.0</v>
      </c>
      <c r="S262" s="50">
        <v>0.0</v>
      </c>
      <c r="T262" s="50">
        <v>2.8125</v>
      </c>
      <c r="U262" s="50">
        <v>0.0</v>
      </c>
      <c r="V262" s="50">
        <v>5.625</v>
      </c>
      <c r="W262" s="50">
        <v>0.0</v>
      </c>
      <c r="X262" s="50">
        <v>2.8125</v>
      </c>
      <c r="Y262" s="50">
        <v>13.725</v>
      </c>
    </row>
    <row r="263">
      <c r="A263" s="26">
        <v>257.0</v>
      </c>
      <c r="B263" s="65">
        <v>-1.2583531250849693</v>
      </c>
      <c r="C263" s="65">
        <v>0.3767315037057062</v>
      </c>
      <c r="D263" s="65">
        <v>0.8101374672679916</v>
      </c>
      <c r="E263" s="65">
        <v>0.8114911420271116</v>
      </c>
      <c r="F263" s="65">
        <v>9.01770513534371</v>
      </c>
      <c r="G263" s="50">
        <v>0.0</v>
      </c>
      <c r="H263" s="50">
        <v>0.0</v>
      </c>
      <c r="I263" s="50">
        <v>0.0</v>
      </c>
      <c r="J263" s="50">
        <v>0.0</v>
      </c>
      <c r="K263" s="50">
        <v>0.0</v>
      </c>
      <c r="L263" s="50">
        <v>0.0</v>
      </c>
      <c r="M263" s="50">
        <v>0.0</v>
      </c>
      <c r="N263" s="50">
        <v>0.0</v>
      </c>
      <c r="O263" s="50">
        <v>7.425000000000001</v>
      </c>
      <c r="P263" s="50">
        <v>0.0</v>
      </c>
      <c r="Q263" s="50">
        <v>0.0</v>
      </c>
      <c r="R263" s="50">
        <v>0.0</v>
      </c>
      <c r="S263" s="50">
        <v>0.0</v>
      </c>
      <c r="T263" s="50">
        <v>2.8125</v>
      </c>
      <c r="U263" s="50">
        <v>0.0</v>
      </c>
      <c r="V263" s="50">
        <v>5.625</v>
      </c>
      <c r="W263" s="50">
        <v>0.0</v>
      </c>
      <c r="X263" s="50">
        <v>2.8125</v>
      </c>
      <c r="Y263" s="50">
        <v>18.675</v>
      </c>
    </row>
    <row r="264">
      <c r="A264" s="26">
        <v>258.0</v>
      </c>
      <c r="B264" s="65">
        <v>0.04876753539620419</v>
      </c>
      <c r="C264" s="65">
        <v>0.8022905076216774</v>
      </c>
      <c r="D264" s="65">
        <v>0.6387032896261982</v>
      </c>
      <c r="E264" s="65">
        <v>1.1819816124072624</v>
      </c>
      <c r="F264" s="65">
        <v>13.892756239194416</v>
      </c>
      <c r="G264" s="50">
        <v>0.0</v>
      </c>
      <c r="H264" s="50">
        <v>0.0</v>
      </c>
      <c r="I264" s="50">
        <v>0.0</v>
      </c>
      <c r="J264" s="50">
        <v>0.0</v>
      </c>
      <c r="K264" s="50">
        <v>0.0</v>
      </c>
      <c r="L264" s="50">
        <v>0.0</v>
      </c>
      <c r="M264" s="50">
        <v>0.0</v>
      </c>
      <c r="N264" s="50">
        <v>0.0</v>
      </c>
      <c r="O264" s="50">
        <v>0.0</v>
      </c>
      <c r="P264" s="50">
        <v>0.0</v>
      </c>
      <c r="Q264" s="50">
        <v>0.0</v>
      </c>
      <c r="R264" s="50">
        <v>0.0</v>
      </c>
      <c r="S264" s="50">
        <v>0.0</v>
      </c>
      <c r="T264" s="50">
        <v>2.8125</v>
      </c>
      <c r="U264" s="50">
        <v>0.0</v>
      </c>
      <c r="V264" s="50">
        <v>0.0</v>
      </c>
      <c r="W264" s="50">
        <v>0.0</v>
      </c>
      <c r="X264" s="50">
        <v>2.8125</v>
      </c>
      <c r="Y264" s="50">
        <v>5.625</v>
      </c>
    </row>
    <row r="265">
      <c r="A265" s="26">
        <v>259.0</v>
      </c>
      <c r="B265" s="65">
        <v>2.192245120457135</v>
      </c>
      <c r="C265" s="65">
        <v>-0.33492732792155433</v>
      </c>
      <c r="D265" s="65">
        <v>0.8734830200273425</v>
      </c>
      <c r="E265" s="65">
        <v>-1.2023127720014621</v>
      </c>
      <c r="F265" s="65">
        <v>7.8479481668423645</v>
      </c>
      <c r="G265" s="50">
        <v>0.0</v>
      </c>
      <c r="H265" s="50">
        <v>0.0</v>
      </c>
      <c r="I265" s="50">
        <v>0.0</v>
      </c>
      <c r="J265" s="50">
        <v>0.0</v>
      </c>
      <c r="K265" s="50">
        <v>0.0</v>
      </c>
      <c r="L265" s="50">
        <v>0.0</v>
      </c>
      <c r="M265" s="50">
        <v>0.0</v>
      </c>
      <c r="N265" s="50">
        <v>0.0</v>
      </c>
      <c r="O265" s="50">
        <v>0.0</v>
      </c>
      <c r="P265" s="50">
        <v>0.0</v>
      </c>
      <c r="Q265" s="50">
        <v>0.0</v>
      </c>
      <c r="R265" s="50">
        <v>0.0</v>
      </c>
      <c r="S265" s="50">
        <v>0.0</v>
      </c>
      <c r="T265" s="50">
        <v>2.8125</v>
      </c>
      <c r="U265" s="50">
        <v>0.0</v>
      </c>
      <c r="V265" s="50">
        <v>0.0</v>
      </c>
      <c r="W265" s="50">
        <v>0.0</v>
      </c>
      <c r="X265" s="50">
        <v>2.8125</v>
      </c>
      <c r="Y265" s="50">
        <v>5.625</v>
      </c>
    </row>
    <row r="266">
      <c r="A266" s="26">
        <v>260.0</v>
      </c>
      <c r="B266" s="65">
        <v>0.41553932340174565</v>
      </c>
      <c r="C266" s="65">
        <v>-1.265550961878073</v>
      </c>
      <c r="D266" s="65">
        <v>1.0501298330494708</v>
      </c>
      <c r="E266" s="65">
        <v>1.3061202116386317</v>
      </c>
      <c r="F266" s="65">
        <v>1.1555513402393656</v>
      </c>
      <c r="G266" s="50">
        <v>0.0</v>
      </c>
      <c r="H266" s="50">
        <v>0.0</v>
      </c>
      <c r="I266" s="50">
        <v>0.0</v>
      </c>
      <c r="J266" s="50">
        <v>0.0</v>
      </c>
      <c r="K266" s="50">
        <v>0.0</v>
      </c>
      <c r="L266" s="50">
        <v>0.0</v>
      </c>
      <c r="M266" s="50">
        <v>0.0</v>
      </c>
      <c r="N266" s="50">
        <v>0.0</v>
      </c>
      <c r="O266" s="50">
        <v>0.0</v>
      </c>
      <c r="P266" s="50">
        <v>0.0</v>
      </c>
      <c r="Q266" s="50">
        <v>0.0</v>
      </c>
      <c r="R266" s="50">
        <v>0.0</v>
      </c>
      <c r="S266" s="50">
        <v>0.0</v>
      </c>
      <c r="T266" s="50">
        <v>2.8125</v>
      </c>
      <c r="U266" s="50">
        <v>0.0</v>
      </c>
      <c r="V266" s="50">
        <v>0.0</v>
      </c>
      <c r="W266" s="50">
        <v>0.0</v>
      </c>
      <c r="X266" s="50">
        <v>2.8125</v>
      </c>
      <c r="Y266" s="50">
        <v>5.625</v>
      </c>
    </row>
    <row r="267">
      <c r="A267" s="26">
        <v>261.0</v>
      </c>
      <c r="B267" s="65">
        <v>-1.4724626769691762</v>
      </c>
      <c r="C267" s="65">
        <v>1.0347905318524444</v>
      </c>
      <c r="D267" s="65">
        <v>-1.0944860230843831</v>
      </c>
      <c r="E267" s="65">
        <v>0.04070188017308354</v>
      </c>
      <c r="F267" s="65">
        <v>4.570599745029798</v>
      </c>
      <c r="G267" s="50">
        <v>0.0</v>
      </c>
      <c r="H267" s="50">
        <v>0.0</v>
      </c>
      <c r="I267" s="50">
        <v>0.0</v>
      </c>
      <c r="J267" s="50">
        <v>0.0</v>
      </c>
      <c r="K267" s="50">
        <v>0.0</v>
      </c>
      <c r="L267" s="50">
        <v>0.0</v>
      </c>
      <c r="M267" s="50">
        <v>0.0</v>
      </c>
      <c r="N267" s="50">
        <v>0.0</v>
      </c>
      <c r="O267" s="50">
        <v>7.425000000000001</v>
      </c>
      <c r="P267" s="50">
        <v>0.0</v>
      </c>
      <c r="Q267" s="50">
        <v>0.0</v>
      </c>
      <c r="R267" s="50">
        <v>9.9</v>
      </c>
      <c r="S267" s="50">
        <v>0.0</v>
      </c>
      <c r="T267" s="50">
        <v>2.8125</v>
      </c>
      <c r="U267" s="50">
        <v>0.0</v>
      </c>
      <c r="V267" s="50">
        <v>5.625</v>
      </c>
      <c r="W267" s="50">
        <v>4.95</v>
      </c>
      <c r="X267" s="50">
        <v>2.8125</v>
      </c>
      <c r="Y267" s="50">
        <v>33.525000000000006</v>
      </c>
    </row>
    <row r="268">
      <c r="A268" s="26">
        <v>262.0</v>
      </c>
      <c r="B268" s="65">
        <v>1.24216919030172</v>
      </c>
      <c r="C268" s="65">
        <v>1.5167628702786795</v>
      </c>
      <c r="D268" s="65">
        <v>0.3367186608523252</v>
      </c>
      <c r="E268" s="65">
        <v>0.3392897780263707</v>
      </c>
      <c r="F268" s="65">
        <v>9.627027806297878</v>
      </c>
      <c r="G268" s="50">
        <v>0.0</v>
      </c>
      <c r="H268" s="50">
        <v>0.0</v>
      </c>
      <c r="I268" s="50">
        <v>0.0</v>
      </c>
      <c r="J268" s="50">
        <v>0.0</v>
      </c>
      <c r="K268" s="50">
        <v>0.0</v>
      </c>
      <c r="L268" s="50">
        <v>0.0</v>
      </c>
      <c r="M268" s="50">
        <v>0.0</v>
      </c>
      <c r="N268" s="50">
        <v>0.0</v>
      </c>
      <c r="O268" s="50">
        <v>0.0</v>
      </c>
      <c r="P268" s="50">
        <v>0.0</v>
      </c>
      <c r="Q268" s="50">
        <v>0.0</v>
      </c>
      <c r="R268" s="50">
        <v>0.0</v>
      </c>
      <c r="S268" s="50">
        <v>0.0</v>
      </c>
      <c r="T268" s="50">
        <v>2.8125</v>
      </c>
      <c r="U268" s="50">
        <v>0.0</v>
      </c>
      <c r="V268" s="50">
        <v>0.0</v>
      </c>
      <c r="W268" s="50">
        <v>0.0</v>
      </c>
      <c r="X268" s="50">
        <v>2.8125</v>
      </c>
      <c r="Y268" s="50">
        <v>5.625</v>
      </c>
    </row>
    <row r="269">
      <c r="A269" s="26">
        <v>263.0</v>
      </c>
      <c r="B269" s="65">
        <v>-0.18318992111774426</v>
      </c>
      <c r="C269" s="65">
        <v>0.3194124938077911</v>
      </c>
      <c r="D269" s="65">
        <v>-1.9115724542887524</v>
      </c>
      <c r="E269" s="65">
        <v>0.8609497871649947</v>
      </c>
      <c r="F269" s="65">
        <v>0.8963036718653631</v>
      </c>
      <c r="G269" s="50">
        <v>0.0</v>
      </c>
      <c r="H269" s="50">
        <v>0.0</v>
      </c>
      <c r="I269" s="50">
        <v>0.0</v>
      </c>
      <c r="J269" s="50">
        <v>0.0</v>
      </c>
      <c r="K269" s="50">
        <v>0.0</v>
      </c>
      <c r="L269" s="50">
        <v>0.0</v>
      </c>
      <c r="M269" s="50">
        <v>0.0</v>
      </c>
      <c r="N269" s="50">
        <v>0.0</v>
      </c>
      <c r="O269" s="50">
        <v>0.0</v>
      </c>
      <c r="P269" s="50">
        <v>2.475</v>
      </c>
      <c r="Q269" s="50">
        <v>0.0</v>
      </c>
      <c r="R269" s="50">
        <v>9.9</v>
      </c>
      <c r="S269" s="50">
        <v>11.25</v>
      </c>
      <c r="T269" s="50">
        <v>2.8125</v>
      </c>
      <c r="U269" s="50">
        <v>9.9</v>
      </c>
      <c r="V269" s="50">
        <v>0.0</v>
      </c>
      <c r="W269" s="50">
        <v>0.0</v>
      </c>
      <c r="X269" s="50">
        <v>2.8125</v>
      </c>
      <c r="Y269" s="50">
        <v>39.15</v>
      </c>
    </row>
    <row r="270">
      <c r="A270" s="26">
        <v>264.0</v>
      </c>
      <c r="B270" s="65">
        <v>-0.37716164573840993</v>
      </c>
      <c r="C270" s="65">
        <v>-0.5547629531276689</v>
      </c>
      <c r="D270" s="65">
        <v>-1.011626883561889</v>
      </c>
      <c r="E270" s="65">
        <v>0.5820834547047379</v>
      </c>
      <c r="F270" s="65">
        <v>6.350804712883929</v>
      </c>
      <c r="G270" s="50">
        <v>0.0</v>
      </c>
      <c r="H270" s="50">
        <v>0.0</v>
      </c>
      <c r="I270" s="50">
        <v>0.0</v>
      </c>
      <c r="J270" s="50">
        <v>0.0</v>
      </c>
      <c r="K270" s="50">
        <v>0.0</v>
      </c>
      <c r="L270" s="50">
        <v>0.0</v>
      </c>
      <c r="M270" s="50">
        <v>0.0</v>
      </c>
      <c r="N270" s="50">
        <v>0.0</v>
      </c>
      <c r="O270" s="50">
        <v>0.0</v>
      </c>
      <c r="P270" s="50">
        <v>0.0</v>
      </c>
      <c r="Q270" s="50">
        <v>0.0</v>
      </c>
      <c r="R270" s="50">
        <v>0.0</v>
      </c>
      <c r="S270" s="50">
        <v>0.0</v>
      </c>
      <c r="T270" s="50">
        <v>2.8125</v>
      </c>
      <c r="U270" s="50">
        <v>0.0</v>
      </c>
      <c r="V270" s="50">
        <v>0.0</v>
      </c>
      <c r="W270" s="50">
        <v>0.0</v>
      </c>
      <c r="X270" s="50">
        <v>2.8125</v>
      </c>
      <c r="Y270" s="50">
        <v>5.625</v>
      </c>
    </row>
    <row r="271">
      <c r="A271" s="26">
        <v>265.0</v>
      </c>
      <c r="B271" s="65">
        <v>-0.3768069568404234</v>
      </c>
      <c r="C271" s="65">
        <v>0.9638177136189541</v>
      </c>
      <c r="D271" s="65">
        <v>0.2844496763805492</v>
      </c>
      <c r="E271" s="65">
        <v>-0.15310863096012117</v>
      </c>
      <c r="F271" s="65">
        <v>2.34130132672204</v>
      </c>
      <c r="G271" s="50">
        <v>0.0</v>
      </c>
      <c r="H271" s="50">
        <v>0.0</v>
      </c>
      <c r="I271" s="50">
        <v>0.0</v>
      </c>
      <c r="J271" s="50">
        <v>0.0</v>
      </c>
      <c r="K271" s="50">
        <v>0.0</v>
      </c>
      <c r="L271" s="50">
        <v>0.0</v>
      </c>
      <c r="M271" s="50">
        <v>0.0</v>
      </c>
      <c r="N271" s="50">
        <v>0.0</v>
      </c>
      <c r="O271" s="50">
        <v>7.425000000000001</v>
      </c>
      <c r="P271" s="50">
        <v>0.0</v>
      </c>
      <c r="Q271" s="50">
        <v>0.0</v>
      </c>
      <c r="R271" s="50">
        <v>9.9</v>
      </c>
      <c r="S271" s="50">
        <v>0.0</v>
      </c>
      <c r="T271" s="50">
        <v>2.8125</v>
      </c>
      <c r="U271" s="50">
        <v>0.0</v>
      </c>
      <c r="V271" s="50">
        <v>5.625</v>
      </c>
      <c r="W271" s="50">
        <v>0.0</v>
      </c>
      <c r="X271" s="50">
        <v>2.8125</v>
      </c>
      <c r="Y271" s="50">
        <v>28.575000000000003</v>
      </c>
    </row>
    <row r="272">
      <c r="A272" s="26">
        <v>266.0</v>
      </c>
      <c r="B272" s="65">
        <v>-1.0489582224145642</v>
      </c>
      <c r="C272" s="65">
        <v>1.1413658642555489</v>
      </c>
      <c r="D272" s="65">
        <v>0.35282607315411607</v>
      </c>
      <c r="E272" s="65">
        <v>0.507183616291056</v>
      </c>
      <c r="F272" s="65">
        <v>3.6733010632005523</v>
      </c>
      <c r="G272" s="50">
        <v>0.0</v>
      </c>
      <c r="H272" s="50">
        <v>0.0</v>
      </c>
      <c r="I272" s="50">
        <v>0.0</v>
      </c>
      <c r="J272" s="50">
        <v>0.0</v>
      </c>
      <c r="K272" s="50">
        <v>0.0</v>
      </c>
      <c r="L272" s="50">
        <v>0.0</v>
      </c>
      <c r="M272" s="50">
        <v>0.0</v>
      </c>
      <c r="N272" s="50">
        <v>0.0</v>
      </c>
      <c r="O272" s="50">
        <v>0.0</v>
      </c>
      <c r="P272" s="50">
        <v>0.0</v>
      </c>
      <c r="Q272" s="50">
        <v>0.0</v>
      </c>
      <c r="R272" s="50">
        <v>0.0</v>
      </c>
      <c r="S272" s="50">
        <v>0.0</v>
      </c>
      <c r="T272" s="50">
        <v>2.8125</v>
      </c>
      <c r="U272" s="50">
        <v>0.0</v>
      </c>
      <c r="V272" s="50">
        <v>0.0</v>
      </c>
      <c r="W272" s="50">
        <v>0.0</v>
      </c>
      <c r="X272" s="50">
        <v>2.8125</v>
      </c>
      <c r="Y272" s="50">
        <v>5.625</v>
      </c>
    </row>
    <row r="273">
      <c r="A273" s="26">
        <v>267.0</v>
      </c>
      <c r="B273" s="65">
        <v>1.0185102255696188</v>
      </c>
      <c r="C273" s="65">
        <v>0.2757779774286723</v>
      </c>
      <c r="D273" s="65">
        <v>0.26837402366944013</v>
      </c>
      <c r="E273" s="65">
        <v>-0.18003542750612678</v>
      </c>
      <c r="F273" s="65">
        <v>8.12274702524245</v>
      </c>
      <c r="G273" s="50">
        <v>0.0</v>
      </c>
      <c r="H273" s="50">
        <v>0.0</v>
      </c>
      <c r="I273" s="50">
        <v>0.0</v>
      </c>
      <c r="J273" s="50">
        <v>0.0</v>
      </c>
      <c r="K273" s="50">
        <v>0.0</v>
      </c>
      <c r="L273" s="50">
        <v>0.0</v>
      </c>
      <c r="M273" s="50">
        <v>0.0</v>
      </c>
      <c r="N273" s="50">
        <v>0.0</v>
      </c>
      <c r="O273" s="50">
        <v>0.0</v>
      </c>
      <c r="P273" s="50">
        <v>0.0</v>
      </c>
      <c r="Q273" s="50">
        <v>0.0</v>
      </c>
      <c r="R273" s="50">
        <v>0.0</v>
      </c>
      <c r="S273" s="50">
        <v>0.0</v>
      </c>
      <c r="T273" s="50">
        <v>2.8125</v>
      </c>
      <c r="U273" s="50">
        <v>0.0</v>
      </c>
      <c r="V273" s="50">
        <v>0.0</v>
      </c>
      <c r="W273" s="50">
        <v>0.0</v>
      </c>
      <c r="X273" s="50">
        <v>2.8125</v>
      </c>
      <c r="Y273" s="50">
        <v>5.625</v>
      </c>
    </row>
    <row r="274">
      <c r="A274" s="26">
        <v>268.0</v>
      </c>
      <c r="B274" s="65">
        <v>-1.8848411210877496</v>
      </c>
      <c r="C274" s="65">
        <v>0.4604259907460364</v>
      </c>
      <c r="D274" s="65">
        <v>0.3500352505350139</v>
      </c>
      <c r="E274" s="65">
        <v>0.8864994785768853</v>
      </c>
      <c r="F274" s="65">
        <v>0.9787021916215006</v>
      </c>
      <c r="G274" s="50">
        <v>0.0</v>
      </c>
      <c r="H274" s="50">
        <v>0.0</v>
      </c>
      <c r="I274" s="50">
        <v>0.0</v>
      </c>
      <c r="J274" s="50">
        <v>0.0</v>
      </c>
      <c r="K274" s="50">
        <v>0.0</v>
      </c>
      <c r="L274" s="50">
        <v>0.0</v>
      </c>
      <c r="M274" s="50">
        <v>0.0</v>
      </c>
      <c r="N274" s="50">
        <v>0.0</v>
      </c>
      <c r="O274" s="50">
        <v>7.425000000000001</v>
      </c>
      <c r="P274" s="50">
        <v>0.0</v>
      </c>
      <c r="Q274" s="50">
        <v>0.0</v>
      </c>
      <c r="R274" s="50">
        <v>0.0</v>
      </c>
      <c r="S274" s="50">
        <v>11.25</v>
      </c>
      <c r="T274" s="50">
        <v>2.8125</v>
      </c>
      <c r="U274" s="50">
        <v>9.9</v>
      </c>
      <c r="V274" s="50">
        <v>0.0</v>
      </c>
      <c r="W274" s="50">
        <v>4.95</v>
      </c>
      <c r="X274" s="50">
        <v>2.8125</v>
      </c>
      <c r="Y274" s="50">
        <v>39.150000000000006</v>
      </c>
    </row>
    <row r="275">
      <c r="A275" s="26">
        <v>269.0</v>
      </c>
      <c r="B275" s="65">
        <v>1.5624305206606888</v>
      </c>
      <c r="C275" s="65">
        <v>-0.3101765381505456</v>
      </c>
      <c r="D275" s="65">
        <v>-1.4892355217049713</v>
      </c>
      <c r="E275" s="65">
        <v>-0.09573477488547472</v>
      </c>
      <c r="F275" s="65">
        <v>7.530604493343894</v>
      </c>
      <c r="G275" s="50">
        <v>0.0</v>
      </c>
      <c r="H275" s="50">
        <v>0.0</v>
      </c>
      <c r="I275" s="50">
        <v>0.0</v>
      </c>
      <c r="J275" s="50">
        <v>0.0</v>
      </c>
      <c r="K275" s="50">
        <v>0.0</v>
      </c>
      <c r="L275" s="50">
        <v>0.0</v>
      </c>
      <c r="M275" s="50">
        <v>0.0</v>
      </c>
      <c r="N275" s="50">
        <v>0.0</v>
      </c>
      <c r="O275" s="50">
        <v>0.0</v>
      </c>
      <c r="P275" s="50">
        <v>0.0</v>
      </c>
      <c r="Q275" s="50">
        <v>0.0</v>
      </c>
      <c r="R275" s="50">
        <v>0.0</v>
      </c>
      <c r="S275" s="50">
        <v>0.0</v>
      </c>
      <c r="T275" s="50">
        <v>2.8125</v>
      </c>
      <c r="U275" s="50">
        <v>0.0</v>
      </c>
      <c r="V275" s="50">
        <v>0.0</v>
      </c>
      <c r="W275" s="50">
        <v>0.0</v>
      </c>
      <c r="X275" s="50">
        <v>2.8125</v>
      </c>
      <c r="Y275" s="50">
        <v>5.625</v>
      </c>
    </row>
    <row r="276">
      <c r="A276" s="26">
        <v>270.0</v>
      </c>
      <c r="B276" s="65">
        <v>0.32125905808811617</v>
      </c>
      <c r="C276" s="65">
        <v>-0.13882840660487625</v>
      </c>
      <c r="D276" s="65">
        <v>-1.0993513258032772</v>
      </c>
      <c r="E276" s="65">
        <v>-0.081633571581326</v>
      </c>
      <c r="F276" s="65">
        <v>7.963038629278433</v>
      </c>
      <c r="G276" s="50">
        <v>0.0</v>
      </c>
      <c r="H276" s="50">
        <v>0.0</v>
      </c>
      <c r="I276" s="50">
        <v>0.0</v>
      </c>
      <c r="J276" s="50">
        <v>0.0</v>
      </c>
      <c r="K276" s="50">
        <v>0.0</v>
      </c>
      <c r="L276" s="50">
        <v>0.0</v>
      </c>
      <c r="M276" s="50">
        <v>0.0</v>
      </c>
      <c r="N276" s="50">
        <v>0.0</v>
      </c>
      <c r="O276" s="50">
        <v>0.0</v>
      </c>
      <c r="P276" s="50">
        <v>0.0</v>
      </c>
      <c r="Q276" s="50">
        <v>0.0</v>
      </c>
      <c r="R276" s="50">
        <v>0.0</v>
      </c>
      <c r="S276" s="50">
        <v>0.0</v>
      </c>
      <c r="T276" s="50">
        <v>2.8125</v>
      </c>
      <c r="U276" s="50">
        <v>0.0</v>
      </c>
      <c r="V276" s="50">
        <v>0.0</v>
      </c>
      <c r="W276" s="50">
        <v>0.0</v>
      </c>
      <c r="X276" s="50">
        <v>2.8125</v>
      </c>
      <c r="Y276" s="50">
        <v>5.625</v>
      </c>
    </row>
    <row r="277">
      <c r="A277" s="26">
        <v>271.0</v>
      </c>
      <c r="B277" s="65">
        <v>-1.538706929370729</v>
      </c>
      <c r="C277" s="65">
        <v>-0.8762810988980552</v>
      </c>
      <c r="D277" s="65">
        <v>-0.9361996743888856</v>
      </c>
      <c r="E277" s="65">
        <v>0.7273934655837674</v>
      </c>
      <c r="F277" s="65">
        <v>14.741968335177322</v>
      </c>
      <c r="G277" s="50">
        <v>0.0</v>
      </c>
      <c r="H277" s="50">
        <v>0.0</v>
      </c>
      <c r="I277" s="50">
        <v>0.0</v>
      </c>
      <c r="J277" s="50">
        <v>0.0</v>
      </c>
      <c r="K277" s="50">
        <v>0.0</v>
      </c>
      <c r="L277" s="50">
        <v>0.0</v>
      </c>
      <c r="M277" s="50">
        <v>0.0</v>
      </c>
      <c r="N277" s="50">
        <v>0.0</v>
      </c>
      <c r="O277" s="50">
        <v>0.0</v>
      </c>
      <c r="P277" s="50">
        <v>0.0</v>
      </c>
      <c r="Q277" s="50">
        <v>0.0</v>
      </c>
      <c r="R277" s="50">
        <v>0.0</v>
      </c>
      <c r="S277" s="50">
        <v>0.0</v>
      </c>
      <c r="T277" s="50">
        <v>2.8125</v>
      </c>
      <c r="U277" s="50">
        <v>0.0</v>
      </c>
      <c r="V277" s="50">
        <v>5.625</v>
      </c>
      <c r="W277" s="50">
        <v>0.0</v>
      </c>
      <c r="X277" s="50">
        <v>2.8125</v>
      </c>
      <c r="Y277" s="50">
        <v>11.25</v>
      </c>
    </row>
    <row r="278">
      <c r="A278" s="26">
        <v>272.0</v>
      </c>
      <c r="B278" s="65">
        <v>-1.7805076762200023</v>
      </c>
      <c r="C278" s="65">
        <v>-3.013156618288906</v>
      </c>
      <c r="D278" s="65">
        <v>-0.14306736585946705</v>
      </c>
      <c r="E278" s="65">
        <v>0.380145210107971</v>
      </c>
      <c r="F278" s="65">
        <v>4.606027214391922</v>
      </c>
      <c r="G278" s="50">
        <v>0.0</v>
      </c>
      <c r="H278" s="50">
        <v>0.0</v>
      </c>
      <c r="I278" s="50">
        <v>0.0</v>
      </c>
      <c r="J278" s="50">
        <v>0.0</v>
      </c>
      <c r="K278" s="50">
        <v>0.0</v>
      </c>
      <c r="L278" s="50">
        <v>0.0</v>
      </c>
      <c r="M278" s="50">
        <v>0.0</v>
      </c>
      <c r="N278" s="50">
        <v>0.0</v>
      </c>
      <c r="O278" s="50">
        <v>7.425000000000001</v>
      </c>
      <c r="P278" s="50">
        <v>0.0</v>
      </c>
      <c r="Q278" s="50">
        <v>0.0</v>
      </c>
      <c r="R278" s="50">
        <v>9.9</v>
      </c>
      <c r="S278" s="50">
        <v>0.0</v>
      </c>
      <c r="T278" s="50">
        <v>2.8125</v>
      </c>
      <c r="U278" s="50">
        <v>9.9</v>
      </c>
      <c r="V278" s="50">
        <v>5.625</v>
      </c>
      <c r="W278" s="50">
        <v>0.0</v>
      </c>
      <c r="X278" s="50">
        <v>2.8125</v>
      </c>
      <c r="Y278" s="50">
        <v>38.475</v>
      </c>
    </row>
    <row r="279">
      <c r="A279" s="26">
        <v>273.0</v>
      </c>
      <c r="B279" s="65">
        <v>0.6039332000572704</v>
      </c>
      <c r="C279" s="65">
        <v>1.184850104996852</v>
      </c>
      <c r="D279" s="65">
        <v>0.6876678078394698</v>
      </c>
      <c r="E279" s="65">
        <v>0.11233335762149971</v>
      </c>
      <c r="F279" s="65">
        <v>2.775438267473912</v>
      </c>
      <c r="G279" s="50">
        <v>0.0</v>
      </c>
      <c r="H279" s="50">
        <v>0.0</v>
      </c>
      <c r="I279" s="50">
        <v>0.0</v>
      </c>
      <c r="J279" s="50">
        <v>0.0</v>
      </c>
      <c r="K279" s="50">
        <v>0.0</v>
      </c>
      <c r="L279" s="50">
        <v>0.0</v>
      </c>
      <c r="M279" s="50">
        <v>0.0</v>
      </c>
      <c r="N279" s="50">
        <v>0.0</v>
      </c>
      <c r="O279" s="50">
        <v>0.0</v>
      </c>
      <c r="P279" s="50">
        <v>0.0</v>
      </c>
      <c r="Q279" s="50">
        <v>0.0</v>
      </c>
      <c r="R279" s="50">
        <v>0.0</v>
      </c>
      <c r="S279" s="50">
        <v>0.0</v>
      </c>
      <c r="T279" s="50">
        <v>2.8125</v>
      </c>
      <c r="U279" s="50">
        <v>0.0</v>
      </c>
      <c r="V279" s="50">
        <v>0.0</v>
      </c>
      <c r="W279" s="50">
        <v>0.0</v>
      </c>
      <c r="X279" s="50">
        <v>2.8125</v>
      </c>
      <c r="Y279" s="50">
        <v>5.625</v>
      </c>
    </row>
    <row r="280">
      <c r="A280" s="26">
        <v>274.0</v>
      </c>
      <c r="B280" s="65">
        <v>1.1075582478592725</v>
      </c>
      <c r="C280" s="65">
        <v>0.24167378918113067</v>
      </c>
      <c r="D280" s="65">
        <v>1.5750516141609618</v>
      </c>
      <c r="E280" s="65">
        <v>-2.3126594265665847</v>
      </c>
      <c r="F280" s="65">
        <v>4.170514927941597</v>
      </c>
      <c r="G280" s="50">
        <v>0.0</v>
      </c>
      <c r="H280" s="50">
        <v>0.0</v>
      </c>
      <c r="I280" s="50">
        <v>0.0</v>
      </c>
      <c r="J280" s="50">
        <v>0.0</v>
      </c>
      <c r="K280" s="50">
        <v>0.0</v>
      </c>
      <c r="L280" s="50">
        <v>0.0</v>
      </c>
      <c r="M280" s="50">
        <v>0.0</v>
      </c>
      <c r="N280" s="50">
        <v>0.0</v>
      </c>
      <c r="O280" s="50">
        <v>0.0</v>
      </c>
      <c r="P280" s="50">
        <v>0.0</v>
      </c>
      <c r="Q280" s="50">
        <v>0.0</v>
      </c>
      <c r="R280" s="50">
        <v>0.0</v>
      </c>
      <c r="S280" s="50">
        <v>0.0</v>
      </c>
      <c r="T280" s="50">
        <v>2.8125</v>
      </c>
      <c r="U280" s="50">
        <v>0.0</v>
      </c>
      <c r="V280" s="50">
        <v>0.0</v>
      </c>
      <c r="W280" s="50">
        <v>0.0</v>
      </c>
      <c r="X280" s="50">
        <v>2.8125</v>
      </c>
      <c r="Y280" s="50">
        <v>5.625</v>
      </c>
    </row>
    <row r="281">
      <c r="A281" s="26">
        <v>275.0</v>
      </c>
      <c r="B281" s="65">
        <v>-0.7703508789826513</v>
      </c>
      <c r="C281" s="65">
        <v>-0.45374287954435977</v>
      </c>
      <c r="D281" s="65">
        <v>0.7724899600405205</v>
      </c>
      <c r="E281" s="65">
        <v>-0.14897691163844803</v>
      </c>
      <c r="F281" s="65">
        <v>8.393007752735398</v>
      </c>
      <c r="G281" s="50">
        <v>0.0</v>
      </c>
      <c r="H281" s="50">
        <v>0.0</v>
      </c>
      <c r="I281" s="50">
        <v>0.0</v>
      </c>
      <c r="J281" s="50">
        <v>0.0</v>
      </c>
      <c r="K281" s="50">
        <v>0.0</v>
      </c>
      <c r="L281" s="50">
        <v>0.0</v>
      </c>
      <c r="M281" s="50">
        <v>0.0</v>
      </c>
      <c r="N281" s="50">
        <v>0.0</v>
      </c>
      <c r="O281" s="50">
        <v>0.0</v>
      </c>
      <c r="P281" s="50">
        <v>0.0</v>
      </c>
      <c r="Q281" s="50">
        <v>0.0</v>
      </c>
      <c r="R281" s="50">
        <v>0.0</v>
      </c>
      <c r="S281" s="50">
        <v>0.0</v>
      </c>
      <c r="T281" s="50">
        <v>2.8125</v>
      </c>
      <c r="U281" s="50">
        <v>0.0</v>
      </c>
      <c r="V281" s="50">
        <v>0.0</v>
      </c>
      <c r="W281" s="50">
        <v>0.0</v>
      </c>
      <c r="X281" s="50">
        <v>2.8125</v>
      </c>
      <c r="Y281" s="50">
        <v>5.625</v>
      </c>
    </row>
    <row r="282">
      <c r="A282" s="26">
        <v>276.0</v>
      </c>
      <c r="B282" s="65">
        <v>-1.1275530282205226</v>
      </c>
      <c r="C282" s="65">
        <v>0.08807073293829008</v>
      </c>
      <c r="D282" s="65">
        <v>1.205228479662709</v>
      </c>
      <c r="E282" s="65">
        <v>0.07155042792127458</v>
      </c>
      <c r="F282" s="65">
        <v>4.051330602315135</v>
      </c>
      <c r="G282" s="50">
        <v>0.0</v>
      </c>
      <c r="H282" s="50">
        <v>0.0</v>
      </c>
      <c r="I282" s="50">
        <v>0.0</v>
      </c>
      <c r="J282" s="50">
        <v>0.0</v>
      </c>
      <c r="K282" s="50">
        <v>0.0</v>
      </c>
      <c r="L282" s="50">
        <v>0.0</v>
      </c>
      <c r="M282" s="50">
        <v>0.0</v>
      </c>
      <c r="N282" s="50">
        <v>0.0</v>
      </c>
      <c r="O282" s="50">
        <v>0.0</v>
      </c>
      <c r="P282" s="50">
        <v>0.0</v>
      </c>
      <c r="Q282" s="50">
        <v>0.0</v>
      </c>
      <c r="R282" s="50">
        <v>0.0</v>
      </c>
      <c r="S282" s="50">
        <v>0.0</v>
      </c>
      <c r="T282" s="50">
        <v>2.8125</v>
      </c>
      <c r="U282" s="50">
        <v>0.0</v>
      </c>
      <c r="V282" s="50">
        <v>0.0</v>
      </c>
      <c r="W282" s="50">
        <v>4.95</v>
      </c>
      <c r="X282" s="50">
        <v>2.8125</v>
      </c>
      <c r="Y282" s="50">
        <v>10.575</v>
      </c>
    </row>
    <row r="283">
      <c r="A283" s="26">
        <v>277.0</v>
      </c>
      <c r="B283" s="65">
        <v>0.43219217825945044</v>
      </c>
      <c r="C283" s="65">
        <v>-0.27821568513527717</v>
      </c>
      <c r="D283" s="65">
        <v>1.404448673766953</v>
      </c>
      <c r="E283" s="65">
        <v>-0.8829467721069867</v>
      </c>
      <c r="F283" s="65">
        <v>0.6289670198965849</v>
      </c>
      <c r="G283" s="50">
        <v>0.0</v>
      </c>
      <c r="H283" s="50">
        <v>0.0</v>
      </c>
      <c r="I283" s="50">
        <v>0.0</v>
      </c>
      <c r="J283" s="50">
        <v>0.0</v>
      </c>
      <c r="K283" s="50">
        <v>0.0</v>
      </c>
      <c r="L283" s="50">
        <v>0.0</v>
      </c>
      <c r="M283" s="50">
        <v>0.0</v>
      </c>
      <c r="N283" s="50">
        <v>0.0</v>
      </c>
      <c r="O283" s="50">
        <v>0.0</v>
      </c>
      <c r="P283" s="50">
        <v>0.0</v>
      </c>
      <c r="Q283" s="50">
        <v>0.0</v>
      </c>
      <c r="R283" s="50">
        <v>0.0</v>
      </c>
      <c r="S283" s="50">
        <v>0.0</v>
      </c>
      <c r="T283" s="50">
        <v>2.8125</v>
      </c>
      <c r="U283" s="50">
        <v>0.0</v>
      </c>
      <c r="V283" s="50">
        <v>0.0</v>
      </c>
      <c r="W283" s="50">
        <v>0.0</v>
      </c>
      <c r="X283" s="50">
        <v>0.0</v>
      </c>
      <c r="Y283" s="50">
        <v>2.8125</v>
      </c>
    </row>
    <row r="284">
      <c r="A284" s="26">
        <v>278.0</v>
      </c>
      <c r="B284" s="65">
        <v>-0.8815518007209396</v>
      </c>
      <c r="C284" s="65">
        <v>0.12908233419601153</v>
      </c>
      <c r="D284" s="65">
        <v>-1.3572722037763594</v>
      </c>
      <c r="E284" s="65">
        <v>1.5170279824167243</v>
      </c>
      <c r="F284" s="65">
        <v>4.095774030590335</v>
      </c>
      <c r="G284" s="50">
        <v>0.0</v>
      </c>
      <c r="H284" s="50">
        <v>0.0</v>
      </c>
      <c r="I284" s="50">
        <v>0.0</v>
      </c>
      <c r="J284" s="50">
        <v>0.0</v>
      </c>
      <c r="K284" s="50">
        <v>0.0</v>
      </c>
      <c r="L284" s="50">
        <v>0.0</v>
      </c>
      <c r="M284" s="50">
        <v>0.0</v>
      </c>
      <c r="N284" s="50">
        <v>0.0</v>
      </c>
      <c r="O284" s="50">
        <v>0.0</v>
      </c>
      <c r="P284" s="50">
        <v>2.475</v>
      </c>
      <c r="Q284" s="50">
        <v>0.0</v>
      </c>
      <c r="R284" s="50">
        <v>0.0</v>
      </c>
      <c r="S284" s="50">
        <v>0.0</v>
      </c>
      <c r="T284" s="50">
        <v>2.8125</v>
      </c>
      <c r="U284" s="50">
        <v>0.0</v>
      </c>
      <c r="V284" s="50">
        <v>5.625</v>
      </c>
      <c r="W284" s="50">
        <v>0.0</v>
      </c>
      <c r="X284" s="50">
        <v>2.8125</v>
      </c>
      <c r="Y284" s="50">
        <v>13.725</v>
      </c>
    </row>
    <row r="285">
      <c r="A285" s="26">
        <v>279.0</v>
      </c>
      <c r="B285" s="65">
        <v>-1.1129252297271253</v>
      </c>
      <c r="C285" s="65">
        <v>-0.6463398652903238</v>
      </c>
      <c r="D285" s="65">
        <v>-0.7769553336424891</v>
      </c>
      <c r="E285" s="65">
        <v>-0.08671817618148757</v>
      </c>
      <c r="F285" s="65">
        <v>2.5787570738870316</v>
      </c>
      <c r="G285" s="50">
        <v>0.0</v>
      </c>
      <c r="H285" s="50">
        <v>0.0</v>
      </c>
      <c r="I285" s="50">
        <v>0.0</v>
      </c>
      <c r="J285" s="50">
        <v>0.0</v>
      </c>
      <c r="K285" s="50">
        <v>0.0</v>
      </c>
      <c r="L285" s="50">
        <v>0.0</v>
      </c>
      <c r="M285" s="50">
        <v>0.0</v>
      </c>
      <c r="N285" s="50">
        <v>0.0</v>
      </c>
      <c r="O285" s="50">
        <v>0.0</v>
      </c>
      <c r="P285" s="50">
        <v>2.475</v>
      </c>
      <c r="Q285" s="50">
        <v>0.0</v>
      </c>
      <c r="R285" s="50">
        <v>0.0</v>
      </c>
      <c r="S285" s="50">
        <v>0.0</v>
      </c>
      <c r="T285" s="50">
        <v>2.8125</v>
      </c>
      <c r="U285" s="50">
        <v>0.0</v>
      </c>
      <c r="V285" s="50">
        <v>5.625</v>
      </c>
      <c r="W285" s="50">
        <v>4.95</v>
      </c>
      <c r="X285" s="50">
        <v>2.8125</v>
      </c>
      <c r="Y285" s="50">
        <v>18.675</v>
      </c>
    </row>
    <row r="286">
      <c r="A286" s="26">
        <v>280.0</v>
      </c>
      <c r="B286" s="65">
        <v>-1.4806763770209286</v>
      </c>
      <c r="C286" s="65">
        <v>1.4483018227933766</v>
      </c>
      <c r="D286" s="65">
        <v>-1.8061372047006297</v>
      </c>
      <c r="E286" s="65">
        <v>0.43305712729166496</v>
      </c>
      <c r="F286" s="65">
        <v>1.4498751344493344</v>
      </c>
      <c r="G286" s="50">
        <v>0.0</v>
      </c>
      <c r="H286" s="50">
        <v>0.0</v>
      </c>
      <c r="I286" s="50">
        <v>0.0</v>
      </c>
      <c r="J286" s="50">
        <v>0.0</v>
      </c>
      <c r="K286" s="50">
        <v>0.0</v>
      </c>
      <c r="L286" s="50">
        <v>0.0</v>
      </c>
      <c r="M286" s="50">
        <v>0.0</v>
      </c>
      <c r="N286" s="50">
        <v>0.0</v>
      </c>
      <c r="O286" s="50">
        <v>7.425000000000001</v>
      </c>
      <c r="P286" s="50">
        <v>2.475</v>
      </c>
      <c r="Q286" s="50">
        <v>13.5</v>
      </c>
      <c r="R286" s="50">
        <v>9.9</v>
      </c>
      <c r="S286" s="50">
        <v>0.0</v>
      </c>
      <c r="T286" s="50">
        <v>2.8125</v>
      </c>
      <c r="U286" s="50">
        <v>9.9</v>
      </c>
      <c r="V286" s="50">
        <v>0.0</v>
      </c>
      <c r="W286" s="50">
        <v>4.95</v>
      </c>
      <c r="X286" s="50">
        <v>2.8125</v>
      </c>
      <c r="Y286" s="50">
        <v>53.775</v>
      </c>
    </row>
    <row r="287">
      <c r="A287" s="26">
        <v>281.0</v>
      </c>
      <c r="B287" s="65">
        <v>1.3252640081513347</v>
      </c>
      <c r="C287" s="65">
        <v>-1.1912428042789132</v>
      </c>
      <c r="D287" s="65">
        <v>0.037625083883424226</v>
      </c>
      <c r="E287" s="65">
        <v>0.4231795720285829</v>
      </c>
      <c r="F287" s="65">
        <v>3.648730369339076</v>
      </c>
      <c r="G287" s="50">
        <v>0.0</v>
      </c>
      <c r="H287" s="50">
        <v>0.0</v>
      </c>
      <c r="I287" s="50">
        <v>0.0</v>
      </c>
      <c r="J287" s="50">
        <v>0.0</v>
      </c>
      <c r="K287" s="50">
        <v>0.0</v>
      </c>
      <c r="L287" s="50">
        <v>0.0</v>
      </c>
      <c r="M287" s="50">
        <v>0.0</v>
      </c>
      <c r="N287" s="50">
        <v>0.0</v>
      </c>
      <c r="O287" s="50">
        <v>0.0</v>
      </c>
      <c r="P287" s="50">
        <v>0.0</v>
      </c>
      <c r="Q287" s="50">
        <v>0.0</v>
      </c>
      <c r="R287" s="50">
        <v>0.0</v>
      </c>
      <c r="S287" s="50">
        <v>0.0</v>
      </c>
      <c r="T287" s="50">
        <v>2.8125</v>
      </c>
      <c r="U287" s="50">
        <v>0.0</v>
      </c>
      <c r="V287" s="50">
        <v>0.0</v>
      </c>
      <c r="W287" s="50">
        <v>0.0</v>
      </c>
      <c r="X287" s="50">
        <v>2.8125</v>
      </c>
      <c r="Y287" s="50">
        <v>5.625</v>
      </c>
    </row>
    <row r="288">
      <c r="A288" s="26">
        <v>282.0</v>
      </c>
      <c r="B288" s="65">
        <v>-0.6939966117007992</v>
      </c>
      <c r="C288" s="65">
        <v>-0.19142200856851882</v>
      </c>
      <c r="D288" s="65">
        <v>1.137700879466935</v>
      </c>
      <c r="E288" s="65">
        <v>0.5364214943188149</v>
      </c>
      <c r="F288" s="65">
        <v>6.338942480313888</v>
      </c>
      <c r="G288" s="50">
        <v>0.0</v>
      </c>
      <c r="H288" s="50">
        <v>0.0</v>
      </c>
      <c r="I288" s="50">
        <v>0.0</v>
      </c>
      <c r="J288" s="50">
        <v>0.0</v>
      </c>
      <c r="K288" s="50">
        <v>0.0</v>
      </c>
      <c r="L288" s="50">
        <v>0.0</v>
      </c>
      <c r="M288" s="50">
        <v>0.0</v>
      </c>
      <c r="N288" s="50">
        <v>0.0</v>
      </c>
      <c r="O288" s="50">
        <v>0.0</v>
      </c>
      <c r="P288" s="50">
        <v>0.0</v>
      </c>
      <c r="Q288" s="50">
        <v>0.0</v>
      </c>
      <c r="R288" s="50">
        <v>0.0</v>
      </c>
      <c r="S288" s="50">
        <v>0.0</v>
      </c>
      <c r="T288" s="50">
        <v>2.8125</v>
      </c>
      <c r="U288" s="50">
        <v>0.0</v>
      </c>
      <c r="V288" s="50">
        <v>0.0</v>
      </c>
      <c r="W288" s="50">
        <v>0.0</v>
      </c>
      <c r="X288" s="50">
        <v>2.8125</v>
      </c>
      <c r="Y288" s="50">
        <v>5.625</v>
      </c>
    </row>
    <row r="289">
      <c r="A289" s="26">
        <v>283.0</v>
      </c>
      <c r="B289" s="65">
        <v>-0.4681233918571168</v>
      </c>
      <c r="C289" s="65">
        <v>0.06496152635975866</v>
      </c>
      <c r="D289" s="65">
        <v>-3.0135081098196586</v>
      </c>
      <c r="E289" s="65">
        <v>-0.49469644778229444</v>
      </c>
      <c r="F289" s="65">
        <v>6.137818190749764</v>
      </c>
      <c r="G289" s="50">
        <v>0.0</v>
      </c>
      <c r="H289" s="50">
        <v>0.0</v>
      </c>
      <c r="I289" s="50">
        <v>0.0</v>
      </c>
      <c r="J289" s="50">
        <v>0.0</v>
      </c>
      <c r="K289" s="50">
        <v>0.0</v>
      </c>
      <c r="L289" s="50">
        <v>0.0</v>
      </c>
      <c r="M289" s="50">
        <v>0.0</v>
      </c>
      <c r="N289" s="50">
        <v>0.0</v>
      </c>
      <c r="O289" s="50">
        <v>0.0</v>
      </c>
      <c r="P289" s="50">
        <v>0.0</v>
      </c>
      <c r="Q289" s="50">
        <v>0.0</v>
      </c>
      <c r="R289" s="50">
        <v>9.9</v>
      </c>
      <c r="S289" s="50">
        <v>0.0</v>
      </c>
      <c r="T289" s="50">
        <v>2.8125</v>
      </c>
      <c r="U289" s="50">
        <v>0.0</v>
      </c>
      <c r="V289" s="50">
        <v>0.0</v>
      </c>
      <c r="W289" s="50">
        <v>0.0</v>
      </c>
      <c r="X289" s="50">
        <v>2.8125</v>
      </c>
      <c r="Y289" s="50">
        <v>15.525</v>
      </c>
    </row>
    <row r="290">
      <c r="A290" s="26">
        <v>284.0</v>
      </c>
      <c r="B290" s="65">
        <v>1.2140256294174423</v>
      </c>
      <c r="C290" s="65">
        <v>-0.3558967140921623</v>
      </c>
      <c r="D290" s="65">
        <v>0.9513579031905653</v>
      </c>
      <c r="E290" s="65">
        <v>-0.476022664434012</v>
      </c>
      <c r="F290" s="65">
        <v>4.191900819247702</v>
      </c>
      <c r="G290" s="50">
        <v>0.0</v>
      </c>
      <c r="H290" s="50">
        <v>0.0</v>
      </c>
      <c r="I290" s="50">
        <v>0.0</v>
      </c>
      <c r="J290" s="50">
        <v>0.0</v>
      </c>
      <c r="K290" s="50">
        <v>0.0</v>
      </c>
      <c r="L290" s="50">
        <v>0.0</v>
      </c>
      <c r="M290" s="50">
        <v>0.0</v>
      </c>
      <c r="N290" s="50">
        <v>0.0</v>
      </c>
      <c r="O290" s="50">
        <v>0.0</v>
      </c>
      <c r="P290" s="50">
        <v>0.0</v>
      </c>
      <c r="Q290" s="50">
        <v>0.0</v>
      </c>
      <c r="R290" s="50">
        <v>0.0</v>
      </c>
      <c r="S290" s="50">
        <v>0.0</v>
      </c>
      <c r="T290" s="50">
        <v>2.8125</v>
      </c>
      <c r="U290" s="50">
        <v>0.0</v>
      </c>
      <c r="V290" s="50">
        <v>5.625</v>
      </c>
      <c r="W290" s="50">
        <v>0.0</v>
      </c>
      <c r="X290" s="50">
        <v>2.8125</v>
      </c>
      <c r="Y290" s="50">
        <v>11.25</v>
      </c>
    </row>
    <row r="291">
      <c r="A291" s="26">
        <v>285.0</v>
      </c>
      <c r="B291" s="65">
        <v>-2.2248284564861884</v>
      </c>
      <c r="C291" s="65">
        <v>-0.061436510483498005</v>
      </c>
      <c r="D291" s="65">
        <v>0.17013419315100778</v>
      </c>
      <c r="E291" s="65">
        <v>-3.496849330510999</v>
      </c>
      <c r="F291" s="65">
        <v>3.3946394802625783</v>
      </c>
      <c r="G291" s="50">
        <v>0.0</v>
      </c>
      <c r="H291" s="50">
        <v>0.0</v>
      </c>
      <c r="I291" s="50">
        <v>0.0</v>
      </c>
      <c r="J291" s="50">
        <v>0.0</v>
      </c>
      <c r="K291" s="50">
        <v>0.0</v>
      </c>
      <c r="L291" s="50">
        <v>0.0</v>
      </c>
      <c r="M291" s="50">
        <v>0.0</v>
      </c>
      <c r="N291" s="50">
        <v>0.0</v>
      </c>
      <c r="O291" s="50">
        <v>7.425000000000001</v>
      </c>
      <c r="P291" s="50">
        <v>2.475</v>
      </c>
      <c r="Q291" s="50">
        <v>0.0</v>
      </c>
      <c r="R291" s="50">
        <v>9.9</v>
      </c>
      <c r="S291" s="50">
        <v>0.0</v>
      </c>
      <c r="T291" s="50">
        <v>2.8125</v>
      </c>
      <c r="U291" s="50">
        <v>9.9</v>
      </c>
      <c r="V291" s="50">
        <v>5.625</v>
      </c>
      <c r="W291" s="50">
        <v>4.95</v>
      </c>
      <c r="X291" s="50">
        <v>2.8125</v>
      </c>
      <c r="Y291" s="50">
        <v>45.900000000000006</v>
      </c>
    </row>
    <row r="292">
      <c r="A292" s="26">
        <v>286.0</v>
      </c>
      <c r="B292" s="65">
        <v>1.322752372009721</v>
      </c>
      <c r="C292" s="65">
        <v>0.2842980099065588</v>
      </c>
      <c r="D292" s="65">
        <v>-0.24415257626681333</v>
      </c>
      <c r="E292" s="65">
        <v>-1.0375143190277414</v>
      </c>
      <c r="F292" s="65">
        <v>1.946153274739164</v>
      </c>
      <c r="G292" s="50">
        <v>0.0</v>
      </c>
      <c r="H292" s="50">
        <v>0.0</v>
      </c>
      <c r="I292" s="50">
        <v>0.0</v>
      </c>
      <c r="J292" s="50">
        <v>0.0</v>
      </c>
      <c r="K292" s="50">
        <v>0.0</v>
      </c>
      <c r="L292" s="50">
        <v>0.0</v>
      </c>
      <c r="M292" s="50">
        <v>0.0</v>
      </c>
      <c r="N292" s="50">
        <v>0.0</v>
      </c>
      <c r="O292" s="50">
        <v>0.0</v>
      </c>
      <c r="P292" s="50">
        <v>0.0</v>
      </c>
      <c r="Q292" s="50">
        <v>0.0</v>
      </c>
      <c r="R292" s="50">
        <v>9.9</v>
      </c>
      <c r="S292" s="50">
        <v>0.0</v>
      </c>
      <c r="T292" s="50">
        <v>2.8125</v>
      </c>
      <c r="U292" s="50">
        <v>0.0</v>
      </c>
      <c r="V292" s="50">
        <v>0.0</v>
      </c>
      <c r="W292" s="50">
        <v>0.0</v>
      </c>
      <c r="X292" s="50">
        <v>2.8125</v>
      </c>
      <c r="Y292" s="50">
        <v>15.525</v>
      </c>
    </row>
    <row r="293">
      <c r="A293" s="26">
        <v>287.0</v>
      </c>
      <c r="B293" s="65">
        <v>0.7547682117282487</v>
      </c>
      <c r="C293" s="65">
        <v>-0.7137902700349112</v>
      </c>
      <c r="D293" s="65">
        <v>0.5315503430485803</v>
      </c>
      <c r="E293" s="65">
        <v>0.9965675709358228</v>
      </c>
      <c r="F293" s="65">
        <v>5.086370056088126</v>
      </c>
      <c r="G293" s="50">
        <v>0.0</v>
      </c>
      <c r="H293" s="50">
        <v>0.0</v>
      </c>
      <c r="I293" s="50">
        <v>0.0</v>
      </c>
      <c r="J293" s="50">
        <v>0.0</v>
      </c>
      <c r="K293" s="50">
        <v>0.0</v>
      </c>
      <c r="L293" s="50">
        <v>0.0</v>
      </c>
      <c r="M293" s="50">
        <v>0.0</v>
      </c>
      <c r="N293" s="50">
        <v>0.0</v>
      </c>
      <c r="O293" s="50">
        <v>0.0</v>
      </c>
      <c r="P293" s="50">
        <v>0.0</v>
      </c>
      <c r="Q293" s="50">
        <v>0.0</v>
      </c>
      <c r="R293" s="50">
        <v>0.0</v>
      </c>
      <c r="S293" s="50">
        <v>0.0</v>
      </c>
      <c r="T293" s="50">
        <v>2.8125</v>
      </c>
      <c r="U293" s="50">
        <v>0.0</v>
      </c>
      <c r="V293" s="50">
        <v>0.0</v>
      </c>
      <c r="W293" s="50">
        <v>0.0</v>
      </c>
      <c r="X293" s="50">
        <v>2.8125</v>
      </c>
      <c r="Y293" s="50">
        <v>5.625</v>
      </c>
    </row>
    <row r="294">
      <c r="A294" s="26">
        <v>288.0</v>
      </c>
      <c r="B294" s="65">
        <v>-0.46070846868862236</v>
      </c>
      <c r="C294" s="65">
        <v>-0.2639048952234212</v>
      </c>
      <c r="D294" s="65">
        <v>-1.1893785394129415</v>
      </c>
      <c r="E294" s="65">
        <v>0.20244434864886116</v>
      </c>
      <c r="F294" s="65">
        <v>7.8843935005422745</v>
      </c>
      <c r="G294" s="50">
        <v>0.0</v>
      </c>
      <c r="H294" s="50">
        <v>0.0</v>
      </c>
      <c r="I294" s="50">
        <v>0.0</v>
      </c>
      <c r="J294" s="50">
        <v>0.0</v>
      </c>
      <c r="K294" s="50">
        <v>0.0</v>
      </c>
      <c r="L294" s="50">
        <v>0.0</v>
      </c>
      <c r="M294" s="50">
        <v>0.0</v>
      </c>
      <c r="N294" s="50">
        <v>0.0</v>
      </c>
      <c r="O294" s="50">
        <v>0.0</v>
      </c>
      <c r="P294" s="50">
        <v>0.0</v>
      </c>
      <c r="Q294" s="50">
        <v>0.0</v>
      </c>
      <c r="R294" s="50">
        <v>9.9</v>
      </c>
      <c r="S294" s="50">
        <v>0.0</v>
      </c>
      <c r="T294" s="50">
        <v>2.8125</v>
      </c>
      <c r="U294" s="50">
        <v>0.0</v>
      </c>
      <c r="V294" s="50">
        <v>5.625</v>
      </c>
      <c r="W294" s="50">
        <v>0.0</v>
      </c>
      <c r="X294" s="50">
        <v>2.8125</v>
      </c>
      <c r="Y294" s="50">
        <v>21.15</v>
      </c>
    </row>
    <row r="295">
      <c r="A295" s="26">
        <v>289.0</v>
      </c>
      <c r="B295" s="65">
        <v>0.4727228217894097</v>
      </c>
      <c r="C295" s="65">
        <v>0.30652010504311256</v>
      </c>
      <c r="D295" s="65">
        <v>0.5706758655088001</v>
      </c>
      <c r="E295" s="65">
        <v>1.3694670135058074</v>
      </c>
      <c r="F295" s="65">
        <v>7.857693238794682</v>
      </c>
      <c r="G295" s="50">
        <v>0.0</v>
      </c>
      <c r="H295" s="50">
        <v>0.0</v>
      </c>
      <c r="I295" s="50">
        <v>0.0</v>
      </c>
      <c r="J295" s="50">
        <v>0.0</v>
      </c>
      <c r="K295" s="50">
        <v>0.0</v>
      </c>
      <c r="L295" s="50">
        <v>0.0</v>
      </c>
      <c r="M295" s="50">
        <v>0.0</v>
      </c>
      <c r="N295" s="50">
        <v>0.0</v>
      </c>
      <c r="O295" s="50">
        <v>0.0</v>
      </c>
      <c r="P295" s="50">
        <v>0.0</v>
      </c>
      <c r="Q295" s="50">
        <v>0.0</v>
      </c>
      <c r="R295" s="50">
        <v>0.0</v>
      </c>
      <c r="S295" s="50">
        <v>0.0</v>
      </c>
      <c r="T295" s="50">
        <v>2.8125</v>
      </c>
      <c r="U295" s="50">
        <v>0.0</v>
      </c>
      <c r="V295" s="50">
        <v>0.0</v>
      </c>
      <c r="W295" s="50">
        <v>0.0</v>
      </c>
      <c r="X295" s="50">
        <v>2.8125</v>
      </c>
      <c r="Y295" s="50">
        <v>5.625</v>
      </c>
    </row>
    <row r="296">
      <c r="A296" s="26">
        <v>290.0</v>
      </c>
      <c r="B296" s="65">
        <v>0.40650333859187293</v>
      </c>
      <c r="C296" s="65">
        <v>0.2906522368582939</v>
      </c>
      <c r="D296" s="65">
        <v>0.4560750286955175</v>
      </c>
      <c r="E296" s="65">
        <v>0.07715771353679735</v>
      </c>
      <c r="F296" s="65">
        <v>6.322304538414146</v>
      </c>
      <c r="G296" s="50">
        <v>0.0</v>
      </c>
      <c r="H296" s="50">
        <v>0.0</v>
      </c>
      <c r="I296" s="50">
        <v>0.0</v>
      </c>
      <c r="J296" s="50">
        <v>0.0</v>
      </c>
      <c r="K296" s="50">
        <v>0.0</v>
      </c>
      <c r="L296" s="50">
        <v>0.0</v>
      </c>
      <c r="M296" s="50">
        <v>0.0</v>
      </c>
      <c r="N296" s="50">
        <v>0.0</v>
      </c>
      <c r="O296" s="50">
        <v>0.0</v>
      </c>
      <c r="P296" s="50">
        <v>0.0</v>
      </c>
      <c r="Q296" s="50">
        <v>0.0</v>
      </c>
      <c r="R296" s="50">
        <v>0.0</v>
      </c>
      <c r="S296" s="50">
        <v>0.0</v>
      </c>
      <c r="T296" s="50">
        <v>2.8125</v>
      </c>
      <c r="U296" s="50">
        <v>0.0</v>
      </c>
      <c r="V296" s="50">
        <v>0.0</v>
      </c>
      <c r="W296" s="50">
        <v>0.0</v>
      </c>
      <c r="X296" s="50">
        <v>2.8125</v>
      </c>
      <c r="Y296" s="50">
        <v>5.625</v>
      </c>
    </row>
    <row r="297">
      <c r="A297" s="26">
        <v>291.0</v>
      </c>
      <c r="B297" s="65">
        <v>1.5175693641022148</v>
      </c>
      <c r="C297" s="65">
        <v>-0.9884907275620592</v>
      </c>
      <c r="D297" s="65">
        <v>-0.6305823442731315</v>
      </c>
      <c r="E297" s="65">
        <v>-0.2604562610187201</v>
      </c>
      <c r="F297" s="65">
        <v>5.15869269353123</v>
      </c>
      <c r="G297" s="50">
        <v>0.0</v>
      </c>
      <c r="H297" s="50">
        <v>0.0</v>
      </c>
      <c r="I297" s="50">
        <v>0.0</v>
      </c>
      <c r="J297" s="50">
        <v>0.0</v>
      </c>
      <c r="K297" s="50">
        <v>0.0</v>
      </c>
      <c r="L297" s="50">
        <v>0.0</v>
      </c>
      <c r="M297" s="50">
        <v>0.0</v>
      </c>
      <c r="N297" s="50">
        <v>0.0</v>
      </c>
      <c r="O297" s="50">
        <v>0.0</v>
      </c>
      <c r="P297" s="50">
        <v>0.0</v>
      </c>
      <c r="Q297" s="50">
        <v>0.0</v>
      </c>
      <c r="R297" s="50">
        <v>0.0</v>
      </c>
      <c r="S297" s="50">
        <v>0.0</v>
      </c>
      <c r="T297" s="50">
        <v>2.8125</v>
      </c>
      <c r="U297" s="50">
        <v>0.0</v>
      </c>
      <c r="V297" s="50">
        <v>0.0</v>
      </c>
      <c r="W297" s="50">
        <v>0.0</v>
      </c>
      <c r="X297" s="50">
        <v>2.8125</v>
      </c>
      <c r="Y297" s="50">
        <v>5.625</v>
      </c>
    </row>
    <row r="298">
      <c r="A298" s="26">
        <v>292.0</v>
      </c>
      <c r="B298" s="65">
        <v>0.7420412295759851</v>
      </c>
      <c r="C298" s="65">
        <v>-0.2636842656689493</v>
      </c>
      <c r="D298" s="65">
        <v>1.1924312786267248</v>
      </c>
      <c r="E298" s="65">
        <v>-0.8580563676579673</v>
      </c>
      <c r="F298" s="65">
        <v>4.310751579854834</v>
      </c>
      <c r="G298" s="50">
        <v>0.0</v>
      </c>
      <c r="H298" s="50">
        <v>0.0</v>
      </c>
      <c r="I298" s="50">
        <v>0.0</v>
      </c>
      <c r="J298" s="50">
        <v>0.0</v>
      </c>
      <c r="K298" s="50">
        <v>0.0</v>
      </c>
      <c r="L298" s="50">
        <v>0.0</v>
      </c>
      <c r="M298" s="50">
        <v>0.0</v>
      </c>
      <c r="N298" s="50">
        <v>0.0</v>
      </c>
      <c r="O298" s="50">
        <v>0.0</v>
      </c>
      <c r="P298" s="50">
        <v>0.0</v>
      </c>
      <c r="Q298" s="50">
        <v>0.0</v>
      </c>
      <c r="R298" s="50">
        <v>0.0</v>
      </c>
      <c r="S298" s="50">
        <v>0.0</v>
      </c>
      <c r="T298" s="50">
        <v>2.8125</v>
      </c>
      <c r="U298" s="50">
        <v>0.0</v>
      </c>
      <c r="V298" s="50">
        <v>0.0</v>
      </c>
      <c r="W298" s="50">
        <v>0.0</v>
      </c>
      <c r="X298" s="50">
        <v>2.8125</v>
      </c>
      <c r="Y298" s="50">
        <v>5.625</v>
      </c>
    </row>
    <row r="299">
      <c r="A299" s="26">
        <v>293.0</v>
      </c>
      <c r="B299" s="65">
        <v>-0.5228307741108744</v>
      </c>
      <c r="C299" s="65">
        <v>-0.5546166475084601</v>
      </c>
      <c r="D299" s="65">
        <v>-1.1814900367612928</v>
      </c>
      <c r="E299" s="65">
        <v>1.1695400224539982</v>
      </c>
      <c r="F299" s="65">
        <v>2.545579019154354</v>
      </c>
      <c r="G299" s="50">
        <v>0.0</v>
      </c>
      <c r="H299" s="50">
        <v>0.0</v>
      </c>
      <c r="I299" s="50">
        <v>0.0</v>
      </c>
      <c r="J299" s="50">
        <v>0.0</v>
      </c>
      <c r="K299" s="50">
        <v>0.0</v>
      </c>
      <c r="L299" s="50">
        <v>0.0</v>
      </c>
      <c r="M299" s="50">
        <v>0.0</v>
      </c>
      <c r="N299" s="50">
        <v>0.0</v>
      </c>
      <c r="O299" s="50">
        <v>0.0</v>
      </c>
      <c r="P299" s="50">
        <v>2.475</v>
      </c>
      <c r="Q299" s="50">
        <v>0.0</v>
      </c>
      <c r="R299" s="50">
        <v>0.0</v>
      </c>
      <c r="S299" s="50">
        <v>0.0</v>
      </c>
      <c r="T299" s="50">
        <v>2.8125</v>
      </c>
      <c r="U299" s="50">
        <v>0.0</v>
      </c>
      <c r="V299" s="50">
        <v>5.625</v>
      </c>
      <c r="W299" s="50">
        <v>0.0</v>
      </c>
      <c r="X299" s="50">
        <v>2.8125</v>
      </c>
      <c r="Y299" s="50">
        <v>13.725</v>
      </c>
    </row>
    <row r="300">
      <c r="A300" s="26">
        <v>294.0</v>
      </c>
      <c r="B300" s="65">
        <v>0.5460026648501393</v>
      </c>
      <c r="C300" s="65">
        <v>0.004314926798897616</v>
      </c>
      <c r="D300" s="65">
        <v>-1.1647957694656128</v>
      </c>
      <c r="E300" s="65">
        <v>1.7277230972340123</v>
      </c>
      <c r="F300" s="65">
        <v>7.474597363101811</v>
      </c>
      <c r="G300" s="50">
        <v>0.0</v>
      </c>
      <c r="H300" s="50">
        <v>0.0</v>
      </c>
      <c r="I300" s="50">
        <v>0.0</v>
      </c>
      <c r="J300" s="50">
        <v>0.0</v>
      </c>
      <c r="K300" s="50">
        <v>0.0</v>
      </c>
      <c r="L300" s="50">
        <v>0.0</v>
      </c>
      <c r="M300" s="50">
        <v>0.0</v>
      </c>
      <c r="N300" s="50">
        <v>0.0</v>
      </c>
      <c r="O300" s="50">
        <v>0.0</v>
      </c>
      <c r="P300" s="50">
        <v>0.0</v>
      </c>
      <c r="Q300" s="50">
        <v>0.0</v>
      </c>
      <c r="R300" s="50">
        <v>0.0</v>
      </c>
      <c r="S300" s="50">
        <v>0.0</v>
      </c>
      <c r="T300" s="50">
        <v>2.8125</v>
      </c>
      <c r="U300" s="50">
        <v>0.0</v>
      </c>
      <c r="V300" s="50">
        <v>0.0</v>
      </c>
      <c r="W300" s="50">
        <v>0.0</v>
      </c>
      <c r="X300" s="50">
        <v>2.8125</v>
      </c>
      <c r="Y300" s="50">
        <v>5.625</v>
      </c>
    </row>
    <row r="301">
      <c r="A301" s="26">
        <v>295.0</v>
      </c>
      <c r="B301" s="65">
        <v>1.0453383574062587</v>
      </c>
      <c r="C301" s="65">
        <v>0.5975217940410849</v>
      </c>
      <c r="D301" s="65">
        <v>-0.6184191119916429</v>
      </c>
      <c r="E301" s="65">
        <v>0.3135257498359753</v>
      </c>
      <c r="F301" s="65">
        <v>4.90381606563159</v>
      </c>
      <c r="G301" s="50">
        <v>0.0</v>
      </c>
      <c r="H301" s="50">
        <v>0.0</v>
      </c>
      <c r="I301" s="50">
        <v>0.0</v>
      </c>
      <c r="J301" s="50">
        <v>0.0</v>
      </c>
      <c r="K301" s="50">
        <v>0.0</v>
      </c>
      <c r="L301" s="50">
        <v>0.0</v>
      </c>
      <c r="M301" s="50">
        <v>0.0</v>
      </c>
      <c r="N301" s="50">
        <v>0.0</v>
      </c>
      <c r="O301" s="50">
        <v>0.0</v>
      </c>
      <c r="P301" s="50">
        <v>0.0</v>
      </c>
      <c r="Q301" s="50">
        <v>0.0</v>
      </c>
      <c r="R301" s="50">
        <v>0.0</v>
      </c>
      <c r="S301" s="50">
        <v>0.0</v>
      </c>
      <c r="T301" s="50">
        <v>2.8125</v>
      </c>
      <c r="U301" s="50">
        <v>0.0</v>
      </c>
      <c r="V301" s="50">
        <v>0.0</v>
      </c>
      <c r="W301" s="50">
        <v>0.0</v>
      </c>
      <c r="X301" s="50">
        <v>2.8125</v>
      </c>
      <c r="Y301" s="50">
        <v>5.625</v>
      </c>
    </row>
    <row r="302">
      <c r="A302" s="26">
        <v>296.0</v>
      </c>
      <c r="B302" s="65">
        <v>-1.0639979766278913</v>
      </c>
      <c r="C302" s="65">
        <v>0.3475986670545683</v>
      </c>
      <c r="D302" s="65">
        <v>-0.24871838771808616</v>
      </c>
      <c r="E302" s="65">
        <v>1.0051488337622319</v>
      </c>
      <c r="F302" s="65">
        <v>2.116863308078844</v>
      </c>
      <c r="G302" s="50">
        <v>0.0</v>
      </c>
      <c r="H302" s="50">
        <v>0.0</v>
      </c>
      <c r="I302" s="50">
        <v>0.0</v>
      </c>
      <c r="J302" s="50">
        <v>0.0</v>
      </c>
      <c r="K302" s="50">
        <v>0.0</v>
      </c>
      <c r="L302" s="50">
        <v>0.0</v>
      </c>
      <c r="M302" s="50">
        <v>0.0</v>
      </c>
      <c r="N302" s="50">
        <v>0.0</v>
      </c>
      <c r="O302" s="50">
        <v>0.0</v>
      </c>
      <c r="P302" s="50">
        <v>2.475</v>
      </c>
      <c r="Q302" s="50">
        <v>0.0</v>
      </c>
      <c r="R302" s="50">
        <v>0.0</v>
      </c>
      <c r="S302" s="50">
        <v>0.0</v>
      </c>
      <c r="T302" s="50">
        <v>2.8125</v>
      </c>
      <c r="U302" s="50">
        <v>0.0</v>
      </c>
      <c r="V302" s="50">
        <v>0.0</v>
      </c>
      <c r="W302" s="50">
        <v>0.0</v>
      </c>
      <c r="X302" s="50">
        <v>2.8125</v>
      </c>
      <c r="Y302" s="50">
        <v>8.1</v>
      </c>
    </row>
    <row r="303">
      <c r="A303" s="26">
        <v>297.0</v>
      </c>
      <c r="B303" s="65">
        <v>0.73533694372977</v>
      </c>
      <c r="C303" s="65">
        <v>1.2417561774234742</v>
      </c>
      <c r="D303" s="65">
        <v>-0.31310839078141106</v>
      </c>
      <c r="E303" s="65">
        <v>0.9706785548387025</v>
      </c>
      <c r="F303" s="65">
        <v>2.9842909441180008</v>
      </c>
      <c r="G303" s="50">
        <v>0.0</v>
      </c>
      <c r="H303" s="50">
        <v>0.0</v>
      </c>
      <c r="I303" s="50">
        <v>0.0</v>
      </c>
      <c r="J303" s="50">
        <v>0.0</v>
      </c>
      <c r="K303" s="50">
        <v>0.0</v>
      </c>
      <c r="L303" s="50">
        <v>0.0</v>
      </c>
      <c r="M303" s="50">
        <v>0.0</v>
      </c>
      <c r="N303" s="50">
        <v>0.0</v>
      </c>
      <c r="O303" s="50">
        <v>0.0</v>
      </c>
      <c r="P303" s="50">
        <v>0.0</v>
      </c>
      <c r="Q303" s="50">
        <v>0.0</v>
      </c>
      <c r="R303" s="50">
        <v>0.0</v>
      </c>
      <c r="S303" s="50">
        <v>0.0</v>
      </c>
      <c r="T303" s="50">
        <v>2.8125</v>
      </c>
      <c r="U303" s="50">
        <v>0.0</v>
      </c>
      <c r="V303" s="50">
        <v>0.0</v>
      </c>
      <c r="W303" s="50">
        <v>0.0</v>
      </c>
      <c r="X303" s="50">
        <v>2.8125</v>
      </c>
      <c r="Y303" s="50">
        <v>5.625</v>
      </c>
    </row>
    <row r="304">
      <c r="A304" s="26">
        <v>298.0</v>
      </c>
      <c r="B304" s="65">
        <v>0.024140484509338013</v>
      </c>
      <c r="C304" s="65">
        <v>0.1413531688844733</v>
      </c>
      <c r="D304" s="65">
        <v>0.9257935860720702</v>
      </c>
      <c r="E304" s="65">
        <v>0.7620744762793723</v>
      </c>
      <c r="F304" s="65">
        <v>6.368151268165555</v>
      </c>
      <c r="G304" s="50">
        <v>0.0</v>
      </c>
      <c r="H304" s="50">
        <v>0.0</v>
      </c>
      <c r="I304" s="50">
        <v>0.0</v>
      </c>
      <c r="J304" s="50">
        <v>0.0</v>
      </c>
      <c r="K304" s="50">
        <v>0.0</v>
      </c>
      <c r="L304" s="50">
        <v>0.0</v>
      </c>
      <c r="M304" s="50">
        <v>0.0</v>
      </c>
      <c r="N304" s="50">
        <v>0.0</v>
      </c>
      <c r="O304" s="50">
        <v>7.425000000000001</v>
      </c>
      <c r="P304" s="50">
        <v>0.0</v>
      </c>
      <c r="Q304" s="50">
        <v>0.0</v>
      </c>
      <c r="R304" s="50">
        <v>0.0</v>
      </c>
      <c r="S304" s="50">
        <v>0.0</v>
      </c>
      <c r="T304" s="50">
        <v>2.8125</v>
      </c>
      <c r="U304" s="50">
        <v>0.0</v>
      </c>
      <c r="V304" s="50">
        <v>0.0</v>
      </c>
      <c r="W304" s="50">
        <v>0.0</v>
      </c>
      <c r="X304" s="50">
        <v>2.8125</v>
      </c>
      <c r="Y304" s="50">
        <v>13.05</v>
      </c>
    </row>
    <row r="305">
      <c r="A305" s="26">
        <v>299.0</v>
      </c>
      <c r="B305" s="65">
        <v>-0.3479090562250179</v>
      </c>
      <c r="C305" s="65">
        <v>0.04101044944702099</v>
      </c>
      <c r="D305" s="65">
        <v>1.089131838681936</v>
      </c>
      <c r="E305" s="65">
        <v>1.5511267664452109</v>
      </c>
      <c r="F305" s="65">
        <v>4.990126680855328</v>
      </c>
      <c r="G305" s="50">
        <v>0.0</v>
      </c>
      <c r="H305" s="50">
        <v>0.0</v>
      </c>
      <c r="I305" s="50">
        <v>0.0</v>
      </c>
      <c r="J305" s="50">
        <v>0.0</v>
      </c>
      <c r="K305" s="50">
        <v>0.0</v>
      </c>
      <c r="L305" s="50">
        <v>0.0</v>
      </c>
      <c r="M305" s="50">
        <v>0.0</v>
      </c>
      <c r="N305" s="50">
        <v>0.0</v>
      </c>
      <c r="O305" s="50">
        <v>0.0</v>
      </c>
      <c r="P305" s="50">
        <v>0.0</v>
      </c>
      <c r="Q305" s="50">
        <v>0.0</v>
      </c>
      <c r="R305" s="50">
        <v>0.0</v>
      </c>
      <c r="S305" s="50">
        <v>0.0</v>
      </c>
      <c r="T305" s="50">
        <v>2.8125</v>
      </c>
      <c r="U305" s="50">
        <v>0.0</v>
      </c>
      <c r="V305" s="50">
        <v>0.0</v>
      </c>
      <c r="W305" s="50">
        <v>0.0</v>
      </c>
      <c r="X305" s="50">
        <v>2.8125</v>
      </c>
      <c r="Y305" s="50">
        <v>5.625</v>
      </c>
    </row>
    <row r="306">
      <c r="A306" s="26">
        <v>300.0</v>
      </c>
      <c r="B306" s="65">
        <v>0.8470345676919946</v>
      </c>
      <c r="C306" s="65">
        <v>-1.1149618863532094</v>
      </c>
      <c r="D306" s="65">
        <v>0.0733673036223237</v>
      </c>
      <c r="E306" s="65">
        <v>0.5165057265530905</v>
      </c>
      <c r="F306" s="65">
        <v>3.066873249941156</v>
      </c>
      <c r="G306" s="50">
        <v>0.0</v>
      </c>
      <c r="H306" s="50">
        <v>0.0</v>
      </c>
      <c r="I306" s="50">
        <v>0.0</v>
      </c>
      <c r="J306" s="50">
        <v>0.0</v>
      </c>
      <c r="K306" s="50">
        <v>0.0</v>
      </c>
      <c r="L306" s="50">
        <v>0.0</v>
      </c>
      <c r="M306" s="50">
        <v>0.0</v>
      </c>
      <c r="N306" s="50">
        <v>0.0</v>
      </c>
      <c r="O306" s="50">
        <v>0.0</v>
      </c>
      <c r="P306" s="50">
        <v>0.0</v>
      </c>
      <c r="Q306" s="50">
        <v>0.0</v>
      </c>
      <c r="R306" s="50">
        <v>0.0</v>
      </c>
      <c r="S306" s="50">
        <v>0.0</v>
      </c>
      <c r="T306" s="50">
        <v>2.8125</v>
      </c>
      <c r="U306" s="50">
        <v>0.0</v>
      </c>
      <c r="V306" s="50">
        <v>0.0</v>
      </c>
      <c r="W306" s="50">
        <v>0.0</v>
      </c>
      <c r="X306" s="50">
        <v>2.8125</v>
      </c>
      <c r="Y306" s="50">
        <v>5.625</v>
      </c>
    </row>
    <row r="307">
      <c r="A307" s="26">
        <v>301.0</v>
      </c>
      <c r="B307" s="65">
        <v>0.44328268518123487</v>
      </c>
      <c r="C307" s="65">
        <v>-0.17045435705488315</v>
      </c>
      <c r="D307" s="65">
        <v>0.5052105257491334</v>
      </c>
      <c r="E307" s="65">
        <v>-0.8385026435072369</v>
      </c>
      <c r="F307" s="65">
        <v>9.279995937799246</v>
      </c>
      <c r="G307" s="50">
        <v>0.0</v>
      </c>
      <c r="H307" s="50">
        <v>0.0</v>
      </c>
      <c r="I307" s="50">
        <v>0.0</v>
      </c>
      <c r="J307" s="50">
        <v>0.0</v>
      </c>
      <c r="K307" s="50">
        <v>0.0</v>
      </c>
      <c r="L307" s="50">
        <v>0.0</v>
      </c>
      <c r="M307" s="50">
        <v>0.0</v>
      </c>
      <c r="N307" s="50">
        <v>0.0</v>
      </c>
      <c r="O307" s="50">
        <v>0.0</v>
      </c>
      <c r="P307" s="50">
        <v>0.0</v>
      </c>
      <c r="Q307" s="50">
        <v>0.0</v>
      </c>
      <c r="R307" s="50">
        <v>0.0</v>
      </c>
      <c r="S307" s="50">
        <v>0.0</v>
      </c>
      <c r="T307" s="50">
        <v>2.8125</v>
      </c>
      <c r="U307" s="50">
        <v>0.0</v>
      </c>
      <c r="V307" s="50">
        <v>0.0</v>
      </c>
      <c r="W307" s="50">
        <v>0.0</v>
      </c>
      <c r="X307" s="50">
        <v>2.8125</v>
      </c>
      <c r="Y307" s="50">
        <v>5.625</v>
      </c>
    </row>
    <row r="308">
      <c r="A308" s="26">
        <v>302.0</v>
      </c>
      <c r="B308" s="65">
        <v>0.03675470340858209</v>
      </c>
      <c r="C308" s="65">
        <v>-2.396903770437825</v>
      </c>
      <c r="D308" s="65">
        <v>0.1211865495966232</v>
      </c>
      <c r="E308" s="65">
        <v>0.832205739151912</v>
      </c>
      <c r="F308" s="65">
        <v>1.374164179167434</v>
      </c>
      <c r="G308" s="50">
        <v>0.0</v>
      </c>
      <c r="H308" s="50">
        <v>0.0</v>
      </c>
      <c r="I308" s="50">
        <v>0.0</v>
      </c>
      <c r="J308" s="50">
        <v>0.0</v>
      </c>
      <c r="K308" s="50">
        <v>0.0</v>
      </c>
      <c r="L308" s="50">
        <v>0.0</v>
      </c>
      <c r="M308" s="50">
        <v>0.0</v>
      </c>
      <c r="N308" s="50">
        <v>0.0</v>
      </c>
      <c r="O308" s="50">
        <v>7.425000000000001</v>
      </c>
      <c r="P308" s="50">
        <v>2.475</v>
      </c>
      <c r="Q308" s="50">
        <v>0.0</v>
      </c>
      <c r="R308" s="50">
        <v>0.0</v>
      </c>
      <c r="S308" s="50">
        <v>0.0</v>
      </c>
      <c r="T308" s="50">
        <v>2.8125</v>
      </c>
      <c r="U308" s="50">
        <v>0.0</v>
      </c>
      <c r="V308" s="50">
        <v>5.625</v>
      </c>
      <c r="W308" s="50">
        <v>0.0</v>
      </c>
      <c r="X308" s="50">
        <v>2.8125</v>
      </c>
      <c r="Y308" s="50">
        <v>21.15</v>
      </c>
    </row>
    <row r="309">
      <c r="A309" s="26">
        <v>303.0</v>
      </c>
      <c r="B309" s="65">
        <v>-0.8068431218714717</v>
      </c>
      <c r="C309" s="65">
        <v>-1.7599253011116818</v>
      </c>
      <c r="D309" s="65">
        <v>0.6469740138735085</v>
      </c>
      <c r="E309" s="65">
        <v>1.089964036860083</v>
      </c>
      <c r="F309" s="65">
        <v>4.910559873284137</v>
      </c>
      <c r="G309" s="50">
        <v>0.0</v>
      </c>
      <c r="H309" s="50">
        <v>0.0</v>
      </c>
      <c r="I309" s="50">
        <v>0.0</v>
      </c>
      <c r="J309" s="50">
        <v>0.0</v>
      </c>
      <c r="K309" s="50">
        <v>0.0</v>
      </c>
      <c r="L309" s="50">
        <v>0.0</v>
      </c>
      <c r="M309" s="50">
        <v>0.0</v>
      </c>
      <c r="N309" s="50">
        <v>0.0</v>
      </c>
      <c r="O309" s="50">
        <v>0.0</v>
      </c>
      <c r="P309" s="50">
        <v>0.0</v>
      </c>
      <c r="Q309" s="50">
        <v>0.0</v>
      </c>
      <c r="R309" s="50">
        <v>0.0</v>
      </c>
      <c r="S309" s="50">
        <v>0.0</v>
      </c>
      <c r="T309" s="50">
        <v>2.8125</v>
      </c>
      <c r="U309" s="50">
        <v>0.0</v>
      </c>
      <c r="V309" s="50">
        <v>0.0</v>
      </c>
      <c r="W309" s="50">
        <v>0.0</v>
      </c>
      <c r="X309" s="50">
        <v>2.8125</v>
      </c>
      <c r="Y309" s="50">
        <v>5.625</v>
      </c>
    </row>
    <row r="310">
      <c r="A310" s="26">
        <v>304.0</v>
      </c>
      <c r="B310" s="65">
        <v>-1.5564758381650674</v>
      </c>
      <c r="C310" s="65">
        <v>1.828996208626569</v>
      </c>
      <c r="D310" s="65">
        <v>-0.2377267554039929</v>
      </c>
      <c r="E310" s="65">
        <v>-1.2144984490272552</v>
      </c>
      <c r="F310" s="65">
        <v>7.904032766067519</v>
      </c>
      <c r="G310" s="50">
        <v>0.0</v>
      </c>
      <c r="H310" s="50">
        <v>0.0</v>
      </c>
      <c r="I310" s="50">
        <v>0.0</v>
      </c>
      <c r="J310" s="50">
        <v>0.0</v>
      </c>
      <c r="K310" s="50">
        <v>0.0</v>
      </c>
      <c r="L310" s="50">
        <v>0.0</v>
      </c>
      <c r="M310" s="50">
        <v>0.0</v>
      </c>
      <c r="N310" s="50">
        <v>0.0</v>
      </c>
      <c r="O310" s="50">
        <v>0.0</v>
      </c>
      <c r="P310" s="50">
        <v>0.0</v>
      </c>
      <c r="Q310" s="50">
        <v>0.0</v>
      </c>
      <c r="R310" s="50">
        <v>9.9</v>
      </c>
      <c r="S310" s="50">
        <v>0.0</v>
      </c>
      <c r="T310" s="50">
        <v>2.8125</v>
      </c>
      <c r="U310" s="50">
        <v>9.9</v>
      </c>
      <c r="V310" s="50">
        <v>5.625</v>
      </c>
      <c r="W310" s="50">
        <v>0.0</v>
      </c>
      <c r="X310" s="50">
        <v>2.8125</v>
      </c>
      <c r="Y310" s="50">
        <v>31.05</v>
      </c>
    </row>
    <row r="311">
      <c r="A311" s="26">
        <v>305.0</v>
      </c>
      <c r="B311" s="65">
        <v>-0.4452622168844047</v>
      </c>
      <c r="C311" s="65">
        <v>-1.7645297023978808</v>
      </c>
      <c r="D311" s="65">
        <v>0.41541212857620985</v>
      </c>
      <c r="E311" s="65">
        <v>-1.5889143165692727</v>
      </c>
      <c r="F311" s="65">
        <v>3.5075578654518216</v>
      </c>
      <c r="G311" s="50">
        <v>0.0</v>
      </c>
      <c r="H311" s="50">
        <v>0.0</v>
      </c>
      <c r="I311" s="50">
        <v>0.0</v>
      </c>
      <c r="J311" s="50">
        <v>0.0</v>
      </c>
      <c r="K311" s="50">
        <v>0.0</v>
      </c>
      <c r="L311" s="50">
        <v>0.0</v>
      </c>
      <c r="M311" s="50">
        <v>0.0</v>
      </c>
      <c r="N311" s="50">
        <v>0.0</v>
      </c>
      <c r="O311" s="50">
        <v>0.0</v>
      </c>
      <c r="P311" s="50">
        <v>0.0</v>
      </c>
      <c r="Q311" s="50">
        <v>0.0</v>
      </c>
      <c r="R311" s="50">
        <v>0.0</v>
      </c>
      <c r="S311" s="50">
        <v>0.0</v>
      </c>
      <c r="T311" s="50">
        <v>2.8125</v>
      </c>
      <c r="U311" s="50">
        <v>9.9</v>
      </c>
      <c r="V311" s="50">
        <v>5.625</v>
      </c>
      <c r="W311" s="50">
        <v>0.0</v>
      </c>
      <c r="X311" s="50">
        <v>2.8125</v>
      </c>
      <c r="Y311" s="50">
        <v>21.15</v>
      </c>
    </row>
    <row r="312">
      <c r="A312" s="26">
        <v>306.0</v>
      </c>
      <c r="B312" s="65">
        <v>0.6502429991288164</v>
      </c>
      <c r="C312" s="65">
        <v>-1.3192651602264052</v>
      </c>
      <c r="D312" s="65">
        <v>0.4816001101465066</v>
      </c>
      <c r="E312" s="65">
        <v>0.8369214299285249</v>
      </c>
      <c r="F312" s="65">
        <v>4.1181729504921085</v>
      </c>
      <c r="G312" s="50">
        <v>0.0</v>
      </c>
      <c r="H312" s="50">
        <v>0.0</v>
      </c>
      <c r="I312" s="50">
        <v>0.0</v>
      </c>
      <c r="J312" s="50">
        <v>0.0</v>
      </c>
      <c r="K312" s="50">
        <v>0.0</v>
      </c>
      <c r="L312" s="50">
        <v>0.0</v>
      </c>
      <c r="M312" s="50">
        <v>0.0</v>
      </c>
      <c r="N312" s="50">
        <v>0.0</v>
      </c>
      <c r="O312" s="50">
        <v>0.0</v>
      </c>
      <c r="P312" s="50">
        <v>0.0</v>
      </c>
      <c r="Q312" s="50">
        <v>0.0</v>
      </c>
      <c r="R312" s="50">
        <v>0.0</v>
      </c>
      <c r="S312" s="50">
        <v>0.0</v>
      </c>
      <c r="T312" s="50">
        <v>2.8125</v>
      </c>
      <c r="U312" s="50">
        <v>0.0</v>
      </c>
      <c r="V312" s="50">
        <v>0.0</v>
      </c>
      <c r="W312" s="50">
        <v>0.0</v>
      </c>
      <c r="X312" s="50">
        <v>2.8125</v>
      </c>
      <c r="Y312" s="50">
        <v>5.625</v>
      </c>
    </row>
    <row r="313">
      <c r="A313" s="26">
        <v>307.0</v>
      </c>
      <c r="B313" s="65">
        <v>-0.2765273150524356</v>
      </c>
      <c r="C313" s="65">
        <v>0.26995999733043186</v>
      </c>
      <c r="D313" s="65">
        <v>0.6514362239734784</v>
      </c>
      <c r="E313" s="65">
        <v>-0.5306874089315265</v>
      </c>
      <c r="F313" s="65">
        <v>4.535819597723921</v>
      </c>
      <c r="G313" s="50">
        <v>0.0</v>
      </c>
      <c r="H313" s="50">
        <v>0.0</v>
      </c>
      <c r="I313" s="50">
        <v>0.0</v>
      </c>
      <c r="J313" s="50">
        <v>0.0</v>
      </c>
      <c r="K313" s="50">
        <v>0.0</v>
      </c>
      <c r="L313" s="50">
        <v>0.0</v>
      </c>
      <c r="M313" s="50">
        <v>0.0</v>
      </c>
      <c r="N313" s="50">
        <v>0.0</v>
      </c>
      <c r="O313" s="50">
        <v>7.425000000000001</v>
      </c>
      <c r="P313" s="50">
        <v>0.0</v>
      </c>
      <c r="Q313" s="50">
        <v>0.0</v>
      </c>
      <c r="R313" s="50">
        <v>0.0</v>
      </c>
      <c r="S313" s="50">
        <v>0.0</v>
      </c>
      <c r="T313" s="50">
        <v>2.8125</v>
      </c>
      <c r="U313" s="50">
        <v>0.0</v>
      </c>
      <c r="V313" s="50">
        <v>5.625</v>
      </c>
      <c r="W313" s="50">
        <v>0.0</v>
      </c>
      <c r="X313" s="50">
        <v>2.8125</v>
      </c>
      <c r="Y313" s="50">
        <v>18.675</v>
      </c>
    </row>
    <row r="314">
      <c r="A314" s="26">
        <v>308.0</v>
      </c>
      <c r="B314" s="65">
        <v>0.9548598413678195</v>
      </c>
      <c r="C314" s="65">
        <v>-0.5017004736546516</v>
      </c>
      <c r="D314" s="65">
        <v>-2.3432155616072823</v>
      </c>
      <c r="E314" s="65">
        <v>0.11417202641258908</v>
      </c>
      <c r="F314" s="65">
        <v>1.3714524437908053</v>
      </c>
      <c r="G314" s="50">
        <v>0.0</v>
      </c>
      <c r="H314" s="50">
        <v>0.0</v>
      </c>
      <c r="I314" s="50">
        <v>0.0</v>
      </c>
      <c r="J314" s="50">
        <v>0.0</v>
      </c>
      <c r="K314" s="50">
        <v>0.0</v>
      </c>
      <c r="L314" s="50">
        <v>0.0</v>
      </c>
      <c r="M314" s="50">
        <v>0.0</v>
      </c>
      <c r="N314" s="50">
        <v>0.0</v>
      </c>
      <c r="O314" s="50">
        <v>0.0</v>
      </c>
      <c r="P314" s="50">
        <v>2.475</v>
      </c>
      <c r="Q314" s="50">
        <v>0.0</v>
      </c>
      <c r="R314" s="50">
        <v>0.0</v>
      </c>
      <c r="S314" s="50">
        <v>0.0</v>
      </c>
      <c r="T314" s="50">
        <v>2.8125</v>
      </c>
      <c r="U314" s="50">
        <v>0.0</v>
      </c>
      <c r="V314" s="50">
        <v>0.0</v>
      </c>
      <c r="W314" s="50">
        <v>0.0</v>
      </c>
      <c r="X314" s="50">
        <v>2.8125</v>
      </c>
      <c r="Y314" s="50">
        <v>8.1</v>
      </c>
    </row>
    <row r="315">
      <c r="A315" s="26">
        <v>309.0</v>
      </c>
      <c r="B315" s="65">
        <v>-1.1078843783370123</v>
      </c>
      <c r="C315" s="65">
        <v>2.879316057633443</v>
      </c>
      <c r="D315" s="65">
        <v>0.838538136611944</v>
      </c>
      <c r="E315" s="65">
        <v>1.0972095032160432</v>
      </c>
      <c r="F315" s="65">
        <v>8.752604572542321</v>
      </c>
      <c r="G315" s="50">
        <v>0.0</v>
      </c>
      <c r="H315" s="50">
        <v>0.0</v>
      </c>
      <c r="I315" s="50">
        <v>0.0</v>
      </c>
      <c r="J315" s="50">
        <v>0.0</v>
      </c>
      <c r="K315" s="50">
        <v>0.0</v>
      </c>
      <c r="L315" s="50">
        <v>0.0</v>
      </c>
      <c r="M315" s="50">
        <v>0.0</v>
      </c>
      <c r="N315" s="50">
        <v>0.0</v>
      </c>
      <c r="O315" s="50">
        <v>0.0</v>
      </c>
      <c r="P315" s="50">
        <v>0.0</v>
      </c>
      <c r="Q315" s="50">
        <v>0.0</v>
      </c>
      <c r="R315" s="50">
        <v>0.0</v>
      </c>
      <c r="S315" s="50">
        <v>0.0</v>
      </c>
      <c r="T315" s="50">
        <v>2.8125</v>
      </c>
      <c r="U315" s="50">
        <v>0.0</v>
      </c>
      <c r="V315" s="50">
        <v>0.0</v>
      </c>
      <c r="W315" s="50">
        <v>0.0</v>
      </c>
      <c r="X315" s="50">
        <v>2.8125</v>
      </c>
      <c r="Y315" s="50">
        <v>5.625</v>
      </c>
    </row>
    <row r="316">
      <c r="A316" s="26">
        <v>310.0</v>
      </c>
      <c r="B316" s="65">
        <v>-1.0351721083031902</v>
      </c>
      <c r="C316" s="65">
        <v>0.4336089961992421</v>
      </c>
      <c r="D316" s="65">
        <v>-0.3790726954700597</v>
      </c>
      <c r="E316" s="65">
        <v>1.1806075368336677</v>
      </c>
      <c r="F316" s="65">
        <v>10.67755462423291</v>
      </c>
      <c r="G316" s="50">
        <v>0.0</v>
      </c>
      <c r="H316" s="50">
        <v>0.0</v>
      </c>
      <c r="I316" s="50">
        <v>0.0</v>
      </c>
      <c r="J316" s="50">
        <v>0.0</v>
      </c>
      <c r="K316" s="50">
        <v>0.0</v>
      </c>
      <c r="L316" s="50">
        <v>0.0</v>
      </c>
      <c r="M316" s="50">
        <v>0.0</v>
      </c>
      <c r="N316" s="50">
        <v>0.0</v>
      </c>
      <c r="O316" s="50">
        <v>0.0</v>
      </c>
      <c r="P316" s="50">
        <v>0.0</v>
      </c>
      <c r="Q316" s="50">
        <v>0.0</v>
      </c>
      <c r="R316" s="50">
        <v>0.0</v>
      </c>
      <c r="S316" s="50">
        <v>0.0</v>
      </c>
      <c r="T316" s="50">
        <v>2.8125</v>
      </c>
      <c r="U316" s="50">
        <v>0.0</v>
      </c>
      <c r="V316" s="50">
        <v>0.0</v>
      </c>
      <c r="W316" s="50">
        <v>0.0</v>
      </c>
      <c r="X316" s="50">
        <v>2.8125</v>
      </c>
      <c r="Y316" s="50">
        <v>5.625</v>
      </c>
    </row>
    <row r="317">
      <c r="A317" s="26">
        <v>311.0</v>
      </c>
      <c r="B317" s="65">
        <v>-1.048871024978753</v>
      </c>
      <c r="C317" s="65">
        <v>-0.03144011030831822</v>
      </c>
      <c r="D317" s="65">
        <v>-0.8110699573821131</v>
      </c>
      <c r="E317" s="65">
        <v>-0.07692105032419089</v>
      </c>
      <c r="F317" s="65">
        <v>1.560033070130636</v>
      </c>
      <c r="G317" s="50">
        <v>0.0</v>
      </c>
      <c r="H317" s="50">
        <v>0.0</v>
      </c>
      <c r="I317" s="50">
        <v>0.0</v>
      </c>
      <c r="J317" s="50">
        <v>0.0</v>
      </c>
      <c r="K317" s="50">
        <v>0.0</v>
      </c>
      <c r="L317" s="50">
        <v>0.0</v>
      </c>
      <c r="M317" s="50">
        <v>0.0</v>
      </c>
      <c r="N317" s="50">
        <v>0.0</v>
      </c>
      <c r="O317" s="50">
        <v>0.0</v>
      </c>
      <c r="P317" s="50">
        <v>0.0</v>
      </c>
      <c r="Q317" s="50">
        <v>0.0</v>
      </c>
      <c r="R317" s="50">
        <v>0.0</v>
      </c>
      <c r="S317" s="50">
        <v>0.0</v>
      </c>
      <c r="T317" s="50">
        <v>2.8125</v>
      </c>
      <c r="U317" s="50">
        <v>9.9</v>
      </c>
      <c r="V317" s="50">
        <v>0.0</v>
      </c>
      <c r="W317" s="50">
        <v>0.0</v>
      </c>
      <c r="X317" s="50">
        <v>2.8125</v>
      </c>
      <c r="Y317" s="50">
        <v>15.525</v>
      </c>
    </row>
    <row r="318">
      <c r="A318" s="26">
        <v>312.0</v>
      </c>
      <c r="B318" s="65">
        <v>1.935265267109468</v>
      </c>
      <c r="C318" s="65">
        <v>1.0623313096117097</v>
      </c>
      <c r="D318" s="65">
        <v>0.8328368815869577</v>
      </c>
      <c r="E318" s="65">
        <v>-0.6150523159109226</v>
      </c>
      <c r="F318" s="65">
        <v>1.7889124466409934</v>
      </c>
      <c r="G318" s="50">
        <v>0.0</v>
      </c>
      <c r="H318" s="50">
        <v>0.0</v>
      </c>
      <c r="I318" s="50">
        <v>0.0</v>
      </c>
      <c r="J318" s="50">
        <v>0.0</v>
      </c>
      <c r="K318" s="50">
        <v>0.0</v>
      </c>
      <c r="L318" s="50">
        <v>0.0</v>
      </c>
      <c r="M318" s="50">
        <v>0.0</v>
      </c>
      <c r="N318" s="50">
        <v>0.0</v>
      </c>
      <c r="O318" s="50">
        <v>0.0</v>
      </c>
      <c r="P318" s="50">
        <v>0.0</v>
      </c>
      <c r="Q318" s="50">
        <v>0.0</v>
      </c>
      <c r="R318" s="50">
        <v>0.0</v>
      </c>
      <c r="S318" s="50">
        <v>0.0</v>
      </c>
      <c r="T318" s="50">
        <v>2.8125</v>
      </c>
      <c r="U318" s="50">
        <v>0.0</v>
      </c>
      <c r="V318" s="50">
        <v>0.0</v>
      </c>
      <c r="W318" s="50">
        <v>0.0</v>
      </c>
      <c r="X318" s="50">
        <v>2.8125</v>
      </c>
      <c r="Y318" s="50">
        <v>5.625</v>
      </c>
    </row>
    <row r="319">
      <c r="A319" s="26">
        <v>313.0</v>
      </c>
      <c r="B319" s="65">
        <v>1.2929460375563346</v>
      </c>
      <c r="C319" s="65">
        <v>0.09681634321150508</v>
      </c>
      <c r="D319" s="65">
        <v>-0.1861072530169404</v>
      </c>
      <c r="E319" s="65">
        <v>0.002889724626213312</v>
      </c>
      <c r="F319" s="65">
        <v>1.9065242068410295</v>
      </c>
      <c r="G319" s="50">
        <v>0.0</v>
      </c>
      <c r="H319" s="50">
        <v>0.0</v>
      </c>
      <c r="I319" s="50">
        <v>0.0</v>
      </c>
      <c r="J319" s="50">
        <v>0.0</v>
      </c>
      <c r="K319" s="50">
        <v>0.0</v>
      </c>
      <c r="L319" s="50">
        <v>0.0</v>
      </c>
      <c r="M319" s="50">
        <v>0.0</v>
      </c>
      <c r="N319" s="50">
        <v>0.0</v>
      </c>
      <c r="O319" s="50">
        <v>0.0</v>
      </c>
      <c r="P319" s="50">
        <v>0.0</v>
      </c>
      <c r="Q319" s="50">
        <v>0.0</v>
      </c>
      <c r="R319" s="50">
        <v>0.0</v>
      </c>
      <c r="S319" s="50">
        <v>0.0</v>
      </c>
      <c r="T319" s="50">
        <v>2.8125</v>
      </c>
      <c r="U319" s="50">
        <v>0.0</v>
      </c>
      <c r="V319" s="50">
        <v>0.0</v>
      </c>
      <c r="W319" s="50">
        <v>0.0</v>
      </c>
      <c r="X319" s="50">
        <v>2.8125</v>
      </c>
      <c r="Y319" s="50">
        <v>5.625</v>
      </c>
    </row>
    <row r="320">
      <c r="A320" s="26">
        <v>314.0</v>
      </c>
      <c r="B320" s="65">
        <v>0.6739223171755703</v>
      </c>
      <c r="C320" s="65">
        <v>0.9081039299849574</v>
      </c>
      <c r="D320" s="65">
        <v>-2.0232805148373996</v>
      </c>
      <c r="E320" s="65">
        <v>-1.6207273968987483</v>
      </c>
      <c r="F320" s="65">
        <v>0.16318497617206926</v>
      </c>
      <c r="G320" s="50">
        <v>0.0</v>
      </c>
      <c r="H320" s="50">
        <v>0.0</v>
      </c>
      <c r="I320" s="50">
        <v>0.0</v>
      </c>
      <c r="J320" s="50">
        <v>0.0</v>
      </c>
      <c r="K320" s="50">
        <v>0.0</v>
      </c>
      <c r="L320" s="50">
        <v>0.0</v>
      </c>
      <c r="M320" s="50">
        <v>0.0</v>
      </c>
      <c r="N320" s="50">
        <v>0.0</v>
      </c>
      <c r="O320" s="50">
        <v>0.0</v>
      </c>
      <c r="P320" s="50">
        <v>0.0</v>
      </c>
      <c r="Q320" s="50">
        <v>0.0</v>
      </c>
      <c r="R320" s="50">
        <v>9.9</v>
      </c>
      <c r="S320" s="50">
        <v>0.0</v>
      </c>
      <c r="T320" s="50">
        <v>2.8125</v>
      </c>
      <c r="U320" s="50">
        <v>9.9</v>
      </c>
      <c r="V320" s="50">
        <v>5.625</v>
      </c>
      <c r="W320" s="50">
        <v>0.0</v>
      </c>
      <c r="X320" s="50">
        <v>2.8125</v>
      </c>
      <c r="Y320" s="50">
        <v>31.05</v>
      </c>
    </row>
    <row r="321">
      <c r="A321" s="26">
        <v>315.0</v>
      </c>
      <c r="B321" s="65">
        <v>2.1799460365631593</v>
      </c>
      <c r="C321" s="65">
        <v>0.3595504355887169</v>
      </c>
      <c r="D321" s="65">
        <v>-0.0272728705961717</v>
      </c>
      <c r="E321" s="65">
        <v>-0.3814074449205776</v>
      </c>
      <c r="F321" s="65">
        <v>6.138601394157076</v>
      </c>
      <c r="G321" s="50">
        <v>0.0</v>
      </c>
      <c r="H321" s="50">
        <v>0.0</v>
      </c>
      <c r="I321" s="50">
        <v>0.0</v>
      </c>
      <c r="J321" s="50">
        <v>0.0</v>
      </c>
      <c r="K321" s="50">
        <v>0.0</v>
      </c>
      <c r="L321" s="50">
        <v>0.0</v>
      </c>
      <c r="M321" s="50">
        <v>0.0</v>
      </c>
      <c r="N321" s="50">
        <v>0.0</v>
      </c>
      <c r="O321" s="50">
        <v>0.0</v>
      </c>
      <c r="P321" s="50">
        <v>0.0</v>
      </c>
      <c r="Q321" s="50">
        <v>0.0</v>
      </c>
      <c r="R321" s="50">
        <v>0.0</v>
      </c>
      <c r="S321" s="50">
        <v>0.0</v>
      </c>
      <c r="T321" s="50">
        <v>2.8125</v>
      </c>
      <c r="U321" s="50">
        <v>0.0</v>
      </c>
      <c r="V321" s="50">
        <v>0.0</v>
      </c>
      <c r="W321" s="50">
        <v>0.0</v>
      </c>
      <c r="X321" s="50">
        <v>2.8125</v>
      </c>
      <c r="Y321" s="50">
        <v>5.625</v>
      </c>
    </row>
    <row r="322">
      <c r="A322" s="26">
        <v>316.0</v>
      </c>
      <c r="B322" s="65">
        <v>0.0501111737221184</v>
      </c>
      <c r="C322" s="65">
        <v>-0.5048973691375473</v>
      </c>
      <c r="D322" s="65">
        <v>-0.4082334497046887</v>
      </c>
      <c r="E322" s="65">
        <v>0.5235841677317309</v>
      </c>
      <c r="F322" s="65">
        <v>7.815044797825011</v>
      </c>
      <c r="G322" s="50">
        <v>0.0</v>
      </c>
      <c r="H322" s="50">
        <v>0.0</v>
      </c>
      <c r="I322" s="50">
        <v>0.0</v>
      </c>
      <c r="J322" s="50">
        <v>0.0</v>
      </c>
      <c r="K322" s="50">
        <v>0.0</v>
      </c>
      <c r="L322" s="50">
        <v>0.0</v>
      </c>
      <c r="M322" s="50">
        <v>0.0</v>
      </c>
      <c r="N322" s="50">
        <v>0.0</v>
      </c>
      <c r="O322" s="50">
        <v>0.0</v>
      </c>
      <c r="P322" s="50">
        <v>0.0</v>
      </c>
      <c r="Q322" s="50">
        <v>0.0</v>
      </c>
      <c r="R322" s="50">
        <v>0.0</v>
      </c>
      <c r="S322" s="50">
        <v>0.0</v>
      </c>
      <c r="T322" s="50">
        <v>2.8125</v>
      </c>
      <c r="U322" s="50">
        <v>0.0</v>
      </c>
      <c r="V322" s="50">
        <v>0.0</v>
      </c>
      <c r="W322" s="50">
        <v>0.0</v>
      </c>
      <c r="X322" s="50">
        <v>2.8125</v>
      </c>
      <c r="Y322" s="50">
        <v>5.625</v>
      </c>
    </row>
    <row r="323">
      <c r="A323" s="26">
        <v>317.0</v>
      </c>
      <c r="B323" s="65">
        <v>-0.4367087312019645</v>
      </c>
      <c r="C323" s="65">
        <v>0.49403689276099155</v>
      </c>
      <c r="D323" s="65">
        <v>-0.08957431734611802</v>
      </c>
      <c r="E323" s="65">
        <v>-0.8934483058046978</v>
      </c>
      <c r="F323" s="65">
        <v>4.837103393166359</v>
      </c>
      <c r="G323" s="50">
        <v>0.0</v>
      </c>
      <c r="H323" s="50">
        <v>0.0</v>
      </c>
      <c r="I323" s="50">
        <v>0.0</v>
      </c>
      <c r="J323" s="50">
        <v>0.0</v>
      </c>
      <c r="K323" s="50">
        <v>0.0</v>
      </c>
      <c r="L323" s="50">
        <v>0.0</v>
      </c>
      <c r="M323" s="50">
        <v>0.0</v>
      </c>
      <c r="N323" s="50">
        <v>0.0</v>
      </c>
      <c r="O323" s="50">
        <v>0.0</v>
      </c>
      <c r="P323" s="50">
        <v>0.0</v>
      </c>
      <c r="Q323" s="50">
        <v>0.0</v>
      </c>
      <c r="R323" s="50">
        <v>0.0</v>
      </c>
      <c r="S323" s="50">
        <v>0.0</v>
      </c>
      <c r="T323" s="50">
        <v>2.8125</v>
      </c>
      <c r="U323" s="50">
        <v>0.0</v>
      </c>
      <c r="V323" s="50">
        <v>5.625</v>
      </c>
      <c r="W323" s="50">
        <v>0.0</v>
      </c>
      <c r="X323" s="50">
        <v>2.8125</v>
      </c>
      <c r="Y323" s="50">
        <v>11.25</v>
      </c>
    </row>
    <row r="324">
      <c r="A324" s="26">
        <v>318.0</v>
      </c>
      <c r="B324" s="65">
        <v>-0.7000903955980999</v>
      </c>
      <c r="C324" s="65">
        <v>-0.17003705987872372</v>
      </c>
      <c r="D324" s="65">
        <v>-0.43856360442682757</v>
      </c>
      <c r="E324" s="65">
        <v>1.078914779319283</v>
      </c>
      <c r="F324" s="65">
        <v>5.96838232282121</v>
      </c>
      <c r="G324" s="50">
        <v>0.0</v>
      </c>
      <c r="H324" s="50">
        <v>0.0</v>
      </c>
      <c r="I324" s="50">
        <v>0.0</v>
      </c>
      <c r="J324" s="50">
        <v>0.0</v>
      </c>
      <c r="K324" s="50">
        <v>0.0</v>
      </c>
      <c r="L324" s="50">
        <v>0.0</v>
      </c>
      <c r="M324" s="50">
        <v>0.0</v>
      </c>
      <c r="N324" s="50">
        <v>0.0</v>
      </c>
      <c r="O324" s="50">
        <v>7.425000000000001</v>
      </c>
      <c r="P324" s="50">
        <v>0.0</v>
      </c>
      <c r="Q324" s="50">
        <v>0.0</v>
      </c>
      <c r="R324" s="50">
        <v>0.0</v>
      </c>
      <c r="S324" s="50">
        <v>0.0</v>
      </c>
      <c r="T324" s="50">
        <v>2.8125</v>
      </c>
      <c r="U324" s="50">
        <v>0.0</v>
      </c>
      <c r="V324" s="50">
        <v>0.0</v>
      </c>
      <c r="W324" s="50">
        <v>0.0</v>
      </c>
      <c r="X324" s="50">
        <v>2.8125</v>
      </c>
      <c r="Y324" s="50">
        <v>13.05</v>
      </c>
    </row>
    <row r="325">
      <c r="A325" s="26">
        <v>319.0</v>
      </c>
      <c r="B325" s="65">
        <v>-0.048224483524075136</v>
      </c>
      <c r="C325" s="65">
        <v>-1.3097551265525147</v>
      </c>
      <c r="D325" s="65">
        <v>-0.7520828907573125</v>
      </c>
      <c r="E325" s="65">
        <v>0.6272242557656823</v>
      </c>
      <c r="F325" s="65">
        <v>1.4418211300259287</v>
      </c>
      <c r="G325" s="50">
        <v>0.0</v>
      </c>
      <c r="H325" s="50">
        <v>0.0</v>
      </c>
      <c r="I325" s="50">
        <v>0.0</v>
      </c>
      <c r="J325" s="50">
        <v>0.0</v>
      </c>
      <c r="K325" s="50">
        <v>0.0</v>
      </c>
      <c r="L325" s="50">
        <v>0.0</v>
      </c>
      <c r="M325" s="50">
        <v>0.0</v>
      </c>
      <c r="N325" s="50">
        <v>0.0</v>
      </c>
      <c r="O325" s="50">
        <v>0.0</v>
      </c>
      <c r="P325" s="50">
        <v>0.0</v>
      </c>
      <c r="Q325" s="50">
        <v>0.0</v>
      </c>
      <c r="R325" s="50">
        <v>0.0</v>
      </c>
      <c r="S325" s="50">
        <v>0.0</v>
      </c>
      <c r="T325" s="50">
        <v>2.8125</v>
      </c>
      <c r="U325" s="50">
        <v>0.0</v>
      </c>
      <c r="V325" s="50">
        <v>0.0</v>
      </c>
      <c r="W325" s="50">
        <v>0.0</v>
      </c>
      <c r="X325" s="50">
        <v>2.8125</v>
      </c>
      <c r="Y325" s="50">
        <v>5.625</v>
      </c>
    </row>
    <row r="326">
      <c r="A326" s="26">
        <v>320.0</v>
      </c>
      <c r="B326" s="65">
        <v>-0.858101073930385</v>
      </c>
      <c r="C326" s="65">
        <v>-0.08330799267870499</v>
      </c>
      <c r="D326" s="65">
        <v>0.7504920204253329</v>
      </c>
      <c r="E326" s="65">
        <v>1.0217666533338605</v>
      </c>
      <c r="F326" s="65">
        <v>4.091829622557794</v>
      </c>
      <c r="G326" s="50">
        <v>0.0</v>
      </c>
      <c r="H326" s="50">
        <v>0.0</v>
      </c>
      <c r="I326" s="50">
        <v>0.0</v>
      </c>
      <c r="J326" s="50">
        <v>0.0</v>
      </c>
      <c r="K326" s="50">
        <v>0.0</v>
      </c>
      <c r="L326" s="50">
        <v>0.0</v>
      </c>
      <c r="M326" s="50">
        <v>0.0</v>
      </c>
      <c r="N326" s="50">
        <v>0.0</v>
      </c>
      <c r="O326" s="50">
        <v>0.0</v>
      </c>
      <c r="P326" s="50">
        <v>0.0</v>
      </c>
      <c r="Q326" s="50">
        <v>0.0</v>
      </c>
      <c r="R326" s="50">
        <v>9.9</v>
      </c>
      <c r="S326" s="50">
        <v>0.0</v>
      </c>
      <c r="T326" s="50">
        <v>2.8125</v>
      </c>
      <c r="U326" s="50">
        <v>0.0</v>
      </c>
      <c r="V326" s="50">
        <v>5.625</v>
      </c>
      <c r="W326" s="50">
        <v>0.0</v>
      </c>
      <c r="X326" s="50">
        <v>2.8125</v>
      </c>
      <c r="Y326" s="50">
        <v>21.15</v>
      </c>
    </row>
    <row r="327">
      <c r="A327" s="26">
        <v>321.0</v>
      </c>
      <c r="B327" s="65">
        <v>-1.5464504261805996</v>
      </c>
      <c r="C327" s="65">
        <v>-0.784659148967431</v>
      </c>
      <c r="D327" s="65">
        <v>-0.5319344385623355</v>
      </c>
      <c r="E327" s="65">
        <v>-0.5493345461544146</v>
      </c>
      <c r="F327" s="65">
        <v>4.349884303312674</v>
      </c>
      <c r="G327" s="50">
        <v>0.0</v>
      </c>
      <c r="H327" s="50">
        <v>0.0</v>
      </c>
      <c r="I327" s="50">
        <v>0.0</v>
      </c>
      <c r="J327" s="50">
        <v>0.0</v>
      </c>
      <c r="K327" s="50">
        <v>0.0</v>
      </c>
      <c r="L327" s="50">
        <v>0.0</v>
      </c>
      <c r="M327" s="50">
        <v>0.0</v>
      </c>
      <c r="N327" s="50">
        <v>0.0</v>
      </c>
      <c r="O327" s="50">
        <v>7.425000000000001</v>
      </c>
      <c r="P327" s="50">
        <v>2.475</v>
      </c>
      <c r="Q327" s="50">
        <v>0.0</v>
      </c>
      <c r="R327" s="50">
        <v>0.0</v>
      </c>
      <c r="S327" s="50">
        <v>0.0</v>
      </c>
      <c r="T327" s="50">
        <v>2.8125</v>
      </c>
      <c r="U327" s="50">
        <v>0.0</v>
      </c>
      <c r="V327" s="50">
        <v>5.625</v>
      </c>
      <c r="W327" s="50">
        <v>0.0</v>
      </c>
      <c r="X327" s="50">
        <v>2.8125</v>
      </c>
      <c r="Y327" s="50">
        <v>21.15</v>
      </c>
    </row>
    <row r="328">
      <c r="A328" s="26">
        <v>322.0</v>
      </c>
      <c r="B328" s="65">
        <v>1.0639276726928826</v>
      </c>
      <c r="C328" s="65">
        <v>0.9306223001651943</v>
      </c>
      <c r="D328" s="65">
        <v>-1.072204990499478</v>
      </c>
      <c r="E328" s="65">
        <v>0.8461368198618837</v>
      </c>
      <c r="F328" s="65">
        <v>1.6818572645042815</v>
      </c>
      <c r="G328" s="50">
        <v>0.0</v>
      </c>
      <c r="H328" s="50">
        <v>0.0</v>
      </c>
      <c r="I328" s="50">
        <v>0.0</v>
      </c>
      <c r="J328" s="50">
        <v>0.0</v>
      </c>
      <c r="K328" s="50">
        <v>0.0</v>
      </c>
      <c r="L328" s="50">
        <v>0.0</v>
      </c>
      <c r="M328" s="50">
        <v>0.0</v>
      </c>
      <c r="N328" s="50">
        <v>0.0</v>
      </c>
      <c r="O328" s="50">
        <v>0.0</v>
      </c>
      <c r="P328" s="50">
        <v>2.475</v>
      </c>
      <c r="Q328" s="50">
        <v>0.0</v>
      </c>
      <c r="R328" s="50">
        <v>0.0</v>
      </c>
      <c r="S328" s="50">
        <v>0.0</v>
      </c>
      <c r="T328" s="50">
        <v>2.8125</v>
      </c>
      <c r="U328" s="50">
        <v>0.0</v>
      </c>
      <c r="V328" s="50">
        <v>0.0</v>
      </c>
      <c r="W328" s="50">
        <v>0.0</v>
      </c>
      <c r="X328" s="50">
        <v>2.8125</v>
      </c>
      <c r="Y328" s="50">
        <v>8.1</v>
      </c>
    </row>
    <row r="329">
      <c r="A329" s="26">
        <v>323.0</v>
      </c>
      <c r="B329" s="65">
        <v>-0.3554643664320357</v>
      </c>
      <c r="C329" s="65">
        <v>-0.45492597438092286</v>
      </c>
      <c r="D329" s="65">
        <v>-0.2766154871370915</v>
      </c>
      <c r="E329" s="65">
        <v>-0.9657199564550482</v>
      </c>
      <c r="F329" s="65">
        <v>3.083014714612469</v>
      </c>
      <c r="G329" s="50">
        <v>0.0</v>
      </c>
      <c r="H329" s="50">
        <v>0.0</v>
      </c>
      <c r="I329" s="50">
        <v>0.0</v>
      </c>
      <c r="J329" s="50">
        <v>0.0</v>
      </c>
      <c r="K329" s="50">
        <v>0.0</v>
      </c>
      <c r="L329" s="50">
        <v>0.0</v>
      </c>
      <c r="M329" s="50">
        <v>0.0</v>
      </c>
      <c r="N329" s="50">
        <v>0.0</v>
      </c>
      <c r="O329" s="50">
        <v>7.425000000000001</v>
      </c>
      <c r="P329" s="50">
        <v>0.0</v>
      </c>
      <c r="Q329" s="50">
        <v>0.0</v>
      </c>
      <c r="R329" s="50">
        <v>0.0</v>
      </c>
      <c r="S329" s="50">
        <v>0.0</v>
      </c>
      <c r="T329" s="50">
        <v>2.8125</v>
      </c>
      <c r="U329" s="50">
        <v>0.0</v>
      </c>
      <c r="V329" s="50">
        <v>0.0</v>
      </c>
      <c r="W329" s="50">
        <v>4.95</v>
      </c>
      <c r="X329" s="50">
        <v>2.8125</v>
      </c>
      <c r="Y329" s="50">
        <v>18.0</v>
      </c>
    </row>
    <row r="330">
      <c r="A330" s="26">
        <v>324.0</v>
      </c>
      <c r="B330" s="65">
        <v>-0.6234112674914959</v>
      </c>
      <c r="C330" s="65">
        <v>-0.43296475183879096</v>
      </c>
      <c r="D330" s="65">
        <v>0.09473219714931219</v>
      </c>
      <c r="E330" s="65">
        <v>-0.3554197739369166</v>
      </c>
      <c r="F330" s="65">
        <v>1.4426529441886564</v>
      </c>
      <c r="G330" s="50">
        <v>0.0</v>
      </c>
      <c r="H330" s="50">
        <v>0.0</v>
      </c>
      <c r="I330" s="50">
        <v>0.0</v>
      </c>
      <c r="J330" s="50">
        <v>0.0</v>
      </c>
      <c r="K330" s="50">
        <v>0.0</v>
      </c>
      <c r="L330" s="50">
        <v>0.0</v>
      </c>
      <c r="M330" s="50">
        <v>0.0</v>
      </c>
      <c r="N330" s="50">
        <v>0.0</v>
      </c>
      <c r="O330" s="50">
        <v>7.425000000000001</v>
      </c>
      <c r="P330" s="50">
        <v>0.0</v>
      </c>
      <c r="Q330" s="50">
        <v>0.0</v>
      </c>
      <c r="R330" s="50">
        <v>0.0</v>
      </c>
      <c r="S330" s="50">
        <v>0.0</v>
      </c>
      <c r="T330" s="50">
        <v>2.8125</v>
      </c>
      <c r="U330" s="50">
        <v>0.0</v>
      </c>
      <c r="V330" s="50">
        <v>5.625</v>
      </c>
      <c r="W330" s="50">
        <v>0.0</v>
      </c>
      <c r="X330" s="50">
        <v>2.8125</v>
      </c>
      <c r="Y330" s="50">
        <v>18.675</v>
      </c>
    </row>
    <row r="331">
      <c r="A331" s="26">
        <v>325.0</v>
      </c>
      <c r="B331" s="65">
        <v>-0.38176540422028704</v>
      </c>
      <c r="C331" s="65">
        <v>-1.6912361083582774</v>
      </c>
      <c r="D331" s="65">
        <v>-2.157892984244595</v>
      </c>
      <c r="E331" s="65">
        <v>-0.07024119695668547</v>
      </c>
      <c r="F331" s="65">
        <v>5.490297284872965</v>
      </c>
      <c r="G331" s="50">
        <v>0.0</v>
      </c>
      <c r="H331" s="50">
        <v>0.0</v>
      </c>
      <c r="I331" s="50">
        <v>0.0</v>
      </c>
      <c r="J331" s="50">
        <v>0.0</v>
      </c>
      <c r="K331" s="50">
        <v>0.0</v>
      </c>
      <c r="L331" s="50">
        <v>0.0</v>
      </c>
      <c r="M331" s="50">
        <v>0.0</v>
      </c>
      <c r="N331" s="50">
        <v>0.0</v>
      </c>
      <c r="O331" s="50">
        <v>7.425000000000001</v>
      </c>
      <c r="P331" s="50">
        <v>0.0</v>
      </c>
      <c r="Q331" s="50">
        <v>0.0</v>
      </c>
      <c r="R331" s="50">
        <v>9.9</v>
      </c>
      <c r="S331" s="50">
        <v>0.0</v>
      </c>
      <c r="T331" s="50">
        <v>2.8125</v>
      </c>
      <c r="U331" s="50">
        <v>0.0</v>
      </c>
      <c r="V331" s="50">
        <v>5.625</v>
      </c>
      <c r="W331" s="50">
        <v>0.0</v>
      </c>
      <c r="X331" s="50">
        <v>2.8125</v>
      </c>
      <c r="Y331" s="50">
        <v>28.575000000000003</v>
      </c>
    </row>
    <row r="332">
      <c r="A332" s="26">
        <v>326.0</v>
      </c>
      <c r="B332" s="65">
        <v>-1.1597440182207042</v>
      </c>
      <c r="C332" s="65">
        <v>0.4585402050637118</v>
      </c>
      <c r="D332" s="65">
        <v>0.645096888835666</v>
      </c>
      <c r="E332" s="65">
        <v>0.1017875687084332</v>
      </c>
      <c r="F332" s="65">
        <v>1.7262502969951175</v>
      </c>
      <c r="G332" s="50">
        <v>0.0</v>
      </c>
      <c r="H332" s="50">
        <v>0.0</v>
      </c>
      <c r="I332" s="50">
        <v>0.0</v>
      </c>
      <c r="J332" s="50">
        <v>0.0</v>
      </c>
      <c r="K332" s="50">
        <v>0.0</v>
      </c>
      <c r="L332" s="50">
        <v>0.0</v>
      </c>
      <c r="M332" s="50">
        <v>0.0</v>
      </c>
      <c r="N332" s="50">
        <v>0.0</v>
      </c>
      <c r="O332" s="50">
        <v>7.425000000000001</v>
      </c>
      <c r="P332" s="50">
        <v>0.0</v>
      </c>
      <c r="Q332" s="50">
        <v>0.0</v>
      </c>
      <c r="R332" s="50">
        <v>0.0</v>
      </c>
      <c r="S332" s="50">
        <v>0.0</v>
      </c>
      <c r="T332" s="50">
        <v>2.8125</v>
      </c>
      <c r="U332" s="50">
        <v>0.0</v>
      </c>
      <c r="V332" s="50">
        <v>5.625</v>
      </c>
      <c r="W332" s="50">
        <v>4.95</v>
      </c>
      <c r="X332" s="50">
        <v>2.8125</v>
      </c>
      <c r="Y332" s="50">
        <v>23.625</v>
      </c>
    </row>
    <row r="333">
      <c r="A333" s="26">
        <v>327.0</v>
      </c>
      <c r="B333" s="65">
        <v>-1.0890821816993832</v>
      </c>
      <c r="C333" s="65">
        <v>-1.846232104223007</v>
      </c>
      <c r="D333" s="65">
        <v>0.696718123819703</v>
      </c>
      <c r="E333" s="65">
        <v>-0.2908295178537884</v>
      </c>
      <c r="F333" s="65">
        <v>4.91746554721886</v>
      </c>
      <c r="G333" s="50">
        <v>0.0</v>
      </c>
      <c r="H333" s="50">
        <v>0.0</v>
      </c>
      <c r="I333" s="50">
        <v>0.0</v>
      </c>
      <c r="J333" s="50">
        <v>0.0</v>
      </c>
      <c r="K333" s="50">
        <v>0.0</v>
      </c>
      <c r="L333" s="50">
        <v>0.0</v>
      </c>
      <c r="M333" s="50">
        <v>0.0</v>
      </c>
      <c r="N333" s="50">
        <v>0.0</v>
      </c>
      <c r="O333" s="50">
        <v>7.425000000000001</v>
      </c>
      <c r="P333" s="50">
        <v>0.0</v>
      </c>
      <c r="Q333" s="50">
        <v>0.0</v>
      </c>
      <c r="R333" s="50">
        <v>0.0</v>
      </c>
      <c r="S333" s="50">
        <v>0.0</v>
      </c>
      <c r="T333" s="50">
        <v>2.8125</v>
      </c>
      <c r="U333" s="50">
        <v>0.0</v>
      </c>
      <c r="V333" s="50">
        <v>5.625</v>
      </c>
      <c r="W333" s="50">
        <v>0.0</v>
      </c>
      <c r="X333" s="50">
        <v>2.8125</v>
      </c>
      <c r="Y333" s="50">
        <v>18.675</v>
      </c>
    </row>
    <row r="334">
      <c r="A334" s="26">
        <v>328.0</v>
      </c>
      <c r="B334" s="65">
        <v>-0.7948199896749992</v>
      </c>
      <c r="C334" s="65">
        <v>1.2559218172372826</v>
      </c>
      <c r="D334" s="65">
        <v>1.8338720930796595</v>
      </c>
      <c r="E334" s="65">
        <v>0.5306283749429532</v>
      </c>
      <c r="F334" s="65">
        <v>9.841130652197005</v>
      </c>
      <c r="G334" s="50">
        <v>0.0</v>
      </c>
      <c r="H334" s="50">
        <v>0.0</v>
      </c>
      <c r="I334" s="50">
        <v>0.0</v>
      </c>
      <c r="J334" s="50">
        <v>0.0</v>
      </c>
      <c r="K334" s="50">
        <v>0.0</v>
      </c>
      <c r="L334" s="50">
        <v>0.0</v>
      </c>
      <c r="M334" s="50">
        <v>0.0</v>
      </c>
      <c r="N334" s="50">
        <v>0.0</v>
      </c>
      <c r="O334" s="50">
        <v>0.0</v>
      </c>
      <c r="P334" s="50">
        <v>0.0</v>
      </c>
      <c r="Q334" s="50">
        <v>0.0</v>
      </c>
      <c r="R334" s="50">
        <v>0.0</v>
      </c>
      <c r="S334" s="50">
        <v>0.0</v>
      </c>
      <c r="T334" s="50">
        <v>2.8125</v>
      </c>
      <c r="U334" s="50">
        <v>0.0</v>
      </c>
      <c r="V334" s="50">
        <v>5.625</v>
      </c>
      <c r="W334" s="50">
        <v>0.0</v>
      </c>
      <c r="X334" s="50">
        <v>2.8125</v>
      </c>
      <c r="Y334" s="50">
        <v>11.25</v>
      </c>
    </row>
    <row r="335">
      <c r="A335" s="26">
        <v>329.0</v>
      </c>
      <c r="B335" s="65">
        <v>0.11897749320796794</v>
      </c>
      <c r="C335" s="65">
        <v>0.12863381725624465</v>
      </c>
      <c r="D335" s="65">
        <v>0.6154793854265171</v>
      </c>
      <c r="E335" s="65">
        <v>-1.037311260550181</v>
      </c>
      <c r="F335" s="65">
        <v>4.367752240325623</v>
      </c>
      <c r="G335" s="50">
        <v>0.0</v>
      </c>
      <c r="H335" s="50">
        <v>0.0</v>
      </c>
      <c r="I335" s="50">
        <v>0.0</v>
      </c>
      <c r="J335" s="50">
        <v>0.0</v>
      </c>
      <c r="K335" s="50">
        <v>0.0</v>
      </c>
      <c r="L335" s="50">
        <v>0.0</v>
      </c>
      <c r="M335" s="50">
        <v>0.0</v>
      </c>
      <c r="N335" s="50">
        <v>0.0</v>
      </c>
      <c r="O335" s="50">
        <v>0.0</v>
      </c>
      <c r="P335" s="50">
        <v>0.0</v>
      </c>
      <c r="Q335" s="50">
        <v>0.0</v>
      </c>
      <c r="R335" s="50">
        <v>0.0</v>
      </c>
      <c r="S335" s="50">
        <v>0.0</v>
      </c>
      <c r="T335" s="50">
        <v>2.8125</v>
      </c>
      <c r="U335" s="50">
        <v>0.0</v>
      </c>
      <c r="V335" s="50">
        <v>0.0</v>
      </c>
      <c r="W335" s="50">
        <v>0.0</v>
      </c>
      <c r="X335" s="50">
        <v>2.8125</v>
      </c>
      <c r="Y335" s="50">
        <v>5.625</v>
      </c>
    </row>
    <row r="336">
      <c r="A336" s="26">
        <v>330.0</v>
      </c>
      <c r="B336" s="65">
        <v>1.4371257286899655</v>
      </c>
      <c r="C336" s="65">
        <v>-0.8474623346962621</v>
      </c>
      <c r="D336" s="65">
        <v>-1.1733604648042968</v>
      </c>
      <c r="E336" s="65">
        <v>-0.7355847852725746</v>
      </c>
      <c r="F336" s="65">
        <v>2.792511692205001</v>
      </c>
      <c r="G336" s="50">
        <v>0.0</v>
      </c>
      <c r="H336" s="50">
        <v>0.0</v>
      </c>
      <c r="I336" s="50">
        <v>0.0</v>
      </c>
      <c r="J336" s="50">
        <v>0.0</v>
      </c>
      <c r="K336" s="50">
        <v>0.0</v>
      </c>
      <c r="L336" s="50">
        <v>0.0</v>
      </c>
      <c r="M336" s="50">
        <v>0.0</v>
      </c>
      <c r="N336" s="50">
        <v>0.0</v>
      </c>
      <c r="O336" s="50">
        <v>0.0</v>
      </c>
      <c r="P336" s="50">
        <v>0.0</v>
      </c>
      <c r="Q336" s="50">
        <v>0.0</v>
      </c>
      <c r="R336" s="50">
        <v>9.9</v>
      </c>
      <c r="S336" s="50">
        <v>0.0</v>
      </c>
      <c r="T336" s="50">
        <v>2.8125</v>
      </c>
      <c r="U336" s="50">
        <v>0.0</v>
      </c>
      <c r="V336" s="50">
        <v>0.0</v>
      </c>
      <c r="W336" s="50">
        <v>0.0</v>
      </c>
      <c r="X336" s="50">
        <v>2.8125</v>
      </c>
      <c r="Y336" s="50">
        <v>15.525</v>
      </c>
    </row>
    <row r="337">
      <c r="A337" s="26">
        <v>331.0</v>
      </c>
      <c r="B337" s="65">
        <v>-0.4892223418488619</v>
      </c>
      <c r="C337" s="65">
        <v>-0.36930783555221974</v>
      </c>
      <c r="D337" s="65">
        <v>0.9944669472477626</v>
      </c>
      <c r="E337" s="65">
        <v>-0.0547115226505067</v>
      </c>
      <c r="F337" s="65">
        <v>8.861131974066343</v>
      </c>
      <c r="G337" s="50">
        <v>0.0</v>
      </c>
      <c r="H337" s="50">
        <v>0.0</v>
      </c>
      <c r="I337" s="50">
        <v>0.0</v>
      </c>
      <c r="J337" s="50">
        <v>0.0</v>
      </c>
      <c r="K337" s="50">
        <v>0.0</v>
      </c>
      <c r="L337" s="50">
        <v>0.0</v>
      </c>
      <c r="M337" s="50">
        <v>0.0</v>
      </c>
      <c r="N337" s="50">
        <v>0.0</v>
      </c>
      <c r="O337" s="50">
        <v>0.0</v>
      </c>
      <c r="P337" s="50">
        <v>0.0</v>
      </c>
      <c r="Q337" s="50">
        <v>0.0</v>
      </c>
      <c r="R337" s="50">
        <v>0.0</v>
      </c>
      <c r="S337" s="50">
        <v>0.0</v>
      </c>
      <c r="T337" s="50">
        <v>2.8125</v>
      </c>
      <c r="U337" s="50">
        <v>0.0</v>
      </c>
      <c r="V337" s="50">
        <v>5.625</v>
      </c>
      <c r="W337" s="50">
        <v>0.0</v>
      </c>
      <c r="X337" s="50">
        <v>2.8125</v>
      </c>
      <c r="Y337" s="50">
        <v>11.25</v>
      </c>
    </row>
    <row r="338">
      <c r="A338" s="26">
        <v>332.0</v>
      </c>
      <c r="B338" s="65">
        <v>-0.8528949461238806</v>
      </c>
      <c r="C338" s="65">
        <v>-0.1982543816660557</v>
      </c>
      <c r="D338" s="65">
        <v>-0.01704569357203842</v>
      </c>
      <c r="E338" s="65">
        <v>1.9394673199361985</v>
      </c>
      <c r="F338" s="65">
        <v>14.871301035693016</v>
      </c>
      <c r="G338" s="50">
        <v>0.0</v>
      </c>
      <c r="H338" s="50">
        <v>0.0</v>
      </c>
      <c r="I338" s="50">
        <v>0.0</v>
      </c>
      <c r="J338" s="50">
        <v>0.0</v>
      </c>
      <c r="K338" s="50">
        <v>0.0</v>
      </c>
      <c r="L338" s="50">
        <v>0.0</v>
      </c>
      <c r="M338" s="50">
        <v>0.0</v>
      </c>
      <c r="N338" s="50">
        <v>0.0</v>
      </c>
      <c r="O338" s="50">
        <v>0.0</v>
      </c>
      <c r="P338" s="50">
        <v>0.0</v>
      </c>
      <c r="Q338" s="50">
        <v>0.0</v>
      </c>
      <c r="R338" s="50">
        <v>0.0</v>
      </c>
      <c r="S338" s="50">
        <v>0.0</v>
      </c>
      <c r="T338" s="50">
        <v>2.8125</v>
      </c>
      <c r="U338" s="50">
        <v>0.0</v>
      </c>
      <c r="V338" s="50">
        <v>5.625</v>
      </c>
      <c r="W338" s="50">
        <v>0.0</v>
      </c>
      <c r="X338" s="50">
        <v>2.8125</v>
      </c>
      <c r="Y338" s="50">
        <v>11.25</v>
      </c>
    </row>
    <row r="339">
      <c r="A339" s="26">
        <v>333.0</v>
      </c>
      <c r="B339" s="65">
        <v>-0.785336101063462</v>
      </c>
      <c r="C339" s="65">
        <v>-1.153498382252666</v>
      </c>
      <c r="D339" s="65">
        <v>-0.21786979294743225</v>
      </c>
      <c r="E339" s="65">
        <v>0.48473226372039785</v>
      </c>
      <c r="F339" s="65">
        <v>7.456758168704131</v>
      </c>
      <c r="G339" s="50">
        <v>0.0</v>
      </c>
      <c r="H339" s="50">
        <v>0.0</v>
      </c>
      <c r="I339" s="50">
        <v>0.0</v>
      </c>
      <c r="J339" s="50">
        <v>0.0</v>
      </c>
      <c r="K339" s="50">
        <v>0.0</v>
      </c>
      <c r="L339" s="50">
        <v>0.0</v>
      </c>
      <c r="M339" s="50">
        <v>0.0</v>
      </c>
      <c r="N339" s="50">
        <v>0.0</v>
      </c>
      <c r="O339" s="50">
        <v>0.0</v>
      </c>
      <c r="P339" s="50">
        <v>0.0</v>
      </c>
      <c r="Q339" s="50">
        <v>0.0</v>
      </c>
      <c r="R339" s="50">
        <v>0.0</v>
      </c>
      <c r="S339" s="50">
        <v>0.0</v>
      </c>
      <c r="T339" s="50">
        <v>2.8125</v>
      </c>
      <c r="U339" s="50">
        <v>0.0</v>
      </c>
      <c r="V339" s="50">
        <v>0.0</v>
      </c>
      <c r="W339" s="50">
        <v>4.95</v>
      </c>
      <c r="X339" s="50">
        <v>2.8125</v>
      </c>
      <c r="Y339" s="50">
        <v>10.575</v>
      </c>
    </row>
    <row r="340">
      <c r="A340" s="26">
        <v>334.0</v>
      </c>
      <c r="B340" s="65">
        <v>-0.6758012885954374</v>
      </c>
      <c r="C340" s="65">
        <v>-0.2621283642463334</v>
      </c>
      <c r="D340" s="65">
        <v>-0.42979127244579335</v>
      </c>
      <c r="E340" s="65">
        <v>0.7952436154500694</v>
      </c>
      <c r="F340" s="65">
        <v>8.731326883795713</v>
      </c>
      <c r="G340" s="50">
        <v>0.0</v>
      </c>
      <c r="H340" s="50">
        <v>0.0</v>
      </c>
      <c r="I340" s="50">
        <v>0.0</v>
      </c>
      <c r="J340" s="50">
        <v>0.0</v>
      </c>
      <c r="K340" s="50">
        <v>0.0</v>
      </c>
      <c r="L340" s="50">
        <v>0.0</v>
      </c>
      <c r="M340" s="50">
        <v>0.0</v>
      </c>
      <c r="N340" s="50">
        <v>0.0</v>
      </c>
      <c r="O340" s="50">
        <v>0.0</v>
      </c>
      <c r="P340" s="50">
        <v>0.0</v>
      </c>
      <c r="Q340" s="50">
        <v>0.0</v>
      </c>
      <c r="R340" s="50">
        <v>0.0</v>
      </c>
      <c r="S340" s="50">
        <v>0.0</v>
      </c>
      <c r="T340" s="50">
        <v>2.8125</v>
      </c>
      <c r="U340" s="50">
        <v>0.0</v>
      </c>
      <c r="V340" s="50">
        <v>5.625</v>
      </c>
      <c r="W340" s="50">
        <v>0.0</v>
      </c>
      <c r="X340" s="50">
        <v>2.8125</v>
      </c>
      <c r="Y340" s="50">
        <v>11.25</v>
      </c>
    </row>
    <row r="341">
      <c r="A341" s="26">
        <v>335.0</v>
      </c>
      <c r="B341" s="65">
        <v>0.7786710471523564</v>
      </c>
      <c r="C341" s="65">
        <v>0.0762130767253747</v>
      </c>
      <c r="D341" s="65">
        <v>1.6357392215980453</v>
      </c>
      <c r="E341" s="65">
        <v>0.4704666772559401</v>
      </c>
      <c r="F341" s="65">
        <v>4.578649067119588</v>
      </c>
      <c r="G341" s="50">
        <v>0.0</v>
      </c>
      <c r="H341" s="50">
        <v>0.0</v>
      </c>
      <c r="I341" s="50">
        <v>0.0</v>
      </c>
      <c r="J341" s="50">
        <v>0.0</v>
      </c>
      <c r="K341" s="50">
        <v>0.0</v>
      </c>
      <c r="L341" s="50">
        <v>0.0</v>
      </c>
      <c r="M341" s="50">
        <v>0.0</v>
      </c>
      <c r="N341" s="50">
        <v>0.0</v>
      </c>
      <c r="O341" s="50">
        <v>0.0</v>
      </c>
      <c r="P341" s="50">
        <v>0.0</v>
      </c>
      <c r="Q341" s="50">
        <v>0.0</v>
      </c>
      <c r="R341" s="50">
        <v>0.0</v>
      </c>
      <c r="S341" s="50">
        <v>0.0</v>
      </c>
      <c r="T341" s="50">
        <v>2.8125</v>
      </c>
      <c r="U341" s="50">
        <v>0.0</v>
      </c>
      <c r="V341" s="50">
        <v>0.0</v>
      </c>
      <c r="W341" s="50">
        <v>0.0</v>
      </c>
      <c r="X341" s="50">
        <v>2.8125</v>
      </c>
      <c r="Y341" s="50">
        <v>5.625</v>
      </c>
    </row>
    <row r="342">
      <c r="A342" s="26">
        <v>336.0</v>
      </c>
      <c r="B342" s="65">
        <v>0.24250827060627686</v>
      </c>
      <c r="C342" s="65">
        <v>1.1730519113760958</v>
      </c>
      <c r="D342" s="65">
        <v>1.5848400083788845</v>
      </c>
      <c r="E342" s="65">
        <v>-0.552132591440183</v>
      </c>
      <c r="F342" s="65">
        <v>1.517970587394117</v>
      </c>
      <c r="G342" s="50">
        <v>0.0</v>
      </c>
      <c r="H342" s="50">
        <v>0.0</v>
      </c>
      <c r="I342" s="50">
        <v>0.0</v>
      </c>
      <c r="J342" s="50">
        <v>0.0</v>
      </c>
      <c r="K342" s="50">
        <v>0.0</v>
      </c>
      <c r="L342" s="50">
        <v>0.0</v>
      </c>
      <c r="M342" s="50">
        <v>0.0</v>
      </c>
      <c r="N342" s="50">
        <v>0.0</v>
      </c>
      <c r="O342" s="50">
        <v>0.0</v>
      </c>
      <c r="P342" s="50">
        <v>0.0</v>
      </c>
      <c r="Q342" s="50">
        <v>0.0</v>
      </c>
      <c r="R342" s="50">
        <v>0.0</v>
      </c>
      <c r="S342" s="50">
        <v>0.0</v>
      </c>
      <c r="T342" s="50">
        <v>2.8125</v>
      </c>
      <c r="U342" s="50">
        <v>0.0</v>
      </c>
      <c r="V342" s="50">
        <v>0.0</v>
      </c>
      <c r="W342" s="50">
        <v>0.0</v>
      </c>
      <c r="X342" s="50">
        <v>2.8125</v>
      </c>
      <c r="Y342" s="50">
        <v>5.625</v>
      </c>
    </row>
    <row r="343">
      <c r="A343" s="26">
        <v>337.0</v>
      </c>
      <c r="B343" s="65">
        <v>0.5277200200555662</v>
      </c>
      <c r="C343" s="65">
        <v>-1.513240609524021</v>
      </c>
      <c r="D343" s="65">
        <v>-1.335556618584565</v>
      </c>
      <c r="E343" s="65">
        <v>0.3162338741856239</v>
      </c>
      <c r="F343" s="65">
        <v>1.1804401528769461</v>
      </c>
      <c r="G343" s="50">
        <v>0.0</v>
      </c>
      <c r="H343" s="50">
        <v>0.0</v>
      </c>
      <c r="I343" s="50">
        <v>0.0</v>
      </c>
      <c r="J343" s="50">
        <v>0.0</v>
      </c>
      <c r="K343" s="50">
        <v>0.0</v>
      </c>
      <c r="L343" s="50">
        <v>0.0</v>
      </c>
      <c r="M343" s="50">
        <v>0.0</v>
      </c>
      <c r="N343" s="50">
        <v>0.0</v>
      </c>
      <c r="O343" s="50">
        <v>0.0</v>
      </c>
      <c r="P343" s="50">
        <v>0.0</v>
      </c>
      <c r="Q343" s="50">
        <v>0.0</v>
      </c>
      <c r="R343" s="50">
        <v>0.0</v>
      </c>
      <c r="S343" s="50">
        <v>0.0</v>
      </c>
      <c r="T343" s="50">
        <v>2.8125</v>
      </c>
      <c r="U343" s="50">
        <v>0.0</v>
      </c>
      <c r="V343" s="50">
        <v>5.625</v>
      </c>
      <c r="W343" s="50">
        <v>0.0</v>
      </c>
      <c r="X343" s="50">
        <v>2.8125</v>
      </c>
      <c r="Y343" s="50">
        <v>11.25</v>
      </c>
    </row>
    <row r="344">
      <c r="A344" s="26">
        <v>338.0</v>
      </c>
      <c r="B344" s="65">
        <v>-1.6980221244535216</v>
      </c>
      <c r="C344" s="65">
        <v>-0.332707807138453</v>
      </c>
      <c r="D344" s="65">
        <v>-1.0533525684397034</v>
      </c>
      <c r="E344" s="65">
        <v>-0.7162073114510114</v>
      </c>
      <c r="F344" s="65">
        <v>7.250632836757504</v>
      </c>
      <c r="G344" s="50">
        <v>0.0</v>
      </c>
      <c r="H344" s="50">
        <v>0.0</v>
      </c>
      <c r="I344" s="50">
        <v>0.0</v>
      </c>
      <c r="J344" s="50">
        <v>0.0</v>
      </c>
      <c r="K344" s="50">
        <v>0.0</v>
      </c>
      <c r="L344" s="50">
        <v>0.0</v>
      </c>
      <c r="M344" s="50">
        <v>0.0</v>
      </c>
      <c r="N344" s="50">
        <v>0.0</v>
      </c>
      <c r="O344" s="50">
        <v>0.0</v>
      </c>
      <c r="P344" s="50">
        <v>0.0</v>
      </c>
      <c r="Q344" s="50">
        <v>0.0</v>
      </c>
      <c r="R344" s="50">
        <v>9.9</v>
      </c>
      <c r="S344" s="50">
        <v>0.0</v>
      </c>
      <c r="T344" s="50">
        <v>2.8125</v>
      </c>
      <c r="U344" s="50">
        <v>0.0</v>
      </c>
      <c r="V344" s="50">
        <v>0.0</v>
      </c>
      <c r="W344" s="50">
        <v>0.0</v>
      </c>
      <c r="X344" s="50">
        <v>2.8125</v>
      </c>
      <c r="Y344" s="50">
        <v>15.525</v>
      </c>
    </row>
    <row r="345">
      <c r="A345" s="26">
        <v>339.0</v>
      </c>
      <c r="B345" s="65">
        <v>0.8050690723003886</v>
      </c>
      <c r="C345" s="65">
        <v>0.6514640414982247</v>
      </c>
      <c r="D345" s="65">
        <v>-1.7515223418253167</v>
      </c>
      <c r="E345" s="65">
        <v>0.7245334201157116</v>
      </c>
      <c r="F345" s="65">
        <v>2.3743477038077914</v>
      </c>
      <c r="G345" s="50">
        <v>0.0</v>
      </c>
      <c r="H345" s="50">
        <v>0.0</v>
      </c>
      <c r="I345" s="50">
        <v>0.0</v>
      </c>
      <c r="J345" s="50">
        <v>0.0</v>
      </c>
      <c r="K345" s="50">
        <v>0.0</v>
      </c>
      <c r="L345" s="50">
        <v>0.0</v>
      </c>
      <c r="M345" s="50">
        <v>0.0</v>
      </c>
      <c r="N345" s="50">
        <v>0.0</v>
      </c>
      <c r="O345" s="50">
        <v>0.0</v>
      </c>
      <c r="P345" s="50">
        <v>2.475</v>
      </c>
      <c r="Q345" s="50">
        <v>0.0</v>
      </c>
      <c r="R345" s="50">
        <v>0.0</v>
      </c>
      <c r="S345" s="50">
        <v>0.0</v>
      </c>
      <c r="T345" s="50">
        <v>2.8125</v>
      </c>
      <c r="U345" s="50">
        <v>0.0</v>
      </c>
      <c r="V345" s="50">
        <v>0.0</v>
      </c>
      <c r="W345" s="50">
        <v>0.0</v>
      </c>
      <c r="X345" s="50">
        <v>2.8125</v>
      </c>
      <c r="Y345" s="50">
        <v>8.1</v>
      </c>
    </row>
    <row r="346">
      <c r="A346" s="26">
        <v>340.0</v>
      </c>
      <c r="B346" s="65">
        <v>0.800362261327295</v>
      </c>
      <c r="C346" s="65">
        <v>-1.9284922854057949</v>
      </c>
      <c r="D346" s="65">
        <v>0.5638545617772195</v>
      </c>
      <c r="E346" s="65">
        <v>1.5278398512899076</v>
      </c>
      <c r="F346" s="65">
        <v>3.430475402076912</v>
      </c>
      <c r="G346" s="50">
        <v>0.0</v>
      </c>
      <c r="H346" s="50">
        <v>0.0</v>
      </c>
      <c r="I346" s="50">
        <v>0.0</v>
      </c>
      <c r="J346" s="50">
        <v>0.0</v>
      </c>
      <c r="K346" s="50">
        <v>0.0</v>
      </c>
      <c r="L346" s="50">
        <v>0.0</v>
      </c>
      <c r="M346" s="50">
        <v>0.0</v>
      </c>
      <c r="N346" s="50">
        <v>0.0</v>
      </c>
      <c r="O346" s="50">
        <v>7.425000000000001</v>
      </c>
      <c r="P346" s="50">
        <v>0.0</v>
      </c>
      <c r="Q346" s="50">
        <v>0.0</v>
      </c>
      <c r="R346" s="50">
        <v>0.0</v>
      </c>
      <c r="S346" s="50">
        <v>0.0</v>
      </c>
      <c r="T346" s="50">
        <v>2.8125</v>
      </c>
      <c r="U346" s="50">
        <v>0.0</v>
      </c>
      <c r="V346" s="50">
        <v>0.0</v>
      </c>
      <c r="W346" s="50">
        <v>0.0</v>
      </c>
      <c r="X346" s="50">
        <v>2.8125</v>
      </c>
      <c r="Y346" s="50">
        <v>13.05</v>
      </c>
    </row>
    <row r="347">
      <c r="A347" s="26">
        <v>341.0</v>
      </c>
      <c r="B347" s="65">
        <v>-0.94995709252368</v>
      </c>
      <c r="C347" s="65">
        <v>-1.0047493976867934</v>
      </c>
      <c r="D347" s="65">
        <v>0.5724698376439781</v>
      </c>
      <c r="E347" s="65">
        <v>1.022803687395271</v>
      </c>
      <c r="F347" s="65">
        <v>6.802631808967248</v>
      </c>
      <c r="G347" s="50">
        <v>0.0</v>
      </c>
      <c r="H347" s="50">
        <v>0.0</v>
      </c>
      <c r="I347" s="50">
        <v>0.0</v>
      </c>
      <c r="J347" s="50">
        <v>0.0</v>
      </c>
      <c r="K347" s="50">
        <v>0.0</v>
      </c>
      <c r="L347" s="50">
        <v>0.0</v>
      </c>
      <c r="M347" s="50">
        <v>0.0</v>
      </c>
      <c r="N347" s="50">
        <v>0.0</v>
      </c>
      <c r="O347" s="50">
        <v>7.425000000000001</v>
      </c>
      <c r="P347" s="50">
        <v>0.0</v>
      </c>
      <c r="Q347" s="50">
        <v>0.0</v>
      </c>
      <c r="R347" s="50">
        <v>0.0</v>
      </c>
      <c r="S347" s="50">
        <v>0.0</v>
      </c>
      <c r="T347" s="50">
        <v>2.8125</v>
      </c>
      <c r="U347" s="50">
        <v>0.0</v>
      </c>
      <c r="V347" s="50">
        <v>5.625</v>
      </c>
      <c r="W347" s="50">
        <v>0.0</v>
      </c>
      <c r="X347" s="50">
        <v>2.8125</v>
      </c>
      <c r="Y347" s="50">
        <v>18.675</v>
      </c>
    </row>
    <row r="348">
      <c r="A348" s="26">
        <v>342.0</v>
      </c>
      <c r="B348" s="65">
        <v>-0.7462326146857533</v>
      </c>
      <c r="C348" s="65">
        <v>2.430458184792013</v>
      </c>
      <c r="D348" s="65">
        <v>0.9042746721452287</v>
      </c>
      <c r="E348" s="65">
        <v>-0.008117242848062907</v>
      </c>
      <c r="F348" s="65">
        <v>8.630096801358073</v>
      </c>
      <c r="G348" s="50">
        <v>0.0</v>
      </c>
      <c r="H348" s="50">
        <v>0.0</v>
      </c>
      <c r="I348" s="50">
        <v>0.0</v>
      </c>
      <c r="J348" s="50">
        <v>0.0</v>
      </c>
      <c r="K348" s="50">
        <v>0.0</v>
      </c>
      <c r="L348" s="50">
        <v>0.0</v>
      </c>
      <c r="M348" s="50">
        <v>0.0</v>
      </c>
      <c r="N348" s="50">
        <v>0.0</v>
      </c>
      <c r="O348" s="50">
        <v>0.0</v>
      </c>
      <c r="P348" s="50">
        <v>0.0</v>
      </c>
      <c r="Q348" s="50">
        <v>0.0</v>
      </c>
      <c r="R348" s="50">
        <v>0.0</v>
      </c>
      <c r="S348" s="50">
        <v>0.0</v>
      </c>
      <c r="T348" s="50">
        <v>2.8125</v>
      </c>
      <c r="U348" s="50">
        <v>0.0</v>
      </c>
      <c r="V348" s="50">
        <v>5.625</v>
      </c>
      <c r="W348" s="50">
        <v>0.0</v>
      </c>
      <c r="X348" s="50">
        <v>2.8125</v>
      </c>
      <c r="Y348" s="50">
        <v>11.25</v>
      </c>
    </row>
    <row r="349">
      <c r="A349" s="26">
        <v>343.0</v>
      </c>
      <c r="B349" s="65">
        <v>0.036367927690191613</v>
      </c>
      <c r="C349" s="65">
        <v>0.39320157077785955</v>
      </c>
      <c r="D349" s="65">
        <v>-0.2641948029593066</v>
      </c>
      <c r="E349" s="65">
        <v>0.03635588971032423</v>
      </c>
      <c r="F349" s="65">
        <v>0.4223599899114609</v>
      </c>
      <c r="G349" s="50">
        <v>0.0</v>
      </c>
      <c r="H349" s="50">
        <v>0.0</v>
      </c>
      <c r="I349" s="50">
        <v>0.0</v>
      </c>
      <c r="J349" s="50">
        <v>0.0</v>
      </c>
      <c r="K349" s="50">
        <v>0.0</v>
      </c>
      <c r="L349" s="50">
        <v>0.0</v>
      </c>
      <c r="M349" s="50">
        <v>0.0</v>
      </c>
      <c r="N349" s="50">
        <v>0.0</v>
      </c>
      <c r="O349" s="50">
        <v>0.0</v>
      </c>
      <c r="P349" s="50">
        <v>0.0</v>
      </c>
      <c r="Q349" s="50">
        <v>0.0</v>
      </c>
      <c r="R349" s="50">
        <v>0.0</v>
      </c>
      <c r="S349" s="50">
        <v>0.0</v>
      </c>
      <c r="T349" s="50">
        <v>2.8125</v>
      </c>
      <c r="U349" s="50">
        <v>9.9</v>
      </c>
      <c r="V349" s="50">
        <v>0.0</v>
      </c>
      <c r="W349" s="50">
        <v>4.95</v>
      </c>
      <c r="X349" s="50">
        <v>2.8125</v>
      </c>
      <c r="Y349" s="50">
        <v>20.475</v>
      </c>
    </row>
    <row r="350">
      <c r="A350" s="26">
        <v>344.0</v>
      </c>
      <c r="B350" s="65">
        <v>-0.9901978849903834</v>
      </c>
      <c r="C350" s="65">
        <v>-0.6741430125516871</v>
      </c>
      <c r="D350" s="65">
        <v>1.4558107406882257</v>
      </c>
      <c r="E350" s="65">
        <v>-0.109497476954369</v>
      </c>
      <c r="F350" s="65">
        <v>6.497724628168467</v>
      </c>
      <c r="G350" s="50">
        <v>0.0</v>
      </c>
      <c r="H350" s="50">
        <v>0.0</v>
      </c>
      <c r="I350" s="50">
        <v>0.0</v>
      </c>
      <c r="J350" s="50">
        <v>0.0</v>
      </c>
      <c r="K350" s="50">
        <v>0.0</v>
      </c>
      <c r="L350" s="50">
        <v>0.0</v>
      </c>
      <c r="M350" s="50">
        <v>0.0</v>
      </c>
      <c r="N350" s="50">
        <v>0.0</v>
      </c>
      <c r="O350" s="50">
        <v>0.0</v>
      </c>
      <c r="P350" s="50">
        <v>0.0</v>
      </c>
      <c r="Q350" s="50">
        <v>0.0</v>
      </c>
      <c r="R350" s="50">
        <v>0.0</v>
      </c>
      <c r="S350" s="50">
        <v>0.0</v>
      </c>
      <c r="T350" s="50">
        <v>2.8125</v>
      </c>
      <c r="U350" s="50">
        <v>0.0</v>
      </c>
      <c r="V350" s="50">
        <v>0.0</v>
      </c>
      <c r="W350" s="50">
        <v>0.0</v>
      </c>
      <c r="X350" s="50">
        <v>2.8125</v>
      </c>
      <c r="Y350" s="50">
        <v>5.625</v>
      </c>
    </row>
    <row r="351">
      <c r="A351" s="26">
        <v>345.0</v>
      </c>
      <c r="B351" s="65">
        <v>-0.24210859269008783</v>
      </c>
      <c r="C351" s="65">
        <v>-1.0192420175528853</v>
      </c>
      <c r="D351" s="65">
        <v>-0.7152038012257361</v>
      </c>
      <c r="E351" s="65">
        <v>-2.012058732332145</v>
      </c>
      <c r="F351" s="65">
        <v>3.4339495138630665</v>
      </c>
      <c r="G351" s="50">
        <v>0.0</v>
      </c>
      <c r="H351" s="50">
        <v>0.0</v>
      </c>
      <c r="I351" s="50">
        <v>0.0</v>
      </c>
      <c r="J351" s="50">
        <v>0.0</v>
      </c>
      <c r="K351" s="50">
        <v>0.0</v>
      </c>
      <c r="L351" s="50">
        <v>0.0</v>
      </c>
      <c r="M351" s="50">
        <v>0.0</v>
      </c>
      <c r="N351" s="50">
        <v>0.0</v>
      </c>
      <c r="O351" s="50">
        <v>0.0</v>
      </c>
      <c r="P351" s="50">
        <v>0.0</v>
      </c>
      <c r="Q351" s="50">
        <v>0.0</v>
      </c>
      <c r="R351" s="50">
        <v>0.0</v>
      </c>
      <c r="S351" s="50">
        <v>0.0</v>
      </c>
      <c r="T351" s="50">
        <v>2.8125</v>
      </c>
      <c r="U351" s="50">
        <v>0.0</v>
      </c>
      <c r="V351" s="50">
        <v>5.625</v>
      </c>
      <c r="W351" s="50">
        <v>4.95</v>
      </c>
      <c r="X351" s="50">
        <v>2.8125</v>
      </c>
      <c r="Y351" s="50">
        <v>16.2</v>
      </c>
    </row>
    <row r="352">
      <c r="A352" s="26">
        <v>346.0</v>
      </c>
      <c r="B352" s="65">
        <v>0.36749559121975517</v>
      </c>
      <c r="C352" s="65">
        <v>-0.7685800598857196</v>
      </c>
      <c r="D352" s="65">
        <v>1.53133233561905</v>
      </c>
      <c r="E352" s="65">
        <v>-0.18608070006491323</v>
      </c>
      <c r="F352" s="65">
        <v>3.132798858674942</v>
      </c>
      <c r="G352" s="50">
        <v>0.0</v>
      </c>
      <c r="H352" s="50">
        <v>0.0</v>
      </c>
      <c r="I352" s="50">
        <v>0.0</v>
      </c>
      <c r="J352" s="50">
        <v>0.0</v>
      </c>
      <c r="K352" s="50">
        <v>0.0</v>
      </c>
      <c r="L352" s="50">
        <v>0.0</v>
      </c>
      <c r="M352" s="50">
        <v>0.0</v>
      </c>
      <c r="N352" s="50">
        <v>0.0</v>
      </c>
      <c r="O352" s="50">
        <v>0.0</v>
      </c>
      <c r="P352" s="50">
        <v>0.0</v>
      </c>
      <c r="Q352" s="50">
        <v>0.0</v>
      </c>
      <c r="R352" s="50">
        <v>0.0</v>
      </c>
      <c r="S352" s="50">
        <v>0.0</v>
      </c>
      <c r="T352" s="50">
        <v>2.8125</v>
      </c>
      <c r="U352" s="50">
        <v>0.0</v>
      </c>
      <c r="V352" s="50">
        <v>0.0</v>
      </c>
      <c r="W352" s="50">
        <v>0.0</v>
      </c>
      <c r="X352" s="50">
        <v>2.8125</v>
      </c>
      <c r="Y352" s="50">
        <v>5.625</v>
      </c>
    </row>
    <row r="353">
      <c r="A353" s="26">
        <v>347.0</v>
      </c>
      <c r="B353" s="65">
        <v>-2.9676555168895753</v>
      </c>
      <c r="C353" s="65">
        <v>-1.0551015593654656</v>
      </c>
      <c r="D353" s="65">
        <v>-0.5624702279479021</v>
      </c>
      <c r="E353" s="65">
        <v>-0.023698080958972863</v>
      </c>
      <c r="F353" s="65">
        <v>4.637942481808496</v>
      </c>
      <c r="G353" s="50">
        <v>0.0</v>
      </c>
      <c r="H353" s="50">
        <v>0.0</v>
      </c>
      <c r="I353" s="50">
        <v>0.0</v>
      </c>
      <c r="J353" s="50">
        <v>0.0</v>
      </c>
      <c r="K353" s="50">
        <v>0.0</v>
      </c>
      <c r="L353" s="50">
        <v>0.0</v>
      </c>
      <c r="M353" s="50">
        <v>0.0</v>
      </c>
      <c r="N353" s="50">
        <v>0.0</v>
      </c>
      <c r="O353" s="50">
        <v>7.425000000000001</v>
      </c>
      <c r="P353" s="50">
        <v>2.475</v>
      </c>
      <c r="Q353" s="50">
        <v>0.0</v>
      </c>
      <c r="R353" s="50">
        <v>9.9</v>
      </c>
      <c r="S353" s="50">
        <v>0.0</v>
      </c>
      <c r="T353" s="50">
        <v>2.8125</v>
      </c>
      <c r="U353" s="50">
        <v>9.9</v>
      </c>
      <c r="V353" s="50">
        <v>5.625</v>
      </c>
      <c r="W353" s="50">
        <v>4.95</v>
      </c>
      <c r="X353" s="50">
        <v>2.8125</v>
      </c>
      <c r="Y353" s="50">
        <v>45.900000000000006</v>
      </c>
    </row>
    <row r="354">
      <c r="A354" s="26">
        <v>348.0</v>
      </c>
      <c r="B354" s="65">
        <v>1.1087786795542245</v>
      </c>
      <c r="C354" s="65">
        <v>0.2603601044923235</v>
      </c>
      <c r="D354" s="65">
        <v>-0.3205575344211107</v>
      </c>
      <c r="E354" s="65">
        <v>-1.0602970250884307</v>
      </c>
      <c r="F354" s="65">
        <v>0.6943869745851198</v>
      </c>
      <c r="G354" s="50">
        <v>0.0</v>
      </c>
      <c r="H354" s="50">
        <v>0.0</v>
      </c>
      <c r="I354" s="50">
        <v>0.0</v>
      </c>
      <c r="J354" s="50">
        <v>0.0</v>
      </c>
      <c r="K354" s="50">
        <v>0.0</v>
      </c>
      <c r="L354" s="50">
        <v>0.0</v>
      </c>
      <c r="M354" s="50">
        <v>0.0</v>
      </c>
      <c r="N354" s="50">
        <v>0.0</v>
      </c>
      <c r="O354" s="50">
        <v>0.0</v>
      </c>
      <c r="P354" s="50">
        <v>0.0</v>
      </c>
      <c r="Q354" s="50">
        <v>0.0</v>
      </c>
      <c r="R354" s="50">
        <v>0.0</v>
      </c>
      <c r="S354" s="50">
        <v>0.0</v>
      </c>
      <c r="T354" s="50">
        <v>0.0</v>
      </c>
      <c r="U354" s="50">
        <v>0.0</v>
      </c>
      <c r="V354" s="50">
        <v>5.625</v>
      </c>
      <c r="W354" s="50">
        <v>0.0</v>
      </c>
      <c r="X354" s="50">
        <v>2.8125</v>
      </c>
      <c r="Y354" s="50">
        <v>8.4375</v>
      </c>
    </row>
    <row r="355">
      <c r="A355" s="26">
        <v>349.0</v>
      </c>
      <c r="B355" s="65">
        <v>-0.09744275025245748</v>
      </c>
      <c r="C355" s="65">
        <v>-0.9447969260200989</v>
      </c>
      <c r="D355" s="65">
        <v>0.976838838845816</v>
      </c>
      <c r="E355" s="65">
        <v>-0.954419911594561</v>
      </c>
      <c r="F355" s="65">
        <v>3.1037472024381185</v>
      </c>
      <c r="G355" s="50">
        <v>0.0</v>
      </c>
      <c r="H355" s="50">
        <v>0.0</v>
      </c>
      <c r="I355" s="50">
        <v>0.0</v>
      </c>
      <c r="J355" s="50">
        <v>0.0</v>
      </c>
      <c r="K355" s="50">
        <v>0.0</v>
      </c>
      <c r="L355" s="50">
        <v>0.0</v>
      </c>
      <c r="M355" s="50">
        <v>0.0</v>
      </c>
      <c r="N355" s="50">
        <v>0.0</v>
      </c>
      <c r="O355" s="50">
        <v>7.425000000000001</v>
      </c>
      <c r="P355" s="50">
        <v>0.0</v>
      </c>
      <c r="Q355" s="50">
        <v>0.0</v>
      </c>
      <c r="R355" s="50">
        <v>0.0</v>
      </c>
      <c r="S355" s="50">
        <v>0.0</v>
      </c>
      <c r="T355" s="50">
        <v>2.8125</v>
      </c>
      <c r="U355" s="50">
        <v>0.0</v>
      </c>
      <c r="V355" s="50">
        <v>0.0</v>
      </c>
      <c r="W355" s="50">
        <v>0.0</v>
      </c>
      <c r="X355" s="50">
        <v>2.8125</v>
      </c>
      <c r="Y355" s="50">
        <v>13.05</v>
      </c>
    </row>
    <row r="356">
      <c r="A356" s="26">
        <v>350.0</v>
      </c>
      <c r="B356" s="65">
        <v>-1.2062828874830867</v>
      </c>
      <c r="C356" s="65">
        <v>0.21510594388540302</v>
      </c>
      <c r="D356" s="65">
        <v>3.0349322952678968</v>
      </c>
      <c r="E356" s="65">
        <v>-0.5733432576322184</v>
      </c>
      <c r="F356" s="65">
        <v>1.1869377050925216</v>
      </c>
      <c r="G356" s="50">
        <v>0.0</v>
      </c>
      <c r="H356" s="50">
        <v>0.0</v>
      </c>
      <c r="I356" s="50">
        <v>0.0</v>
      </c>
      <c r="J356" s="50">
        <v>0.0</v>
      </c>
      <c r="K356" s="50">
        <v>0.0</v>
      </c>
      <c r="L356" s="50">
        <v>0.0</v>
      </c>
      <c r="M356" s="50">
        <v>0.0</v>
      </c>
      <c r="N356" s="50">
        <v>0.0</v>
      </c>
      <c r="O356" s="50">
        <v>0.0</v>
      </c>
      <c r="P356" s="50">
        <v>0.0</v>
      </c>
      <c r="Q356" s="50">
        <v>0.0</v>
      </c>
      <c r="R356" s="50">
        <v>9.9</v>
      </c>
      <c r="S356" s="50">
        <v>0.0</v>
      </c>
      <c r="T356" s="50">
        <v>2.8125</v>
      </c>
      <c r="U356" s="50">
        <v>9.9</v>
      </c>
      <c r="V356" s="50">
        <v>5.625</v>
      </c>
      <c r="W356" s="50">
        <v>0.0</v>
      </c>
      <c r="X356" s="50">
        <v>2.8125</v>
      </c>
      <c r="Y356" s="50">
        <v>31.05</v>
      </c>
    </row>
    <row r="357">
      <c r="A357" s="26">
        <v>351.0</v>
      </c>
      <c r="B357" s="65">
        <v>-0.9149051170521697</v>
      </c>
      <c r="C357" s="65">
        <v>0.9964881500813376</v>
      </c>
      <c r="D357" s="65">
        <v>-1.213288110496359</v>
      </c>
      <c r="E357" s="65">
        <v>-1.781121826642374</v>
      </c>
      <c r="F357" s="65">
        <v>4.750009850168411</v>
      </c>
      <c r="G357" s="50">
        <v>0.0</v>
      </c>
      <c r="H357" s="50">
        <v>0.0</v>
      </c>
      <c r="I357" s="50">
        <v>0.0</v>
      </c>
      <c r="J357" s="50">
        <v>0.0</v>
      </c>
      <c r="K357" s="50">
        <v>0.0</v>
      </c>
      <c r="L357" s="50">
        <v>0.0</v>
      </c>
      <c r="M357" s="50">
        <v>0.0</v>
      </c>
      <c r="N357" s="50">
        <v>0.0</v>
      </c>
      <c r="O357" s="50">
        <v>7.425000000000001</v>
      </c>
      <c r="P357" s="50">
        <v>2.475</v>
      </c>
      <c r="Q357" s="50">
        <v>0.0</v>
      </c>
      <c r="R357" s="50">
        <v>0.0</v>
      </c>
      <c r="S357" s="50">
        <v>0.0</v>
      </c>
      <c r="T357" s="50">
        <v>2.8125</v>
      </c>
      <c r="U357" s="50">
        <v>9.9</v>
      </c>
      <c r="V357" s="50">
        <v>5.625</v>
      </c>
      <c r="W357" s="50">
        <v>0.0</v>
      </c>
      <c r="X357" s="50">
        <v>2.8125</v>
      </c>
      <c r="Y357" s="50">
        <v>31.05</v>
      </c>
    </row>
    <row r="358">
      <c r="A358" s="26">
        <v>352.0</v>
      </c>
      <c r="B358" s="65">
        <v>0.60783895602205</v>
      </c>
      <c r="C358" s="65">
        <v>-1.0128783946141882</v>
      </c>
      <c r="D358" s="65">
        <v>1.3065802745194053</v>
      </c>
      <c r="E358" s="65">
        <v>-0.6851351858470278</v>
      </c>
      <c r="F358" s="65">
        <v>10.267770655829697</v>
      </c>
      <c r="G358" s="50">
        <v>0.0</v>
      </c>
      <c r="H358" s="50">
        <v>0.0</v>
      </c>
      <c r="I358" s="50">
        <v>0.0</v>
      </c>
      <c r="J358" s="50">
        <v>0.0</v>
      </c>
      <c r="K358" s="50">
        <v>0.0</v>
      </c>
      <c r="L358" s="50">
        <v>0.0</v>
      </c>
      <c r="M358" s="50">
        <v>0.0</v>
      </c>
      <c r="N358" s="50">
        <v>0.0</v>
      </c>
      <c r="O358" s="50">
        <v>0.0</v>
      </c>
      <c r="P358" s="50">
        <v>0.0</v>
      </c>
      <c r="Q358" s="50">
        <v>0.0</v>
      </c>
      <c r="R358" s="50">
        <v>0.0</v>
      </c>
      <c r="S358" s="50">
        <v>0.0</v>
      </c>
      <c r="T358" s="50">
        <v>2.8125</v>
      </c>
      <c r="U358" s="50">
        <v>0.0</v>
      </c>
      <c r="V358" s="50">
        <v>0.0</v>
      </c>
      <c r="W358" s="50">
        <v>0.0</v>
      </c>
      <c r="X358" s="50">
        <v>2.8125</v>
      </c>
      <c r="Y358" s="50">
        <v>5.625</v>
      </c>
    </row>
    <row r="359">
      <c r="A359" s="26">
        <v>353.0</v>
      </c>
      <c r="B359" s="65">
        <v>0.38831590981882597</v>
      </c>
      <c r="C359" s="65">
        <v>1.0187020482007143</v>
      </c>
      <c r="D359" s="65">
        <v>-0.033911999451366914</v>
      </c>
      <c r="E359" s="65">
        <v>-0.13519751475531272</v>
      </c>
      <c r="F359" s="65">
        <v>7.962700845835862</v>
      </c>
      <c r="G359" s="50">
        <v>0.0</v>
      </c>
      <c r="H359" s="50">
        <v>0.0</v>
      </c>
      <c r="I359" s="50">
        <v>0.0</v>
      </c>
      <c r="J359" s="50">
        <v>0.0</v>
      </c>
      <c r="K359" s="50">
        <v>0.0</v>
      </c>
      <c r="L359" s="50">
        <v>0.0</v>
      </c>
      <c r="M359" s="50">
        <v>0.0</v>
      </c>
      <c r="N359" s="50">
        <v>0.0</v>
      </c>
      <c r="O359" s="50">
        <v>0.0</v>
      </c>
      <c r="P359" s="50">
        <v>0.0</v>
      </c>
      <c r="Q359" s="50">
        <v>0.0</v>
      </c>
      <c r="R359" s="50">
        <v>0.0</v>
      </c>
      <c r="S359" s="50">
        <v>0.0</v>
      </c>
      <c r="T359" s="50">
        <v>2.8125</v>
      </c>
      <c r="U359" s="50">
        <v>0.0</v>
      </c>
      <c r="V359" s="50">
        <v>0.0</v>
      </c>
      <c r="W359" s="50">
        <v>0.0</v>
      </c>
      <c r="X359" s="50">
        <v>2.8125</v>
      </c>
      <c r="Y359" s="50">
        <v>5.625</v>
      </c>
    </row>
    <row r="360">
      <c r="A360" s="26">
        <v>354.0</v>
      </c>
      <c r="B360" s="65">
        <v>-0.6824426494687359</v>
      </c>
      <c r="C360" s="65">
        <v>-0.9785913093542252</v>
      </c>
      <c r="D360" s="65">
        <v>-0.0520489675143452</v>
      </c>
      <c r="E360" s="65">
        <v>0.23604491972795238</v>
      </c>
      <c r="F360" s="65">
        <v>8.4004197188931</v>
      </c>
      <c r="G360" s="50">
        <v>0.0</v>
      </c>
      <c r="H360" s="50">
        <v>0.0</v>
      </c>
      <c r="I360" s="50">
        <v>0.0</v>
      </c>
      <c r="J360" s="50">
        <v>0.0</v>
      </c>
      <c r="K360" s="50">
        <v>0.0</v>
      </c>
      <c r="L360" s="50">
        <v>0.0</v>
      </c>
      <c r="M360" s="50">
        <v>0.0</v>
      </c>
      <c r="N360" s="50">
        <v>0.0</v>
      </c>
      <c r="O360" s="50">
        <v>0.0</v>
      </c>
      <c r="P360" s="50">
        <v>0.0</v>
      </c>
      <c r="Q360" s="50">
        <v>0.0</v>
      </c>
      <c r="R360" s="50">
        <v>0.0</v>
      </c>
      <c r="S360" s="50">
        <v>0.0</v>
      </c>
      <c r="T360" s="50">
        <v>2.8125</v>
      </c>
      <c r="U360" s="50">
        <v>0.0</v>
      </c>
      <c r="V360" s="50">
        <v>5.625</v>
      </c>
      <c r="W360" s="50">
        <v>0.0</v>
      </c>
      <c r="X360" s="50">
        <v>2.8125</v>
      </c>
      <c r="Y360" s="50">
        <v>11.25</v>
      </c>
    </row>
    <row r="361">
      <c r="A361" s="26">
        <v>355.0</v>
      </c>
      <c r="B361" s="65">
        <v>0.6530317932339538</v>
      </c>
      <c r="C361" s="65">
        <v>0.4727206757155705</v>
      </c>
      <c r="D361" s="65">
        <v>0.4422504357989493</v>
      </c>
      <c r="E361" s="65">
        <v>-0.3044348178842946</v>
      </c>
      <c r="F361" s="65">
        <v>1.7748504198451742</v>
      </c>
      <c r="G361" s="50">
        <v>0.0</v>
      </c>
      <c r="H361" s="50">
        <v>0.0</v>
      </c>
      <c r="I361" s="50">
        <v>0.0</v>
      </c>
      <c r="J361" s="50">
        <v>0.0</v>
      </c>
      <c r="K361" s="50">
        <v>0.0</v>
      </c>
      <c r="L361" s="50">
        <v>0.0</v>
      </c>
      <c r="M361" s="50">
        <v>0.0</v>
      </c>
      <c r="N361" s="50">
        <v>0.0</v>
      </c>
      <c r="O361" s="50">
        <v>0.0</v>
      </c>
      <c r="P361" s="50">
        <v>0.0</v>
      </c>
      <c r="Q361" s="50">
        <v>0.0</v>
      </c>
      <c r="R361" s="50">
        <v>0.0</v>
      </c>
      <c r="S361" s="50">
        <v>0.0</v>
      </c>
      <c r="T361" s="50">
        <v>2.8125</v>
      </c>
      <c r="U361" s="50">
        <v>0.0</v>
      </c>
      <c r="V361" s="50">
        <v>0.0</v>
      </c>
      <c r="W361" s="50">
        <v>4.95</v>
      </c>
      <c r="X361" s="50">
        <v>2.8125</v>
      </c>
      <c r="Y361" s="50">
        <v>10.575</v>
      </c>
    </row>
    <row r="362">
      <c r="A362" s="26">
        <v>356.0</v>
      </c>
      <c r="B362" s="65">
        <v>-0.639825355490279</v>
      </c>
      <c r="C362" s="65">
        <v>0.9449188519878983</v>
      </c>
      <c r="D362" s="65">
        <v>0.7884388073881644</v>
      </c>
      <c r="E362" s="65">
        <v>-2.4777128133587767</v>
      </c>
      <c r="F362" s="65">
        <v>2.5307790161583075</v>
      </c>
      <c r="G362" s="50">
        <v>0.0</v>
      </c>
      <c r="H362" s="50">
        <v>0.0</v>
      </c>
      <c r="I362" s="50">
        <v>0.0</v>
      </c>
      <c r="J362" s="50">
        <v>0.0</v>
      </c>
      <c r="K362" s="50">
        <v>0.0</v>
      </c>
      <c r="L362" s="50">
        <v>0.0</v>
      </c>
      <c r="M362" s="50">
        <v>0.0</v>
      </c>
      <c r="N362" s="50">
        <v>0.0</v>
      </c>
      <c r="O362" s="50">
        <v>7.425000000000001</v>
      </c>
      <c r="P362" s="50">
        <v>0.0</v>
      </c>
      <c r="Q362" s="50">
        <v>0.0</v>
      </c>
      <c r="R362" s="50">
        <v>0.0</v>
      </c>
      <c r="S362" s="50">
        <v>0.0</v>
      </c>
      <c r="T362" s="50">
        <v>2.8125</v>
      </c>
      <c r="U362" s="50">
        <v>9.9</v>
      </c>
      <c r="V362" s="50">
        <v>5.625</v>
      </c>
      <c r="W362" s="50">
        <v>4.95</v>
      </c>
      <c r="X362" s="50">
        <v>2.8125</v>
      </c>
      <c r="Y362" s="50">
        <v>33.525000000000006</v>
      </c>
    </row>
    <row r="363">
      <c r="A363" s="26">
        <v>357.0</v>
      </c>
      <c r="B363" s="65">
        <v>1.020314190063976</v>
      </c>
      <c r="C363" s="65">
        <v>-1.1411782176184053</v>
      </c>
      <c r="D363" s="65">
        <v>-0.08648513277619295</v>
      </c>
      <c r="E363" s="65">
        <v>1.0884043968483366</v>
      </c>
      <c r="F363" s="65">
        <v>1.813866152098198</v>
      </c>
      <c r="G363" s="50">
        <v>0.0</v>
      </c>
      <c r="H363" s="50">
        <v>0.0</v>
      </c>
      <c r="I363" s="50">
        <v>0.0</v>
      </c>
      <c r="J363" s="50">
        <v>0.0</v>
      </c>
      <c r="K363" s="50">
        <v>0.0</v>
      </c>
      <c r="L363" s="50">
        <v>0.0</v>
      </c>
      <c r="M363" s="50">
        <v>0.0</v>
      </c>
      <c r="N363" s="50">
        <v>0.0</v>
      </c>
      <c r="O363" s="50">
        <v>0.0</v>
      </c>
      <c r="P363" s="50">
        <v>0.0</v>
      </c>
      <c r="Q363" s="50">
        <v>0.0</v>
      </c>
      <c r="R363" s="50">
        <v>0.0</v>
      </c>
      <c r="S363" s="50">
        <v>0.0</v>
      </c>
      <c r="T363" s="50">
        <v>2.8125</v>
      </c>
      <c r="U363" s="50">
        <v>0.0</v>
      </c>
      <c r="V363" s="50">
        <v>0.0</v>
      </c>
      <c r="W363" s="50">
        <v>0.0</v>
      </c>
      <c r="X363" s="50">
        <v>2.8125</v>
      </c>
      <c r="Y363" s="50">
        <v>5.625</v>
      </c>
    </row>
    <row r="364">
      <c r="A364" s="26">
        <v>358.0</v>
      </c>
      <c r="B364" s="65">
        <v>-0.9556799802189853</v>
      </c>
      <c r="C364" s="65">
        <v>-0.2807261479648533</v>
      </c>
      <c r="D364" s="65">
        <v>-0.1894086333961753</v>
      </c>
      <c r="E364" s="65">
        <v>1.8606798216417546</v>
      </c>
      <c r="F364" s="65">
        <v>2.8270568058348853</v>
      </c>
      <c r="G364" s="50">
        <v>0.0</v>
      </c>
      <c r="H364" s="50">
        <v>0.0</v>
      </c>
      <c r="I364" s="50">
        <v>0.0</v>
      </c>
      <c r="J364" s="50">
        <v>0.0</v>
      </c>
      <c r="K364" s="50">
        <v>0.0</v>
      </c>
      <c r="L364" s="50">
        <v>0.0</v>
      </c>
      <c r="M364" s="50">
        <v>0.0</v>
      </c>
      <c r="N364" s="50">
        <v>0.0</v>
      </c>
      <c r="O364" s="50">
        <v>0.0</v>
      </c>
      <c r="P364" s="50">
        <v>0.0</v>
      </c>
      <c r="Q364" s="50">
        <v>0.0</v>
      </c>
      <c r="R364" s="50">
        <v>0.0</v>
      </c>
      <c r="S364" s="50">
        <v>0.0</v>
      </c>
      <c r="T364" s="50">
        <v>2.8125</v>
      </c>
      <c r="U364" s="50">
        <v>0.0</v>
      </c>
      <c r="V364" s="50">
        <v>0.0</v>
      </c>
      <c r="W364" s="50">
        <v>0.0</v>
      </c>
      <c r="X364" s="50">
        <v>2.8125</v>
      </c>
      <c r="Y364" s="50">
        <v>5.625</v>
      </c>
    </row>
    <row r="365">
      <c r="A365" s="26">
        <v>359.0</v>
      </c>
      <c r="B365" s="65">
        <v>0.9407260688398152</v>
      </c>
      <c r="C365" s="65">
        <v>0.34730613552331896</v>
      </c>
      <c r="D365" s="65">
        <v>-2.471038685218251</v>
      </c>
      <c r="E365" s="65">
        <v>1.2039347759797785</v>
      </c>
      <c r="F365" s="65">
        <v>2.4521697464044254</v>
      </c>
      <c r="G365" s="50">
        <v>0.0</v>
      </c>
      <c r="H365" s="50">
        <v>0.0</v>
      </c>
      <c r="I365" s="50">
        <v>0.0</v>
      </c>
      <c r="J365" s="50">
        <v>0.0</v>
      </c>
      <c r="K365" s="50">
        <v>0.0</v>
      </c>
      <c r="L365" s="50">
        <v>0.0</v>
      </c>
      <c r="M365" s="50">
        <v>0.0</v>
      </c>
      <c r="N365" s="50">
        <v>0.0</v>
      </c>
      <c r="O365" s="50">
        <v>0.0</v>
      </c>
      <c r="P365" s="50">
        <v>0.0</v>
      </c>
      <c r="Q365" s="50">
        <v>0.0</v>
      </c>
      <c r="R365" s="50">
        <v>9.9</v>
      </c>
      <c r="S365" s="50">
        <v>0.0</v>
      </c>
      <c r="T365" s="50">
        <v>2.8125</v>
      </c>
      <c r="U365" s="50">
        <v>0.0</v>
      </c>
      <c r="V365" s="50">
        <v>0.0</v>
      </c>
      <c r="W365" s="50">
        <v>0.0</v>
      </c>
      <c r="X365" s="50">
        <v>2.8125</v>
      </c>
      <c r="Y365" s="50">
        <v>15.525</v>
      </c>
    </row>
    <row r="366">
      <c r="A366" s="26">
        <v>360.0</v>
      </c>
      <c r="B366" s="65">
        <v>0.4992979945095714</v>
      </c>
      <c r="C366" s="65">
        <v>-1.4944159139347208</v>
      </c>
      <c r="D366" s="65">
        <v>-0.6163271447503591</v>
      </c>
      <c r="E366" s="65">
        <v>0.7389481665630175</v>
      </c>
      <c r="F366" s="65">
        <v>13.846116546483213</v>
      </c>
      <c r="G366" s="50">
        <v>0.0</v>
      </c>
      <c r="H366" s="50">
        <v>0.0</v>
      </c>
      <c r="I366" s="50">
        <v>0.0</v>
      </c>
      <c r="J366" s="50">
        <v>0.0</v>
      </c>
      <c r="K366" s="50">
        <v>0.0</v>
      </c>
      <c r="L366" s="50">
        <v>0.0</v>
      </c>
      <c r="M366" s="50">
        <v>0.0</v>
      </c>
      <c r="N366" s="50">
        <v>0.0</v>
      </c>
      <c r="O366" s="50">
        <v>0.0</v>
      </c>
      <c r="P366" s="50">
        <v>0.0</v>
      </c>
      <c r="Q366" s="50">
        <v>0.0</v>
      </c>
      <c r="R366" s="50">
        <v>0.0</v>
      </c>
      <c r="S366" s="50">
        <v>0.0</v>
      </c>
      <c r="T366" s="50">
        <v>2.8125</v>
      </c>
      <c r="U366" s="50">
        <v>0.0</v>
      </c>
      <c r="V366" s="50">
        <v>0.0</v>
      </c>
      <c r="W366" s="50">
        <v>0.0</v>
      </c>
      <c r="X366" s="50">
        <v>2.8125</v>
      </c>
      <c r="Y366" s="50">
        <v>5.625</v>
      </c>
    </row>
    <row r="367">
      <c r="A367" s="26">
        <v>361.0</v>
      </c>
      <c r="B367" s="65">
        <v>1.1920137263109238</v>
      </c>
      <c r="C367" s="65">
        <v>-1.1891311731729068</v>
      </c>
      <c r="D367" s="65">
        <v>0.5245939374198566</v>
      </c>
      <c r="E367" s="65">
        <v>-0.6087727588093998</v>
      </c>
      <c r="F367" s="65">
        <v>5.630562924152299</v>
      </c>
      <c r="G367" s="50">
        <v>0.0</v>
      </c>
      <c r="H367" s="50">
        <v>0.0</v>
      </c>
      <c r="I367" s="50">
        <v>0.0</v>
      </c>
      <c r="J367" s="50">
        <v>0.0</v>
      </c>
      <c r="K367" s="50">
        <v>0.0</v>
      </c>
      <c r="L367" s="50">
        <v>0.0</v>
      </c>
      <c r="M367" s="50">
        <v>0.0</v>
      </c>
      <c r="N367" s="50">
        <v>0.0</v>
      </c>
      <c r="O367" s="50">
        <v>0.0</v>
      </c>
      <c r="P367" s="50">
        <v>0.0</v>
      </c>
      <c r="Q367" s="50">
        <v>0.0</v>
      </c>
      <c r="R367" s="50">
        <v>0.0</v>
      </c>
      <c r="S367" s="50">
        <v>0.0</v>
      </c>
      <c r="T367" s="50">
        <v>2.8125</v>
      </c>
      <c r="U367" s="50">
        <v>0.0</v>
      </c>
      <c r="V367" s="50">
        <v>0.0</v>
      </c>
      <c r="W367" s="50">
        <v>0.0</v>
      </c>
      <c r="X367" s="50">
        <v>2.8125</v>
      </c>
      <c r="Y367" s="50">
        <v>5.625</v>
      </c>
    </row>
    <row r="368">
      <c r="A368" s="26">
        <v>362.0</v>
      </c>
      <c r="B368" s="65">
        <v>0.16751893313757749</v>
      </c>
      <c r="C368" s="65">
        <v>0.35053647659693105</v>
      </c>
      <c r="D368" s="65">
        <v>-1.014609007606434</v>
      </c>
      <c r="E368" s="65">
        <v>-0.03561618225307125</v>
      </c>
      <c r="F368" s="65">
        <v>4.69341442510304</v>
      </c>
      <c r="G368" s="50">
        <v>0.0</v>
      </c>
      <c r="H368" s="50">
        <v>0.0</v>
      </c>
      <c r="I368" s="50">
        <v>0.0</v>
      </c>
      <c r="J368" s="50">
        <v>0.0</v>
      </c>
      <c r="K368" s="50">
        <v>0.0</v>
      </c>
      <c r="L368" s="50">
        <v>0.0</v>
      </c>
      <c r="M368" s="50">
        <v>0.0</v>
      </c>
      <c r="N368" s="50">
        <v>0.0</v>
      </c>
      <c r="O368" s="50">
        <v>0.0</v>
      </c>
      <c r="P368" s="50">
        <v>0.0</v>
      </c>
      <c r="Q368" s="50">
        <v>0.0</v>
      </c>
      <c r="R368" s="50">
        <v>0.0</v>
      </c>
      <c r="S368" s="50">
        <v>0.0</v>
      </c>
      <c r="T368" s="50">
        <v>2.8125</v>
      </c>
      <c r="U368" s="50">
        <v>0.0</v>
      </c>
      <c r="V368" s="50">
        <v>0.0</v>
      </c>
      <c r="W368" s="50">
        <v>0.0</v>
      </c>
      <c r="X368" s="50">
        <v>2.8125</v>
      </c>
      <c r="Y368" s="50">
        <v>5.625</v>
      </c>
    </row>
    <row r="369">
      <c r="A369" s="26">
        <v>363.0</v>
      </c>
      <c r="B369" s="65">
        <v>1.0348819380956602</v>
      </c>
      <c r="C369" s="65">
        <v>-0.5191509516268159</v>
      </c>
      <c r="D369" s="65">
        <v>-0.06013335020059617</v>
      </c>
      <c r="E369" s="65">
        <v>0.7424531367331878</v>
      </c>
      <c r="F369" s="65">
        <v>9.40516557355385</v>
      </c>
      <c r="G369" s="50">
        <v>0.0</v>
      </c>
      <c r="H369" s="50">
        <v>0.0</v>
      </c>
      <c r="I369" s="50">
        <v>0.0</v>
      </c>
      <c r="J369" s="50">
        <v>0.0</v>
      </c>
      <c r="K369" s="50">
        <v>0.0</v>
      </c>
      <c r="L369" s="50">
        <v>0.0</v>
      </c>
      <c r="M369" s="50">
        <v>0.0</v>
      </c>
      <c r="N369" s="50">
        <v>0.0</v>
      </c>
      <c r="O369" s="50">
        <v>0.0</v>
      </c>
      <c r="P369" s="50">
        <v>0.0</v>
      </c>
      <c r="Q369" s="50">
        <v>0.0</v>
      </c>
      <c r="R369" s="50">
        <v>0.0</v>
      </c>
      <c r="S369" s="50">
        <v>0.0</v>
      </c>
      <c r="T369" s="50">
        <v>2.8125</v>
      </c>
      <c r="U369" s="50">
        <v>0.0</v>
      </c>
      <c r="V369" s="50">
        <v>0.0</v>
      </c>
      <c r="W369" s="50">
        <v>0.0</v>
      </c>
      <c r="X369" s="50">
        <v>2.8125</v>
      </c>
      <c r="Y369" s="50">
        <v>5.625</v>
      </c>
    </row>
    <row r="370">
      <c r="A370" s="26">
        <v>364.0</v>
      </c>
      <c r="B370" s="65">
        <v>1.7853600839530288</v>
      </c>
      <c r="C370" s="65">
        <v>0.29512463043908205</v>
      </c>
      <c r="D370" s="65">
        <v>0.7953930064261833</v>
      </c>
      <c r="E370" s="65">
        <v>0.529416280900377</v>
      </c>
      <c r="F370" s="65">
        <v>2.782733939081884</v>
      </c>
      <c r="G370" s="50">
        <v>0.0</v>
      </c>
      <c r="H370" s="50">
        <v>0.0</v>
      </c>
      <c r="I370" s="50">
        <v>0.0</v>
      </c>
      <c r="J370" s="50">
        <v>0.0</v>
      </c>
      <c r="K370" s="50">
        <v>0.0</v>
      </c>
      <c r="L370" s="50">
        <v>0.0</v>
      </c>
      <c r="M370" s="50">
        <v>0.0</v>
      </c>
      <c r="N370" s="50">
        <v>0.0</v>
      </c>
      <c r="O370" s="50">
        <v>0.0</v>
      </c>
      <c r="P370" s="50">
        <v>0.0</v>
      </c>
      <c r="Q370" s="50">
        <v>0.0</v>
      </c>
      <c r="R370" s="50">
        <v>0.0</v>
      </c>
      <c r="S370" s="50">
        <v>0.0</v>
      </c>
      <c r="T370" s="50">
        <v>2.8125</v>
      </c>
      <c r="U370" s="50">
        <v>0.0</v>
      </c>
      <c r="V370" s="50">
        <v>0.0</v>
      </c>
      <c r="W370" s="50">
        <v>4.95</v>
      </c>
      <c r="X370" s="50">
        <v>2.8125</v>
      </c>
      <c r="Y370" s="50">
        <v>10.575</v>
      </c>
    </row>
    <row r="371">
      <c r="A371" s="26">
        <v>365.0</v>
      </c>
      <c r="B371" s="65">
        <v>0.4283534929267402</v>
      </c>
      <c r="C371" s="65">
        <v>0.4309132648016131</v>
      </c>
      <c r="D371" s="65">
        <v>0.20709986065022565</v>
      </c>
      <c r="E371" s="65">
        <v>-0.4839639877515954</v>
      </c>
      <c r="F371" s="65">
        <v>3.980873743454049</v>
      </c>
      <c r="G371" s="50">
        <v>0.0</v>
      </c>
      <c r="H371" s="50">
        <v>0.0</v>
      </c>
      <c r="I371" s="50">
        <v>0.0</v>
      </c>
      <c r="J371" s="50">
        <v>0.0</v>
      </c>
      <c r="K371" s="50">
        <v>0.0</v>
      </c>
      <c r="L371" s="50">
        <v>0.0</v>
      </c>
      <c r="M371" s="50">
        <v>0.0</v>
      </c>
      <c r="N371" s="50">
        <v>0.0</v>
      </c>
      <c r="O371" s="50">
        <v>0.0</v>
      </c>
      <c r="P371" s="50">
        <v>0.0</v>
      </c>
      <c r="Q371" s="50">
        <v>0.0</v>
      </c>
      <c r="R371" s="50">
        <v>0.0</v>
      </c>
      <c r="S371" s="50">
        <v>0.0</v>
      </c>
      <c r="T371" s="50">
        <v>2.8125</v>
      </c>
      <c r="U371" s="50">
        <v>0.0</v>
      </c>
      <c r="V371" s="50">
        <v>0.0</v>
      </c>
      <c r="W371" s="50">
        <v>0.0</v>
      </c>
      <c r="X371" s="50">
        <v>2.8125</v>
      </c>
      <c r="Y371" s="50">
        <v>5.625</v>
      </c>
    </row>
    <row r="372">
      <c r="A372" s="26">
        <v>366.0</v>
      </c>
      <c r="B372" s="65">
        <v>-0.5603182689925595</v>
      </c>
      <c r="C372" s="65">
        <v>-0.8275775047535769</v>
      </c>
      <c r="D372" s="65">
        <v>1.236983851363056</v>
      </c>
      <c r="E372" s="65">
        <v>0.16860604677712515</v>
      </c>
      <c r="F372" s="65">
        <v>1.7879761893873942</v>
      </c>
      <c r="G372" s="50">
        <v>0.0</v>
      </c>
      <c r="H372" s="50">
        <v>0.0</v>
      </c>
      <c r="I372" s="50">
        <v>0.0</v>
      </c>
      <c r="J372" s="50">
        <v>0.0</v>
      </c>
      <c r="K372" s="50">
        <v>0.0</v>
      </c>
      <c r="L372" s="50">
        <v>0.0</v>
      </c>
      <c r="M372" s="50">
        <v>0.0</v>
      </c>
      <c r="N372" s="50">
        <v>0.0</v>
      </c>
      <c r="O372" s="50">
        <v>0.0</v>
      </c>
      <c r="P372" s="50">
        <v>0.0</v>
      </c>
      <c r="Q372" s="50">
        <v>0.0</v>
      </c>
      <c r="R372" s="50">
        <v>0.0</v>
      </c>
      <c r="S372" s="50">
        <v>0.0</v>
      </c>
      <c r="T372" s="50">
        <v>2.8125</v>
      </c>
      <c r="U372" s="50">
        <v>0.0</v>
      </c>
      <c r="V372" s="50">
        <v>0.0</v>
      </c>
      <c r="W372" s="50">
        <v>4.95</v>
      </c>
      <c r="X372" s="50">
        <v>2.8125</v>
      </c>
      <c r="Y372" s="50">
        <v>10.575</v>
      </c>
    </row>
    <row r="373">
      <c r="A373" s="26">
        <v>367.0</v>
      </c>
      <c r="B373" s="65">
        <v>-1.4721082871149418</v>
      </c>
      <c r="C373" s="65">
        <v>0.22167249047313914</v>
      </c>
      <c r="D373" s="65">
        <v>-1.0819361855987515</v>
      </c>
      <c r="E373" s="65">
        <v>0.4063780019914734</v>
      </c>
      <c r="F373" s="65">
        <v>1.0973023306297578</v>
      </c>
      <c r="G373" s="50">
        <v>0.0</v>
      </c>
      <c r="H373" s="50">
        <v>0.0</v>
      </c>
      <c r="I373" s="50">
        <v>0.0</v>
      </c>
      <c r="J373" s="50">
        <v>0.0</v>
      </c>
      <c r="K373" s="50">
        <v>0.0</v>
      </c>
      <c r="L373" s="50">
        <v>0.0</v>
      </c>
      <c r="M373" s="50">
        <v>0.0</v>
      </c>
      <c r="N373" s="50">
        <v>0.0</v>
      </c>
      <c r="O373" s="50">
        <v>7.425000000000001</v>
      </c>
      <c r="P373" s="50">
        <v>2.475</v>
      </c>
      <c r="Q373" s="50">
        <v>0.0</v>
      </c>
      <c r="R373" s="50">
        <v>9.9</v>
      </c>
      <c r="S373" s="50">
        <v>0.0</v>
      </c>
      <c r="T373" s="50">
        <v>2.8125</v>
      </c>
      <c r="U373" s="50">
        <v>0.0</v>
      </c>
      <c r="V373" s="50">
        <v>5.625</v>
      </c>
      <c r="W373" s="50">
        <v>0.0</v>
      </c>
      <c r="X373" s="50">
        <v>2.8125</v>
      </c>
      <c r="Y373" s="50">
        <v>31.05</v>
      </c>
    </row>
    <row r="374">
      <c r="A374" s="26">
        <v>368.0</v>
      </c>
      <c r="B374" s="65">
        <v>0.2964156945855716</v>
      </c>
      <c r="C374" s="65">
        <v>0.21913172666991448</v>
      </c>
      <c r="D374" s="65">
        <v>0.7707087480203688</v>
      </c>
      <c r="E374" s="65">
        <v>0.30717322180772594</v>
      </c>
      <c r="F374" s="65">
        <v>2.1589249529904406</v>
      </c>
      <c r="G374" s="50">
        <v>0.0</v>
      </c>
      <c r="H374" s="50">
        <v>0.0</v>
      </c>
      <c r="I374" s="50">
        <v>0.0</v>
      </c>
      <c r="J374" s="50">
        <v>0.0</v>
      </c>
      <c r="K374" s="50">
        <v>0.0</v>
      </c>
      <c r="L374" s="50">
        <v>0.0</v>
      </c>
      <c r="M374" s="50">
        <v>0.0</v>
      </c>
      <c r="N374" s="50">
        <v>0.0</v>
      </c>
      <c r="O374" s="50">
        <v>0.0</v>
      </c>
      <c r="P374" s="50">
        <v>0.0</v>
      </c>
      <c r="Q374" s="50">
        <v>0.0</v>
      </c>
      <c r="R374" s="50">
        <v>0.0</v>
      </c>
      <c r="S374" s="50">
        <v>0.0</v>
      </c>
      <c r="T374" s="50">
        <v>2.8125</v>
      </c>
      <c r="U374" s="50">
        <v>0.0</v>
      </c>
      <c r="V374" s="50">
        <v>0.0</v>
      </c>
      <c r="W374" s="50">
        <v>4.95</v>
      </c>
      <c r="X374" s="50">
        <v>2.8125</v>
      </c>
      <c r="Y374" s="50">
        <v>10.575</v>
      </c>
    </row>
    <row r="375">
      <c r="A375" s="26">
        <v>369.0</v>
      </c>
      <c r="B375" s="65">
        <v>-1.4797914164856778</v>
      </c>
      <c r="C375" s="65">
        <v>-0.6059030925632543</v>
      </c>
      <c r="D375" s="65">
        <v>0.14021392947020161</v>
      </c>
      <c r="E375" s="65">
        <v>0.3152728719075084</v>
      </c>
      <c r="F375" s="65">
        <v>2.4839050353974277</v>
      </c>
      <c r="G375" s="50">
        <v>0.0</v>
      </c>
      <c r="H375" s="50">
        <v>0.0</v>
      </c>
      <c r="I375" s="50">
        <v>0.0</v>
      </c>
      <c r="J375" s="50">
        <v>0.0</v>
      </c>
      <c r="K375" s="50">
        <v>0.0</v>
      </c>
      <c r="L375" s="50">
        <v>0.0</v>
      </c>
      <c r="M375" s="50">
        <v>0.0</v>
      </c>
      <c r="N375" s="50">
        <v>0.0</v>
      </c>
      <c r="O375" s="50">
        <v>0.0</v>
      </c>
      <c r="P375" s="50">
        <v>0.0</v>
      </c>
      <c r="Q375" s="50">
        <v>0.0</v>
      </c>
      <c r="R375" s="50">
        <v>9.9</v>
      </c>
      <c r="S375" s="50">
        <v>0.0</v>
      </c>
      <c r="T375" s="50">
        <v>2.8125</v>
      </c>
      <c r="U375" s="50">
        <v>0.0</v>
      </c>
      <c r="V375" s="50">
        <v>5.625</v>
      </c>
      <c r="W375" s="50">
        <v>0.0</v>
      </c>
      <c r="X375" s="50">
        <v>2.8125</v>
      </c>
      <c r="Y375" s="50">
        <v>21.15</v>
      </c>
    </row>
    <row r="376">
      <c r="A376" s="26">
        <v>370.0</v>
      </c>
      <c r="B376" s="65">
        <v>-0.13672521782452732</v>
      </c>
      <c r="C376" s="65">
        <v>2.991790658949597</v>
      </c>
      <c r="D376" s="65">
        <v>1.378354759896783</v>
      </c>
      <c r="E376" s="65">
        <v>0.05757192295035867</v>
      </c>
      <c r="F376" s="65">
        <v>2.844960833875072</v>
      </c>
      <c r="G376" s="50">
        <v>0.0</v>
      </c>
      <c r="H376" s="50">
        <v>0.0</v>
      </c>
      <c r="I376" s="50">
        <v>0.0</v>
      </c>
      <c r="J376" s="50">
        <v>0.0</v>
      </c>
      <c r="K376" s="50">
        <v>0.0</v>
      </c>
      <c r="L376" s="50">
        <v>0.0</v>
      </c>
      <c r="M376" s="50">
        <v>0.0</v>
      </c>
      <c r="N376" s="50">
        <v>0.0</v>
      </c>
      <c r="O376" s="50">
        <v>0.0</v>
      </c>
      <c r="P376" s="50">
        <v>0.0</v>
      </c>
      <c r="Q376" s="50">
        <v>0.0</v>
      </c>
      <c r="R376" s="50">
        <v>0.0</v>
      </c>
      <c r="S376" s="50">
        <v>0.0</v>
      </c>
      <c r="T376" s="50">
        <v>2.8125</v>
      </c>
      <c r="U376" s="50">
        <v>9.9</v>
      </c>
      <c r="V376" s="50">
        <v>0.0</v>
      </c>
      <c r="W376" s="50">
        <v>0.0</v>
      </c>
      <c r="X376" s="50">
        <v>2.8125</v>
      </c>
      <c r="Y376" s="50">
        <v>15.525</v>
      </c>
    </row>
    <row r="377">
      <c r="A377" s="26">
        <v>371.0</v>
      </c>
      <c r="B377" s="65">
        <v>-0.8201028127137835</v>
      </c>
      <c r="C377" s="65">
        <v>0.05049057613487402</v>
      </c>
      <c r="D377" s="65">
        <v>0.08538851384506474</v>
      </c>
      <c r="E377" s="65">
        <v>-0.009966091887008434</v>
      </c>
      <c r="F377" s="65">
        <v>3.5589200514044834</v>
      </c>
      <c r="G377" s="50">
        <v>0.0</v>
      </c>
      <c r="H377" s="50">
        <v>0.0</v>
      </c>
      <c r="I377" s="50">
        <v>0.0</v>
      </c>
      <c r="J377" s="50">
        <v>0.0</v>
      </c>
      <c r="K377" s="50">
        <v>0.0</v>
      </c>
      <c r="L377" s="50">
        <v>0.0</v>
      </c>
      <c r="M377" s="50">
        <v>0.0</v>
      </c>
      <c r="N377" s="50">
        <v>0.0</v>
      </c>
      <c r="O377" s="50">
        <v>0.0</v>
      </c>
      <c r="P377" s="50">
        <v>0.0</v>
      </c>
      <c r="Q377" s="50">
        <v>0.0</v>
      </c>
      <c r="R377" s="50">
        <v>9.9</v>
      </c>
      <c r="S377" s="50">
        <v>0.0</v>
      </c>
      <c r="T377" s="50">
        <v>2.8125</v>
      </c>
      <c r="U377" s="50">
        <v>0.0</v>
      </c>
      <c r="V377" s="50">
        <v>5.625</v>
      </c>
      <c r="W377" s="50">
        <v>0.0</v>
      </c>
      <c r="X377" s="50">
        <v>2.8125</v>
      </c>
      <c r="Y377" s="50">
        <v>21.15</v>
      </c>
    </row>
    <row r="378">
      <c r="A378" s="26">
        <v>372.0</v>
      </c>
      <c r="B378" s="65">
        <v>-0.8929145789211776</v>
      </c>
      <c r="C378" s="65">
        <v>0.2866546173623659</v>
      </c>
      <c r="D378" s="65">
        <v>-1.2801112332013236</v>
      </c>
      <c r="E378" s="65">
        <v>0.4917328260608852</v>
      </c>
      <c r="F378" s="65">
        <v>3.155350012960606</v>
      </c>
      <c r="G378" s="50">
        <v>0.0</v>
      </c>
      <c r="H378" s="50">
        <v>0.0</v>
      </c>
      <c r="I378" s="50">
        <v>0.0</v>
      </c>
      <c r="J378" s="50">
        <v>0.0</v>
      </c>
      <c r="K378" s="50">
        <v>0.0</v>
      </c>
      <c r="L378" s="50">
        <v>0.0</v>
      </c>
      <c r="M378" s="50">
        <v>0.0</v>
      </c>
      <c r="N378" s="50">
        <v>0.0</v>
      </c>
      <c r="O378" s="50">
        <v>0.0</v>
      </c>
      <c r="P378" s="50">
        <v>2.475</v>
      </c>
      <c r="Q378" s="50">
        <v>0.0</v>
      </c>
      <c r="R378" s="50">
        <v>0.0</v>
      </c>
      <c r="S378" s="50">
        <v>0.0</v>
      </c>
      <c r="T378" s="50">
        <v>2.8125</v>
      </c>
      <c r="U378" s="50">
        <v>0.0</v>
      </c>
      <c r="V378" s="50">
        <v>0.0</v>
      </c>
      <c r="W378" s="50">
        <v>4.95</v>
      </c>
      <c r="X378" s="50">
        <v>2.8125</v>
      </c>
      <c r="Y378" s="50">
        <v>13.05</v>
      </c>
    </row>
    <row r="379">
      <c r="A379" s="26">
        <v>373.0</v>
      </c>
      <c r="B379" s="65">
        <v>0.7523768834175645</v>
      </c>
      <c r="C379" s="65">
        <v>-0.9081598111786386</v>
      </c>
      <c r="D379" s="65">
        <v>-0.03968835151526762</v>
      </c>
      <c r="E379" s="65">
        <v>1.8444205990119282</v>
      </c>
      <c r="F379" s="65">
        <v>4.717063339911136</v>
      </c>
      <c r="G379" s="50">
        <v>0.0</v>
      </c>
      <c r="H379" s="50">
        <v>0.0</v>
      </c>
      <c r="I379" s="50">
        <v>0.0</v>
      </c>
      <c r="J379" s="50">
        <v>0.0</v>
      </c>
      <c r="K379" s="50">
        <v>0.0</v>
      </c>
      <c r="L379" s="50">
        <v>0.0</v>
      </c>
      <c r="M379" s="50">
        <v>0.0</v>
      </c>
      <c r="N379" s="50">
        <v>0.0</v>
      </c>
      <c r="O379" s="50">
        <v>0.0</v>
      </c>
      <c r="P379" s="50">
        <v>0.0</v>
      </c>
      <c r="Q379" s="50">
        <v>0.0</v>
      </c>
      <c r="R379" s="50">
        <v>0.0</v>
      </c>
      <c r="S379" s="50">
        <v>0.0</v>
      </c>
      <c r="T379" s="50">
        <v>2.8125</v>
      </c>
      <c r="U379" s="50">
        <v>0.0</v>
      </c>
      <c r="V379" s="50">
        <v>0.0</v>
      </c>
      <c r="W379" s="50">
        <v>0.0</v>
      </c>
      <c r="X379" s="50">
        <v>2.8125</v>
      </c>
      <c r="Y379" s="50">
        <v>5.625</v>
      </c>
    </row>
    <row r="380">
      <c r="A380" s="26">
        <v>374.0</v>
      </c>
      <c r="B380" s="65">
        <v>1.617194308717814</v>
      </c>
      <c r="C380" s="65">
        <v>-0.1301438916356897</v>
      </c>
      <c r="D380" s="65">
        <v>0.7268051773026767</v>
      </c>
      <c r="E380" s="65">
        <v>2.461657110998126</v>
      </c>
      <c r="F380" s="65">
        <v>2.748742601444277</v>
      </c>
      <c r="G380" s="50">
        <v>0.0</v>
      </c>
      <c r="H380" s="50">
        <v>0.0</v>
      </c>
      <c r="I380" s="50">
        <v>0.0</v>
      </c>
      <c r="J380" s="50">
        <v>0.0</v>
      </c>
      <c r="K380" s="50">
        <v>0.0</v>
      </c>
      <c r="L380" s="50">
        <v>0.0</v>
      </c>
      <c r="M380" s="50">
        <v>0.0</v>
      </c>
      <c r="N380" s="50">
        <v>0.0</v>
      </c>
      <c r="O380" s="50">
        <v>0.0</v>
      </c>
      <c r="P380" s="50">
        <v>0.0</v>
      </c>
      <c r="Q380" s="50">
        <v>0.0</v>
      </c>
      <c r="R380" s="50">
        <v>0.0</v>
      </c>
      <c r="S380" s="50">
        <v>0.0</v>
      </c>
      <c r="T380" s="50">
        <v>2.8125</v>
      </c>
      <c r="U380" s="50">
        <v>0.0</v>
      </c>
      <c r="V380" s="50">
        <v>5.625</v>
      </c>
      <c r="W380" s="50">
        <v>0.0</v>
      </c>
      <c r="X380" s="50">
        <v>2.8125</v>
      </c>
      <c r="Y380" s="50">
        <v>11.25</v>
      </c>
    </row>
    <row r="381">
      <c r="A381" s="26">
        <v>375.0</v>
      </c>
      <c r="B381" s="65">
        <v>0.22366874722167723</v>
      </c>
      <c r="C381" s="65">
        <v>0.751738852016343</v>
      </c>
      <c r="D381" s="65">
        <v>-0.014012729377533367</v>
      </c>
      <c r="E381" s="65">
        <v>0.9087060324260544</v>
      </c>
      <c r="F381" s="65">
        <v>5.625353524799279</v>
      </c>
      <c r="G381" s="50">
        <v>0.0</v>
      </c>
      <c r="H381" s="50">
        <v>0.0</v>
      </c>
      <c r="I381" s="50">
        <v>0.0</v>
      </c>
      <c r="J381" s="50">
        <v>0.0</v>
      </c>
      <c r="K381" s="50">
        <v>0.0</v>
      </c>
      <c r="L381" s="50">
        <v>0.0</v>
      </c>
      <c r="M381" s="50">
        <v>0.0</v>
      </c>
      <c r="N381" s="50">
        <v>0.0</v>
      </c>
      <c r="O381" s="50">
        <v>0.0</v>
      </c>
      <c r="P381" s="50">
        <v>0.0</v>
      </c>
      <c r="Q381" s="50">
        <v>0.0</v>
      </c>
      <c r="R381" s="50">
        <v>0.0</v>
      </c>
      <c r="S381" s="50">
        <v>0.0</v>
      </c>
      <c r="T381" s="50">
        <v>2.8125</v>
      </c>
      <c r="U381" s="50">
        <v>0.0</v>
      </c>
      <c r="V381" s="50">
        <v>0.0</v>
      </c>
      <c r="W381" s="50">
        <v>0.0</v>
      </c>
      <c r="X381" s="50">
        <v>2.8125</v>
      </c>
      <c r="Y381" s="50">
        <v>5.625</v>
      </c>
    </row>
    <row r="382">
      <c r="A382" s="26">
        <v>376.0</v>
      </c>
      <c r="B382" s="65">
        <v>-0.7948025619837144</v>
      </c>
      <c r="C382" s="65">
        <v>1.1912545838311503</v>
      </c>
      <c r="D382" s="65">
        <v>0.18800147346931312</v>
      </c>
      <c r="E382" s="65">
        <v>-0.7097341981621034</v>
      </c>
      <c r="F382" s="65">
        <v>5.1399086241093</v>
      </c>
      <c r="G382" s="50">
        <v>0.0</v>
      </c>
      <c r="H382" s="50">
        <v>0.0</v>
      </c>
      <c r="I382" s="50">
        <v>0.0</v>
      </c>
      <c r="J382" s="50">
        <v>0.0</v>
      </c>
      <c r="K382" s="50">
        <v>0.0</v>
      </c>
      <c r="L382" s="50">
        <v>0.0</v>
      </c>
      <c r="M382" s="50">
        <v>0.0</v>
      </c>
      <c r="N382" s="50">
        <v>0.0</v>
      </c>
      <c r="O382" s="50">
        <v>0.0</v>
      </c>
      <c r="P382" s="50">
        <v>0.0</v>
      </c>
      <c r="Q382" s="50">
        <v>0.0</v>
      </c>
      <c r="R382" s="50">
        <v>0.0</v>
      </c>
      <c r="S382" s="50">
        <v>0.0</v>
      </c>
      <c r="T382" s="50">
        <v>2.8125</v>
      </c>
      <c r="U382" s="50">
        <v>0.0</v>
      </c>
      <c r="V382" s="50">
        <v>5.625</v>
      </c>
      <c r="W382" s="50">
        <v>4.95</v>
      </c>
      <c r="X382" s="50">
        <v>2.8125</v>
      </c>
      <c r="Y382" s="50">
        <v>16.2</v>
      </c>
    </row>
    <row r="383">
      <c r="A383" s="26">
        <v>377.0</v>
      </c>
      <c r="B383" s="65">
        <v>0.39933873636308503</v>
      </c>
      <c r="C383" s="65">
        <v>0.08269583130538953</v>
      </c>
      <c r="D383" s="65">
        <v>-1.2236344779693504</v>
      </c>
      <c r="E383" s="65">
        <v>-0.8903392436032778</v>
      </c>
      <c r="F383" s="65">
        <v>4.742885722479888</v>
      </c>
      <c r="G383" s="50">
        <v>0.0</v>
      </c>
      <c r="H383" s="50">
        <v>0.0</v>
      </c>
      <c r="I383" s="50">
        <v>0.0</v>
      </c>
      <c r="J383" s="50">
        <v>0.0</v>
      </c>
      <c r="K383" s="50">
        <v>0.0</v>
      </c>
      <c r="L383" s="50">
        <v>0.0</v>
      </c>
      <c r="M383" s="50">
        <v>0.0</v>
      </c>
      <c r="N383" s="50">
        <v>0.0</v>
      </c>
      <c r="O383" s="50">
        <v>0.0</v>
      </c>
      <c r="P383" s="50">
        <v>0.0</v>
      </c>
      <c r="Q383" s="50">
        <v>0.0</v>
      </c>
      <c r="R383" s="50">
        <v>0.0</v>
      </c>
      <c r="S383" s="50">
        <v>0.0</v>
      </c>
      <c r="T383" s="50">
        <v>2.8125</v>
      </c>
      <c r="U383" s="50">
        <v>0.0</v>
      </c>
      <c r="V383" s="50">
        <v>5.625</v>
      </c>
      <c r="W383" s="50">
        <v>4.95</v>
      </c>
      <c r="X383" s="50">
        <v>2.8125</v>
      </c>
      <c r="Y383" s="50">
        <v>16.2</v>
      </c>
    </row>
    <row r="384">
      <c r="A384" s="26">
        <v>378.0</v>
      </c>
      <c r="B384" s="65">
        <v>0.6136289480167224</v>
      </c>
      <c r="C384" s="65">
        <v>0.2662860047196338</v>
      </c>
      <c r="D384" s="65">
        <v>1.204669479049484</v>
      </c>
      <c r="E384" s="65">
        <v>1.1464981113814434</v>
      </c>
      <c r="F384" s="65">
        <v>5.549636569571161</v>
      </c>
      <c r="G384" s="50">
        <v>0.0</v>
      </c>
      <c r="H384" s="50">
        <v>0.0</v>
      </c>
      <c r="I384" s="50">
        <v>0.0</v>
      </c>
      <c r="J384" s="50">
        <v>0.0</v>
      </c>
      <c r="K384" s="50">
        <v>0.0</v>
      </c>
      <c r="L384" s="50">
        <v>0.0</v>
      </c>
      <c r="M384" s="50">
        <v>0.0</v>
      </c>
      <c r="N384" s="50">
        <v>0.0</v>
      </c>
      <c r="O384" s="50">
        <v>0.0</v>
      </c>
      <c r="P384" s="50">
        <v>0.0</v>
      </c>
      <c r="Q384" s="50">
        <v>0.0</v>
      </c>
      <c r="R384" s="50">
        <v>0.0</v>
      </c>
      <c r="S384" s="50">
        <v>0.0</v>
      </c>
      <c r="T384" s="50">
        <v>2.8125</v>
      </c>
      <c r="U384" s="50">
        <v>0.0</v>
      </c>
      <c r="V384" s="50">
        <v>0.0</v>
      </c>
      <c r="W384" s="50">
        <v>0.0</v>
      </c>
      <c r="X384" s="50">
        <v>2.8125</v>
      </c>
      <c r="Y384" s="50">
        <v>5.625</v>
      </c>
    </row>
    <row r="385">
      <c r="A385" s="26">
        <v>379.0</v>
      </c>
      <c r="B385" s="65">
        <v>-0.48678587486679165</v>
      </c>
      <c r="C385" s="65">
        <v>0.8028509538672502</v>
      </c>
      <c r="D385" s="65">
        <v>-0.8959073698919836</v>
      </c>
      <c r="E385" s="65">
        <v>-1.1246256500631597</v>
      </c>
      <c r="F385" s="65">
        <v>3.9269351453150705</v>
      </c>
      <c r="G385" s="50">
        <v>0.0</v>
      </c>
      <c r="H385" s="50">
        <v>0.0</v>
      </c>
      <c r="I385" s="50">
        <v>0.0</v>
      </c>
      <c r="J385" s="50">
        <v>0.0</v>
      </c>
      <c r="K385" s="50">
        <v>0.0</v>
      </c>
      <c r="L385" s="50">
        <v>0.0</v>
      </c>
      <c r="M385" s="50">
        <v>0.0</v>
      </c>
      <c r="N385" s="50">
        <v>0.0</v>
      </c>
      <c r="O385" s="50">
        <v>0.0</v>
      </c>
      <c r="P385" s="50">
        <v>0.0</v>
      </c>
      <c r="Q385" s="50">
        <v>0.0</v>
      </c>
      <c r="R385" s="50">
        <v>0.0</v>
      </c>
      <c r="S385" s="50">
        <v>0.0</v>
      </c>
      <c r="T385" s="50">
        <v>2.8125</v>
      </c>
      <c r="U385" s="50">
        <v>0.0</v>
      </c>
      <c r="V385" s="50">
        <v>5.625</v>
      </c>
      <c r="W385" s="50">
        <v>0.0</v>
      </c>
      <c r="X385" s="50">
        <v>2.8125</v>
      </c>
      <c r="Y385" s="50">
        <v>11.25</v>
      </c>
    </row>
    <row r="386">
      <c r="A386" s="26">
        <v>380.0</v>
      </c>
      <c r="B386" s="65">
        <v>-0.5172656850450335</v>
      </c>
      <c r="C386" s="65">
        <v>-0.1410473843660393</v>
      </c>
      <c r="D386" s="65">
        <v>-0.9338422554365476</v>
      </c>
      <c r="E386" s="65">
        <v>-0.3591676059837815</v>
      </c>
      <c r="F386" s="65">
        <v>1.3713673699967872</v>
      </c>
      <c r="G386" s="50">
        <v>0.0</v>
      </c>
      <c r="H386" s="50">
        <v>0.0</v>
      </c>
      <c r="I386" s="50">
        <v>0.0</v>
      </c>
      <c r="J386" s="50">
        <v>0.0</v>
      </c>
      <c r="K386" s="50">
        <v>0.0</v>
      </c>
      <c r="L386" s="50">
        <v>0.0</v>
      </c>
      <c r="M386" s="50">
        <v>0.0</v>
      </c>
      <c r="N386" s="50">
        <v>0.0</v>
      </c>
      <c r="O386" s="50">
        <v>0.0</v>
      </c>
      <c r="P386" s="50">
        <v>0.0</v>
      </c>
      <c r="Q386" s="50">
        <v>0.0</v>
      </c>
      <c r="R386" s="50">
        <v>0.0</v>
      </c>
      <c r="S386" s="50">
        <v>0.0</v>
      </c>
      <c r="T386" s="50">
        <v>2.8125</v>
      </c>
      <c r="U386" s="50">
        <v>9.9</v>
      </c>
      <c r="V386" s="50">
        <v>0.0</v>
      </c>
      <c r="W386" s="50">
        <v>4.95</v>
      </c>
      <c r="X386" s="50">
        <v>2.8125</v>
      </c>
      <c r="Y386" s="50">
        <v>20.475</v>
      </c>
    </row>
    <row r="387">
      <c r="A387" s="26">
        <v>381.0</v>
      </c>
      <c r="B387" s="65">
        <v>1.333263499199869</v>
      </c>
      <c r="C387" s="65">
        <v>-0.3535417361507211</v>
      </c>
      <c r="D387" s="65">
        <v>1.3789637452109622</v>
      </c>
      <c r="E387" s="65">
        <v>0.4368324877636554</v>
      </c>
      <c r="F387" s="65">
        <v>9.91254394727722</v>
      </c>
      <c r="G387" s="50">
        <v>0.0</v>
      </c>
      <c r="H387" s="50">
        <v>0.0</v>
      </c>
      <c r="I387" s="50">
        <v>0.0</v>
      </c>
      <c r="J387" s="50">
        <v>0.0</v>
      </c>
      <c r="K387" s="50">
        <v>0.0</v>
      </c>
      <c r="L387" s="50">
        <v>0.0</v>
      </c>
      <c r="M387" s="50">
        <v>0.0</v>
      </c>
      <c r="N387" s="50">
        <v>0.0</v>
      </c>
      <c r="O387" s="50">
        <v>0.0</v>
      </c>
      <c r="P387" s="50">
        <v>0.0</v>
      </c>
      <c r="Q387" s="50">
        <v>0.0</v>
      </c>
      <c r="R387" s="50">
        <v>0.0</v>
      </c>
      <c r="S387" s="50">
        <v>0.0</v>
      </c>
      <c r="T387" s="50">
        <v>2.8125</v>
      </c>
      <c r="U387" s="50">
        <v>0.0</v>
      </c>
      <c r="V387" s="50">
        <v>0.0</v>
      </c>
      <c r="W387" s="50">
        <v>0.0</v>
      </c>
      <c r="X387" s="50">
        <v>2.8125</v>
      </c>
      <c r="Y387" s="50">
        <v>5.625</v>
      </c>
    </row>
    <row r="388">
      <c r="A388" s="26">
        <v>382.0</v>
      </c>
      <c r="B388" s="65">
        <v>-0.6748646590838377</v>
      </c>
      <c r="C388" s="65">
        <v>0.2847881423647882</v>
      </c>
      <c r="D388" s="65">
        <v>0.08497865817680735</v>
      </c>
      <c r="E388" s="65">
        <v>-0.5270011815756651</v>
      </c>
      <c r="F388" s="65">
        <v>3.5111447255756616</v>
      </c>
      <c r="G388" s="50">
        <v>0.0</v>
      </c>
      <c r="H388" s="50">
        <v>0.0</v>
      </c>
      <c r="I388" s="50">
        <v>0.0</v>
      </c>
      <c r="J388" s="50">
        <v>0.0</v>
      </c>
      <c r="K388" s="50">
        <v>0.0</v>
      </c>
      <c r="L388" s="50">
        <v>0.0</v>
      </c>
      <c r="M388" s="50">
        <v>0.0</v>
      </c>
      <c r="N388" s="50">
        <v>0.0</v>
      </c>
      <c r="O388" s="50">
        <v>7.425000000000001</v>
      </c>
      <c r="P388" s="50">
        <v>0.0</v>
      </c>
      <c r="Q388" s="50">
        <v>0.0</v>
      </c>
      <c r="R388" s="50">
        <v>0.0</v>
      </c>
      <c r="S388" s="50">
        <v>0.0</v>
      </c>
      <c r="T388" s="50">
        <v>2.8125</v>
      </c>
      <c r="U388" s="50">
        <v>9.9</v>
      </c>
      <c r="V388" s="50">
        <v>5.625</v>
      </c>
      <c r="W388" s="50">
        <v>0.0</v>
      </c>
      <c r="X388" s="50">
        <v>2.8125</v>
      </c>
      <c r="Y388" s="50">
        <v>28.575000000000003</v>
      </c>
    </row>
    <row r="389">
      <c r="A389" s="26">
        <v>383.0</v>
      </c>
      <c r="B389" s="65">
        <v>-1.3515675116716634</v>
      </c>
      <c r="C389" s="65">
        <v>1.3646544482849685</v>
      </c>
      <c r="D389" s="65">
        <v>0.2840641363948237</v>
      </c>
      <c r="E389" s="65">
        <v>-0.4011952313013574</v>
      </c>
      <c r="F389" s="65">
        <v>8.558728774812414</v>
      </c>
      <c r="G389" s="50">
        <v>0.0</v>
      </c>
      <c r="H389" s="50">
        <v>0.0</v>
      </c>
      <c r="I389" s="50">
        <v>0.0</v>
      </c>
      <c r="J389" s="50">
        <v>0.0</v>
      </c>
      <c r="K389" s="50">
        <v>0.0</v>
      </c>
      <c r="L389" s="50">
        <v>0.0</v>
      </c>
      <c r="M389" s="50">
        <v>0.0</v>
      </c>
      <c r="N389" s="50">
        <v>0.0</v>
      </c>
      <c r="O389" s="50">
        <v>0.0</v>
      </c>
      <c r="P389" s="50">
        <v>0.0</v>
      </c>
      <c r="Q389" s="50">
        <v>0.0</v>
      </c>
      <c r="R389" s="50">
        <v>0.0</v>
      </c>
      <c r="S389" s="50">
        <v>0.0</v>
      </c>
      <c r="T389" s="50">
        <v>2.8125</v>
      </c>
      <c r="U389" s="50">
        <v>0.0</v>
      </c>
      <c r="V389" s="50">
        <v>5.625</v>
      </c>
      <c r="W389" s="50">
        <v>0.0</v>
      </c>
      <c r="X389" s="50">
        <v>2.8125</v>
      </c>
      <c r="Y389" s="50">
        <v>11.25</v>
      </c>
    </row>
    <row r="390">
      <c r="A390" s="26">
        <v>384.0</v>
      </c>
      <c r="B390" s="65">
        <v>0.2309764837376014</v>
      </c>
      <c r="C390" s="65">
        <v>0.05762059689313796</v>
      </c>
      <c r="D390" s="65">
        <v>0.12233381884462696</v>
      </c>
      <c r="E390" s="65">
        <v>1.7685596138065387</v>
      </c>
      <c r="F390" s="65">
        <v>22.08993576893049</v>
      </c>
      <c r="G390" s="50">
        <v>0.0</v>
      </c>
      <c r="H390" s="50">
        <v>0.0</v>
      </c>
      <c r="I390" s="50">
        <v>0.0</v>
      </c>
      <c r="J390" s="50">
        <v>0.0</v>
      </c>
      <c r="K390" s="50">
        <v>0.0</v>
      </c>
      <c r="L390" s="50">
        <v>0.0</v>
      </c>
      <c r="M390" s="50">
        <v>0.0</v>
      </c>
      <c r="N390" s="50">
        <v>0.0</v>
      </c>
      <c r="O390" s="50">
        <v>0.0</v>
      </c>
      <c r="P390" s="50">
        <v>0.0</v>
      </c>
      <c r="Q390" s="50">
        <v>0.0</v>
      </c>
      <c r="R390" s="50">
        <v>0.0</v>
      </c>
      <c r="S390" s="50">
        <v>0.0</v>
      </c>
      <c r="T390" s="50">
        <v>2.8125</v>
      </c>
      <c r="U390" s="50">
        <v>0.0</v>
      </c>
      <c r="V390" s="50">
        <v>0.0</v>
      </c>
      <c r="W390" s="50">
        <v>0.0</v>
      </c>
      <c r="X390" s="50">
        <v>2.8125</v>
      </c>
      <c r="Y390" s="50">
        <v>5.625</v>
      </c>
    </row>
    <row r="391">
      <c r="A391" s="26">
        <v>385.0</v>
      </c>
      <c r="B391" s="65">
        <v>-1.4964091678171922</v>
      </c>
      <c r="C391" s="65">
        <v>1.2750670561659156</v>
      </c>
      <c r="D391" s="65">
        <v>-0.4831857577293012</v>
      </c>
      <c r="E391" s="65">
        <v>0.6651473003390955</v>
      </c>
      <c r="F391" s="65">
        <v>5.394909093785875</v>
      </c>
      <c r="G391" s="50">
        <v>0.0</v>
      </c>
      <c r="H391" s="50">
        <v>0.0</v>
      </c>
      <c r="I391" s="50">
        <v>0.0</v>
      </c>
      <c r="J391" s="50">
        <v>0.0</v>
      </c>
      <c r="K391" s="50">
        <v>0.0</v>
      </c>
      <c r="L391" s="50">
        <v>0.0</v>
      </c>
      <c r="M391" s="50">
        <v>0.0</v>
      </c>
      <c r="N391" s="50">
        <v>0.0</v>
      </c>
      <c r="O391" s="50">
        <v>0.0</v>
      </c>
      <c r="P391" s="50">
        <v>0.0</v>
      </c>
      <c r="Q391" s="50">
        <v>0.0</v>
      </c>
      <c r="R391" s="50">
        <v>9.9</v>
      </c>
      <c r="S391" s="50">
        <v>0.0</v>
      </c>
      <c r="T391" s="50">
        <v>2.8125</v>
      </c>
      <c r="U391" s="50">
        <v>0.0</v>
      </c>
      <c r="V391" s="50">
        <v>0.0</v>
      </c>
      <c r="W391" s="50">
        <v>0.0</v>
      </c>
      <c r="X391" s="50">
        <v>2.8125</v>
      </c>
      <c r="Y391" s="50">
        <v>15.525</v>
      </c>
    </row>
    <row r="392">
      <c r="A392" s="26">
        <v>386.0</v>
      </c>
      <c r="B392" s="65">
        <v>0.33090628807319855</v>
      </c>
      <c r="C392" s="65">
        <v>2.3240111729990405</v>
      </c>
      <c r="D392" s="65">
        <v>-7.593441903119493E-4</v>
      </c>
      <c r="E392" s="65">
        <v>0.45205437300884116</v>
      </c>
      <c r="F392" s="65">
        <v>8.172334077796368</v>
      </c>
      <c r="G392" s="50">
        <v>0.0</v>
      </c>
      <c r="H392" s="50">
        <v>0.0</v>
      </c>
      <c r="I392" s="50">
        <v>0.0</v>
      </c>
      <c r="J392" s="50">
        <v>0.0</v>
      </c>
      <c r="K392" s="50">
        <v>0.0</v>
      </c>
      <c r="L392" s="50">
        <v>0.0</v>
      </c>
      <c r="M392" s="50">
        <v>0.0</v>
      </c>
      <c r="N392" s="50">
        <v>0.0</v>
      </c>
      <c r="O392" s="50">
        <v>0.0</v>
      </c>
      <c r="P392" s="50">
        <v>0.0</v>
      </c>
      <c r="Q392" s="50">
        <v>0.0</v>
      </c>
      <c r="R392" s="50">
        <v>0.0</v>
      </c>
      <c r="S392" s="50">
        <v>0.0</v>
      </c>
      <c r="T392" s="50">
        <v>2.8125</v>
      </c>
      <c r="U392" s="50">
        <v>0.0</v>
      </c>
      <c r="V392" s="50">
        <v>0.0</v>
      </c>
      <c r="W392" s="50">
        <v>0.0</v>
      </c>
      <c r="X392" s="50">
        <v>2.8125</v>
      </c>
      <c r="Y392" s="50">
        <v>5.625</v>
      </c>
    </row>
    <row r="393">
      <c r="A393" s="26">
        <v>387.0</v>
      </c>
      <c r="B393" s="65">
        <v>1.9843629227379247</v>
      </c>
      <c r="C393" s="65">
        <v>-0.3175562994423614</v>
      </c>
      <c r="D393" s="65">
        <v>-2.38192843869699</v>
      </c>
      <c r="E393" s="65">
        <v>-1.1134036326724606</v>
      </c>
      <c r="F393" s="65">
        <v>3.562150117802954</v>
      </c>
      <c r="G393" s="50">
        <v>0.0</v>
      </c>
      <c r="H393" s="50">
        <v>0.0</v>
      </c>
      <c r="I393" s="50">
        <v>0.0</v>
      </c>
      <c r="J393" s="50">
        <v>0.0</v>
      </c>
      <c r="K393" s="50">
        <v>0.0</v>
      </c>
      <c r="L393" s="50">
        <v>0.0</v>
      </c>
      <c r="M393" s="50">
        <v>0.0</v>
      </c>
      <c r="N393" s="50">
        <v>0.0</v>
      </c>
      <c r="O393" s="50">
        <v>0.0</v>
      </c>
      <c r="P393" s="50">
        <v>0.0</v>
      </c>
      <c r="Q393" s="50">
        <v>0.0</v>
      </c>
      <c r="R393" s="50">
        <v>0.0</v>
      </c>
      <c r="S393" s="50">
        <v>0.0</v>
      </c>
      <c r="T393" s="50">
        <v>2.8125</v>
      </c>
      <c r="U393" s="50">
        <v>0.0</v>
      </c>
      <c r="V393" s="50">
        <v>0.0</v>
      </c>
      <c r="W393" s="50">
        <v>4.95</v>
      </c>
      <c r="X393" s="50">
        <v>2.8125</v>
      </c>
      <c r="Y393" s="50">
        <v>10.575</v>
      </c>
    </row>
    <row r="394">
      <c r="A394" s="26">
        <v>388.0</v>
      </c>
      <c r="B394" s="65">
        <v>-1.3334003859602537</v>
      </c>
      <c r="C394" s="65">
        <v>0.12367112754271452</v>
      </c>
      <c r="D394" s="65">
        <v>0.46514521502205214</v>
      </c>
      <c r="E394" s="65">
        <v>-0.6464219978317657</v>
      </c>
      <c r="F394" s="65">
        <v>5.059871001771686</v>
      </c>
      <c r="G394" s="50">
        <v>0.0</v>
      </c>
      <c r="H394" s="50">
        <v>0.0</v>
      </c>
      <c r="I394" s="50">
        <v>0.0</v>
      </c>
      <c r="J394" s="50">
        <v>0.0</v>
      </c>
      <c r="K394" s="50">
        <v>0.0</v>
      </c>
      <c r="L394" s="50">
        <v>0.0</v>
      </c>
      <c r="M394" s="50">
        <v>0.0</v>
      </c>
      <c r="N394" s="50">
        <v>0.0</v>
      </c>
      <c r="O394" s="50">
        <v>7.425000000000001</v>
      </c>
      <c r="P394" s="50">
        <v>0.0</v>
      </c>
      <c r="Q394" s="50">
        <v>0.0</v>
      </c>
      <c r="R394" s="50">
        <v>9.9</v>
      </c>
      <c r="S394" s="50">
        <v>0.0</v>
      </c>
      <c r="T394" s="50">
        <v>2.8125</v>
      </c>
      <c r="U394" s="50">
        <v>0.0</v>
      </c>
      <c r="V394" s="50">
        <v>5.625</v>
      </c>
      <c r="W394" s="50">
        <v>0.0</v>
      </c>
      <c r="X394" s="50">
        <v>2.8125</v>
      </c>
      <c r="Y394" s="50">
        <v>28.575000000000003</v>
      </c>
    </row>
    <row r="395">
      <c r="A395" s="26">
        <v>389.0</v>
      </c>
      <c r="B395" s="65">
        <v>-1.0093815742672874</v>
      </c>
      <c r="C395" s="65">
        <v>-1.2787927736281852</v>
      </c>
      <c r="D395" s="65">
        <v>-0.4000145089967803</v>
      </c>
      <c r="E395" s="65">
        <v>1.4534004663630549</v>
      </c>
      <c r="F395" s="65">
        <v>15.414971520121487</v>
      </c>
      <c r="G395" s="50">
        <v>0.0</v>
      </c>
      <c r="H395" s="50">
        <v>0.0</v>
      </c>
      <c r="I395" s="50">
        <v>0.0</v>
      </c>
      <c r="J395" s="50">
        <v>0.0</v>
      </c>
      <c r="K395" s="50">
        <v>0.0</v>
      </c>
      <c r="L395" s="50">
        <v>0.0</v>
      </c>
      <c r="M395" s="50">
        <v>0.0</v>
      </c>
      <c r="N395" s="50">
        <v>0.0</v>
      </c>
      <c r="O395" s="50">
        <v>0.0</v>
      </c>
      <c r="P395" s="50">
        <v>0.0</v>
      </c>
      <c r="Q395" s="50">
        <v>0.0</v>
      </c>
      <c r="R395" s="50">
        <v>0.0</v>
      </c>
      <c r="S395" s="50">
        <v>0.0</v>
      </c>
      <c r="T395" s="50">
        <v>2.8125</v>
      </c>
      <c r="U395" s="50">
        <v>0.0</v>
      </c>
      <c r="V395" s="50">
        <v>0.0</v>
      </c>
      <c r="W395" s="50">
        <v>0.0</v>
      </c>
      <c r="X395" s="50">
        <v>2.8125</v>
      </c>
      <c r="Y395" s="50">
        <v>5.625</v>
      </c>
    </row>
    <row r="396">
      <c r="A396" s="26">
        <v>390.0</v>
      </c>
      <c r="B396" s="65">
        <v>-0.030064116615842375</v>
      </c>
      <c r="C396" s="65">
        <v>-0.13967336765626237</v>
      </c>
      <c r="D396" s="65">
        <v>0.22367908027623667</v>
      </c>
      <c r="E396" s="65">
        <v>0.6630452804522483</v>
      </c>
      <c r="F396" s="65">
        <v>3.8114741158877603</v>
      </c>
      <c r="G396" s="50">
        <v>0.0</v>
      </c>
      <c r="H396" s="50">
        <v>0.0</v>
      </c>
      <c r="I396" s="50">
        <v>0.0</v>
      </c>
      <c r="J396" s="50">
        <v>0.0</v>
      </c>
      <c r="K396" s="50">
        <v>0.0</v>
      </c>
      <c r="L396" s="50">
        <v>0.0</v>
      </c>
      <c r="M396" s="50">
        <v>0.0</v>
      </c>
      <c r="N396" s="50">
        <v>0.0</v>
      </c>
      <c r="O396" s="50">
        <v>7.425000000000001</v>
      </c>
      <c r="P396" s="50">
        <v>0.0</v>
      </c>
      <c r="Q396" s="50">
        <v>0.0</v>
      </c>
      <c r="R396" s="50">
        <v>0.0</v>
      </c>
      <c r="S396" s="50">
        <v>0.0</v>
      </c>
      <c r="T396" s="50">
        <v>2.8125</v>
      </c>
      <c r="U396" s="50">
        <v>0.0</v>
      </c>
      <c r="V396" s="50">
        <v>0.0</v>
      </c>
      <c r="W396" s="50">
        <v>0.0</v>
      </c>
      <c r="X396" s="50">
        <v>2.8125</v>
      </c>
      <c r="Y396" s="50">
        <v>13.05</v>
      </c>
    </row>
    <row r="397">
      <c r="A397" s="26">
        <v>391.0</v>
      </c>
      <c r="B397" s="65">
        <v>0.4039671555644069</v>
      </c>
      <c r="C397" s="65">
        <v>-1.891501771099684</v>
      </c>
      <c r="D397" s="65">
        <v>-0.14157674020014643</v>
      </c>
      <c r="E397" s="65">
        <v>0.5731140039988191</v>
      </c>
      <c r="F397" s="65">
        <v>0.527624568305578</v>
      </c>
      <c r="G397" s="50">
        <v>0.0</v>
      </c>
      <c r="H397" s="50">
        <v>0.0</v>
      </c>
      <c r="I397" s="50">
        <v>0.0</v>
      </c>
      <c r="J397" s="50">
        <v>0.0</v>
      </c>
      <c r="K397" s="50">
        <v>0.0</v>
      </c>
      <c r="L397" s="50">
        <v>0.0</v>
      </c>
      <c r="M397" s="50">
        <v>0.0</v>
      </c>
      <c r="N397" s="50">
        <v>0.0</v>
      </c>
      <c r="O397" s="50">
        <v>0.0</v>
      </c>
      <c r="P397" s="50">
        <v>2.475</v>
      </c>
      <c r="Q397" s="50">
        <v>0.0</v>
      </c>
      <c r="R397" s="50">
        <v>0.0</v>
      </c>
      <c r="S397" s="50">
        <v>0.0</v>
      </c>
      <c r="T397" s="50">
        <v>2.8125</v>
      </c>
      <c r="U397" s="50">
        <v>0.0</v>
      </c>
      <c r="V397" s="50">
        <v>0.0</v>
      </c>
      <c r="W397" s="50">
        <v>0.0</v>
      </c>
      <c r="X397" s="50">
        <v>2.8125</v>
      </c>
      <c r="Y397" s="50">
        <v>8.1</v>
      </c>
    </row>
    <row r="398">
      <c r="A398" s="26">
        <v>392.0</v>
      </c>
      <c r="B398" s="65">
        <v>2.0204298149342166</v>
      </c>
      <c r="C398" s="65">
        <v>-0.3623117976054339</v>
      </c>
      <c r="D398" s="65">
        <v>1.3432796934797444</v>
      </c>
      <c r="E398" s="65">
        <v>-0.3786318045431756</v>
      </c>
      <c r="F398" s="65">
        <v>3.4485598311192116</v>
      </c>
      <c r="G398" s="50">
        <v>0.0</v>
      </c>
      <c r="H398" s="50">
        <v>0.0</v>
      </c>
      <c r="I398" s="50">
        <v>0.0</v>
      </c>
      <c r="J398" s="50">
        <v>0.0</v>
      </c>
      <c r="K398" s="50">
        <v>0.0</v>
      </c>
      <c r="L398" s="50">
        <v>0.0</v>
      </c>
      <c r="M398" s="50">
        <v>0.0</v>
      </c>
      <c r="N398" s="50">
        <v>0.0</v>
      </c>
      <c r="O398" s="50">
        <v>0.0</v>
      </c>
      <c r="P398" s="50">
        <v>0.0</v>
      </c>
      <c r="Q398" s="50">
        <v>0.0</v>
      </c>
      <c r="R398" s="50">
        <v>0.0</v>
      </c>
      <c r="S398" s="50">
        <v>0.0</v>
      </c>
      <c r="T398" s="50">
        <v>2.8125</v>
      </c>
      <c r="U398" s="50">
        <v>0.0</v>
      </c>
      <c r="V398" s="50">
        <v>0.0</v>
      </c>
      <c r="W398" s="50">
        <v>0.0</v>
      </c>
      <c r="X398" s="50">
        <v>2.8125</v>
      </c>
      <c r="Y398" s="50">
        <v>5.625</v>
      </c>
    </row>
    <row r="399">
      <c r="A399" s="26">
        <v>393.0</v>
      </c>
      <c r="B399" s="65">
        <v>1.721063912755064</v>
      </c>
      <c r="C399" s="65">
        <v>1.0055585918873111</v>
      </c>
      <c r="D399" s="65">
        <v>0.49916306277347955</v>
      </c>
      <c r="E399" s="65">
        <v>0.1771673422316084</v>
      </c>
      <c r="F399" s="65">
        <v>0.8945662562119052</v>
      </c>
      <c r="G399" s="50">
        <v>0.0</v>
      </c>
      <c r="H399" s="50">
        <v>0.0</v>
      </c>
      <c r="I399" s="50">
        <v>0.0</v>
      </c>
      <c r="J399" s="50">
        <v>0.0</v>
      </c>
      <c r="K399" s="50">
        <v>0.0</v>
      </c>
      <c r="L399" s="50">
        <v>0.0</v>
      </c>
      <c r="M399" s="50">
        <v>0.0</v>
      </c>
      <c r="N399" s="50">
        <v>0.0</v>
      </c>
      <c r="O399" s="50">
        <v>0.0</v>
      </c>
      <c r="P399" s="50">
        <v>0.0</v>
      </c>
      <c r="Q399" s="50">
        <v>0.0</v>
      </c>
      <c r="R399" s="50">
        <v>9.9</v>
      </c>
      <c r="S399" s="50">
        <v>0.0</v>
      </c>
      <c r="T399" s="50">
        <v>2.8125</v>
      </c>
      <c r="U399" s="50">
        <v>0.0</v>
      </c>
      <c r="V399" s="50">
        <v>0.0</v>
      </c>
      <c r="W399" s="50">
        <v>0.0</v>
      </c>
      <c r="X399" s="50">
        <v>2.8125</v>
      </c>
      <c r="Y399" s="50">
        <v>15.525</v>
      </c>
    </row>
    <row r="400">
      <c r="A400" s="26">
        <v>394.0</v>
      </c>
      <c r="B400" s="65">
        <v>0.634894535134933</v>
      </c>
      <c r="C400" s="65">
        <v>0.23271666905430832</v>
      </c>
      <c r="D400" s="65">
        <v>1.7836816829399929</v>
      </c>
      <c r="E400" s="65">
        <v>-1.057163247693711</v>
      </c>
      <c r="F400" s="65">
        <v>3.6923709690422806</v>
      </c>
      <c r="G400" s="50">
        <v>0.0</v>
      </c>
      <c r="H400" s="50">
        <v>0.0</v>
      </c>
      <c r="I400" s="50">
        <v>0.0</v>
      </c>
      <c r="J400" s="50">
        <v>0.0</v>
      </c>
      <c r="K400" s="50">
        <v>0.0</v>
      </c>
      <c r="L400" s="50">
        <v>0.0</v>
      </c>
      <c r="M400" s="50">
        <v>0.0</v>
      </c>
      <c r="N400" s="50">
        <v>0.0</v>
      </c>
      <c r="O400" s="50">
        <v>0.0</v>
      </c>
      <c r="P400" s="50">
        <v>0.0</v>
      </c>
      <c r="Q400" s="50">
        <v>0.0</v>
      </c>
      <c r="R400" s="50">
        <v>0.0</v>
      </c>
      <c r="S400" s="50">
        <v>0.0</v>
      </c>
      <c r="T400" s="50">
        <v>2.8125</v>
      </c>
      <c r="U400" s="50">
        <v>0.0</v>
      </c>
      <c r="V400" s="50">
        <v>0.0</v>
      </c>
      <c r="W400" s="50">
        <v>0.0</v>
      </c>
      <c r="X400" s="50">
        <v>2.8125</v>
      </c>
      <c r="Y400" s="50">
        <v>5.625</v>
      </c>
    </row>
    <row r="401">
      <c r="A401" s="26">
        <v>395.0</v>
      </c>
      <c r="B401" s="65">
        <v>-0.7759847092062063</v>
      </c>
      <c r="C401" s="65">
        <v>-0.9578961336968452</v>
      </c>
      <c r="D401" s="65">
        <v>-1.7862226222023585</v>
      </c>
      <c r="E401" s="65">
        <v>1.363187443063305</v>
      </c>
      <c r="F401" s="65">
        <v>2.590852925787629</v>
      </c>
      <c r="G401" s="50">
        <v>0.0</v>
      </c>
      <c r="H401" s="50">
        <v>0.0</v>
      </c>
      <c r="I401" s="50">
        <v>0.0</v>
      </c>
      <c r="J401" s="50">
        <v>0.0</v>
      </c>
      <c r="K401" s="50">
        <v>0.0</v>
      </c>
      <c r="L401" s="50">
        <v>0.0</v>
      </c>
      <c r="M401" s="50">
        <v>0.0</v>
      </c>
      <c r="N401" s="50">
        <v>0.0</v>
      </c>
      <c r="O401" s="50">
        <v>7.425000000000001</v>
      </c>
      <c r="P401" s="50">
        <v>2.475</v>
      </c>
      <c r="Q401" s="50">
        <v>0.0</v>
      </c>
      <c r="R401" s="50">
        <v>0.0</v>
      </c>
      <c r="S401" s="50">
        <v>0.0</v>
      </c>
      <c r="T401" s="50">
        <v>2.8125</v>
      </c>
      <c r="U401" s="50">
        <v>0.0</v>
      </c>
      <c r="V401" s="50">
        <v>0.0</v>
      </c>
      <c r="W401" s="50">
        <v>0.0</v>
      </c>
      <c r="X401" s="50">
        <v>2.8125</v>
      </c>
      <c r="Y401" s="50">
        <v>15.525</v>
      </c>
    </row>
    <row r="402">
      <c r="A402" s="26">
        <v>396.0</v>
      </c>
      <c r="B402" s="65">
        <v>1.0327082135748715</v>
      </c>
      <c r="C402" s="65">
        <v>1.4794517498147683</v>
      </c>
      <c r="D402" s="65">
        <v>-0.4915720059750779</v>
      </c>
      <c r="E402" s="65">
        <v>1.0267151863461186</v>
      </c>
      <c r="F402" s="65">
        <v>10.919452903013513</v>
      </c>
      <c r="G402" s="50">
        <v>0.0</v>
      </c>
      <c r="H402" s="50">
        <v>0.0</v>
      </c>
      <c r="I402" s="50">
        <v>0.0</v>
      </c>
      <c r="J402" s="50">
        <v>0.0</v>
      </c>
      <c r="K402" s="50">
        <v>0.0</v>
      </c>
      <c r="L402" s="50">
        <v>0.0</v>
      </c>
      <c r="M402" s="50">
        <v>0.0</v>
      </c>
      <c r="N402" s="50">
        <v>0.0</v>
      </c>
      <c r="O402" s="50">
        <v>0.0</v>
      </c>
      <c r="P402" s="50">
        <v>0.0</v>
      </c>
      <c r="Q402" s="50">
        <v>0.0</v>
      </c>
      <c r="R402" s="50">
        <v>0.0</v>
      </c>
      <c r="S402" s="50">
        <v>0.0</v>
      </c>
      <c r="T402" s="50">
        <v>2.8125</v>
      </c>
      <c r="U402" s="50">
        <v>0.0</v>
      </c>
      <c r="V402" s="50">
        <v>0.0</v>
      </c>
      <c r="W402" s="50">
        <v>0.0</v>
      </c>
      <c r="X402" s="50">
        <v>2.8125</v>
      </c>
      <c r="Y402" s="50">
        <v>5.625</v>
      </c>
    </row>
    <row r="403">
      <c r="A403" s="26">
        <v>397.0</v>
      </c>
      <c r="B403" s="65">
        <v>-0.7171619206651632</v>
      </c>
      <c r="C403" s="65">
        <v>0.3945948512360977</v>
      </c>
      <c r="D403" s="65">
        <v>-1.5524928688684863</v>
      </c>
      <c r="E403" s="65">
        <v>-2.458138724135897</v>
      </c>
      <c r="F403" s="65">
        <v>4.735528404485093</v>
      </c>
      <c r="G403" s="50">
        <v>0.0</v>
      </c>
      <c r="H403" s="50">
        <v>0.0</v>
      </c>
      <c r="I403" s="50">
        <v>0.0</v>
      </c>
      <c r="J403" s="50">
        <v>0.0</v>
      </c>
      <c r="K403" s="50">
        <v>0.0</v>
      </c>
      <c r="L403" s="50">
        <v>0.0</v>
      </c>
      <c r="M403" s="50">
        <v>0.0</v>
      </c>
      <c r="N403" s="50">
        <v>0.0</v>
      </c>
      <c r="O403" s="50">
        <v>7.425000000000001</v>
      </c>
      <c r="P403" s="50">
        <v>0.0</v>
      </c>
      <c r="Q403" s="50">
        <v>0.0</v>
      </c>
      <c r="R403" s="50">
        <v>0.0</v>
      </c>
      <c r="S403" s="50">
        <v>0.0</v>
      </c>
      <c r="T403" s="50">
        <v>2.8125</v>
      </c>
      <c r="U403" s="50">
        <v>0.0</v>
      </c>
      <c r="V403" s="50">
        <v>5.625</v>
      </c>
      <c r="W403" s="50">
        <v>0.0</v>
      </c>
      <c r="X403" s="50">
        <v>2.8125</v>
      </c>
      <c r="Y403" s="50">
        <v>18.675</v>
      </c>
    </row>
    <row r="404">
      <c r="A404" s="26">
        <v>398.0</v>
      </c>
      <c r="B404" s="65">
        <v>1.8187537622909922</v>
      </c>
      <c r="C404" s="65">
        <v>0.49781233792793733</v>
      </c>
      <c r="D404" s="65">
        <v>1.0419703834901026</v>
      </c>
      <c r="E404" s="65">
        <v>0.11842132088722068</v>
      </c>
      <c r="F404" s="65">
        <v>3.0618644893105302</v>
      </c>
      <c r="G404" s="50">
        <v>0.0</v>
      </c>
      <c r="H404" s="50">
        <v>0.0</v>
      </c>
      <c r="I404" s="50">
        <v>0.0</v>
      </c>
      <c r="J404" s="50">
        <v>0.0</v>
      </c>
      <c r="K404" s="50">
        <v>0.0</v>
      </c>
      <c r="L404" s="50">
        <v>0.0</v>
      </c>
      <c r="M404" s="50">
        <v>0.0</v>
      </c>
      <c r="N404" s="50">
        <v>0.0</v>
      </c>
      <c r="O404" s="50">
        <v>0.0</v>
      </c>
      <c r="P404" s="50">
        <v>0.0</v>
      </c>
      <c r="Q404" s="50">
        <v>0.0</v>
      </c>
      <c r="R404" s="50">
        <v>0.0</v>
      </c>
      <c r="S404" s="50">
        <v>0.0</v>
      </c>
      <c r="T404" s="50">
        <v>2.8125</v>
      </c>
      <c r="U404" s="50">
        <v>0.0</v>
      </c>
      <c r="V404" s="50">
        <v>0.0</v>
      </c>
      <c r="W404" s="50">
        <v>0.0</v>
      </c>
      <c r="X404" s="50">
        <v>2.8125</v>
      </c>
      <c r="Y404" s="50">
        <v>5.625</v>
      </c>
    </row>
    <row r="405">
      <c r="A405" s="26">
        <v>399.0</v>
      </c>
      <c r="B405" s="65">
        <v>-1.458588666242872</v>
      </c>
      <c r="C405" s="65">
        <v>-0.8949344307633063</v>
      </c>
      <c r="D405" s="65">
        <v>-0.34156421666829073</v>
      </c>
      <c r="E405" s="65">
        <v>-1.302329464020596</v>
      </c>
      <c r="F405" s="65">
        <v>3.9221908715749003</v>
      </c>
      <c r="G405" s="50">
        <v>0.0</v>
      </c>
      <c r="H405" s="50">
        <v>0.0</v>
      </c>
      <c r="I405" s="50">
        <v>0.0</v>
      </c>
      <c r="J405" s="50">
        <v>0.0</v>
      </c>
      <c r="K405" s="50">
        <v>0.0</v>
      </c>
      <c r="L405" s="50">
        <v>0.0</v>
      </c>
      <c r="M405" s="50">
        <v>0.0</v>
      </c>
      <c r="N405" s="50">
        <v>0.0</v>
      </c>
      <c r="O405" s="50">
        <v>0.0</v>
      </c>
      <c r="P405" s="50">
        <v>0.0</v>
      </c>
      <c r="Q405" s="50">
        <v>0.0</v>
      </c>
      <c r="R405" s="50">
        <v>0.0</v>
      </c>
      <c r="S405" s="50">
        <v>0.0</v>
      </c>
      <c r="T405" s="50">
        <v>2.8125</v>
      </c>
      <c r="U405" s="50">
        <v>9.9</v>
      </c>
      <c r="V405" s="50">
        <v>0.0</v>
      </c>
      <c r="W405" s="50">
        <v>0.0</v>
      </c>
      <c r="X405" s="50">
        <v>2.8125</v>
      </c>
      <c r="Y405" s="50">
        <v>15.525</v>
      </c>
    </row>
    <row r="406">
      <c r="A406" s="26">
        <v>400.0</v>
      </c>
      <c r="B406" s="65">
        <v>0.5574964624112705</v>
      </c>
      <c r="C406" s="65">
        <v>-0.6849687014464839</v>
      </c>
      <c r="D406" s="65">
        <v>0.246900839271746</v>
      </c>
      <c r="E406" s="65">
        <v>-1.0682207186461066</v>
      </c>
      <c r="F406" s="65">
        <v>4.099329581359088</v>
      </c>
      <c r="G406" s="50">
        <v>0.0</v>
      </c>
      <c r="H406" s="50">
        <v>0.0</v>
      </c>
      <c r="I406" s="50">
        <v>0.0</v>
      </c>
      <c r="J406" s="50">
        <v>0.0</v>
      </c>
      <c r="K406" s="50">
        <v>0.0</v>
      </c>
      <c r="L406" s="50">
        <v>0.0</v>
      </c>
      <c r="M406" s="50">
        <v>0.0</v>
      </c>
      <c r="N406" s="50">
        <v>0.0</v>
      </c>
      <c r="O406" s="50">
        <v>0.0</v>
      </c>
      <c r="P406" s="50">
        <v>0.0</v>
      </c>
      <c r="Q406" s="50">
        <v>0.0</v>
      </c>
      <c r="R406" s="50">
        <v>0.0</v>
      </c>
      <c r="S406" s="50">
        <v>0.0</v>
      </c>
      <c r="T406" s="50">
        <v>2.8125</v>
      </c>
      <c r="U406" s="50">
        <v>0.0</v>
      </c>
      <c r="V406" s="50">
        <v>0.0</v>
      </c>
      <c r="W406" s="50">
        <v>0.0</v>
      </c>
      <c r="X406" s="50">
        <v>2.8125</v>
      </c>
      <c r="Y406" s="50">
        <v>5.625</v>
      </c>
    </row>
    <row r="407">
      <c r="A407" s="26">
        <v>401.0</v>
      </c>
      <c r="B407" s="65">
        <v>1.4839780237042735</v>
      </c>
      <c r="C407" s="65">
        <v>1.2620278477255138</v>
      </c>
      <c r="D407" s="65">
        <v>-0.9689382876810829</v>
      </c>
      <c r="E407" s="65">
        <v>0.8630611524999733</v>
      </c>
      <c r="F407" s="65">
        <v>0.8097145501364115</v>
      </c>
      <c r="G407" s="50">
        <v>0.0</v>
      </c>
      <c r="H407" s="50">
        <v>0.0</v>
      </c>
      <c r="I407" s="50">
        <v>0.0</v>
      </c>
      <c r="J407" s="50">
        <v>0.0</v>
      </c>
      <c r="K407" s="50">
        <v>0.0</v>
      </c>
      <c r="L407" s="50">
        <v>0.0</v>
      </c>
      <c r="M407" s="50">
        <v>0.0</v>
      </c>
      <c r="N407" s="50">
        <v>0.0</v>
      </c>
      <c r="O407" s="50">
        <v>0.0</v>
      </c>
      <c r="P407" s="50">
        <v>0.0</v>
      </c>
      <c r="Q407" s="50">
        <v>0.0</v>
      </c>
      <c r="R407" s="50">
        <v>9.9</v>
      </c>
      <c r="S407" s="50">
        <v>0.0</v>
      </c>
      <c r="T407" s="50">
        <v>2.8125</v>
      </c>
      <c r="U407" s="50">
        <v>0.0</v>
      </c>
      <c r="V407" s="50">
        <v>0.0</v>
      </c>
      <c r="W407" s="50">
        <v>0.0</v>
      </c>
      <c r="X407" s="50">
        <v>0.0</v>
      </c>
      <c r="Y407" s="50">
        <v>12.7125</v>
      </c>
    </row>
    <row r="408">
      <c r="A408" s="26">
        <v>402.0</v>
      </c>
      <c r="B408" s="65">
        <v>-0.17849451737342664</v>
      </c>
      <c r="C408" s="65">
        <v>-1.6799803738290893</v>
      </c>
      <c r="D408" s="65">
        <v>-0.40445026832588776</v>
      </c>
      <c r="E408" s="65">
        <v>-0.5455264273568623</v>
      </c>
      <c r="F408" s="65">
        <v>2.0659662254978315</v>
      </c>
      <c r="G408" s="50">
        <v>0.0</v>
      </c>
      <c r="H408" s="50">
        <v>0.0</v>
      </c>
      <c r="I408" s="50">
        <v>0.0</v>
      </c>
      <c r="J408" s="50">
        <v>0.0</v>
      </c>
      <c r="K408" s="50">
        <v>0.0</v>
      </c>
      <c r="L408" s="50">
        <v>0.0</v>
      </c>
      <c r="M408" s="50">
        <v>0.0</v>
      </c>
      <c r="N408" s="50">
        <v>0.0</v>
      </c>
      <c r="O408" s="50">
        <v>0.0</v>
      </c>
      <c r="P408" s="50">
        <v>0.0</v>
      </c>
      <c r="Q408" s="50">
        <v>0.0</v>
      </c>
      <c r="R408" s="50">
        <v>9.9</v>
      </c>
      <c r="S408" s="50">
        <v>0.0</v>
      </c>
      <c r="T408" s="50">
        <v>2.8125</v>
      </c>
      <c r="U408" s="50">
        <v>0.0</v>
      </c>
      <c r="V408" s="50">
        <v>5.625</v>
      </c>
      <c r="W408" s="50">
        <v>0.0</v>
      </c>
      <c r="X408" s="50">
        <v>2.8125</v>
      </c>
      <c r="Y408" s="50">
        <v>21.15</v>
      </c>
    </row>
    <row r="409">
      <c r="A409" s="26">
        <v>403.0</v>
      </c>
      <c r="B409" s="65">
        <v>-2.2580505449903288</v>
      </c>
      <c r="C409" s="65">
        <v>-0.2682659413908842</v>
      </c>
      <c r="D409" s="65">
        <v>0.6529756950738439</v>
      </c>
      <c r="E409" s="65">
        <v>-0.24065750093058905</v>
      </c>
      <c r="F409" s="65">
        <v>1.4844141358786873</v>
      </c>
      <c r="G409" s="50">
        <v>0.0</v>
      </c>
      <c r="H409" s="50">
        <v>0.0</v>
      </c>
      <c r="I409" s="50">
        <v>0.0</v>
      </c>
      <c r="J409" s="50">
        <v>0.0</v>
      </c>
      <c r="K409" s="50">
        <v>0.0</v>
      </c>
      <c r="L409" s="50">
        <v>0.0</v>
      </c>
      <c r="M409" s="50">
        <v>0.0</v>
      </c>
      <c r="N409" s="50">
        <v>0.0</v>
      </c>
      <c r="O409" s="50">
        <v>7.425000000000001</v>
      </c>
      <c r="P409" s="50">
        <v>0.0</v>
      </c>
      <c r="Q409" s="50">
        <v>0.0</v>
      </c>
      <c r="R409" s="50">
        <v>9.9</v>
      </c>
      <c r="S409" s="50">
        <v>0.0</v>
      </c>
      <c r="T409" s="50">
        <v>2.8125</v>
      </c>
      <c r="U409" s="50">
        <v>9.9</v>
      </c>
      <c r="V409" s="50">
        <v>5.625</v>
      </c>
      <c r="W409" s="50">
        <v>4.95</v>
      </c>
      <c r="X409" s="50">
        <v>2.8125</v>
      </c>
      <c r="Y409" s="50">
        <v>43.425000000000004</v>
      </c>
    </row>
    <row r="410">
      <c r="A410" s="26">
        <v>404.0</v>
      </c>
      <c r="B410" s="65">
        <v>-0.301961845041851</v>
      </c>
      <c r="C410" s="65">
        <v>-0.18635568933793015</v>
      </c>
      <c r="D410" s="65">
        <v>-0.9933937057472005</v>
      </c>
      <c r="E410" s="65">
        <v>-0.3142890306840204</v>
      </c>
      <c r="F410" s="65">
        <v>2.8329829793962773</v>
      </c>
      <c r="G410" s="50">
        <v>0.0</v>
      </c>
      <c r="H410" s="50">
        <v>0.0</v>
      </c>
      <c r="I410" s="50">
        <v>0.0</v>
      </c>
      <c r="J410" s="50">
        <v>0.0</v>
      </c>
      <c r="K410" s="50">
        <v>0.0</v>
      </c>
      <c r="L410" s="50">
        <v>0.0</v>
      </c>
      <c r="M410" s="50">
        <v>0.0</v>
      </c>
      <c r="N410" s="50">
        <v>0.0</v>
      </c>
      <c r="O410" s="50">
        <v>0.0</v>
      </c>
      <c r="P410" s="50">
        <v>0.0</v>
      </c>
      <c r="Q410" s="50">
        <v>0.0</v>
      </c>
      <c r="R410" s="50">
        <v>9.9</v>
      </c>
      <c r="S410" s="50">
        <v>0.0</v>
      </c>
      <c r="T410" s="50">
        <v>2.8125</v>
      </c>
      <c r="U410" s="50">
        <v>0.0</v>
      </c>
      <c r="V410" s="50">
        <v>5.625</v>
      </c>
      <c r="W410" s="50">
        <v>0.0</v>
      </c>
      <c r="X410" s="50">
        <v>2.8125</v>
      </c>
      <c r="Y410" s="50">
        <v>21.15</v>
      </c>
    </row>
    <row r="411">
      <c r="A411" s="26">
        <v>405.0</v>
      </c>
      <c r="B411" s="65">
        <v>-0.20294519870255992</v>
      </c>
      <c r="C411" s="65">
        <v>0.3760556856224793</v>
      </c>
      <c r="D411" s="65">
        <v>0.904605132285543</v>
      </c>
      <c r="E411" s="65">
        <v>-0.5049487106046804</v>
      </c>
      <c r="F411" s="65">
        <v>6.908669585047984</v>
      </c>
      <c r="G411" s="50">
        <v>0.0</v>
      </c>
      <c r="H411" s="50">
        <v>0.0</v>
      </c>
      <c r="I411" s="50">
        <v>0.0</v>
      </c>
      <c r="J411" s="50">
        <v>0.0</v>
      </c>
      <c r="K411" s="50">
        <v>0.0</v>
      </c>
      <c r="L411" s="50">
        <v>0.0</v>
      </c>
      <c r="M411" s="50">
        <v>0.0</v>
      </c>
      <c r="N411" s="50">
        <v>0.0</v>
      </c>
      <c r="O411" s="50">
        <v>0.0</v>
      </c>
      <c r="P411" s="50">
        <v>0.0</v>
      </c>
      <c r="Q411" s="50">
        <v>0.0</v>
      </c>
      <c r="R411" s="50">
        <v>0.0</v>
      </c>
      <c r="S411" s="50">
        <v>0.0</v>
      </c>
      <c r="T411" s="50">
        <v>2.8125</v>
      </c>
      <c r="U411" s="50">
        <v>0.0</v>
      </c>
      <c r="V411" s="50">
        <v>0.0</v>
      </c>
      <c r="W411" s="50">
        <v>4.95</v>
      </c>
      <c r="X411" s="50">
        <v>2.8125</v>
      </c>
      <c r="Y411" s="50">
        <v>10.575</v>
      </c>
    </row>
    <row r="412">
      <c r="A412" s="26">
        <v>406.0</v>
      </c>
      <c r="B412" s="65">
        <v>-1.238394889357545</v>
      </c>
      <c r="C412" s="65">
        <v>0.7751995200356397</v>
      </c>
      <c r="D412" s="65">
        <v>0.4795745051739305</v>
      </c>
      <c r="E412" s="65">
        <v>-0.4726408280766312</v>
      </c>
      <c r="F412" s="65">
        <v>2.832054992385348</v>
      </c>
      <c r="G412" s="50">
        <v>0.0</v>
      </c>
      <c r="H412" s="50">
        <v>0.0</v>
      </c>
      <c r="I412" s="50">
        <v>0.0</v>
      </c>
      <c r="J412" s="50">
        <v>0.0</v>
      </c>
      <c r="K412" s="50">
        <v>0.0</v>
      </c>
      <c r="L412" s="50">
        <v>0.0</v>
      </c>
      <c r="M412" s="50">
        <v>0.0</v>
      </c>
      <c r="N412" s="50">
        <v>0.0</v>
      </c>
      <c r="O412" s="50">
        <v>7.425000000000001</v>
      </c>
      <c r="P412" s="50">
        <v>0.0</v>
      </c>
      <c r="Q412" s="50">
        <v>0.0</v>
      </c>
      <c r="R412" s="50">
        <v>0.0</v>
      </c>
      <c r="S412" s="50">
        <v>0.0</v>
      </c>
      <c r="T412" s="50">
        <v>2.8125</v>
      </c>
      <c r="U412" s="50">
        <v>0.0</v>
      </c>
      <c r="V412" s="50">
        <v>5.625</v>
      </c>
      <c r="W412" s="50">
        <v>4.95</v>
      </c>
      <c r="X412" s="50">
        <v>2.8125</v>
      </c>
      <c r="Y412" s="50">
        <v>23.625</v>
      </c>
    </row>
    <row r="413">
      <c r="A413" s="26">
        <v>407.0</v>
      </c>
      <c r="B413" s="65">
        <v>-0.856843589300538</v>
      </c>
      <c r="C413" s="65">
        <v>0.11909354839113877</v>
      </c>
      <c r="D413" s="65">
        <v>-1.3096689965042483</v>
      </c>
      <c r="E413" s="65">
        <v>-0.4473308525039718</v>
      </c>
      <c r="F413" s="65">
        <v>1.9137856058165994</v>
      </c>
      <c r="G413" s="50">
        <v>0.0</v>
      </c>
      <c r="H413" s="50">
        <v>0.0</v>
      </c>
      <c r="I413" s="50">
        <v>0.0</v>
      </c>
      <c r="J413" s="50">
        <v>0.0</v>
      </c>
      <c r="K413" s="50">
        <v>0.0</v>
      </c>
      <c r="L413" s="50">
        <v>0.0</v>
      </c>
      <c r="M413" s="50">
        <v>0.0</v>
      </c>
      <c r="N413" s="50">
        <v>0.0</v>
      </c>
      <c r="O413" s="50">
        <v>0.0</v>
      </c>
      <c r="P413" s="50">
        <v>0.0</v>
      </c>
      <c r="Q413" s="50">
        <v>13.5</v>
      </c>
      <c r="R413" s="50">
        <v>9.9</v>
      </c>
      <c r="S413" s="50">
        <v>0.0</v>
      </c>
      <c r="T413" s="50">
        <v>2.8125</v>
      </c>
      <c r="U413" s="50">
        <v>9.9</v>
      </c>
      <c r="V413" s="50">
        <v>5.625</v>
      </c>
      <c r="W413" s="50">
        <v>4.95</v>
      </c>
      <c r="X413" s="50">
        <v>2.8125</v>
      </c>
      <c r="Y413" s="50">
        <v>49.5</v>
      </c>
    </row>
    <row r="414">
      <c r="A414" s="26">
        <v>408.0</v>
      </c>
      <c r="B414" s="65">
        <v>0.9950732615033968</v>
      </c>
      <c r="C414" s="65">
        <v>-0.56386165635912</v>
      </c>
      <c r="D414" s="65">
        <v>1.3639296077595757</v>
      </c>
      <c r="E414" s="65">
        <v>0.9003717444754834</v>
      </c>
      <c r="F414" s="65">
        <v>4.408857658630057</v>
      </c>
      <c r="G414" s="50">
        <v>0.0</v>
      </c>
      <c r="H414" s="50">
        <v>0.0</v>
      </c>
      <c r="I414" s="50">
        <v>0.0</v>
      </c>
      <c r="J414" s="50">
        <v>0.0</v>
      </c>
      <c r="K414" s="50">
        <v>0.0</v>
      </c>
      <c r="L414" s="50">
        <v>0.0</v>
      </c>
      <c r="M414" s="50">
        <v>0.0</v>
      </c>
      <c r="N414" s="50">
        <v>0.0</v>
      </c>
      <c r="O414" s="50">
        <v>0.0</v>
      </c>
      <c r="P414" s="50">
        <v>0.0</v>
      </c>
      <c r="Q414" s="50">
        <v>0.0</v>
      </c>
      <c r="R414" s="50">
        <v>0.0</v>
      </c>
      <c r="S414" s="50">
        <v>0.0</v>
      </c>
      <c r="T414" s="50">
        <v>2.8125</v>
      </c>
      <c r="U414" s="50">
        <v>0.0</v>
      </c>
      <c r="V414" s="50">
        <v>0.0</v>
      </c>
      <c r="W414" s="50">
        <v>0.0</v>
      </c>
      <c r="X414" s="50">
        <v>2.8125</v>
      </c>
      <c r="Y414" s="50">
        <v>5.625</v>
      </c>
    </row>
    <row r="415">
      <c r="A415" s="26">
        <v>409.0</v>
      </c>
      <c r="B415" s="65">
        <v>-1.4103380077852858</v>
      </c>
      <c r="C415" s="65">
        <v>0.6232048168483548</v>
      </c>
      <c r="D415" s="65">
        <v>1.9113034744204627</v>
      </c>
      <c r="E415" s="65">
        <v>-0.2977146974737329</v>
      </c>
      <c r="F415" s="65">
        <v>5.285307389276538</v>
      </c>
      <c r="G415" s="50">
        <v>0.0</v>
      </c>
      <c r="H415" s="50">
        <v>0.0</v>
      </c>
      <c r="I415" s="50">
        <v>0.0</v>
      </c>
      <c r="J415" s="50">
        <v>0.0</v>
      </c>
      <c r="K415" s="50">
        <v>0.0</v>
      </c>
      <c r="L415" s="50">
        <v>0.0</v>
      </c>
      <c r="M415" s="50">
        <v>0.0</v>
      </c>
      <c r="N415" s="50">
        <v>0.0</v>
      </c>
      <c r="O415" s="50">
        <v>0.0</v>
      </c>
      <c r="P415" s="50">
        <v>0.0</v>
      </c>
      <c r="Q415" s="50">
        <v>0.0</v>
      </c>
      <c r="R415" s="50">
        <v>0.0</v>
      </c>
      <c r="S415" s="50">
        <v>0.0</v>
      </c>
      <c r="T415" s="50">
        <v>2.8125</v>
      </c>
      <c r="U415" s="50">
        <v>0.0</v>
      </c>
      <c r="V415" s="50">
        <v>5.625</v>
      </c>
      <c r="W415" s="50">
        <v>4.95</v>
      </c>
      <c r="X415" s="50">
        <v>2.8125</v>
      </c>
      <c r="Y415" s="50">
        <v>16.2</v>
      </c>
    </row>
    <row r="416">
      <c r="A416" s="26">
        <v>410.0</v>
      </c>
      <c r="B416" s="65">
        <v>1.1688378244748476</v>
      </c>
      <c r="C416" s="65">
        <v>0.3203610835089923</v>
      </c>
      <c r="D416" s="65">
        <v>-0.9534588906784275</v>
      </c>
      <c r="E416" s="65">
        <v>-0.3673453241237733</v>
      </c>
      <c r="F416" s="65">
        <v>2.332009431741552</v>
      </c>
      <c r="G416" s="50">
        <v>0.0</v>
      </c>
      <c r="H416" s="50">
        <v>0.0</v>
      </c>
      <c r="I416" s="50">
        <v>0.0</v>
      </c>
      <c r="J416" s="50">
        <v>0.0</v>
      </c>
      <c r="K416" s="50">
        <v>0.0</v>
      </c>
      <c r="L416" s="50">
        <v>0.0</v>
      </c>
      <c r="M416" s="50">
        <v>0.0</v>
      </c>
      <c r="N416" s="50">
        <v>0.0</v>
      </c>
      <c r="O416" s="50">
        <v>0.0</v>
      </c>
      <c r="P416" s="50">
        <v>0.0</v>
      </c>
      <c r="Q416" s="50">
        <v>0.0</v>
      </c>
      <c r="R416" s="50">
        <v>0.0</v>
      </c>
      <c r="S416" s="50">
        <v>0.0</v>
      </c>
      <c r="T416" s="50">
        <v>2.8125</v>
      </c>
      <c r="U416" s="50">
        <v>0.0</v>
      </c>
      <c r="V416" s="50">
        <v>0.0</v>
      </c>
      <c r="W416" s="50">
        <v>0.0</v>
      </c>
      <c r="X416" s="50">
        <v>2.8125</v>
      </c>
      <c r="Y416" s="50">
        <v>5.625</v>
      </c>
    </row>
    <row r="417">
      <c r="A417" s="26">
        <v>411.0</v>
      </c>
      <c r="B417" s="65">
        <v>-0.24453020276261392</v>
      </c>
      <c r="C417" s="65">
        <v>0.48827357527998877</v>
      </c>
      <c r="D417" s="65">
        <v>0.36138542958199193</v>
      </c>
      <c r="E417" s="65">
        <v>-0.5882564651929756</v>
      </c>
      <c r="F417" s="65">
        <v>0.9431575651092112</v>
      </c>
      <c r="G417" s="50">
        <v>0.0</v>
      </c>
      <c r="H417" s="50">
        <v>0.0</v>
      </c>
      <c r="I417" s="50">
        <v>0.0</v>
      </c>
      <c r="J417" s="50">
        <v>0.0</v>
      </c>
      <c r="K417" s="50">
        <v>0.0</v>
      </c>
      <c r="L417" s="50">
        <v>0.0</v>
      </c>
      <c r="M417" s="50">
        <v>0.0</v>
      </c>
      <c r="N417" s="50">
        <v>0.0</v>
      </c>
      <c r="O417" s="50">
        <v>0.0</v>
      </c>
      <c r="P417" s="50">
        <v>2.475</v>
      </c>
      <c r="Q417" s="50">
        <v>0.0</v>
      </c>
      <c r="R417" s="50">
        <v>0.0</v>
      </c>
      <c r="S417" s="50">
        <v>11.25</v>
      </c>
      <c r="T417" s="50">
        <v>2.8125</v>
      </c>
      <c r="U417" s="50">
        <v>9.9</v>
      </c>
      <c r="V417" s="50">
        <v>5.625</v>
      </c>
      <c r="W417" s="50">
        <v>0.0</v>
      </c>
      <c r="X417" s="50">
        <v>2.8125</v>
      </c>
      <c r="Y417" s="50">
        <v>34.875</v>
      </c>
    </row>
    <row r="418">
      <c r="A418" s="26">
        <v>412.0</v>
      </c>
      <c r="B418" s="65">
        <v>0.011898661150309539</v>
      </c>
      <c r="C418" s="65">
        <v>-0.32162913445991625</v>
      </c>
      <c r="D418" s="65">
        <v>0.6397774812116652</v>
      </c>
      <c r="E418" s="65">
        <v>1.6725157812678728</v>
      </c>
      <c r="F418" s="65">
        <v>6.907099057650935</v>
      </c>
      <c r="G418" s="50">
        <v>0.0</v>
      </c>
      <c r="H418" s="50">
        <v>0.0</v>
      </c>
      <c r="I418" s="50">
        <v>0.0</v>
      </c>
      <c r="J418" s="50">
        <v>0.0</v>
      </c>
      <c r="K418" s="50">
        <v>0.0</v>
      </c>
      <c r="L418" s="50">
        <v>0.0</v>
      </c>
      <c r="M418" s="50">
        <v>0.0</v>
      </c>
      <c r="N418" s="50">
        <v>0.0</v>
      </c>
      <c r="O418" s="50">
        <v>0.0</v>
      </c>
      <c r="P418" s="50">
        <v>0.0</v>
      </c>
      <c r="Q418" s="50">
        <v>0.0</v>
      </c>
      <c r="R418" s="50">
        <v>0.0</v>
      </c>
      <c r="S418" s="50">
        <v>0.0</v>
      </c>
      <c r="T418" s="50">
        <v>2.8125</v>
      </c>
      <c r="U418" s="50">
        <v>0.0</v>
      </c>
      <c r="V418" s="50">
        <v>0.0</v>
      </c>
      <c r="W418" s="50">
        <v>0.0</v>
      </c>
      <c r="X418" s="50">
        <v>2.8125</v>
      </c>
      <c r="Y418" s="50">
        <v>5.625</v>
      </c>
    </row>
    <row r="419">
      <c r="A419" s="26">
        <v>413.0</v>
      </c>
      <c r="B419" s="65">
        <v>1.5335387077299583</v>
      </c>
      <c r="C419" s="65">
        <v>-0.3188201348332714</v>
      </c>
      <c r="D419" s="65">
        <v>0.5496547743149613</v>
      </c>
      <c r="E419" s="65">
        <v>-1.0503184826998662</v>
      </c>
      <c r="F419" s="65">
        <v>1.5007084378203694</v>
      </c>
      <c r="G419" s="50">
        <v>0.0</v>
      </c>
      <c r="H419" s="50">
        <v>0.0</v>
      </c>
      <c r="I419" s="50">
        <v>0.0</v>
      </c>
      <c r="J419" s="50">
        <v>0.0</v>
      </c>
      <c r="K419" s="50">
        <v>0.0</v>
      </c>
      <c r="L419" s="50">
        <v>0.0</v>
      </c>
      <c r="M419" s="50">
        <v>0.0</v>
      </c>
      <c r="N419" s="50">
        <v>0.0</v>
      </c>
      <c r="O419" s="50">
        <v>0.0</v>
      </c>
      <c r="P419" s="50">
        <v>0.0</v>
      </c>
      <c r="Q419" s="50">
        <v>0.0</v>
      </c>
      <c r="R419" s="50">
        <v>0.0</v>
      </c>
      <c r="S419" s="50">
        <v>0.0</v>
      </c>
      <c r="T419" s="50">
        <v>2.8125</v>
      </c>
      <c r="U419" s="50">
        <v>0.0</v>
      </c>
      <c r="V419" s="50">
        <v>0.0</v>
      </c>
      <c r="W419" s="50">
        <v>0.0</v>
      </c>
      <c r="X419" s="50">
        <v>2.8125</v>
      </c>
      <c r="Y419" s="50">
        <v>5.625</v>
      </c>
    </row>
    <row r="420">
      <c r="A420" s="26">
        <v>414.0</v>
      </c>
      <c r="B420" s="65">
        <v>0.5474985303897096</v>
      </c>
      <c r="C420" s="65">
        <v>-0.31937577581630483</v>
      </c>
      <c r="D420" s="65">
        <v>0.2355687406547799</v>
      </c>
      <c r="E420" s="65">
        <v>1.7678822944358525</v>
      </c>
      <c r="F420" s="65">
        <v>11.039473405058846</v>
      </c>
      <c r="G420" s="50">
        <v>0.0</v>
      </c>
      <c r="H420" s="50">
        <v>0.0</v>
      </c>
      <c r="I420" s="50">
        <v>0.0</v>
      </c>
      <c r="J420" s="50">
        <v>0.0</v>
      </c>
      <c r="K420" s="50">
        <v>0.0</v>
      </c>
      <c r="L420" s="50">
        <v>0.0</v>
      </c>
      <c r="M420" s="50">
        <v>0.0</v>
      </c>
      <c r="N420" s="50">
        <v>0.0</v>
      </c>
      <c r="O420" s="50">
        <v>0.0</v>
      </c>
      <c r="P420" s="50">
        <v>0.0</v>
      </c>
      <c r="Q420" s="50">
        <v>0.0</v>
      </c>
      <c r="R420" s="50">
        <v>0.0</v>
      </c>
      <c r="S420" s="50">
        <v>0.0</v>
      </c>
      <c r="T420" s="50">
        <v>2.8125</v>
      </c>
      <c r="U420" s="50">
        <v>0.0</v>
      </c>
      <c r="V420" s="50">
        <v>0.0</v>
      </c>
      <c r="W420" s="50">
        <v>0.0</v>
      </c>
      <c r="X420" s="50">
        <v>2.8125</v>
      </c>
      <c r="Y420" s="50">
        <v>5.625</v>
      </c>
    </row>
    <row r="421">
      <c r="A421" s="26">
        <v>415.0</v>
      </c>
      <c r="B421" s="65">
        <v>-0.25678913179377816</v>
      </c>
      <c r="C421" s="65">
        <v>1.0545619516664637</v>
      </c>
      <c r="D421" s="65">
        <v>-0.28941951740411537</v>
      </c>
      <c r="E421" s="65">
        <v>0.12341624950452187</v>
      </c>
      <c r="F421" s="65">
        <v>5.120445820784101</v>
      </c>
      <c r="G421" s="50">
        <v>0.0</v>
      </c>
      <c r="H421" s="50">
        <v>0.0</v>
      </c>
      <c r="I421" s="50">
        <v>0.0</v>
      </c>
      <c r="J421" s="50">
        <v>0.0</v>
      </c>
      <c r="K421" s="50">
        <v>0.0</v>
      </c>
      <c r="L421" s="50">
        <v>0.0</v>
      </c>
      <c r="M421" s="50">
        <v>0.0</v>
      </c>
      <c r="N421" s="50">
        <v>0.0</v>
      </c>
      <c r="O421" s="50">
        <v>0.0</v>
      </c>
      <c r="P421" s="50">
        <v>0.0</v>
      </c>
      <c r="Q421" s="50">
        <v>0.0</v>
      </c>
      <c r="R421" s="50">
        <v>0.0</v>
      </c>
      <c r="S421" s="50">
        <v>0.0</v>
      </c>
      <c r="T421" s="50">
        <v>2.8125</v>
      </c>
      <c r="U421" s="50">
        <v>0.0</v>
      </c>
      <c r="V421" s="50">
        <v>0.0</v>
      </c>
      <c r="W421" s="50">
        <v>0.0</v>
      </c>
      <c r="X421" s="50">
        <v>2.8125</v>
      </c>
      <c r="Y421" s="50">
        <v>5.625</v>
      </c>
    </row>
    <row r="422">
      <c r="A422" s="26">
        <v>416.0</v>
      </c>
      <c r="B422" s="65">
        <v>-0.6869309295232782</v>
      </c>
      <c r="C422" s="65">
        <v>0.7795787179076715</v>
      </c>
      <c r="D422" s="65">
        <v>1.8125418494739</v>
      </c>
      <c r="E422" s="65">
        <v>-1.4236674870631376</v>
      </c>
      <c r="F422" s="65">
        <v>1.6258180450520745</v>
      </c>
      <c r="G422" s="50">
        <v>0.0</v>
      </c>
      <c r="H422" s="50">
        <v>0.0</v>
      </c>
      <c r="I422" s="50">
        <v>0.0</v>
      </c>
      <c r="J422" s="50">
        <v>0.0</v>
      </c>
      <c r="K422" s="50">
        <v>0.0</v>
      </c>
      <c r="L422" s="50">
        <v>0.0</v>
      </c>
      <c r="M422" s="50">
        <v>0.0</v>
      </c>
      <c r="N422" s="50">
        <v>0.0</v>
      </c>
      <c r="O422" s="50">
        <v>0.0</v>
      </c>
      <c r="P422" s="50">
        <v>2.475</v>
      </c>
      <c r="Q422" s="50">
        <v>0.0</v>
      </c>
      <c r="R422" s="50">
        <v>0.0</v>
      </c>
      <c r="S422" s="50">
        <v>0.0</v>
      </c>
      <c r="T422" s="50">
        <v>2.8125</v>
      </c>
      <c r="U422" s="50">
        <v>9.9</v>
      </c>
      <c r="V422" s="50">
        <v>5.625</v>
      </c>
      <c r="W422" s="50">
        <v>4.95</v>
      </c>
      <c r="X422" s="50">
        <v>2.8125</v>
      </c>
      <c r="Y422" s="50">
        <v>28.575</v>
      </c>
    </row>
    <row r="423">
      <c r="A423" s="26">
        <v>417.0</v>
      </c>
      <c r="B423" s="65">
        <v>-0.9105327896206501</v>
      </c>
      <c r="C423" s="65">
        <v>1.4018957969092647</v>
      </c>
      <c r="D423" s="65">
        <v>-1.3294800018574247</v>
      </c>
      <c r="E423" s="65">
        <v>-0.8441461842462439</v>
      </c>
      <c r="F423" s="65">
        <v>3.9018301404491647</v>
      </c>
      <c r="G423" s="50">
        <v>0.0</v>
      </c>
      <c r="H423" s="50">
        <v>0.0</v>
      </c>
      <c r="I423" s="50">
        <v>0.0</v>
      </c>
      <c r="J423" s="50">
        <v>0.0</v>
      </c>
      <c r="K423" s="50">
        <v>0.0</v>
      </c>
      <c r="L423" s="50">
        <v>0.0</v>
      </c>
      <c r="M423" s="50">
        <v>0.0</v>
      </c>
      <c r="N423" s="50">
        <v>0.0</v>
      </c>
      <c r="O423" s="50">
        <v>7.425000000000001</v>
      </c>
      <c r="P423" s="50">
        <v>0.0</v>
      </c>
      <c r="Q423" s="50">
        <v>0.0</v>
      </c>
      <c r="R423" s="50">
        <v>9.9</v>
      </c>
      <c r="S423" s="50">
        <v>0.0</v>
      </c>
      <c r="T423" s="50">
        <v>2.8125</v>
      </c>
      <c r="U423" s="50">
        <v>9.9</v>
      </c>
      <c r="V423" s="50">
        <v>0.0</v>
      </c>
      <c r="W423" s="50">
        <v>0.0</v>
      </c>
      <c r="X423" s="50">
        <v>2.8125</v>
      </c>
      <c r="Y423" s="50">
        <v>32.85</v>
      </c>
    </row>
    <row r="424">
      <c r="A424" s="26">
        <v>418.0</v>
      </c>
      <c r="B424" s="65">
        <v>0.32957365503482183</v>
      </c>
      <c r="C424" s="65">
        <v>1.585811827537801</v>
      </c>
      <c r="D424" s="65">
        <v>2.251187418989094</v>
      </c>
      <c r="E424" s="65">
        <v>0.6593716972436364</v>
      </c>
      <c r="F424" s="65">
        <v>5.2980009967557695</v>
      </c>
      <c r="G424" s="50">
        <v>0.0</v>
      </c>
      <c r="H424" s="50">
        <v>0.0</v>
      </c>
      <c r="I424" s="50">
        <v>0.0</v>
      </c>
      <c r="J424" s="50">
        <v>0.0</v>
      </c>
      <c r="K424" s="50">
        <v>0.0</v>
      </c>
      <c r="L424" s="50">
        <v>0.0</v>
      </c>
      <c r="M424" s="50">
        <v>0.0</v>
      </c>
      <c r="N424" s="50">
        <v>0.0</v>
      </c>
      <c r="O424" s="50">
        <v>0.0</v>
      </c>
      <c r="P424" s="50">
        <v>0.0</v>
      </c>
      <c r="Q424" s="50">
        <v>0.0</v>
      </c>
      <c r="R424" s="50">
        <v>0.0</v>
      </c>
      <c r="S424" s="50">
        <v>0.0</v>
      </c>
      <c r="T424" s="50">
        <v>2.8125</v>
      </c>
      <c r="U424" s="50">
        <v>0.0</v>
      </c>
      <c r="V424" s="50">
        <v>5.625</v>
      </c>
      <c r="W424" s="50">
        <v>0.0</v>
      </c>
      <c r="X424" s="50">
        <v>2.8125</v>
      </c>
      <c r="Y424" s="50">
        <v>11.25</v>
      </c>
    </row>
    <row r="425">
      <c r="A425" s="26">
        <v>419.0</v>
      </c>
      <c r="B425" s="65">
        <v>1.296490218646733</v>
      </c>
      <c r="C425" s="65">
        <v>0.2572897948404874</v>
      </c>
      <c r="D425" s="65">
        <v>1.0361987676002504</v>
      </c>
      <c r="E425" s="65">
        <v>0.04556535976209112</v>
      </c>
      <c r="F425" s="65">
        <v>5.946283348307243</v>
      </c>
      <c r="G425" s="50">
        <v>0.0</v>
      </c>
      <c r="H425" s="50">
        <v>0.0</v>
      </c>
      <c r="I425" s="50">
        <v>0.0</v>
      </c>
      <c r="J425" s="50">
        <v>0.0</v>
      </c>
      <c r="K425" s="50">
        <v>0.0</v>
      </c>
      <c r="L425" s="50">
        <v>0.0</v>
      </c>
      <c r="M425" s="50">
        <v>0.0</v>
      </c>
      <c r="N425" s="50">
        <v>0.0</v>
      </c>
      <c r="O425" s="50">
        <v>0.0</v>
      </c>
      <c r="P425" s="50">
        <v>0.0</v>
      </c>
      <c r="Q425" s="50">
        <v>0.0</v>
      </c>
      <c r="R425" s="50">
        <v>0.0</v>
      </c>
      <c r="S425" s="50">
        <v>0.0</v>
      </c>
      <c r="T425" s="50">
        <v>2.8125</v>
      </c>
      <c r="U425" s="50">
        <v>0.0</v>
      </c>
      <c r="V425" s="50">
        <v>0.0</v>
      </c>
      <c r="W425" s="50">
        <v>0.0</v>
      </c>
      <c r="X425" s="50">
        <v>2.8125</v>
      </c>
      <c r="Y425" s="50">
        <v>5.625</v>
      </c>
    </row>
    <row r="426">
      <c r="A426" s="26">
        <v>420.0</v>
      </c>
      <c r="B426" s="65">
        <v>-1.2959727829011047</v>
      </c>
      <c r="C426" s="65">
        <v>-0.2495808109916999</v>
      </c>
      <c r="D426" s="65">
        <v>0.3251557377703634</v>
      </c>
      <c r="E426" s="65">
        <v>0.35611744506293763</v>
      </c>
      <c r="F426" s="65">
        <v>4.955127957394051</v>
      </c>
      <c r="G426" s="50">
        <v>0.0</v>
      </c>
      <c r="H426" s="50">
        <v>0.0</v>
      </c>
      <c r="I426" s="50">
        <v>0.0</v>
      </c>
      <c r="J426" s="50">
        <v>0.0</v>
      </c>
      <c r="K426" s="50">
        <v>0.0</v>
      </c>
      <c r="L426" s="50">
        <v>0.0</v>
      </c>
      <c r="M426" s="50">
        <v>0.0</v>
      </c>
      <c r="N426" s="50">
        <v>0.0</v>
      </c>
      <c r="O426" s="50">
        <v>0.0</v>
      </c>
      <c r="P426" s="50">
        <v>0.0</v>
      </c>
      <c r="Q426" s="50">
        <v>0.0</v>
      </c>
      <c r="R426" s="50">
        <v>0.0</v>
      </c>
      <c r="S426" s="50">
        <v>0.0</v>
      </c>
      <c r="T426" s="50">
        <v>2.8125</v>
      </c>
      <c r="U426" s="50">
        <v>0.0</v>
      </c>
      <c r="V426" s="50">
        <v>5.625</v>
      </c>
      <c r="W426" s="50">
        <v>4.95</v>
      </c>
      <c r="X426" s="50">
        <v>2.8125</v>
      </c>
      <c r="Y426" s="50">
        <v>16.2</v>
      </c>
    </row>
    <row r="427">
      <c r="A427" s="26">
        <v>421.0</v>
      </c>
      <c r="B427" s="65">
        <v>-0.37442372119175443</v>
      </c>
      <c r="C427" s="65">
        <v>-1.1757162400893666</v>
      </c>
      <c r="D427" s="65">
        <v>-0.7699140063833562</v>
      </c>
      <c r="E427" s="65">
        <v>1.59999096811025</v>
      </c>
      <c r="F427" s="65">
        <v>2.9802633934307714</v>
      </c>
      <c r="G427" s="50">
        <v>0.0</v>
      </c>
      <c r="H427" s="50">
        <v>0.0</v>
      </c>
      <c r="I427" s="50">
        <v>0.0</v>
      </c>
      <c r="J427" s="50">
        <v>0.0</v>
      </c>
      <c r="K427" s="50">
        <v>0.0</v>
      </c>
      <c r="L427" s="50">
        <v>0.0</v>
      </c>
      <c r="M427" s="50">
        <v>0.0</v>
      </c>
      <c r="N427" s="50">
        <v>0.0</v>
      </c>
      <c r="O427" s="50">
        <v>0.0</v>
      </c>
      <c r="P427" s="50">
        <v>0.0</v>
      </c>
      <c r="Q427" s="50">
        <v>0.0</v>
      </c>
      <c r="R427" s="50">
        <v>9.9</v>
      </c>
      <c r="S427" s="50">
        <v>0.0</v>
      </c>
      <c r="T427" s="50">
        <v>2.8125</v>
      </c>
      <c r="U427" s="50">
        <v>0.0</v>
      </c>
      <c r="V427" s="50">
        <v>0.0</v>
      </c>
      <c r="W427" s="50">
        <v>0.0</v>
      </c>
      <c r="X427" s="50">
        <v>2.8125</v>
      </c>
      <c r="Y427" s="50">
        <v>15.525</v>
      </c>
    </row>
    <row r="428">
      <c r="A428" s="26">
        <v>422.0</v>
      </c>
      <c r="B428" s="65">
        <v>1.3603248951570106</v>
      </c>
      <c r="C428" s="65">
        <v>-0.1052884782295088</v>
      </c>
      <c r="D428" s="65">
        <v>-1.994767807303153</v>
      </c>
      <c r="E428" s="65">
        <v>-1.3444366200304207</v>
      </c>
      <c r="F428" s="65">
        <v>3.635108740446313</v>
      </c>
      <c r="G428" s="50">
        <v>0.0</v>
      </c>
      <c r="H428" s="50">
        <v>0.0</v>
      </c>
      <c r="I428" s="50">
        <v>0.0</v>
      </c>
      <c r="J428" s="50">
        <v>0.0</v>
      </c>
      <c r="K428" s="50">
        <v>0.0</v>
      </c>
      <c r="L428" s="50">
        <v>0.0</v>
      </c>
      <c r="M428" s="50">
        <v>0.0</v>
      </c>
      <c r="N428" s="50">
        <v>0.0</v>
      </c>
      <c r="O428" s="50">
        <v>0.0</v>
      </c>
      <c r="P428" s="50">
        <v>0.0</v>
      </c>
      <c r="Q428" s="50">
        <v>0.0</v>
      </c>
      <c r="R428" s="50">
        <v>0.0</v>
      </c>
      <c r="S428" s="50">
        <v>0.0</v>
      </c>
      <c r="T428" s="50">
        <v>2.8125</v>
      </c>
      <c r="U428" s="50">
        <v>0.0</v>
      </c>
      <c r="V428" s="50">
        <v>0.0</v>
      </c>
      <c r="W428" s="50">
        <v>0.0</v>
      </c>
      <c r="X428" s="50">
        <v>2.8125</v>
      </c>
      <c r="Y428" s="50">
        <v>5.625</v>
      </c>
    </row>
    <row r="429">
      <c r="A429" s="26">
        <v>423.0</v>
      </c>
      <c r="B429" s="65">
        <v>0.04590574625025523</v>
      </c>
      <c r="C429" s="65">
        <v>-1.0886431934792977</v>
      </c>
      <c r="D429" s="65">
        <v>0.04652970815170352</v>
      </c>
      <c r="E429" s="65">
        <v>-0.16032168576530237</v>
      </c>
      <c r="F429" s="65">
        <v>2.680460282080244</v>
      </c>
      <c r="G429" s="50">
        <v>0.0</v>
      </c>
      <c r="H429" s="50">
        <v>0.0</v>
      </c>
      <c r="I429" s="50">
        <v>0.0</v>
      </c>
      <c r="J429" s="50">
        <v>0.0</v>
      </c>
      <c r="K429" s="50">
        <v>0.0</v>
      </c>
      <c r="L429" s="50">
        <v>0.0</v>
      </c>
      <c r="M429" s="50">
        <v>0.0</v>
      </c>
      <c r="N429" s="50">
        <v>0.0</v>
      </c>
      <c r="O429" s="50">
        <v>0.0</v>
      </c>
      <c r="P429" s="50">
        <v>0.0</v>
      </c>
      <c r="Q429" s="50">
        <v>0.0</v>
      </c>
      <c r="R429" s="50">
        <v>0.0</v>
      </c>
      <c r="S429" s="50">
        <v>0.0</v>
      </c>
      <c r="T429" s="50">
        <v>2.8125</v>
      </c>
      <c r="U429" s="50">
        <v>0.0</v>
      </c>
      <c r="V429" s="50">
        <v>5.625</v>
      </c>
      <c r="W429" s="50">
        <v>0.0</v>
      </c>
      <c r="X429" s="50">
        <v>2.8125</v>
      </c>
      <c r="Y429" s="50">
        <v>11.25</v>
      </c>
    </row>
    <row r="430">
      <c r="A430" s="26">
        <v>424.0</v>
      </c>
      <c r="B430" s="65">
        <v>0.6802580299219848</v>
      </c>
      <c r="C430" s="65">
        <v>0.5042536046875129</v>
      </c>
      <c r="D430" s="65">
        <v>1.8476226847203472</v>
      </c>
      <c r="E430" s="65">
        <v>-0.17822113966562025</v>
      </c>
      <c r="F430" s="65">
        <v>3.921465913247221</v>
      </c>
      <c r="G430" s="50">
        <v>0.0</v>
      </c>
      <c r="H430" s="50">
        <v>0.0</v>
      </c>
      <c r="I430" s="50">
        <v>0.0</v>
      </c>
      <c r="J430" s="50">
        <v>0.0</v>
      </c>
      <c r="K430" s="50">
        <v>0.0</v>
      </c>
      <c r="L430" s="50">
        <v>0.0</v>
      </c>
      <c r="M430" s="50">
        <v>0.0</v>
      </c>
      <c r="N430" s="50">
        <v>0.0</v>
      </c>
      <c r="O430" s="50">
        <v>0.0</v>
      </c>
      <c r="P430" s="50">
        <v>0.0</v>
      </c>
      <c r="Q430" s="50">
        <v>0.0</v>
      </c>
      <c r="R430" s="50">
        <v>0.0</v>
      </c>
      <c r="S430" s="50">
        <v>0.0</v>
      </c>
      <c r="T430" s="50">
        <v>2.8125</v>
      </c>
      <c r="U430" s="50">
        <v>0.0</v>
      </c>
      <c r="V430" s="50">
        <v>5.625</v>
      </c>
      <c r="W430" s="50">
        <v>0.0</v>
      </c>
      <c r="X430" s="50">
        <v>2.8125</v>
      </c>
      <c r="Y430" s="50">
        <v>11.25</v>
      </c>
    </row>
    <row r="431">
      <c r="A431" s="26">
        <v>425.0</v>
      </c>
      <c r="B431" s="65">
        <v>1.6648531588790805</v>
      </c>
      <c r="C431" s="65">
        <v>-1.450490348711877</v>
      </c>
      <c r="D431" s="65">
        <v>-0.5852022916310702</v>
      </c>
      <c r="E431" s="65">
        <v>1.4907626322214846</v>
      </c>
      <c r="F431" s="65">
        <v>2.026018643720727</v>
      </c>
      <c r="G431" s="50">
        <v>0.0</v>
      </c>
      <c r="H431" s="50">
        <v>0.0</v>
      </c>
      <c r="I431" s="50">
        <v>0.0</v>
      </c>
      <c r="J431" s="50">
        <v>0.0</v>
      </c>
      <c r="K431" s="50">
        <v>0.0</v>
      </c>
      <c r="L431" s="50">
        <v>0.0</v>
      </c>
      <c r="M431" s="50">
        <v>0.0</v>
      </c>
      <c r="N431" s="50">
        <v>0.0</v>
      </c>
      <c r="O431" s="50">
        <v>0.0</v>
      </c>
      <c r="P431" s="50">
        <v>0.0</v>
      </c>
      <c r="Q431" s="50">
        <v>0.0</v>
      </c>
      <c r="R431" s="50">
        <v>0.0</v>
      </c>
      <c r="S431" s="50">
        <v>0.0</v>
      </c>
      <c r="T431" s="50">
        <v>2.8125</v>
      </c>
      <c r="U431" s="50">
        <v>0.0</v>
      </c>
      <c r="V431" s="50">
        <v>0.0</v>
      </c>
      <c r="W431" s="50">
        <v>0.0</v>
      </c>
      <c r="X431" s="50">
        <v>2.8125</v>
      </c>
      <c r="Y431" s="50">
        <v>5.625</v>
      </c>
    </row>
    <row r="432">
      <c r="A432" s="26">
        <v>426.0</v>
      </c>
      <c r="B432" s="65">
        <v>-1.5625872861879588</v>
      </c>
      <c r="C432" s="65">
        <v>-0.01673822999090185</v>
      </c>
      <c r="D432" s="65">
        <v>1.0155168698407733</v>
      </c>
      <c r="E432" s="65">
        <v>0.6993657240431135</v>
      </c>
      <c r="F432" s="65">
        <v>7.702522718128162</v>
      </c>
      <c r="G432" s="50">
        <v>0.0</v>
      </c>
      <c r="H432" s="50">
        <v>0.0</v>
      </c>
      <c r="I432" s="50">
        <v>0.0</v>
      </c>
      <c r="J432" s="50">
        <v>0.0</v>
      </c>
      <c r="K432" s="50">
        <v>0.0</v>
      </c>
      <c r="L432" s="50">
        <v>0.0</v>
      </c>
      <c r="M432" s="50">
        <v>0.0</v>
      </c>
      <c r="N432" s="50">
        <v>0.0</v>
      </c>
      <c r="O432" s="50">
        <v>0.0</v>
      </c>
      <c r="P432" s="50">
        <v>0.0</v>
      </c>
      <c r="Q432" s="50">
        <v>0.0</v>
      </c>
      <c r="R432" s="50">
        <v>0.0</v>
      </c>
      <c r="S432" s="50">
        <v>0.0</v>
      </c>
      <c r="T432" s="50">
        <v>2.8125</v>
      </c>
      <c r="U432" s="50">
        <v>0.0</v>
      </c>
      <c r="V432" s="50">
        <v>5.625</v>
      </c>
      <c r="W432" s="50">
        <v>0.0</v>
      </c>
      <c r="X432" s="50">
        <v>2.8125</v>
      </c>
      <c r="Y432" s="50">
        <v>11.25</v>
      </c>
    </row>
    <row r="433">
      <c r="A433" s="26">
        <v>427.0</v>
      </c>
      <c r="B433" s="65">
        <v>-1.3675776296170934</v>
      </c>
      <c r="C433" s="65">
        <v>0.6283331647680577</v>
      </c>
      <c r="D433" s="65">
        <v>0.2832500558742238</v>
      </c>
      <c r="E433" s="65">
        <v>0.20580906706650423</v>
      </c>
      <c r="F433" s="65">
        <v>7.09465929708724</v>
      </c>
      <c r="G433" s="50">
        <v>0.0</v>
      </c>
      <c r="H433" s="50">
        <v>0.0</v>
      </c>
      <c r="I433" s="50">
        <v>0.0</v>
      </c>
      <c r="J433" s="50">
        <v>0.0</v>
      </c>
      <c r="K433" s="50">
        <v>0.0</v>
      </c>
      <c r="L433" s="50">
        <v>0.0</v>
      </c>
      <c r="M433" s="50">
        <v>0.0</v>
      </c>
      <c r="N433" s="50">
        <v>0.0</v>
      </c>
      <c r="O433" s="50">
        <v>0.0</v>
      </c>
      <c r="P433" s="50">
        <v>0.0</v>
      </c>
      <c r="Q433" s="50">
        <v>0.0</v>
      </c>
      <c r="R433" s="50">
        <v>0.0</v>
      </c>
      <c r="S433" s="50">
        <v>0.0</v>
      </c>
      <c r="T433" s="50">
        <v>2.8125</v>
      </c>
      <c r="U433" s="50">
        <v>0.0</v>
      </c>
      <c r="V433" s="50">
        <v>0.0</v>
      </c>
      <c r="W433" s="50">
        <v>0.0</v>
      </c>
      <c r="X433" s="50">
        <v>2.8125</v>
      </c>
      <c r="Y433" s="50">
        <v>5.625</v>
      </c>
    </row>
    <row r="434">
      <c r="A434" s="26">
        <v>428.0</v>
      </c>
      <c r="B434" s="65">
        <v>0.042357079466974375</v>
      </c>
      <c r="C434" s="65">
        <v>-1.496799394919626</v>
      </c>
      <c r="D434" s="65">
        <v>0.8315285381978211</v>
      </c>
      <c r="E434" s="65">
        <v>-0.18801177132330588</v>
      </c>
      <c r="F434" s="65">
        <v>12.503973119679127</v>
      </c>
      <c r="G434" s="50">
        <v>0.0</v>
      </c>
      <c r="H434" s="50">
        <v>0.0</v>
      </c>
      <c r="I434" s="50">
        <v>0.0</v>
      </c>
      <c r="J434" s="50">
        <v>0.0</v>
      </c>
      <c r="K434" s="50">
        <v>0.0</v>
      </c>
      <c r="L434" s="50">
        <v>0.0</v>
      </c>
      <c r="M434" s="50">
        <v>0.0</v>
      </c>
      <c r="N434" s="50">
        <v>0.0</v>
      </c>
      <c r="O434" s="50">
        <v>0.0</v>
      </c>
      <c r="P434" s="50">
        <v>0.0</v>
      </c>
      <c r="Q434" s="50">
        <v>0.0</v>
      </c>
      <c r="R434" s="50">
        <v>0.0</v>
      </c>
      <c r="S434" s="50">
        <v>0.0</v>
      </c>
      <c r="T434" s="50">
        <v>2.8125</v>
      </c>
      <c r="U434" s="50">
        <v>0.0</v>
      </c>
      <c r="V434" s="50">
        <v>5.625</v>
      </c>
      <c r="W434" s="50">
        <v>0.0</v>
      </c>
      <c r="X434" s="50">
        <v>2.8125</v>
      </c>
      <c r="Y434" s="50">
        <v>11.25</v>
      </c>
    </row>
    <row r="435">
      <c r="A435" s="26">
        <v>429.0</v>
      </c>
      <c r="B435" s="65">
        <v>0.35422002808080577</v>
      </c>
      <c r="C435" s="65">
        <v>-1.4112311648019757</v>
      </c>
      <c r="D435" s="65">
        <v>0.08365590928045724</v>
      </c>
      <c r="E435" s="65">
        <v>2.301765988128432</v>
      </c>
      <c r="F435" s="65">
        <v>2.143512638313928</v>
      </c>
      <c r="G435" s="50">
        <v>0.0</v>
      </c>
      <c r="H435" s="50">
        <v>0.0</v>
      </c>
      <c r="I435" s="50">
        <v>0.0</v>
      </c>
      <c r="J435" s="50">
        <v>0.0</v>
      </c>
      <c r="K435" s="50">
        <v>0.0</v>
      </c>
      <c r="L435" s="50">
        <v>0.0</v>
      </c>
      <c r="M435" s="50">
        <v>0.0</v>
      </c>
      <c r="N435" s="50">
        <v>0.0</v>
      </c>
      <c r="O435" s="50">
        <v>7.425000000000001</v>
      </c>
      <c r="P435" s="50">
        <v>0.0</v>
      </c>
      <c r="Q435" s="50">
        <v>0.0</v>
      </c>
      <c r="R435" s="50">
        <v>0.0</v>
      </c>
      <c r="S435" s="50">
        <v>0.0</v>
      </c>
      <c r="T435" s="50">
        <v>2.8125</v>
      </c>
      <c r="U435" s="50">
        <v>9.9</v>
      </c>
      <c r="V435" s="50">
        <v>0.0</v>
      </c>
      <c r="W435" s="50">
        <v>0.0</v>
      </c>
      <c r="X435" s="50">
        <v>0.0</v>
      </c>
      <c r="Y435" s="50">
        <v>20.137500000000003</v>
      </c>
    </row>
    <row r="436">
      <c r="A436" s="26">
        <v>430.0</v>
      </c>
      <c r="B436" s="65">
        <v>-1.6613798452516504</v>
      </c>
      <c r="C436" s="65">
        <v>-0.0444011811175059</v>
      </c>
      <c r="D436" s="65">
        <v>-0.7999566382411943</v>
      </c>
      <c r="E436" s="65">
        <v>0.2334595851568043</v>
      </c>
      <c r="F436" s="65">
        <v>3.9356906429331464</v>
      </c>
      <c r="G436" s="50">
        <v>0.0</v>
      </c>
      <c r="H436" s="50">
        <v>0.0</v>
      </c>
      <c r="I436" s="50">
        <v>0.0</v>
      </c>
      <c r="J436" s="50">
        <v>0.0</v>
      </c>
      <c r="K436" s="50">
        <v>0.0</v>
      </c>
      <c r="L436" s="50">
        <v>0.0</v>
      </c>
      <c r="M436" s="50">
        <v>0.0</v>
      </c>
      <c r="N436" s="50">
        <v>0.0</v>
      </c>
      <c r="O436" s="50">
        <v>0.0</v>
      </c>
      <c r="P436" s="50">
        <v>0.0</v>
      </c>
      <c r="Q436" s="50">
        <v>0.0</v>
      </c>
      <c r="R436" s="50">
        <v>0.0</v>
      </c>
      <c r="S436" s="50">
        <v>11.25</v>
      </c>
      <c r="T436" s="50">
        <v>2.8125</v>
      </c>
      <c r="U436" s="50">
        <v>0.0</v>
      </c>
      <c r="V436" s="50">
        <v>5.625</v>
      </c>
      <c r="W436" s="50">
        <v>4.95</v>
      </c>
      <c r="X436" s="50">
        <v>2.8125</v>
      </c>
      <c r="Y436" s="50">
        <v>27.45</v>
      </c>
    </row>
    <row r="437">
      <c r="A437" s="26">
        <v>431.0</v>
      </c>
      <c r="B437" s="65">
        <v>-0.24296102769873998</v>
      </c>
      <c r="C437" s="65">
        <v>-1.6834879703592798</v>
      </c>
      <c r="D437" s="65">
        <v>-0.6209070351093289</v>
      </c>
      <c r="E437" s="65">
        <v>0.2801524298223763</v>
      </c>
      <c r="F437" s="65">
        <v>1.8903221924297977</v>
      </c>
      <c r="G437" s="50">
        <v>0.0</v>
      </c>
      <c r="H437" s="50">
        <v>0.0</v>
      </c>
      <c r="I437" s="50">
        <v>0.0</v>
      </c>
      <c r="J437" s="50">
        <v>0.0</v>
      </c>
      <c r="K437" s="50">
        <v>0.0</v>
      </c>
      <c r="L437" s="50">
        <v>0.0</v>
      </c>
      <c r="M437" s="50">
        <v>0.0</v>
      </c>
      <c r="N437" s="50">
        <v>0.0</v>
      </c>
      <c r="O437" s="50">
        <v>0.0</v>
      </c>
      <c r="P437" s="50">
        <v>2.475</v>
      </c>
      <c r="Q437" s="50">
        <v>0.0</v>
      </c>
      <c r="R437" s="50">
        <v>0.0</v>
      </c>
      <c r="S437" s="50">
        <v>0.0</v>
      </c>
      <c r="T437" s="50">
        <v>2.8125</v>
      </c>
      <c r="U437" s="50">
        <v>0.0</v>
      </c>
      <c r="V437" s="50">
        <v>0.0</v>
      </c>
      <c r="W437" s="50">
        <v>4.95</v>
      </c>
      <c r="X437" s="50">
        <v>2.8125</v>
      </c>
      <c r="Y437" s="50">
        <v>13.05</v>
      </c>
    </row>
    <row r="438">
      <c r="A438" s="26">
        <v>432.0</v>
      </c>
      <c r="B438" s="65">
        <v>-0.7185597130440082</v>
      </c>
      <c r="C438" s="65">
        <v>1.292100659189989</v>
      </c>
      <c r="D438" s="65">
        <v>-1.6680142688930641</v>
      </c>
      <c r="E438" s="65">
        <v>0.8492695610908048</v>
      </c>
      <c r="F438" s="65">
        <v>11.221746871575212</v>
      </c>
      <c r="G438" s="50">
        <v>0.0</v>
      </c>
      <c r="H438" s="50">
        <v>0.0</v>
      </c>
      <c r="I438" s="50">
        <v>0.0</v>
      </c>
      <c r="J438" s="50">
        <v>0.0</v>
      </c>
      <c r="K438" s="50">
        <v>0.0</v>
      </c>
      <c r="L438" s="50">
        <v>0.0</v>
      </c>
      <c r="M438" s="50">
        <v>0.0</v>
      </c>
      <c r="N438" s="50">
        <v>0.0</v>
      </c>
      <c r="O438" s="50">
        <v>0.0</v>
      </c>
      <c r="P438" s="50">
        <v>0.0</v>
      </c>
      <c r="Q438" s="50">
        <v>0.0</v>
      </c>
      <c r="R438" s="50">
        <v>0.0</v>
      </c>
      <c r="S438" s="50">
        <v>0.0</v>
      </c>
      <c r="T438" s="50">
        <v>2.8125</v>
      </c>
      <c r="U438" s="50">
        <v>0.0</v>
      </c>
      <c r="V438" s="50">
        <v>5.625</v>
      </c>
      <c r="W438" s="50">
        <v>0.0</v>
      </c>
      <c r="X438" s="50">
        <v>2.8125</v>
      </c>
      <c r="Y438" s="50">
        <v>11.25</v>
      </c>
    </row>
    <row r="439">
      <c r="A439" s="26">
        <v>433.0</v>
      </c>
      <c r="B439" s="65">
        <v>1.1728065748193124</v>
      </c>
      <c r="C439" s="65">
        <v>0.48474973889925166</v>
      </c>
      <c r="D439" s="65">
        <v>-0.6740407960519996</v>
      </c>
      <c r="E439" s="65">
        <v>-0.3601822621225259</v>
      </c>
      <c r="F439" s="65">
        <v>5.746233512760798</v>
      </c>
      <c r="G439" s="50">
        <v>0.0</v>
      </c>
      <c r="H439" s="50">
        <v>0.0</v>
      </c>
      <c r="I439" s="50">
        <v>0.0</v>
      </c>
      <c r="J439" s="50">
        <v>0.0</v>
      </c>
      <c r="K439" s="50">
        <v>0.0</v>
      </c>
      <c r="L439" s="50">
        <v>0.0</v>
      </c>
      <c r="M439" s="50">
        <v>0.0</v>
      </c>
      <c r="N439" s="50">
        <v>0.0</v>
      </c>
      <c r="O439" s="50">
        <v>0.0</v>
      </c>
      <c r="P439" s="50">
        <v>0.0</v>
      </c>
      <c r="Q439" s="50">
        <v>0.0</v>
      </c>
      <c r="R439" s="50">
        <v>0.0</v>
      </c>
      <c r="S439" s="50">
        <v>0.0</v>
      </c>
      <c r="T439" s="50">
        <v>2.8125</v>
      </c>
      <c r="U439" s="50">
        <v>0.0</v>
      </c>
      <c r="V439" s="50">
        <v>0.0</v>
      </c>
      <c r="W439" s="50">
        <v>0.0</v>
      </c>
      <c r="X439" s="50">
        <v>2.8125</v>
      </c>
      <c r="Y439" s="50">
        <v>5.625</v>
      </c>
    </row>
    <row r="440">
      <c r="A440" s="26">
        <v>434.0</v>
      </c>
      <c r="B440" s="65">
        <v>-0.21742646263547546</v>
      </c>
      <c r="C440" s="65">
        <v>1.5469178198237175</v>
      </c>
      <c r="D440" s="65">
        <v>-0.8257994750976178</v>
      </c>
      <c r="E440" s="65">
        <v>1.7207409937880893</v>
      </c>
      <c r="F440" s="65">
        <v>4.1889237519489555</v>
      </c>
      <c r="G440" s="50">
        <v>0.0</v>
      </c>
      <c r="H440" s="50">
        <v>0.0</v>
      </c>
      <c r="I440" s="50">
        <v>0.0</v>
      </c>
      <c r="J440" s="50">
        <v>0.0</v>
      </c>
      <c r="K440" s="50">
        <v>0.0</v>
      </c>
      <c r="L440" s="50">
        <v>0.0</v>
      </c>
      <c r="M440" s="50">
        <v>0.0</v>
      </c>
      <c r="N440" s="50">
        <v>0.0</v>
      </c>
      <c r="O440" s="50">
        <v>7.425000000000001</v>
      </c>
      <c r="P440" s="50">
        <v>0.0</v>
      </c>
      <c r="Q440" s="50">
        <v>0.0</v>
      </c>
      <c r="R440" s="50">
        <v>0.0</v>
      </c>
      <c r="S440" s="50">
        <v>0.0</v>
      </c>
      <c r="T440" s="50">
        <v>2.8125</v>
      </c>
      <c r="U440" s="50">
        <v>0.0</v>
      </c>
      <c r="V440" s="50">
        <v>0.0</v>
      </c>
      <c r="W440" s="50">
        <v>0.0</v>
      </c>
      <c r="X440" s="50">
        <v>2.8125</v>
      </c>
      <c r="Y440" s="50">
        <v>13.05</v>
      </c>
    </row>
    <row r="441">
      <c r="A441" s="26">
        <v>435.0</v>
      </c>
      <c r="B441" s="65">
        <v>1.7946998087925143</v>
      </c>
      <c r="C441" s="65">
        <v>-0.7060268336704348</v>
      </c>
      <c r="D441" s="65">
        <v>0.5550974188146405</v>
      </c>
      <c r="E441" s="65">
        <v>-0.8932608644360353</v>
      </c>
      <c r="F441" s="65">
        <v>1.090505627325091</v>
      </c>
      <c r="G441" s="50">
        <v>0.0</v>
      </c>
      <c r="H441" s="50">
        <v>0.0</v>
      </c>
      <c r="I441" s="50">
        <v>0.0</v>
      </c>
      <c r="J441" s="50">
        <v>0.0</v>
      </c>
      <c r="K441" s="50">
        <v>0.0</v>
      </c>
      <c r="L441" s="50">
        <v>0.0</v>
      </c>
      <c r="M441" s="50">
        <v>0.0</v>
      </c>
      <c r="N441" s="50">
        <v>0.0</v>
      </c>
      <c r="O441" s="50">
        <v>0.0</v>
      </c>
      <c r="P441" s="50">
        <v>0.0</v>
      </c>
      <c r="Q441" s="50">
        <v>0.0</v>
      </c>
      <c r="R441" s="50">
        <v>0.0</v>
      </c>
      <c r="S441" s="50">
        <v>0.0</v>
      </c>
      <c r="T441" s="50">
        <v>2.8125</v>
      </c>
      <c r="U441" s="50">
        <v>0.0</v>
      </c>
      <c r="V441" s="50">
        <v>5.625</v>
      </c>
      <c r="W441" s="50">
        <v>0.0</v>
      </c>
      <c r="X441" s="50">
        <v>2.8125</v>
      </c>
      <c r="Y441" s="50">
        <v>11.25</v>
      </c>
    </row>
    <row r="442">
      <c r="A442" s="26">
        <v>436.0</v>
      </c>
      <c r="B442" s="65">
        <v>-1.296761711922139</v>
      </c>
      <c r="C442" s="65">
        <v>0.9214239496975479</v>
      </c>
      <c r="D442" s="65">
        <v>0.19405412151563475</v>
      </c>
      <c r="E442" s="65">
        <v>1.0299254391402437</v>
      </c>
      <c r="F442" s="65">
        <v>2.6484648341484043</v>
      </c>
      <c r="G442" s="50">
        <v>0.0</v>
      </c>
      <c r="H442" s="50">
        <v>0.0</v>
      </c>
      <c r="I442" s="50">
        <v>0.0</v>
      </c>
      <c r="J442" s="50">
        <v>0.0</v>
      </c>
      <c r="K442" s="50">
        <v>0.0</v>
      </c>
      <c r="L442" s="50">
        <v>0.0</v>
      </c>
      <c r="M442" s="50">
        <v>0.0</v>
      </c>
      <c r="N442" s="50">
        <v>0.0</v>
      </c>
      <c r="O442" s="50">
        <v>0.0</v>
      </c>
      <c r="P442" s="50">
        <v>2.475</v>
      </c>
      <c r="Q442" s="50">
        <v>0.0</v>
      </c>
      <c r="R442" s="50">
        <v>0.0</v>
      </c>
      <c r="S442" s="50">
        <v>0.0</v>
      </c>
      <c r="T442" s="50">
        <v>2.8125</v>
      </c>
      <c r="U442" s="50">
        <v>0.0</v>
      </c>
      <c r="V442" s="50">
        <v>5.625</v>
      </c>
      <c r="W442" s="50">
        <v>0.0</v>
      </c>
      <c r="X442" s="50">
        <v>2.8125</v>
      </c>
      <c r="Y442" s="50">
        <v>13.725</v>
      </c>
    </row>
    <row r="443">
      <c r="A443" s="26">
        <v>437.0</v>
      </c>
      <c r="B443" s="65">
        <v>0.4523235708926553</v>
      </c>
      <c r="C443" s="65">
        <v>-0.28836132104703593</v>
      </c>
      <c r="D443" s="65">
        <v>1.2877041773707747</v>
      </c>
      <c r="E443" s="65">
        <v>-0.5304509449558633</v>
      </c>
      <c r="F443" s="65">
        <v>1.8175065455694857</v>
      </c>
      <c r="G443" s="50">
        <v>0.0</v>
      </c>
      <c r="H443" s="50">
        <v>0.0</v>
      </c>
      <c r="I443" s="50">
        <v>0.0</v>
      </c>
      <c r="J443" s="50">
        <v>0.0</v>
      </c>
      <c r="K443" s="50">
        <v>0.0</v>
      </c>
      <c r="L443" s="50">
        <v>0.0</v>
      </c>
      <c r="M443" s="50">
        <v>0.0</v>
      </c>
      <c r="N443" s="50">
        <v>0.0</v>
      </c>
      <c r="O443" s="50">
        <v>0.0</v>
      </c>
      <c r="P443" s="50">
        <v>0.0</v>
      </c>
      <c r="Q443" s="50">
        <v>0.0</v>
      </c>
      <c r="R443" s="50">
        <v>0.0</v>
      </c>
      <c r="S443" s="50">
        <v>0.0</v>
      </c>
      <c r="T443" s="50">
        <v>2.8125</v>
      </c>
      <c r="U443" s="50">
        <v>0.0</v>
      </c>
      <c r="V443" s="50">
        <v>5.625</v>
      </c>
      <c r="W443" s="50">
        <v>0.0</v>
      </c>
      <c r="X443" s="50">
        <v>2.8125</v>
      </c>
      <c r="Y443" s="50">
        <v>11.25</v>
      </c>
    </row>
    <row r="444">
      <c r="A444" s="26">
        <v>438.0</v>
      </c>
      <c r="B444" s="65">
        <v>1.4675231100104646</v>
      </c>
      <c r="C444" s="65">
        <v>0.0385126580790208</v>
      </c>
      <c r="D444" s="65">
        <v>-0.2042542191882467</v>
      </c>
      <c r="E444" s="65">
        <v>-1.043046033872344</v>
      </c>
      <c r="F444" s="65">
        <v>2.2049421102453013</v>
      </c>
      <c r="G444" s="50">
        <v>0.0</v>
      </c>
      <c r="H444" s="50">
        <v>0.0</v>
      </c>
      <c r="I444" s="50">
        <v>0.0</v>
      </c>
      <c r="J444" s="50">
        <v>0.0</v>
      </c>
      <c r="K444" s="50">
        <v>0.0</v>
      </c>
      <c r="L444" s="50">
        <v>0.0</v>
      </c>
      <c r="M444" s="50">
        <v>0.0</v>
      </c>
      <c r="N444" s="50">
        <v>0.0</v>
      </c>
      <c r="O444" s="50">
        <v>0.0</v>
      </c>
      <c r="P444" s="50">
        <v>0.0</v>
      </c>
      <c r="Q444" s="50">
        <v>0.0</v>
      </c>
      <c r="R444" s="50">
        <v>0.0</v>
      </c>
      <c r="S444" s="50">
        <v>0.0</v>
      </c>
      <c r="T444" s="50">
        <v>2.8125</v>
      </c>
      <c r="U444" s="50">
        <v>0.0</v>
      </c>
      <c r="V444" s="50">
        <v>0.0</v>
      </c>
      <c r="W444" s="50">
        <v>0.0</v>
      </c>
      <c r="X444" s="50">
        <v>2.8125</v>
      </c>
      <c r="Y444" s="50">
        <v>5.625</v>
      </c>
    </row>
    <row r="445">
      <c r="A445" s="26">
        <v>439.0</v>
      </c>
      <c r="B445" s="65">
        <v>0.476627126099594</v>
      </c>
      <c r="C445" s="65">
        <v>0.4742731672770551</v>
      </c>
      <c r="D445" s="65">
        <v>0.21397745629840986</v>
      </c>
      <c r="E445" s="65">
        <v>0.9005982861309743</v>
      </c>
      <c r="F445" s="65">
        <v>2.03095107778095</v>
      </c>
      <c r="G445" s="50">
        <v>0.0</v>
      </c>
      <c r="H445" s="50">
        <v>0.0</v>
      </c>
      <c r="I445" s="50">
        <v>0.0</v>
      </c>
      <c r="J445" s="50">
        <v>0.0</v>
      </c>
      <c r="K445" s="50">
        <v>0.0</v>
      </c>
      <c r="L445" s="50">
        <v>0.0</v>
      </c>
      <c r="M445" s="50">
        <v>0.0</v>
      </c>
      <c r="N445" s="50">
        <v>0.0</v>
      </c>
      <c r="O445" s="50">
        <v>0.0</v>
      </c>
      <c r="P445" s="50">
        <v>0.0</v>
      </c>
      <c r="Q445" s="50">
        <v>0.0</v>
      </c>
      <c r="R445" s="50">
        <v>0.0</v>
      </c>
      <c r="S445" s="50">
        <v>0.0</v>
      </c>
      <c r="T445" s="50">
        <v>2.8125</v>
      </c>
      <c r="U445" s="50">
        <v>0.0</v>
      </c>
      <c r="V445" s="50">
        <v>0.0</v>
      </c>
      <c r="W445" s="50">
        <v>0.0</v>
      </c>
      <c r="X445" s="50">
        <v>2.8125</v>
      </c>
      <c r="Y445" s="50">
        <v>5.625</v>
      </c>
    </row>
    <row r="446">
      <c r="A446" s="26">
        <v>440.0</v>
      </c>
      <c r="B446" s="65">
        <v>-0.6713606099000555</v>
      </c>
      <c r="C446" s="65">
        <v>-0.8727026470492694</v>
      </c>
      <c r="D446" s="65">
        <v>0.5990610493553837</v>
      </c>
      <c r="E446" s="65">
        <v>0.5694477071561912</v>
      </c>
      <c r="F446" s="65">
        <v>2.576177089662233</v>
      </c>
      <c r="G446" s="50">
        <v>0.0</v>
      </c>
      <c r="H446" s="50">
        <v>0.0</v>
      </c>
      <c r="I446" s="50">
        <v>0.0</v>
      </c>
      <c r="J446" s="50">
        <v>0.0</v>
      </c>
      <c r="K446" s="50">
        <v>0.0</v>
      </c>
      <c r="L446" s="50">
        <v>0.0</v>
      </c>
      <c r="M446" s="50">
        <v>0.0</v>
      </c>
      <c r="N446" s="50">
        <v>0.0</v>
      </c>
      <c r="O446" s="50">
        <v>0.0</v>
      </c>
      <c r="P446" s="50">
        <v>0.0</v>
      </c>
      <c r="Q446" s="50">
        <v>0.0</v>
      </c>
      <c r="R446" s="50">
        <v>0.0</v>
      </c>
      <c r="S446" s="50">
        <v>0.0</v>
      </c>
      <c r="T446" s="50">
        <v>2.8125</v>
      </c>
      <c r="U446" s="50">
        <v>0.0</v>
      </c>
      <c r="V446" s="50">
        <v>5.625</v>
      </c>
      <c r="W446" s="50">
        <v>0.0</v>
      </c>
      <c r="X446" s="50">
        <v>2.8125</v>
      </c>
      <c r="Y446" s="50">
        <v>11.25</v>
      </c>
    </row>
    <row r="447">
      <c r="A447" s="26">
        <v>441.0</v>
      </c>
      <c r="B447" s="65">
        <v>0.1490516546752226</v>
      </c>
      <c r="C447" s="65">
        <v>0.5382430138152119</v>
      </c>
      <c r="D447" s="65">
        <v>-0.9116640333186765</v>
      </c>
      <c r="E447" s="65">
        <v>0.4039132124120117</v>
      </c>
      <c r="F447" s="65">
        <v>6.609322152336139</v>
      </c>
      <c r="G447" s="50">
        <v>0.0</v>
      </c>
      <c r="H447" s="50">
        <v>0.0</v>
      </c>
      <c r="I447" s="50">
        <v>0.0</v>
      </c>
      <c r="J447" s="50">
        <v>0.0</v>
      </c>
      <c r="K447" s="50">
        <v>0.0</v>
      </c>
      <c r="L447" s="50">
        <v>0.0</v>
      </c>
      <c r="M447" s="50">
        <v>0.0</v>
      </c>
      <c r="N447" s="50">
        <v>0.0</v>
      </c>
      <c r="O447" s="50">
        <v>0.0</v>
      </c>
      <c r="P447" s="50">
        <v>0.0</v>
      </c>
      <c r="Q447" s="50">
        <v>0.0</v>
      </c>
      <c r="R447" s="50">
        <v>0.0</v>
      </c>
      <c r="S447" s="50">
        <v>0.0</v>
      </c>
      <c r="T447" s="50">
        <v>2.8125</v>
      </c>
      <c r="U447" s="50">
        <v>0.0</v>
      </c>
      <c r="V447" s="50">
        <v>0.0</v>
      </c>
      <c r="W447" s="50">
        <v>0.0</v>
      </c>
      <c r="X447" s="50">
        <v>2.8125</v>
      </c>
      <c r="Y447" s="50">
        <v>5.625</v>
      </c>
    </row>
    <row r="448">
      <c r="A448" s="26">
        <v>442.0</v>
      </c>
      <c r="B448" s="65">
        <v>0.30465536886650413</v>
      </c>
      <c r="C448" s="65">
        <v>-1.5622990015454064</v>
      </c>
      <c r="D448" s="65">
        <v>1.108587921830496</v>
      </c>
      <c r="E448" s="65">
        <v>0.12380479945632976</v>
      </c>
      <c r="F448" s="65">
        <v>7.553878235147577</v>
      </c>
      <c r="G448" s="50">
        <v>0.0</v>
      </c>
      <c r="H448" s="50">
        <v>0.0</v>
      </c>
      <c r="I448" s="50">
        <v>0.0</v>
      </c>
      <c r="J448" s="50">
        <v>0.0</v>
      </c>
      <c r="K448" s="50">
        <v>0.0</v>
      </c>
      <c r="L448" s="50">
        <v>0.0</v>
      </c>
      <c r="M448" s="50">
        <v>0.0</v>
      </c>
      <c r="N448" s="50">
        <v>0.0</v>
      </c>
      <c r="O448" s="50">
        <v>0.0</v>
      </c>
      <c r="P448" s="50">
        <v>0.0</v>
      </c>
      <c r="Q448" s="50">
        <v>0.0</v>
      </c>
      <c r="R448" s="50">
        <v>0.0</v>
      </c>
      <c r="S448" s="50">
        <v>0.0</v>
      </c>
      <c r="T448" s="50">
        <v>2.8125</v>
      </c>
      <c r="U448" s="50">
        <v>0.0</v>
      </c>
      <c r="V448" s="50">
        <v>0.0</v>
      </c>
      <c r="W448" s="50">
        <v>0.0</v>
      </c>
      <c r="X448" s="50">
        <v>2.8125</v>
      </c>
      <c r="Y448" s="50">
        <v>5.625</v>
      </c>
    </row>
    <row r="449">
      <c r="A449" s="26">
        <v>443.0</v>
      </c>
      <c r="B449" s="65">
        <v>-1.4690803278374034</v>
      </c>
      <c r="C449" s="65">
        <v>0.1445051210481609</v>
      </c>
      <c r="D449" s="65">
        <v>-0.8793139841206337</v>
      </c>
      <c r="E449" s="65">
        <v>1.0502085570072328</v>
      </c>
      <c r="F449" s="65">
        <v>2.121360322848812</v>
      </c>
      <c r="G449" s="50">
        <v>0.0</v>
      </c>
      <c r="H449" s="50">
        <v>0.0</v>
      </c>
      <c r="I449" s="50">
        <v>0.0</v>
      </c>
      <c r="J449" s="50">
        <v>0.0</v>
      </c>
      <c r="K449" s="50">
        <v>0.0</v>
      </c>
      <c r="L449" s="50">
        <v>0.0</v>
      </c>
      <c r="M449" s="50">
        <v>0.0</v>
      </c>
      <c r="N449" s="50">
        <v>0.0</v>
      </c>
      <c r="O449" s="50">
        <v>7.425000000000001</v>
      </c>
      <c r="P449" s="50">
        <v>0.0</v>
      </c>
      <c r="Q449" s="50">
        <v>0.0</v>
      </c>
      <c r="R449" s="50">
        <v>0.0</v>
      </c>
      <c r="S449" s="50">
        <v>0.0</v>
      </c>
      <c r="T449" s="50">
        <v>2.8125</v>
      </c>
      <c r="U449" s="50">
        <v>0.0</v>
      </c>
      <c r="V449" s="50">
        <v>0.0</v>
      </c>
      <c r="W449" s="50">
        <v>0.0</v>
      </c>
      <c r="X449" s="50">
        <v>2.8125</v>
      </c>
      <c r="Y449" s="50">
        <v>13.05</v>
      </c>
    </row>
    <row r="450">
      <c r="A450" s="26">
        <v>444.0</v>
      </c>
      <c r="B450" s="65">
        <v>1.668982958637017</v>
      </c>
      <c r="C450" s="65">
        <v>-0.9036119723805992</v>
      </c>
      <c r="D450" s="65">
        <v>-0.6690154957975879</v>
      </c>
      <c r="E450" s="65">
        <v>-0.9698475360784832</v>
      </c>
      <c r="F450" s="65">
        <v>1.0356202440535156</v>
      </c>
      <c r="G450" s="50">
        <v>0.0</v>
      </c>
      <c r="H450" s="50">
        <v>0.0</v>
      </c>
      <c r="I450" s="50">
        <v>0.0</v>
      </c>
      <c r="J450" s="50">
        <v>0.0</v>
      </c>
      <c r="K450" s="50">
        <v>0.0</v>
      </c>
      <c r="L450" s="50">
        <v>0.0</v>
      </c>
      <c r="M450" s="50">
        <v>0.0</v>
      </c>
      <c r="N450" s="50">
        <v>0.0</v>
      </c>
      <c r="O450" s="50">
        <v>0.0</v>
      </c>
      <c r="P450" s="50">
        <v>0.0</v>
      </c>
      <c r="Q450" s="50">
        <v>0.0</v>
      </c>
      <c r="R450" s="50">
        <v>0.0</v>
      </c>
      <c r="S450" s="50">
        <v>0.0</v>
      </c>
      <c r="T450" s="50">
        <v>2.8125</v>
      </c>
      <c r="U450" s="50">
        <v>0.0</v>
      </c>
      <c r="V450" s="50">
        <v>0.0</v>
      </c>
      <c r="W450" s="50">
        <v>0.0</v>
      </c>
      <c r="X450" s="50">
        <v>2.8125</v>
      </c>
      <c r="Y450" s="50">
        <v>5.625</v>
      </c>
    </row>
    <row r="451">
      <c r="A451" s="26">
        <v>445.0</v>
      </c>
      <c r="B451" s="65">
        <v>-0.11230427280670942</v>
      </c>
      <c r="C451" s="65">
        <v>0.9829821933794395</v>
      </c>
      <c r="D451" s="65">
        <v>0.082333996303904</v>
      </c>
      <c r="E451" s="65">
        <v>0.5818534590843925</v>
      </c>
      <c r="F451" s="65">
        <v>1.0486766931538696</v>
      </c>
      <c r="G451" s="50">
        <v>0.0</v>
      </c>
      <c r="H451" s="50">
        <v>0.0</v>
      </c>
      <c r="I451" s="50">
        <v>0.0</v>
      </c>
      <c r="J451" s="50">
        <v>0.0</v>
      </c>
      <c r="K451" s="50">
        <v>0.0</v>
      </c>
      <c r="L451" s="50">
        <v>0.0</v>
      </c>
      <c r="M451" s="50">
        <v>0.0</v>
      </c>
      <c r="N451" s="50">
        <v>0.0</v>
      </c>
      <c r="O451" s="50">
        <v>0.0</v>
      </c>
      <c r="P451" s="50">
        <v>0.0</v>
      </c>
      <c r="Q451" s="50">
        <v>0.0</v>
      </c>
      <c r="R451" s="50">
        <v>9.9</v>
      </c>
      <c r="S451" s="50">
        <v>0.0</v>
      </c>
      <c r="T451" s="50">
        <v>2.8125</v>
      </c>
      <c r="U451" s="50">
        <v>0.0</v>
      </c>
      <c r="V451" s="50">
        <v>0.0</v>
      </c>
      <c r="W451" s="50">
        <v>0.0</v>
      </c>
      <c r="X451" s="50">
        <v>2.8125</v>
      </c>
      <c r="Y451" s="50">
        <v>15.525</v>
      </c>
    </row>
    <row r="452">
      <c r="A452" s="26">
        <v>446.0</v>
      </c>
      <c r="B452" s="65">
        <v>1.1874503289383342</v>
      </c>
      <c r="C452" s="65">
        <v>1.3712238625836413</v>
      </c>
      <c r="D452" s="65">
        <v>-0.3224934063211457</v>
      </c>
      <c r="E452" s="65">
        <v>-0.07222770644246233</v>
      </c>
      <c r="F452" s="65">
        <v>1.0859692750522625</v>
      </c>
      <c r="G452" s="50">
        <v>0.0</v>
      </c>
      <c r="H452" s="50">
        <v>0.0</v>
      </c>
      <c r="I452" s="50">
        <v>0.0</v>
      </c>
      <c r="J452" s="50">
        <v>0.0</v>
      </c>
      <c r="K452" s="50">
        <v>0.0</v>
      </c>
      <c r="L452" s="50">
        <v>0.0</v>
      </c>
      <c r="M452" s="50">
        <v>0.0</v>
      </c>
      <c r="N452" s="50">
        <v>0.0</v>
      </c>
      <c r="O452" s="50">
        <v>0.0</v>
      </c>
      <c r="P452" s="50">
        <v>0.0</v>
      </c>
      <c r="Q452" s="50">
        <v>0.0</v>
      </c>
      <c r="R452" s="50">
        <v>9.9</v>
      </c>
      <c r="S452" s="50">
        <v>0.0</v>
      </c>
      <c r="T452" s="50">
        <v>2.8125</v>
      </c>
      <c r="U452" s="50">
        <v>9.9</v>
      </c>
      <c r="V452" s="50">
        <v>0.0</v>
      </c>
      <c r="W452" s="50">
        <v>0.0</v>
      </c>
      <c r="X452" s="50">
        <v>2.8125</v>
      </c>
      <c r="Y452" s="50">
        <v>25.425</v>
      </c>
    </row>
    <row r="453">
      <c r="A453" s="26">
        <v>447.0</v>
      </c>
      <c r="B453" s="65">
        <v>1.3013374302001632</v>
      </c>
      <c r="C453" s="65">
        <v>-0.0911305723826914</v>
      </c>
      <c r="D453" s="65">
        <v>0.7393432830095128</v>
      </c>
      <c r="E453" s="65">
        <v>1.6546832553786637</v>
      </c>
      <c r="F453" s="65">
        <v>3.630915833419068</v>
      </c>
      <c r="G453" s="50">
        <v>0.0</v>
      </c>
      <c r="H453" s="50">
        <v>0.0</v>
      </c>
      <c r="I453" s="50">
        <v>0.0</v>
      </c>
      <c r="J453" s="50">
        <v>0.0</v>
      </c>
      <c r="K453" s="50">
        <v>0.0</v>
      </c>
      <c r="L453" s="50">
        <v>0.0</v>
      </c>
      <c r="M453" s="50">
        <v>0.0</v>
      </c>
      <c r="N453" s="50">
        <v>0.0</v>
      </c>
      <c r="O453" s="50">
        <v>0.0</v>
      </c>
      <c r="P453" s="50">
        <v>0.0</v>
      </c>
      <c r="Q453" s="50">
        <v>0.0</v>
      </c>
      <c r="R453" s="50">
        <v>0.0</v>
      </c>
      <c r="S453" s="50">
        <v>0.0</v>
      </c>
      <c r="T453" s="50">
        <v>2.8125</v>
      </c>
      <c r="U453" s="50">
        <v>0.0</v>
      </c>
      <c r="V453" s="50">
        <v>0.0</v>
      </c>
      <c r="W453" s="50">
        <v>0.0</v>
      </c>
      <c r="X453" s="50">
        <v>2.8125</v>
      </c>
      <c r="Y453" s="50">
        <v>5.625</v>
      </c>
    </row>
    <row r="454">
      <c r="A454" s="26">
        <v>448.0</v>
      </c>
      <c r="B454" s="65">
        <v>1.921981369641579</v>
      </c>
      <c r="C454" s="65">
        <v>-0.49651088437837765</v>
      </c>
      <c r="D454" s="65">
        <v>0.9835702681222421</v>
      </c>
      <c r="E454" s="65">
        <v>-1.971985087179112</v>
      </c>
      <c r="F454" s="65">
        <v>4.846867164504037</v>
      </c>
      <c r="G454" s="50">
        <v>0.0</v>
      </c>
      <c r="H454" s="50">
        <v>0.0</v>
      </c>
      <c r="I454" s="50">
        <v>0.0</v>
      </c>
      <c r="J454" s="50">
        <v>0.0</v>
      </c>
      <c r="K454" s="50">
        <v>0.0</v>
      </c>
      <c r="L454" s="50">
        <v>0.0</v>
      </c>
      <c r="M454" s="50">
        <v>0.0</v>
      </c>
      <c r="N454" s="50">
        <v>0.0</v>
      </c>
      <c r="O454" s="50">
        <v>0.0</v>
      </c>
      <c r="P454" s="50">
        <v>0.0</v>
      </c>
      <c r="Q454" s="50">
        <v>0.0</v>
      </c>
      <c r="R454" s="50">
        <v>0.0</v>
      </c>
      <c r="S454" s="50">
        <v>0.0</v>
      </c>
      <c r="T454" s="50">
        <v>2.8125</v>
      </c>
      <c r="U454" s="50">
        <v>0.0</v>
      </c>
      <c r="V454" s="50">
        <v>0.0</v>
      </c>
      <c r="W454" s="50">
        <v>0.0</v>
      </c>
      <c r="X454" s="50">
        <v>2.8125</v>
      </c>
      <c r="Y454" s="50">
        <v>5.625</v>
      </c>
    </row>
    <row r="455">
      <c r="A455" s="26">
        <v>449.0</v>
      </c>
      <c r="B455" s="65">
        <v>-1.4081611736640889</v>
      </c>
      <c r="C455" s="65">
        <v>1.649152642332622</v>
      </c>
      <c r="D455" s="65">
        <v>1.255374819746343</v>
      </c>
      <c r="E455" s="65">
        <v>0.44325066780140604</v>
      </c>
      <c r="F455" s="65">
        <v>4.36747425576378</v>
      </c>
      <c r="G455" s="50">
        <v>0.0</v>
      </c>
      <c r="H455" s="50">
        <v>0.0</v>
      </c>
      <c r="I455" s="50">
        <v>0.0</v>
      </c>
      <c r="J455" s="50">
        <v>0.0</v>
      </c>
      <c r="K455" s="50">
        <v>0.0</v>
      </c>
      <c r="L455" s="50">
        <v>0.0</v>
      </c>
      <c r="M455" s="50">
        <v>0.0</v>
      </c>
      <c r="N455" s="50">
        <v>0.0</v>
      </c>
      <c r="O455" s="50">
        <v>0.0</v>
      </c>
      <c r="P455" s="50">
        <v>0.0</v>
      </c>
      <c r="Q455" s="50">
        <v>0.0</v>
      </c>
      <c r="R455" s="50">
        <v>9.9</v>
      </c>
      <c r="S455" s="50">
        <v>0.0</v>
      </c>
      <c r="T455" s="50">
        <v>2.8125</v>
      </c>
      <c r="U455" s="50">
        <v>0.0</v>
      </c>
      <c r="V455" s="50">
        <v>0.0</v>
      </c>
      <c r="W455" s="50">
        <v>0.0</v>
      </c>
      <c r="X455" s="50">
        <v>2.8125</v>
      </c>
      <c r="Y455" s="50">
        <v>15.525</v>
      </c>
    </row>
    <row r="456">
      <c r="A456" s="26">
        <v>450.0</v>
      </c>
      <c r="B456" s="65">
        <v>-0.7470434263791318</v>
      </c>
      <c r="C456" s="65">
        <v>-0.6541565683800629</v>
      </c>
      <c r="D456" s="65">
        <v>-1.5237992402516691</v>
      </c>
      <c r="E456" s="65">
        <v>-0.12985822151006698</v>
      </c>
      <c r="F456" s="65">
        <v>5.502545997363173</v>
      </c>
      <c r="G456" s="50">
        <v>0.0</v>
      </c>
      <c r="H456" s="50">
        <v>0.0</v>
      </c>
      <c r="I456" s="50">
        <v>0.0</v>
      </c>
      <c r="J456" s="50">
        <v>0.0</v>
      </c>
      <c r="K456" s="50">
        <v>0.0</v>
      </c>
      <c r="L456" s="50">
        <v>0.0</v>
      </c>
      <c r="M456" s="50">
        <v>0.0</v>
      </c>
      <c r="N456" s="50">
        <v>0.0</v>
      </c>
      <c r="O456" s="50">
        <v>7.425000000000001</v>
      </c>
      <c r="P456" s="50">
        <v>0.0</v>
      </c>
      <c r="Q456" s="50">
        <v>0.0</v>
      </c>
      <c r="R456" s="50">
        <v>0.0</v>
      </c>
      <c r="S456" s="50">
        <v>0.0</v>
      </c>
      <c r="T456" s="50">
        <v>2.8125</v>
      </c>
      <c r="U456" s="50">
        <v>0.0</v>
      </c>
      <c r="V456" s="50">
        <v>5.625</v>
      </c>
      <c r="W456" s="50">
        <v>0.0</v>
      </c>
      <c r="X456" s="50">
        <v>2.8125</v>
      </c>
      <c r="Y456" s="50">
        <v>18.675</v>
      </c>
    </row>
    <row r="457">
      <c r="A457" s="26">
        <v>451.0</v>
      </c>
      <c r="B457" s="65">
        <v>1.8592264819807747</v>
      </c>
      <c r="C457" s="65">
        <v>-0.028199253323405563</v>
      </c>
      <c r="D457" s="65">
        <v>1.4400657326059567</v>
      </c>
      <c r="E457" s="65">
        <v>0.4886743628578407</v>
      </c>
      <c r="F457" s="65">
        <v>3.794269837804866</v>
      </c>
      <c r="G457" s="50">
        <v>0.0</v>
      </c>
      <c r="H457" s="50">
        <v>0.0</v>
      </c>
      <c r="I457" s="50">
        <v>0.0</v>
      </c>
      <c r="J457" s="50">
        <v>0.0</v>
      </c>
      <c r="K457" s="50">
        <v>0.0</v>
      </c>
      <c r="L457" s="50">
        <v>0.0</v>
      </c>
      <c r="M457" s="50">
        <v>0.0</v>
      </c>
      <c r="N457" s="50">
        <v>0.0</v>
      </c>
      <c r="O457" s="50">
        <v>0.0</v>
      </c>
      <c r="P457" s="50">
        <v>0.0</v>
      </c>
      <c r="Q457" s="50">
        <v>0.0</v>
      </c>
      <c r="R457" s="50">
        <v>0.0</v>
      </c>
      <c r="S457" s="50">
        <v>0.0</v>
      </c>
      <c r="T457" s="50">
        <v>2.8125</v>
      </c>
      <c r="U457" s="50">
        <v>0.0</v>
      </c>
      <c r="V457" s="50">
        <v>0.0</v>
      </c>
      <c r="W457" s="50">
        <v>0.0</v>
      </c>
      <c r="X457" s="50">
        <v>2.8125</v>
      </c>
      <c r="Y457" s="50">
        <v>5.625</v>
      </c>
    </row>
    <row r="458">
      <c r="A458" s="26">
        <v>452.0</v>
      </c>
      <c r="B458" s="65">
        <v>1.6485519700785323</v>
      </c>
      <c r="C458" s="65">
        <v>0.18663385626575812</v>
      </c>
      <c r="D458" s="65">
        <v>0.8854841880571342</v>
      </c>
      <c r="E458" s="65">
        <v>-0.42235785979315194</v>
      </c>
      <c r="F458" s="65">
        <v>7.5322566287248645</v>
      </c>
      <c r="G458" s="50">
        <v>0.0</v>
      </c>
      <c r="H458" s="50">
        <v>0.0</v>
      </c>
      <c r="I458" s="50">
        <v>0.0</v>
      </c>
      <c r="J458" s="50">
        <v>0.0</v>
      </c>
      <c r="K458" s="50">
        <v>0.0</v>
      </c>
      <c r="L458" s="50">
        <v>0.0</v>
      </c>
      <c r="M458" s="50">
        <v>0.0</v>
      </c>
      <c r="N458" s="50">
        <v>0.0</v>
      </c>
      <c r="O458" s="50">
        <v>0.0</v>
      </c>
      <c r="P458" s="50">
        <v>0.0</v>
      </c>
      <c r="Q458" s="50">
        <v>0.0</v>
      </c>
      <c r="R458" s="50">
        <v>0.0</v>
      </c>
      <c r="S458" s="50">
        <v>0.0</v>
      </c>
      <c r="T458" s="50">
        <v>2.8125</v>
      </c>
      <c r="U458" s="50">
        <v>0.0</v>
      </c>
      <c r="V458" s="50">
        <v>0.0</v>
      </c>
      <c r="W458" s="50">
        <v>0.0</v>
      </c>
      <c r="X458" s="50">
        <v>2.8125</v>
      </c>
      <c r="Y458" s="50">
        <v>5.625</v>
      </c>
    </row>
    <row r="459">
      <c r="A459" s="26">
        <v>453.0</v>
      </c>
      <c r="B459" s="65">
        <v>0.7363602655825751</v>
      </c>
      <c r="C459" s="65">
        <v>-0.1716074185247104</v>
      </c>
      <c r="D459" s="65">
        <v>-0.056986231454982314</v>
      </c>
      <c r="E459" s="65">
        <v>0.20741972797614705</v>
      </c>
      <c r="F459" s="65">
        <v>0.472480469822777</v>
      </c>
      <c r="G459" s="50">
        <v>0.0</v>
      </c>
      <c r="H459" s="50">
        <v>0.0</v>
      </c>
      <c r="I459" s="50">
        <v>0.0</v>
      </c>
      <c r="J459" s="50">
        <v>0.0</v>
      </c>
      <c r="K459" s="50">
        <v>0.0</v>
      </c>
      <c r="L459" s="50">
        <v>0.0</v>
      </c>
      <c r="M459" s="50">
        <v>0.0</v>
      </c>
      <c r="N459" s="50">
        <v>0.0</v>
      </c>
      <c r="O459" s="50">
        <v>0.0</v>
      </c>
      <c r="P459" s="50">
        <v>0.0</v>
      </c>
      <c r="Q459" s="50">
        <v>0.0</v>
      </c>
      <c r="R459" s="50">
        <v>0.0</v>
      </c>
      <c r="S459" s="50">
        <v>0.0</v>
      </c>
      <c r="T459" s="50">
        <v>2.8125</v>
      </c>
      <c r="U459" s="50">
        <v>0.0</v>
      </c>
      <c r="V459" s="50">
        <v>0.0</v>
      </c>
      <c r="W459" s="50">
        <v>0.0</v>
      </c>
      <c r="X459" s="50">
        <v>0.0</v>
      </c>
      <c r="Y459" s="50">
        <v>2.8125</v>
      </c>
    </row>
    <row r="460">
      <c r="A460" s="26">
        <v>454.0</v>
      </c>
      <c r="B460" s="65">
        <v>-0.639544320819503</v>
      </c>
      <c r="C460" s="65">
        <v>0.2596348266210371</v>
      </c>
      <c r="D460" s="65">
        <v>-0.4897863791790493</v>
      </c>
      <c r="E460" s="65">
        <v>-2.183484450839776</v>
      </c>
      <c r="F460" s="65">
        <v>14.659824634930217</v>
      </c>
      <c r="G460" s="50">
        <v>0.0</v>
      </c>
      <c r="H460" s="50">
        <v>0.0</v>
      </c>
      <c r="I460" s="50">
        <v>0.0</v>
      </c>
      <c r="J460" s="50">
        <v>0.0</v>
      </c>
      <c r="K460" s="50">
        <v>0.0</v>
      </c>
      <c r="L460" s="50">
        <v>0.0</v>
      </c>
      <c r="M460" s="50">
        <v>0.0</v>
      </c>
      <c r="N460" s="50">
        <v>0.0</v>
      </c>
      <c r="O460" s="50">
        <v>0.0</v>
      </c>
      <c r="P460" s="50">
        <v>0.0</v>
      </c>
      <c r="Q460" s="50">
        <v>0.0</v>
      </c>
      <c r="R460" s="50">
        <v>0.0</v>
      </c>
      <c r="S460" s="50">
        <v>0.0</v>
      </c>
      <c r="T460" s="50">
        <v>2.8125</v>
      </c>
      <c r="U460" s="50">
        <v>0.0</v>
      </c>
      <c r="V460" s="50">
        <v>0.0</v>
      </c>
      <c r="W460" s="50">
        <v>0.0</v>
      </c>
      <c r="X460" s="50">
        <v>2.8125</v>
      </c>
      <c r="Y460" s="50">
        <v>5.625</v>
      </c>
    </row>
    <row r="461">
      <c r="A461" s="26">
        <v>455.0</v>
      </c>
      <c r="B461" s="65">
        <v>-0.4291938385616558</v>
      </c>
      <c r="C461" s="65">
        <v>-2.084366117430138</v>
      </c>
      <c r="D461" s="65">
        <v>-0.05346391922576824</v>
      </c>
      <c r="E461" s="65">
        <v>0.20992344208579444</v>
      </c>
      <c r="F461" s="65">
        <v>4.254833459114964</v>
      </c>
      <c r="G461" s="50">
        <v>0.0</v>
      </c>
      <c r="H461" s="50">
        <v>0.0</v>
      </c>
      <c r="I461" s="50">
        <v>0.0</v>
      </c>
      <c r="J461" s="50">
        <v>0.0</v>
      </c>
      <c r="K461" s="50">
        <v>0.0</v>
      </c>
      <c r="L461" s="50">
        <v>0.0</v>
      </c>
      <c r="M461" s="50">
        <v>0.0</v>
      </c>
      <c r="N461" s="50">
        <v>0.0</v>
      </c>
      <c r="O461" s="50">
        <v>0.0</v>
      </c>
      <c r="P461" s="50">
        <v>0.0</v>
      </c>
      <c r="Q461" s="50">
        <v>0.0</v>
      </c>
      <c r="R461" s="50">
        <v>0.0</v>
      </c>
      <c r="S461" s="50">
        <v>0.0</v>
      </c>
      <c r="T461" s="50">
        <v>2.8125</v>
      </c>
      <c r="U461" s="50">
        <v>9.9</v>
      </c>
      <c r="V461" s="50">
        <v>0.0</v>
      </c>
      <c r="W461" s="50">
        <v>0.0</v>
      </c>
      <c r="X461" s="50">
        <v>2.8125</v>
      </c>
      <c r="Y461" s="50">
        <v>15.525</v>
      </c>
    </row>
    <row r="462">
      <c r="A462" s="26">
        <v>456.0</v>
      </c>
      <c r="B462" s="65">
        <v>1.8046603285068772</v>
      </c>
      <c r="C462" s="65">
        <v>-1.4545072092608644</v>
      </c>
      <c r="D462" s="65">
        <v>-0.986855257438238</v>
      </c>
      <c r="E462" s="65">
        <v>1.1032756373872024</v>
      </c>
      <c r="F462" s="65">
        <v>11.352521005921574</v>
      </c>
      <c r="G462" s="50">
        <v>0.0</v>
      </c>
      <c r="H462" s="50">
        <v>0.0</v>
      </c>
      <c r="I462" s="50">
        <v>0.0</v>
      </c>
      <c r="J462" s="50">
        <v>0.0</v>
      </c>
      <c r="K462" s="50">
        <v>0.0</v>
      </c>
      <c r="L462" s="50">
        <v>0.0</v>
      </c>
      <c r="M462" s="50">
        <v>0.0</v>
      </c>
      <c r="N462" s="50">
        <v>0.0</v>
      </c>
      <c r="O462" s="50">
        <v>0.0</v>
      </c>
      <c r="P462" s="50">
        <v>0.0</v>
      </c>
      <c r="Q462" s="50">
        <v>0.0</v>
      </c>
      <c r="R462" s="50">
        <v>0.0</v>
      </c>
      <c r="S462" s="50">
        <v>0.0</v>
      </c>
      <c r="T462" s="50">
        <v>2.8125</v>
      </c>
      <c r="U462" s="50">
        <v>0.0</v>
      </c>
      <c r="V462" s="50">
        <v>0.0</v>
      </c>
      <c r="W462" s="50">
        <v>0.0</v>
      </c>
      <c r="X462" s="50">
        <v>2.8125</v>
      </c>
      <c r="Y462" s="50">
        <v>5.625</v>
      </c>
    </row>
    <row r="463">
      <c r="A463" s="26">
        <v>457.0</v>
      </c>
      <c r="B463" s="65">
        <v>-0.24399850643415497</v>
      </c>
      <c r="C463" s="65">
        <v>-1.3586153766197024</v>
      </c>
      <c r="D463" s="65">
        <v>0.9677719871144802</v>
      </c>
      <c r="E463" s="65">
        <v>0.4110920457021039</v>
      </c>
      <c r="F463" s="65">
        <v>4.453900505717136</v>
      </c>
      <c r="G463" s="50">
        <v>0.0</v>
      </c>
      <c r="H463" s="50">
        <v>0.0</v>
      </c>
      <c r="I463" s="50">
        <v>0.0</v>
      </c>
      <c r="J463" s="50">
        <v>0.0</v>
      </c>
      <c r="K463" s="50">
        <v>0.0</v>
      </c>
      <c r="L463" s="50">
        <v>0.0</v>
      </c>
      <c r="M463" s="50">
        <v>0.0</v>
      </c>
      <c r="N463" s="50">
        <v>0.0</v>
      </c>
      <c r="O463" s="50">
        <v>0.0</v>
      </c>
      <c r="P463" s="50">
        <v>0.0</v>
      </c>
      <c r="Q463" s="50">
        <v>0.0</v>
      </c>
      <c r="R463" s="50">
        <v>0.0</v>
      </c>
      <c r="S463" s="50">
        <v>0.0</v>
      </c>
      <c r="T463" s="50">
        <v>2.8125</v>
      </c>
      <c r="U463" s="50">
        <v>0.0</v>
      </c>
      <c r="V463" s="50">
        <v>0.0</v>
      </c>
      <c r="W463" s="50">
        <v>0.0</v>
      </c>
      <c r="X463" s="50">
        <v>2.8125</v>
      </c>
      <c r="Y463" s="50">
        <v>5.625</v>
      </c>
    </row>
    <row r="464">
      <c r="A464" s="26">
        <v>458.0</v>
      </c>
      <c r="B464" s="65">
        <v>1.0225687762926876</v>
      </c>
      <c r="C464" s="65">
        <v>-0.33825747973122566</v>
      </c>
      <c r="D464" s="65">
        <v>-0.06371368972490389</v>
      </c>
      <c r="E464" s="65">
        <v>-1.032379511471368</v>
      </c>
      <c r="F464" s="65">
        <v>3.8221596864147367</v>
      </c>
      <c r="G464" s="50">
        <v>0.0</v>
      </c>
      <c r="H464" s="50">
        <v>0.0</v>
      </c>
      <c r="I464" s="50">
        <v>0.0</v>
      </c>
      <c r="J464" s="50">
        <v>0.0</v>
      </c>
      <c r="K464" s="50">
        <v>0.0</v>
      </c>
      <c r="L464" s="50">
        <v>0.0</v>
      </c>
      <c r="M464" s="50">
        <v>0.0</v>
      </c>
      <c r="N464" s="50">
        <v>0.0</v>
      </c>
      <c r="O464" s="50">
        <v>0.0</v>
      </c>
      <c r="P464" s="50">
        <v>0.0</v>
      </c>
      <c r="Q464" s="50">
        <v>0.0</v>
      </c>
      <c r="R464" s="50">
        <v>0.0</v>
      </c>
      <c r="S464" s="50">
        <v>0.0</v>
      </c>
      <c r="T464" s="50">
        <v>2.8125</v>
      </c>
      <c r="U464" s="50">
        <v>0.0</v>
      </c>
      <c r="V464" s="50">
        <v>0.0</v>
      </c>
      <c r="W464" s="50">
        <v>4.95</v>
      </c>
      <c r="X464" s="50">
        <v>2.8125</v>
      </c>
      <c r="Y464" s="50">
        <v>10.575</v>
      </c>
    </row>
    <row r="465">
      <c r="A465" s="26">
        <v>459.0</v>
      </c>
      <c r="B465" s="65">
        <v>0.48767701514351497</v>
      </c>
      <c r="C465" s="65">
        <v>-0.032809424793879015</v>
      </c>
      <c r="D465" s="65">
        <v>0.28053750235243796</v>
      </c>
      <c r="E465" s="65">
        <v>-1.3888181973630782</v>
      </c>
      <c r="F465" s="65">
        <v>8.096040794479581</v>
      </c>
      <c r="G465" s="50">
        <v>0.0</v>
      </c>
      <c r="H465" s="50">
        <v>0.0</v>
      </c>
      <c r="I465" s="50">
        <v>0.0</v>
      </c>
      <c r="J465" s="50">
        <v>0.0</v>
      </c>
      <c r="K465" s="50">
        <v>0.0</v>
      </c>
      <c r="L465" s="50">
        <v>0.0</v>
      </c>
      <c r="M465" s="50">
        <v>0.0</v>
      </c>
      <c r="N465" s="50">
        <v>0.0</v>
      </c>
      <c r="O465" s="50">
        <v>0.0</v>
      </c>
      <c r="P465" s="50">
        <v>0.0</v>
      </c>
      <c r="Q465" s="50">
        <v>0.0</v>
      </c>
      <c r="R465" s="50">
        <v>0.0</v>
      </c>
      <c r="S465" s="50">
        <v>0.0</v>
      </c>
      <c r="T465" s="50">
        <v>2.8125</v>
      </c>
      <c r="U465" s="50">
        <v>0.0</v>
      </c>
      <c r="V465" s="50">
        <v>0.0</v>
      </c>
      <c r="W465" s="50">
        <v>0.0</v>
      </c>
      <c r="X465" s="50">
        <v>2.8125</v>
      </c>
      <c r="Y465" s="50">
        <v>5.625</v>
      </c>
    </row>
    <row r="466">
      <c r="A466" s="26">
        <v>460.0</v>
      </c>
      <c r="B466" s="65">
        <v>-0.6334053299147504</v>
      </c>
      <c r="C466" s="65">
        <v>0.15708265509736544</v>
      </c>
      <c r="D466" s="65">
        <v>0.6602440452528245</v>
      </c>
      <c r="E466" s="65">
        <v>-0.7373437650670275</v>
      </c>
      <c r="F466" s="65">
        <v>1.872957556177171</v>
      </c>
      <c r="G466" s="50">
        <v>0.0</v>
      </c>
      <c r="H466" s="50">
        <v>0.0</v>
      </c>
      <c r="I466" s="50">
        <v>0.0</v>
      </c>
      <c r="J466" s="50">
        <v>0.0</v>
      </c>
      <c r="K466" s="50">
        <v>0.0</v>
      </c>
      <c r="L466" s="50">
        <v>0.0</v>
      </c>
      <c r="M466" s="50">
        <v>0.0</v>
      </c>
      <c r="N466" s="50">
        <v>0.0</v>
      </c>
      <c r="O466" s="50">
        <v>7.425000000000001</v>
      </c>
      <c r="P466" s="50">
        <v>0.0</v>
      </c>
      <c r="Q466" s="50">
        <v>0.0</v>
      </c>
      <c r="R466" s="50">
        <v>0.0</v>
      </c>
      <c r="S466" s="50">
        <v>0.0</v>
      </c>
      <c r="T466" s="50">
        <v>2.8125</v>
      </c>
      <c r="U466" s="50">
        <v>9.9</v>
      </c>
      <c r="V466" s="50">
        <v>5.625</v>
      </c>
      <c r="W466" s="50">
        <v>4.95</v>
      </c>
      <c r="X466" s="50">
        <v>2.8125</v>
      </c>
      <c r="Y466" s="50">
        <v>33.525000000000006</v>
      </c>
    </row>
    <row r="467">
      <c r="A467" s="26">
        <v>461.0</v>
      </c>
      <c r="B467" s="65">
        <v>0.700568373169737</v>
      </c>
      <c r="C467" s="65">
        <v>-0.23199663833330686</v>
      </c>
      <c r="D467" s="65">
        <v>-0.005594915075692747</v>
      </c>
      <c r="E467" s="65">
        <v>0.45254584538983234</v>
      </c>
      <c r="F467" s="65">
        <v>5.49920220037259</v>
      </c>
      <c r="G467" s="50">
        <v>0.0</v>
      </c>
      <c r="H467" s="50">
        <v>0.0</v>
      </c>
      <c r="I467" s="50">
        <v>0.0</v>
      </c>
      <c r="J467" s="50">
        <v>0.0</v>
      </c>
      <c r="K467" s="50">
        <v>0.0</v>
      </c>
      <c r="L467" s="50">
        <v>0.0</v>
      </c>
      <c r="M467" s="50">
        <v>0.0</v>
      </c>
      <c r="N467" s="50">
        <v>0.0</v>
      </c>
      <c r="O467" s="50">
        <v>0.0</v>
      </c>
      <c r="P467" s="50">
        <v>0.0</v>
      </c>
      <c r="Q467" s="50">
        <v>0.0</v>
      </c>
      <c r="R467" s="50">
        <v>0.0</v>
      </c>
      <c r="S467" s="50">
        <v>0.0</v>
      </c>
      <c r="T467" s="50">
        <v>2.8125</v>
      </c>
      <c r="U467" s="50">
        <v>0.0</v>
      </c>
      <c r="V467" s="50">
        <v>0.0</v>
      </c>
      <c r="W467" s="50">
        <v>0.0</v>
      </c>
      <c r="X467" s="50">
        <v>2.8125</v>
      </c>
      <c r="Y467" s="50">
        <v>5.625</v>
      </c>
    </row>
    <row r="468">
      <c r="A468" s="26">
        <v>462.0</v>
      </c>
      <c r="B468" s="65">
        <v>0.6321722131215621</v>
      </c>
      <c r="C468" s="65">
        <v>0.2145539934722959</v>
      </c>
      <c r="D468" s="65">
        <v>0.1172814209444504</v>
      </c>
      <c r="E468" s="65">
        <v>-0.32305564909221574</v>
      </c>
      <c r="F468" s="65">
        <v>3.6511114367666906</v>
      </c>
      <c r="G468" s="50">
        <v>0.0</v>
      </c>
      <c r="H468" s="50">
        <v>0.0</v>
      </c>
      <c r="I468" s="50">
        <v>0.0</v>
      </c>
      <c r="J468" s="50">
        <v>0.0</v>
      </c>
      <c r="K468" s="50">
        <v>0.0</v>
      </c>
      <c r="L468" s="50">
        <v>0.0</v>
      </c>
      <c r="M468" s="50">
        <v>0.0</v>
      </c>
      <c r="N468" s="50">
        <v>0.0</v>
      </c>
      <c r="O468" s="50">
        <v>0.0</v>
      </c>
      <c r="P468" s="50">
        <v>0.0</v>
      </c>
      <c r="Q468" s="50">
        <v>0.0</v>
      </c>
      <c r="R468" s="50">
        <v>9.9</v>
      </c>
      <c r="S468" s="50">
        <v>0.0</v>
      </c>
      <c r="T468" s="50">
        <v>2.8125</v>
      </c>
      <c r="U468" s="50">
        <v>0.0</v>
      </c>
      <c r="V468" s="50">
        <v>0.0</v>
      </c>
      <c r="W468" s="50">
        <v>0.0</v>
      </c>
      <c r="X468" s="50">
        <v>2.8125</v>
      </c>
      <c r="Y468" s="50">
        <v>15.525</v>
      </c>
    </row>
    <row r="469">
      <c r="A469" s="26">
        <v>463.0</v>
      </c>
      <c r="B469" s="65">
        <v>-0.6055646295482648</v>
      </c>
      <c r="C469" s="65">
        <v>0.3542508438453119</v>
      </c>
      <c r="D469" s="65">
        <v>-0.07630279931922938</v>
      </c>
      <c r="E469" s="65">
        <v>-0.9596748516117295</v>
      </c>
      <c r="F469" s="65">
        <v>4.156466125469896</v>
      </c>
      <c r="G469" s="50">
        <v>0.0</v>
      </c>
      <c r="H469" s="50">
        <v>0.0</v>
      </c>
      <c r="I469" s="50">
        <v>0.0</v>
      </c>
      <c r="J469" s="50">
        <v>0.0</v>
      </c>
      <c r="K469" s="50">
        <v>0.0</v>
      </c>
      <c r="L469" s="50">
        <v>0.0</v>
      </c>
      <c r="M469" s="50">
        <v>0.0</v>
      </c>
      <c r="N469" s="50">
        <v>0.0</v>
      </c>
      <c r="O469" s="50">
        <v>0.0</v>
      </c>
      <c r="P469" s="50">
        <v>2.475</v>
      </c>
      <c r="Q469" s="50">
        <v>0.0</v>
      </c>
      <c r="R469" s="50">
        <v>0.0</v>
      </c>
      <c r="S469" s="50">
        <v>0.0</v>
      </c>
      <c r="T469" s="50">
        <v>2.8125</v>
      </c>
      <c r="U469" s="50">
        <v>0.0</v>
      </c>
      <c r="V469" s="50">
        <v>5.625</v>
      </c>
      <c r="W469" s="50">
        <v>0.0</v>
      </c>
      <c r="X469" s="50">
        <v>2.8125</v>
      </c>
      <c r="Y469" s="50">
        <v>13.725</v>
      </c>
    </row>
    <row r="470">
      <c r="A470" s="26">
        <v>464.0</v>
      </c>
      <c r="B470" s="65">
        <v>0.22525025991792885</v>
      </c>
      <c r="C470" s="65">
        <v>-0.2282279750191765</v>
      </c>
      <c r="D470" s="65">
        <v>0.10836127468287292</v>
      </c>
      <c r="E470" s="65">
        <v>1.6210854788956544</v>
      </c>
      <c r="F470" s="65">
        <v>2.280733267556376</v>
      </c>
      <c r="G470" s="50">
        <v>0.0</v>
      </c>
      <c r="H470" s="50">
        <v>0.0</v>
      </c>
      <c r="I470" s="50">
        <v>0.0</v>
      </c>
      <c r="J470" s="50">
        <v>0.0</v>
      </c>
      <c r="K470" s="50">
        <v>0.0</v>
      </c>
      <c r="L470" s="50">
        <v>0.0</v>
      </c>
      <c r="M470" s="50">
        <v>0.0</v>
      </c>
      <c r="N470" s="50">
        <v>0.0</v>
      </c>
      <c r="O470" s="50">
        <v>0.0</v>
      </c>
      <c r="P470" s="50">
        <v>0.0</v>
      </c>
      <c r="Q470" s="50">
        <v>0.0</v>
      </c>
      <c r="R470" s="50">
        <v>0.0</v>
      </c>
      <c r="S470" s="50">
        <v>0.0</v>
      </c>
      <c r="T470" s="50">
        <v>2.8125</v>
      </c>
      <c r="U470" s="50">
        <v>0.0</v>
      </c>
      <c r="V470" s="50">
        <v>0.0</v>
      </c>
      <c r="W470" s="50">
        <v>0.0</v>
      </c>
      <c r="X470" s="50">
        <v>2.8125</v>
      </c>
      <c r="Y470" s="50">
        <v>5.625</v>
      </c>
    </row>
    <row r="471">
      <c r="A471" s="26">
        <v>465.0</v>
      </c>
      <c r="B471" s="65">
        <v>1.295170456686394</v>
      </c>
      <c r="C471" s="65">
        <v>-0.9999611701336513</v>
      </c>
      <c r="D471" s="65">
        <v>-1.6356335556600614</v>
      </c>
      <c r="E471" s="65">
        <v>0.3229851998084872</v>
      </c>
      <c r="F471" s="65">
        <v>1.0929384523691907</v>
      </c>
      <c r="G471" s="50">
        <v>0.0</v>
      </c>
      <c r="H471" s="50">
        <v>0.0</v>
      </c>
      <c r="I471" s="50">
        <v>0.0</v>
      </c>
      <c r="J471" s="50">
        <v>0.0</v>
      </c>
      <c r="K471" s="50">
        <v>0.0</v>
      </c>
      <c r="L471" s="50">
        <v>0.0</v>
      </c>
      <c r="M471" s="50">
        <v>0.0</v>
      </c>
      <c r="N471" s="50">
        <v>0.0</v>
      </c>
      <c r="O471" s="50">
        <v>0.0</v>
      </c>
      <c r="P471" s="50">
        <v>0.0</v>
      </c>
      <c r="Q471" s="50">
        <v>0.0</v>
      </c>
      <c r="R471" s="50">
        <v>0.0</v>
      </c>
      <c r="S471" s="50">
        <v>0.0</v>
      </c>
      <c r="T471" s="50">
        <v>2.8125</v>
      </c>
      <c r="U471" s="50">
        <v>0.0</v>
      </c>
      <c r="V471" s="50">
        <v>0.0</v>
      </c>
      <c r="W471" s="50">
        <v>0.0</v>
      </c>
      <c r="X471" s="50">
        <v>2.8125</v>
      </c>
      <c r="Y471" s="50">
        <v>5.625</v>
      </c>
    </row>
    <row r="472">
      <c r="A472" s="26">
        <v>466.0</v>
      </c>
      <c r="B472" s="65">
        <v>0.09636015855364224</v>
      </c>
      <c r="C472" s="65">
        <v>0.20463305691624797</v>
      </c>
      <c r="D472" s="65">
        <v>-1.1212030022644786</v>
      </c>
      <c r="E472" s="65">
        <v>0.2212578283809206</v>
      </c>
      <c r="F472" s="65">
        <v>3.094750006521763</v>
      </c>
      <c r="G472" s="50">
        <v>0.0</v>
      </c>
      <c r="H472" s="50">
        <v>0.0</v>
      </c>
      <c r="I472" s="50">
        <v>0.0</v>
      </c>
      <c r="J472" s="50">
        <v>0.0</v>
      </c>
      <c r="K472" s="50">
        <v>0.0</v>
      </c>
      <c r="L472" s="50">
        <v>0.0</v>
      </c>
      <c r="M472" s="50">
        <v>0.0</v>
      </c>
      <c r="N472" s="50">
        <v>0.0</v>
      </c>
      <c r="O472" s="50">
        <v>0.0</v>
      </c>
      <c r="P472" s="50">
        <v>0.0</v>
      </c>
      <c r="Q472" s="50">
        <v>0.0</v>
      </c>
      <c r="R472" s="50">
        <v>0.0</v>
      </c>
      <c r="S472" s="50">
        <v>0.0</v>
      </c>
      <c r="T472" s="50">
        <v>2.8125</v>
      </c>
      <c r="U472" s="50">
        <v>0.0</v>
      </c>
      <c r="V472" s="50">
        <v>5.625</v>
      </c>
      <c r="W472" s="50">
        <v>0.0</v>
      </c>
      <c r="X472" s="50">
        <v>2.8125</v>
      </c>
      <c r="Y472" s="50">
        <v>11.25</v>
      </c>
    </row>
    <row r="473">
      <c r="A473" s="26">
        <v>467.0</v>
      </c>
      <c r="B473" s="65">
        <v>-1.1661104452790345</v>
      </c>
      <c r="C473" s="65">
        <v>-0.8043045832264581</v>
      </c>
      <c r="D473" s="65">
        <v>0.6353082279588963</v>
      </c>
      <c r="E473" s="65">
        <v>-0.37732452082080686</v>
      </c>
      <c r="F473" s="65">
        <v>4.458547708498393</v>
      </c>
      <c r="G473" s="50">
        <v>0.0</v>
      </c>
      <c r="H473" s="50">
        <v>0.0</v>
      </c>
      <c r="I473" s="50">
        <v>0.0</v>
      </c>
      <c r="J473" s="50">
        <v>0.0</v>
      </c>
      <c r="K473" s="50">
        <v>0.0</v>
      </c>
      <c r="L473" s="50">
        <v>0.0</v>
      </c>
      <c r="M473" s="50">
        <v>0.0</v>
      </c>
      <c r="N473" s="50">
        <v>0.0</v>
      </c>
      <c r="O473" s="50">
        <v>7.425000000000001</v>
      </c>
      <c r="P473" s="50">
        <v>0.0</v>
      </c>
      <c r="Q473" s="50">
        <v>0.0</v>
      </c>
      <c r="R473" s="50">
        <v>0.0</v>
      </c>
      <c r="S473" s="50">
        <v>0.0</v>
      </c>
      <c r="T473" s="50">
        <v>2.8125</v>
      </c>
      <c r="U473" s="50">
        <v>0.0</v>
      </c>
      <c r="V473" s="50">
        <v>0.0</v>
      </c>
      <c r="W473" s="50">
        <v>0.0</v>
      </c>
      <c r="X473" s="50">
        <v>2.8125</v>
      </c>
      <c r="Y473" s="50">
        <v>13.05</v>
      </c>
    </row>
    <row r="474">
      <c r="A474" s="26">
        <v>468.0</v>
      </c>
      <c r="B474" s="65">
        <v>-0.10902361608095511</v>
      </c>
      <c r="C474" s="65">
        <v>0.7538567395750806</v>
      </c>
      <c r="D474" s="65">
        <v>-4.922808860271428E-4</v>
      </c>
      <c r="E474" s="65">
        <v>-0.5385126115946437</v>
      </c>
      <c r="F474" s="65">
        <v>2.79768713465595</v>
      </c>
      <c r="G474" s="50">
        <v>0.0</v>
      </c>
      <c r="H474" s="50">
        <v>0.0</v>
      </c>
      <c r="I474" s="50">
        <v>0.0</v>
      </c>
      <c r="J474" s="50">
        <v>0.0</v>
      </c>
      <c r="K474" s="50">
        <v>0.0</v>
      </c>
      <c r="L474" s="50">
        <v>0.0</v>
      </c>
      <c r="M474" s="50">
        <v>0.0</v>
      </c>
      <c r="N474" s="50">
        <v>0.0</v>
      </c>
      <c r="O474" s="50">
        <v>0.0</v>
      </c>
      <c r="P474" s="50">
        <v>0.0</v>
      </c>
      <c r="Q474" s="50">
        <v>0.0</v>
      </c>
      <c r="R474" s="50">
        <v>0.0</v>
      </c>
      <c r="S474" s="50">
        <v>0.0</v>
      </c>
      <c r="T474" s="50">
        <v>2.8125</v>
      </c>
      <c r="U474" s="50">
        <v>0.0</v>
      </c>
      <c r="V474" s="50">
        <v>5.625</v>
      </c>
      <c r="W474" s="50">
        <v>0.0</v>
      </c>
      <c r="X474" s="50">
        <v>2.8125</v>
      </c>
      <c r="Y474" s="50">
        <v>11.25</v>
      </c>
    </row>
    <row r="475">
      <c r="A475" s="26">
        <v>469.0</v>
      </c>
      <c r="B475" s="65">
        <v>-0.5945679925254239</v>
      </c>
      <c r="C475" s="65">
        <v>2.750200421295637</v>
      </c>
      <c r="D475" s="65">
        <v>-0.09361315986796956</v>
      </c>
      <c r="E475" s="65">
        <v>-0.19380285058324948</v>
      </c>
      <c r="F475" s="65">
        <v>1.6525521924943922</v>
      </c>
      <c r="G475" s="50">
        <v>0.0</v>
      </c>
      <c r="H475" s="50">
        <v>0.0</v>
      </c>
      <c r="I475" s="50">
        <v>0.0</v>
      </c>
      <c r="J475" s="50">
        <v>0.0</v>
      </c>
      <c r="K475" s="50">
        <v>0.0</v>
      </c>
      <c r="L475" s="50">
        <v>0.0</v>
      </c>
      <c r="M475" s="50">
        <v>0.0</v>
      </c>
      <c r="N475" s="50">
        <v>0.0</v>
      </c>
      <c r="O475" s="50">
        <v>7.425000000000001</v>
      </c>
      <c r="P475" s="50">
        <v>2.475</v>
      </c>
      <c r="Q475" s="50">
        <v>0.0</v>
      </c>
      <c r="R475" s="50">
        <v>0.0</v>
      </c>
      <c r="S475" s="50">
        <v>0.0</v>
      </c>
      <c r="T475" s="50">
        <v>2.8125</v>
      </c>
      <c r="U475" s="50">
        <v>0.0</v>
      </c>
      <c r="V475" s="50">
        <v>5.625</v>
      </c>
      <c r="W475" s="50">
        <v>0.0</v>
      </c>
      <c r="X475" s="50">
        <v>2.8125</v>
      </c>
      <c r="Y475" s="50">
        <v>21.15</v>
      </c>
    </row>
    <row r="476">
      <c r="A476" s="26">
        <v>470.0</v>
      </c>
      <c r="B476" s="65">
        <v>1.2744977243040796</v>
      </c>
      <c r="C476" s="65">
        <v>1.2446591331381434</v>
      </c>
      <c r="D476" s="65">
        <v>-1.5048913036074456</v>
      </c>
      <c r="E476" s="65">
        <v>-0.9371914926762367</v>
      </c>
      <c r="F476" s="65">
        <v>8.190524635343984</v>
      </c>
      <c r="G476" s="50">
        <v>0.0</v>
      </c>
      <c r="H476" s="50">
        <v>0.0</v>
      </c>
      <c r="I476" s="50">
        <v>0.0</v>
      </c>
      <c r="J476" s="50">
        <v>0.0</v>
      </c>
      <c r="K476" s="50">
        <v>0.0</v>
      </c>
      <c r="L476" s="50">
        <v>0.0</v>
      </c>
      <c r="M476" s="50">
        <v>0.0</v>
      </c>
      <c r="N476" s="50">
        <v>0.0</v>
      </c>
      <c r="O476" s="50">
        <v>0.0</v>
      </c>
      <c r="P476" s="50">
        <v>0.0</v>
      </c>
      <c r="Q476" s="50">
        <v>0.0</v>
      </c>
      <c r="R476" s="50">
        <v>0.0</v>
      </c>
      <c r="S476" s="50">
        <v>0.0</v>
      </c>
      <c r="T476" s="50">
        <v>2.8125</v>
      </c>
      <c r="U476" s="50">
        <v>0.0</v>
      </c>
      <c r="V476" s="50">
        <v>0.0</v>
      </c>
      <c r="W476" s="50">
        <v>0.0</v>
      </c>
      <c r="X476" s="50">
        <v>2.8125</v>
      </c>
      <c r="Y476" s="50">
        <v>5.625</v>
      </c>
    </row>
    <row r="477">
      <c r="A477" s="26">
        <v>471.0</v>
      </c>
      <c r="B477" s="65">
        <v>0.5616758457869939</v>
      </c>
      <c r="C477" s="65">
        <v>0.9173473224369281</v>
      </c>
      <c r="D477" s="65">
        <v>-0.016625834911268525</v>
      </c>
      <c r="E477" s="65">
        <v>0.6324332304287144</v>
      </c>
      <c r="F477" s="65">
        <v>2.966074371209443</v>
      </c>
      <c r="G477" s="50">
        <v>0.0</v>
      </c>
      <c r="H477" s="50">
        <v>0.0</v>
      </c>
      <c r="I477" s="50">
        <v>0.0</v>
      </c>
      <c r="J477" s="50">
        <v>0.0</v>
      </c>
      <c r="K477" s="50">
        <v>0.0</v>
      </c>
      <c r="L477" s="50">
        <v>0.0</v>
      </c>
      <c r="M477" s="50">
        <v>0.0</v>
      </c>
      <c r="N477" s="50">
        <v>0.0</v>
      </c>
      <c r="O477" s="50">
        <v>7.425000000000001</v>
      </c>
      <c r="P477" s="50">
        <v>0.0</v>
      </c>
      <c r="Q477" s="50">
        <v>0.0</v>
      </c>
      <c r="R477" s="50">
        <v>0.0</v>
      </c>
      <c r="S477" s="50">
        <v>0.0</v>
      </c>
      <c r="T477" s="50">
        <v>2.8125</v>
      </c>
      <c r="U477" s="50">
        <v>0.0</v>
      </c>
      <c r="V477" s="50">
        <v>0.0</v>
      </c>
      <c r="W477" s="50">
        <v>0.0</v>
      </c>
      <c r="X477" s="50">
        <v>2.8125</v>
      </c>
      <c r="Y477" s="50">
        <v>13.05</v>
      </c>
    </row>
    <row r="478">
      <c r="A478" s="26">
        <v>472.0</v>
      </c>
      <c r="B478" s="65">
        <v>-0.15976035049979054</v>
      </c>
      <c r="C478" s="65">
        <v>-1.7886130159129783</v>
      </c>
      <c r="D478" s="65">
        <v>-1.6454106964396988</v>
      </c>
      <c r="E478" s="65">
        <v>-0.8376738343712335</v>
      </c>
      <c r="F478" s="65">
        <v>8.950537082787267</v>
      </c>
      <c r="G478" s="50">
        <v>0.0</v>
      </c>
      <c r="H478" s="50">
        <v>0.0</v>
      </c>
      <c r="I478" s="50">
        <v>0.0</v>
      </c>
      <c r="J478" s="50">
        <v>0.0</v>
      </c>
      <c r="K478" s="50">
        <v>0.0</v>
      </c>
      <c r="L478" s="50">
        <v>0.0</v>
      </c>
      <c r="M478" s="50">
        <v>0.0</v>
      </c>
      <c r="N478" s="50">
        <v>0.0</v>
      </c>
      <c r="O478" s="50">
        <v>0.0</v>
      </c>
      <c r="P478" s="50">
        <v>0.0</v>
      </c>
      <c r="Q478" s="50">
        <v>0.0</v>
      </c>
      <c r="R478" s="50">
        <v>9.9</v>
      </c>
      <c r="S478" s="50">
        <v>0.0</v>
      </c>
      <c r="T478" s="50">
        <v>2.8125</v>
      </c>
      <c r="U478" s="50">
        <v>0.0</v>
      </c>
      <c r="V478" s="50">
        <v>0.0</v>
      </c>
      <c r="W478" s="50">
        <v>0.0</v>
      </c>
      <c r="X478" s="50">
        <v>2.8125</v>
      </c>
      <c r="Y478" s="50">
        <v>15.525</v>
      </c>
    </row>
    <row r="479">
      <c r="A479" s="26">
        <v>473.0</v>
      </c>
      <c r="B479" s="65">
        <v>2.518803035952857</v>
      </c>
      <c r="C479" s="65">
        <v>0.8105056481333773</v>
      </c>
      <c r="D479" s="65">
        <v>0.8752678477741708</v>
      </c>
      <c r="E479" s="65">
        <v>-0.3793093898630048</v>
      </c>
      <c r="F479" s="65">
        <v>9.832782212731226</v>
      </c>
      <c r="G479" s="50">
        <v>0.0</v>
      </c>
      <c r="H479" s="50">
        <v>0.0</v>
      </c>
      <c r="I479" s="50">
        <v>0.0</v>
      </c>
      <c r="J479" s="50">
        <v>0.0</v>
      </c>
      <c r="K479" s="50">
        <v>0.0</v>
      </c>
      <c r="L479" s="50">
        <v>0.0</v>
      </c>
      <c r="M479" s="50">
        <v>0.0</v>
      </c>
      <c r="N479" s="50">
        <v>0.0</v>
      </c>
      <c r="O479" s="50">
        <v>0.0</v>
      </c>
      <c r="P479" s="50">
        <v>0.0</v>
      </c>
      <c r="Q479" s="50">
        <v>0.0</v>
      </c>
      <c r="R479" s="50">
        <v>0.0</v>
      </c>
      <c r="S479" s="50">
        <v>0.0</v>
      </c>
      <c r="T479" s="50">
        <v>2.8125</v>
      </c>
      <c r="U479" s="50">
        <v>0.0</v>
      </c>
      <c r="V479" s="50">
        <v>0.0</v>
      </c>
      <c r="W479" s="50">
        <v>0.0</v>
      </c>
      <c r="X479" s="50">
        <v>2.8125</v>
      </c>
      <c r="Y479" s="50">
        <v>5.625</v>
      </c>
    </row>
    <row r="480">
      <c r="A480" s="26">
        <v>474.0</v>
      </c>
      <c r="B480" s="65">
        <v>0.926425635047478</v>
      </c>
      <c r="C480" s="65">
        <v>0.5862658395244282</v>
      </c>
      <c r="D480" s="65">
        <v>-0.5179176823349421</v>
      </c>
      <c r="E480" s="65">
        <v>2.1070821877382313</v>
      </c>
      <c r="F480" s="65">
        <v>3.0214137801988974</v>
      </c>
      <c r="G480" s="50">
        <v>0.0</v>
      </c>
      <c r="H480" s="50">
        <v>0.0</v>
      </c>
      <c r="I480" s="50">
        <v>0.0</v>
      </c>
      <c r="J480" s="50">
        <v>0.0</v>
      </c>
      <c r="K480" s="50">
        <v>0.0</v>
      </c>
      <c r="L480" s="50">
        <v>0.0</v>
      </c>
      <c r="M480" s="50">
        <v>0.0</v>
      </c>
      <c r="N480" s="50">
        <v>0.0</v>
      </c>
      <c r="O480" s="50">
        <v>0.0</v>
      </c>
      <c r="P480" s="50">
        <v>0.0</v>
      </c>
      <c r="Q480" s="50">
        <v>0.0</v>
      </c>
      <c r="R480" s="50">
        <v>0.0</v>
      </c>
      <c r="S480" s="50">
        <v>0.0</v>
      </c>
      <c r="T480" s="50">
        <v>2.8125</v>
      </c>
      <c r="U480" s="50">
        <v>0.0</v>
      </c>
      <c r="V480" s="50">
        <v>5.625</v>
      </c>
      <c r="W480" s="50">
        <v>0.0</v>
      </c>
      <c r="X480" s="50">
        <v>2.8125</v>
      </c>
      <c r="Y480" s="50">
        <v>11.25</v>
      </c>
    </row>
    <row r="481">
      <c r="A481" s="26">
        <v>475.0</v>
      </c>
      <c r="B481" s="65">
        <v>1.5028416538265477</v>
      </c>
      <c r="C481" s="65">
        <v>-0.7504560048531187</v>
      </c>
      <c r="D481" s="65">
        <v>-0.8699412015615084</v>
      </c>
      <c r="E481" s="65">
        <v>-0.5178248799559244</v>
      </c>
      <c r="F481" s="65">
        <v>2.2121483453810504</v>
      </c>
      <c r="G481" s="50">
        <v>0.0</v>
      </c>
      <c r="H481" s="50">
        <v>0.0</v>
      </c>
      <c r="I481" s="50">
        <v>0.0</v>
      </c>
      <c r="J481" s="50">
        <v>0.0</v>
      </c>
      <c r="K481" s="50">
        <v>0.0</v>
      </c>
      <c r="L481" s="50">
        <v>0.0</v>
      </c>
      <c r="M481" s="50">
        <v>0.0</v>
      </c>
      <c r="N481" s="50">
        <v>0.0</v>
      </c>
      <c r="O481" s="50">
        <v>0.0</v>
      </c>
      <c r="P481" s="50">
        <v>0.0</v>
      </c>
      <c r="Q481" s="50">
        <v>0.0</v>
      </c>
      <c r="R481" s="50">
        <v>0.0</v>
      </c>
      <c r="S481" s="50">
        <v>0.0</v>
      </c>
      <c r="T481" s="50">
        <v>2.8125</v>
      </c>
      <c r="U481" s="50">
        <v>0.0</v>
      </c>
      <c r="V481" s="50">
        <v>0.0</v>
      </c>
      <c r="W481" s="50">
        <v>0.0</v>
      </c>
      <c r="X481" s="50">
        <v>2.8125</v>
      </c>
      <c r="Y481" s="50">
        <v>5.625</v>
      </c>
    </row>
    <row r="482">
      <c r="A482" s="26">
        <v>476.0</v>
      </c>
      <c r="B482" s="65">
        <v>0.4007266138383932</v>
      </c>
      <c r="C482" s="65">
        <v>-0.5170532673807798</v>
      </c>
      <c r="D482" s="65">
        <v>0.6687367455891429</v>
      </c>
      <c r="E482" s="65">
        <v>-0.9023807163882986</v>
      </c>
      <c r="F482" s="65">
        <v>5.627323994584797</v>
      </c>
      <c r="G482" s="50">
        <v>0.0</v>
      </c>
      <c r="H482" s="50">
        <v>0.0</v>
      </c>
      <c r="I482" s="50">
        <v>0.0</v>
      </c>
      <c r="J482" s="50">
        <v>0.0</v>
      </c>
      <c r="K482" s="50">
        <v>0.0</v>
      </c>
      <c r="L482" s="50">
        <v>0.0</v>
      </c>
      <c r="M482" s="50">
        <v>0.0</v>
      </c>
      <c r="N482" s="50">
        <v>0.0</v>
      </c>
      <c r="O482" s="50">
        <v>0.0</v>
      </c>
      <c r="P482" s="50">
        <v>0.0</v>
      </c>
      <c r="Q482" s="50">
        <v>0.0</v>
      </c>
      <c r="R482" s="50">
        <v>0.0</v>
      </c>
      <c r="S482" s="50">
        <v>0.0</v>
      </c>
      <c r="T482" s="50">
        <v>2.8125</v>
      </c>
      <c r="U482" s="50">
        <v>0.0</v>
      </c>
      <c r="V482" s="50">
        <v>5.625</v>
      </c>
      <c r="W482" s="50">
        <v>0.0</v>
      </c>
      <c r="X482" s="50">
        <v>2.8125</v>
      </c>
      <c r="Y482" s="50">
        <v>11.25</v>
      </c>
    </row>
    <row r="483">
      <c r="A483" s="26">
        <v>477.0</v>
      </c>
      <c r="B483" s="65">
        <v>-0.07706632884492598</v>
      </c>
      <c r="C483" s="65">
        <v>0.5221387727569854</v>
      </c>
      <c r="D483" s="65">
        <v>-0.38821009843450816</v>
      </c>
      <c r="E483" s="65">
        <v>0.378509490631208</v>
      </c>
      <c r="F483" s="65">
        <v>4.593736754878012</v>
      </c>
      <c r="G483" s="50">
        <v>0.0</v>
      </c>
      <c r="H483" s="50">
        <v>0.0</v>
      </c>
      <c r="I483" s="50">
        <v>0.0</v>
      </c>
      <c r="J483" s="50">
        <v>0.0</v>
      </c>
      <c r="K483" s="50">
        <v>0.0</v>
      </c>
      <c r="L483" s="50">
        <v>0.0</v>
      </c>
      <c r="M483" s="50">
        <v>0.0</v>
      </c>
      <c r="N483" s="50">
        <v>0.0</v>
      </c>
      <c r="O483" s="50">
        <v>0.0</v>
      </c>
      <c r="P483" s="50">
        <v>0.0</v>
      </c>
      <c r="Q483" s="50">
        <v>0.0</v>
      </c>
      <c r="R483" s="50">
        <v>0.0</v>
      </c>
      <c r="S483" s="50">
        <v>0.0</v>
      </c>
      <c r="T483" s="50">
        <v>2.8125</v>
      </c>
      <c r="U483" s="50">
        <v>0.0</v>
      </c>
      <c r="V483" s="50">
        <v>5.625</v>
      </c>
      <c r="W483" s="50">
        <v>0.0</v>
      </c>
      <c r="X483" s="50">
        <v>2.8125</v>
      </c>
      <c r="Y483" s="50">
        <v>11.25</v>
      </c>
    </row>
    <row r="484">
      <c r="A484" s="26">
        <v>478.0</v>
      </c>
      <c r="B484" s="65">
        <v>-0.35722012542517745</v>
      </c>
      <c r="C484" s="65">
        <v>-0.16876276607528354</v>
      </c>
      <c r="D484" s="65">
        <v>-0.7694375715094441</v>
      </c>
      <c r="E484" s="65">
        <v>0.9308403426196292</v>
      </c>
      <c r="F484" s="65">
        <v>3.3300680995277583</v>
      </c>
      <c r="G484" s="50">
        <v>0.0</v>
      </c>
      <c r="H484" s="50">
        <v>0.0</v>
      </c>
      <c r="I484" s="50">
        <v>0.0</v>
      </c>
      <c r="J484" s="50">
        <v>0.0</v>
      </c>
      <c r="K484" s="50">
        <v>0.0</v>
      </c>
      <c r="L484" s="50">
        <v>0.0</v>
      </c>
      <c r="M484" s="50">
        <v>0.0</v>
      </c>
      <c r="N484" s="50">
        <v>0.0</v>
      </c>
      <c r="O484" s="50">
        <v>0.0</v>
      </c>
      <c r="P484" s="50">
        <v>0.0</v>
      </c>
      <c r="Q484" s="50">
        <v>0.0</v>
      </c>
      <c r="R484" s="50">
        <v>0.0</v>
      </c>
      <c r="S484" s="50">
        <v>0.0</v>
      </c>
      <c r="T484" s="50">
        <v>2.8125</v>
      </c>
      <c r="U484" s="50">
        <v>0.0</v>
      </c>
      <c r="V484" s="50">
        <v>0.0</v>
      </c>
      <c r="W484" s="50">
        <v>0.0</v>
      </c>
      <c r="X484" s="50">
        <v>2.8125</v>
      </c>
      <c r="Y484" s="50">
        <v>5.625</v>
      </c>
    </row>
    <row r="485">
      <c r="A485" s="26">
        <v>479.0</v>
      </c>
      <c r="B485" s="65">
        <v>-0.8045802855525037</v>
      </c>
      <c r="C485" s="65">
        <v>-0.21495113779802938</v>
      </c>
      <c r="D485" s="65">
        <v>1.1362801303643195</v>
      </c>
      <c r="E485" s="65">
        <v>-0.4597544902231476</v>
      </c>
      <c r="F485" s="65">
        <v>4.247217510274233</v>
      </c>
      <c r="G485" s="50">
        <v>0.0</v>
      </c>
      <c r="H485" s="50">
        <v>0.0</v>
      </c>
      <c r="I485" s="50">
        <v>0.0</v>
      </c>
      <c r="J485" s="50">
        <v>0.0</v>
      </c>
      <c r="K485" s="50">
        <v>0.0</v>
      </c>
      <c r="L485" s="50">
        <v>0.0</v>
      </c>
      <c r="M485" s="50">
        <v>0.0</v>
      </c>
      <c r="N485" s="50">
        <v>0.0</v>
      </c>
      <c r="O485" s="50">
        <v>0.0</v>
      </c>
      <c r="P485" s="50">
        <v>0.0</v>
      </c>
      <c r="Q485" s="50">
        <v>0.0</v>
      </c>
      <c r="R485" s="50">
        <v>0.0</v>
      </c>
      <c r="S485" s="50">
        <v>0.0</v>
      </c>
      <c r="T485" s="50">
        <v>2.8125</v>
      </c>
      <c r="U485" s="50">
        <v>0.0</v>
      </c>
      <c r="V485" s="50">
        <v>5.625</v>
      </c>
      <c r="W485" s="50">
        <v>4.95</v>
      </c>
      <c r="X485" s="50">
        <v>2.8125</v>
      </c>
      <c r="Y485" s="50">
        <v>16.2</v>
      </c>
    </row>
    <row r="486">
      <c r="A486" s="26">
        <v>480.0</v>
      </c>
      <c r="B486" s="65">
        <v>0.9855210629784305</v>
      </c>
      <c r="C486" s="65">
        <v>-0.47796040740992674</v>
      </c>
      <c r="D486" s="65">
        <v>-0.09659722387323781</v>
      </c>
      <c r="E486" s="65">
        <v>-1.4737198060784484</v>
      </c>
      <c r="F486" s="65">
        <v>1.3408477718736485</v>
      </c>
      <c r="G486" s="50">
        <v>0.0</v>
      </c>
      <c r="H486" s="50">
        <v>0.0</v>
      </c>
      <c r="I486" s="50">
        <v>0.0</v>
      </c>
      <c r="J486" s="50">
        <v>0.0</v>
      </c>
      <c r="K486" s="50">
        <v>0.0</v>
      </c>
      <c r="L486" s="50">
        <v>0.0</v>
      </c>
      <c r="M486" s="50">
        <v>0.0</v>
      </c>
      <c r="N486" s="50">
        <v>0.0</v>
      </c>
      <c r="O486" s="50">
        <v>0.0</v>
      </c>
      <c r="P486" s="50">
        <v>0.0</v>
      </c>
      <c r="Q486" s="50">
        <v>0.0</v>
      </c>
      <c r="R486" s="50">
        <v>0.0</v>
      </c>
      <c r="S486" s="50">
        <v>0.0</v>
      </c>
      <c r="T486" s="50">
        <v>2.8125</v>
      </c>
      <c r="U486" s="50">
        <v>0.0</v>
      </c>
      <c r="V486" s="50">
        <v>0.0</v>
      </c>
      <c r="W486" s="50">
        <v>0.0</v>
      </c>
      <c r="X486" s="50">
        <v>2.8125</v>
      </c>
      <c r="Y486" s="50">
        <v>5.625</v>
      </c>
    </row>
    <row r="487">
      <c r="A487" s="26">
        <v>481.0</v>
      </c>
      <c r="B487" s="65">
        <v>-0.45467304322660984</v>
      </c>
      <c r="C487" s="65">
        <v>-0.14815390156860334</v>
      </c>
      <c r="D487" s="65">
        <v>0.832636137518394</v>
      </c>
      <c r="E487" s="65">
        <v>-0.8580104463144984</v>
      </c>
      <c r="F487" s="65">
        <v>5.854768714779034</v>
      </c>
      <c r="G487" s="50">
        <v>0.0</v>
      </c>
      <c r="H487" s="50">
        <v>0.0</v>
      </c>
      <c r="I487" s="50">
        <v>0.0</v>
      </c>
      <c r="J487" s="50">
        <v>0.0</v>
      </c>
      <c r="K487" s="50">
        <v>0.0</v>
      </c>
      <c r="L487" s="50">
        <v>0.0</v>
      </c>
      <c r="M487" s="50">
        <v>0.0</v>
      </c>
      <c r="N487" s="50">
        <v>0.0</v>
      </c>
      <c r="O487" s="50">
        <v>0.0</v>
      </c>
      <c r="P487" s="50">
        <v>0.0</v>
      </c>
      <c r="Q487" s="50">
        <v>0.0</v>
      </c>
      <c r="R487" s="50">
        <v>0.0</v>
      </c>
      <c r="S487" s="50">
        <v>0.0</v>
      </c>
      <c r="T487" s="50">
        <v>2.8125</v>
      </c>
      <c r="U487" s="50">
        <v>0.0</v>
      </c>
      <c r="V487" s="50">
        <v>5.625</v>
      </c>
      <c r="W487" s="50">
        <v>0.0</v>
      </c>
      <c r="X487" s="50">
        <v>2.8125</v>
      </c>
      <c r="Y487" s="50">
        <v>11.25</v>
      </c>
    </row>
    <row r="488">
      <c r="A488" s="26">
        <v>482.0</v>
      </c>
      <c r="B488" s="65">
        <v>-0.10138178508305058</v>
      </c>
      <c r="C488" s="65">
        <v>-0.16546458634402114</v>
      </c>
      <c r="D488" s="65">
        <v>0.1913192587024967</v>
      </c>
      <c r="E488" s="65">
        <v>-0.5334106557557547</v>
      </c>
      <c r="F488" s="65">
        <v>8.737226952218673</v>
      </c>
      <c r="G488" s="50">
        <v>0.0</v>
      </c>
      <c r="H488" s="50">
        <v>0.0</v>
      </c>
      <c r="I488" s="50">
        <v>0.0</v>
      </c>
      <c r="J488" s="50">
        <v>0.0</v>
      </c>
      <c r="K488" s="50">
        <v>0.0</v>
      </c>
      <c r="L488" s="50">
        <v>0.0</v>
      </c>
      <c r="M488" s="50">
        <v>0.0</v>
      </c>
      <c r="N488" s="50">
        <v>0.0</v>
      </c>
      <c r="O488" s="50">
        <v>0.0</v>
      </c>
      <c r="P488" s="50">
        <v>0.0</v>
      </c>
      <c r="Q488" s="50">
        <v>0.0</v>
      </c>
      <c r="R488" s="50">
        <v>0.0</v>
      </c>
      <c r="S488" s="50">
        <v>0.0</v>
      </c>
      <c r="T488" s="50">
        <v>2.8125</v>
      </c>
      <c r="U488" s="50">
        <v>0.0</v>
      </c>
      <c r="V488" s="50">
        <v>5.625</v>
      </c>
      <c r="W488" s="50">
        <v>0.0</v>
      </c>
      <c r="X488" s="50">
        <v>2.8125</v>
      </c>
      <c r="Y488" s="50">
        <v>11.25</v>
      </c>
    </row>
    <row r="489">
      <c r="A489" s="26">
        <v>483.0</v>
      </c>
      <c r="B489" s="65">
        <v>-1.3779796375353592</v>
      </c>
      <c r="C489" s="65">
        <v>-0.5954625131149526</v>
      </c>
      <c r="D489" s="65">
        <v>-0.7404181972517553</v>
      </c>
      <c r="E489" s="65">
        <v>0.7872991610275772</v>
      </c>
      <c r="F489" s="65">
        <v>3.3741600079631957</v>
      </c>
      <c r="G489" s="50">
        <v>0.0</v>
      </c>
      <c r="H489" s="50">
        <v>0.0</v>
      </c>
      <c r="I489" s="50">
        <v>0.0</v>
      </c>
      <c r="J489" s="50">
        <v>0.0</v>
      </c>
      <c r="K489" s="50">
        <v>0.0</v>
      </c>
      <c r="L489" s="50">
        <v>0.0</v>
      </c>
      <c r="M489" s="50">
        <v>0.0</v>
      </c>
      <c r="N489" s="50">
        <v>0.0</v>
      </c>
      <c r="O489" s="50">
        <v>0.0</v>
      </c>
      <c r="P489" s="50">
        <v>0.0</v>
      </c>
      <c r="Q489" s="50">
        <v>0.0</v>
      </c>
      <c r="R489" s="50">
        <v>0.0</v>
      </c>
      <c r="S489" s="50">
        <v>0.0</v>
      </c>
      <c r="T489" s="50">
        <v>2.8125</v>
      </c>
      <c r="U489" s="50">
        <v>0.0</v>
      </c>
      <c r="V489" s="50">
        <v>5.625</v>
      </c>
      <c r="W489" s="50">
        <v>0.0</v>
      </c>
      <c r="X489" s="50">
        <v>2.8125</v>
      </c>
      <c r="Y489" s="50">
        <v>11.25</v>
      </c>
    </row>
    <row r="490">
      <c r="A490" s="26">
        <v>484.0</v>
      </c>
      <c r="B490" s="65">
        <v>1.0819258053871472</v>
      </c>
      <c r="C490" s="65">
        <v>-2.6656055750276297</v>
      </c>
      <c r="D490" s="65">
        <v>-1.085289614651152</v>
      </c>
      <c r="E490" s="65">
        <v>-0.3783785747644141</v>
      </c>
      <c r="F490" s="65">
        <v>5.3236074412834755</v>
      </c>
      <c r="G490" s="50">
        <v>0.0</v>
      </c>
      <c r="H490" s="50">
        <v>0.0</v>
      </c>
      <c r="I490" s="50">
        <v>0.0</v>
      </c>
      <c r="J490" s="50">
        <v>0.0</v>
      </c>
      <c r="K490" s="50">
        <v>0.0</v>
      </c>
      <c r="L490" s="50">
        <v>0.0</v>
      </c>
      <c r="M490" s="50">
        <v>0.0</v>
      </c>
      <c r="N490" s="50">
        <v>0.0</v>
      </c>
      <c r="O490" s="50">
        <v>0.0</v>
      </c>
      <c r="P490" s="50">
        <v>0.0</v>
      </c>
      <c r="Q490" s="50">
        <v>0.0</v>
      </c>
      <c r="R490" s="50">
        <v>0.0</v>
      </c>
      <c r="S490" s="50">
        <v>0.0</v>
      </c>
      <c r="T490" s="50">
        <v>2.8125</v>
      </c>
      <c r="U490" s="50">
        <v>0.0</v>
      </c>
      <c r="V490" s="50">
        <v>0.0</v>
      </c>
      <c r="W490" s="50">
        <v>0.0</v>
      </c>
      <c r="X490" s="50">
        <v>2.8125</v>
      </c>
      <c r="Y490" s="50">
        <v>5.625</v>
      </c>
    </row>
    <row r="491">
      <c r="A491" s="26">
        <v>485.0</v>
      </c>
      <c r="B491" s="65">
        <v>0.23023874208059925</v>
      </c>
      <c r="C491" s="65">
        <v>-0.27520377610268537</v>
      </c>
      <c r="D491" s="65">
        <v>0.04733063696768443</v>
      </c>
      <c r="E491" s="65">
        <v>1.0430284118925381</v>
      </c>
      <c r="F491" s="65">
        <v>2.040227479959431</v>
      </c>
      <c r="G491" s="50">
        <v>0.0</v>
      </c>
      <c r="H491" s="50">
        <v>0.0</v>
      </c>
      <c r="I491" s="50">
        <v>0.0</v>
      </c>
      <c r="J491" s="50">
        <v>0.0</v>
      </c>
      <c r="K491" s="50">
        <v>0.0</v>
      </c>
      <c r="L491" s="50">
        <v>0.0</v>
      </c>
      <c r="M491" s="50">
        <v>0.0</v>
      </c>
      <c r="N491" s="50">
        <v>0.0</v>
      </c>
      <c r="O491" s="50">
        <v>0.0</v>
      </c>
      <c r="P491" s="50">
        <v>0.0</v>
      </c>
      <c r="Q491" s="50">
        <v>0.0</v>
      </c>
      <c r="R491" s="50">
        <v>0.0</v>
      </c>
      <c r="S491" s="50">
        <v>0.0</v>
      </c>
      <c r="T491" s="50">
        <v>0.0</v>
      </c>
      <c r="U491" s="50">
        <v>0.0</v>
      </c>
      <c r="V491" s="50">
        <v>0.0</v>
      </c>
      <c r="W491" s="50">
        <v>0.0</v>
      </c>
      <c r="X491" s="50">
        <v>2.8125</v>
      </c>
      <c r="Y491" s="50">
        <v>2.8125</v>
      </c>
    </row>
    <row r="492">
      <c r="A492" s="26">
        <v>486.0</v>
      </c>
      <c r="B492" s="65">
        <v>0.4642596804009709</v>
      </c>
      <c r="C492" s="65">
        <v>-0.43509162677553526</v>
      </c>
      <c r="D492" s="65">
        <v>2.3296077196078</v>
      </c>
      <c r="E492" s="65">
        <v>-1.8542609713315</v>
      </c>
      <c r="F492" s="65">
        <v>2.7579777597389805</v>
      </c>
      <c r="G492" s="50">
        <v>0.0</v>
      </c>
      <c r="H492" s="50">
        <v>0.0</v>
      </c>
      <c r="I492" s="50">
        <v>0.0</v>
      </c>
      <c r="J492" s="50">
        <v>0.0</v>
      </c>
      <c r="K492" s="50">
        <v>0.0</v>
      </c>
      <c r="L492" s="50">
        <v>0.0</v>
      </c>
      <c r="M492" s="50">
        <v>0.0</v>
      </c>
      <c r="N492" s="50">
        <v>0.0</v>
      </c>
      <c r="O492" s="50">
        <v>0.0</v>
      </c>
      <c r="P492" s="50">
        <v>0.0</v>
      </c>
      <c r="Q492" s="50">
        <v>0.0</v>
      </c>
      <c r="R492" s="50">
        <v>0.0</v>
      </c>
      <c r="S492" s="50">
        <v>0.0</v>
      </c>
      <c r="T492" s="50">
        <v>2.8125</v>
      </c>
      <c r="U492" s="50">
        <v>0.0</v>
      </c>
      <c r="V492" s="50">
        <v>0.0</v>
      </c>
      <c r="W492" s="50">
        <v>0.0</v>
      </c>
      <c r="X492" s="50">
        <v>2.8125</v>
      </c>
      <c r="Y492" s="50">
        <v>5.625</v>
      </c>
    </row>
    <row r="493">
      <c r="A493" s="26">
        <v>487.0</v>
      </c>
      <c r="B493" s="65">
        <v>-0.09684432934235933</v>
      </c>
      <c r="C493" s="65">
        <v>0.40466920165579207</v>
      </c>
      <c r="D493" s="65">
        <v>-0.4636014082458182</v>
      </c>
      <c r="E493" s="65">
        <v>-1.138815690026719</v>
      </c>
      <c r="F493" s="65">
        <v>2.7383084005508342</v>
      </c>
      <c r="G493" s="50">
        <v>0.0</v>
      </c>
      <c r="H493" s="50">
        <v>0.0</v>
      </c>
      <c r="I493" s="50">
        <v>0.0</v>
      </c>
      <c r="J493" s="50">
        <v>0.0</v>
      </c>
      <c r="K493" s="50">
        <v>0.0</v>
      </c>
      <c r="L493" s="50">
        <v>0.0</v>
      </c>
      <c r="M493" s="50">
        <v>0.0</v>
      </c>
      <c r="N493" s="50">
        <v>0.0</v>
      </c>
      <c r="O493" s="50">
        <v>0.0</v>
      </c>
      <c r="P493" s="50">
        <v>0.0</v>
      </c>
      <c r="Q493" s="50">
        <v>0.0</v>
      </c>
      <c r="R493" s="50">
        <v>9.9</v>
      </c>
      <c r="S493" s="50">
        <v>0.0</v>
      </c>
      <c r="T493" s="50">
        <v>2.8125</v>
      </c>
      <c r="U493" s="50">
        <v>0.0</v>
      </c>
      <c r="V493" s="50">
        <v>5.625</v>
      </c>
      <c r="W493" s="50">
        <v>4.95</v>
      </c>
      <c r="X493" s="50">
        <v>2.8125</v>
      </c>
      <c r="Y493" s="50">
        <v>26.099999999999998</v>
      </c>
    </row>
    <row r="494">
      <c r="A494" s="26">
        <v>488.0</v>
      </c>
      <c r="B494" s="65">
        <v>0.20975253824015022</v>
      </c>
      <c r="C494" s="65">
        <v>1.4700710992653268</v>
      </c>
      <c r="D494" s="65">
        <v>1.8807707929423048</v>
      </c>
      <c r="E494" s="65">
        <v>1.096474438901457</v>
      </c>
      <c r="F494" s="65">
        <v>8.439868304289138</v>
      </c>
      <c r="G494" s="50">
        <v>0.0</v>
      </c>
      <c r="H494" s="50">
        <v>0.0</v>
      </c>
      <c r="I494" s="50">
        <v>0.0</v>
      </c>
      <c r="J494" s="50">
        <v>0.0</v>
      </c>
      <c r="K494" s="50">
        <v>0.0</v>
      </c>
      <c r="L494" s="50">
        <v>0.0</v>
      </c>
      <c r="M494" s="50">
        <v>0.0</v>
      </c>
      <c r="N494" s="50">
        <v>0.0</v>
      </c>
      <c r="O494" s="50">
        <v>0.0</v>
      </c>
      <c r="P494" s="50">
        <v>0.0</v>
      </c>
      <c r="Q494" s="50">
        <v>0.0</v>
      </c>
      <c r="R494" s="50">
        <v>0.0</v>
      </c>
      <c r="S494" s="50">
        <v>0.0</v>
      </c>
      <c r="T494" s="50">
        <v>2.8125</v>
      </c>
      <c r="U494" s="50">
        <v>0.0</v>
      </c>
      <c r="V494" s="50">
        <v>0.0</v>
      </c>
      <c r="W494" s="50">
        <v>0.0</v>
      </c>
      <c r="X494" s="50">
        <v>2.8125</v>
      </c>
      <c r="Y494" s="50">
        <v>5.625</v>
      </c>
    </row>
    <row r="495">
      <c r="A495" s="26">
        <v>489.0</v>
      </c>
      <c r="B495" s="65">
        <v>-0.5994958912071026</v>
      </c>
      <c r="C495" s="65">
        <v>0.14458082498284436</v>
      </c>
      <c r="D495" s="65">
        <v>1.1742740796047282</v>
      </c>
      <c r="E495" s="65">
        <v>0.8729718289139601</v>
      </c>
      <c r="F495" s="65">
        <v>4.9808911530658655</v>
      </c>
      <c r="G495" s="50">
        <v>0.0</v>
      </c>
      <c r="H495" s="50">
        <v>0.0</v>
      </c>
      <c r="I495" s="50">
        <v>0.0</v>
      </c>
      <c r="J495" s="50">
        <v>0.0</v>
      </c>
      <c r="K495" s="50">
        <v>0.0</v>
      </c>
      <c r="L495" s="50">
        <v>0.0</v>
      </c>
      <c r="M495" s="50">
        <v>0.0</v>
      </c>
      <c r="N495" s="50">
        <v>0.0</v>
      </c>
      <c r="O495" s="50">
        <v>0.0</v>
      </c>
      <c r="P495" s="50">
        <v>0.0</v>
      </c>
      <c r="Q495" s="50">
        <v>0.0</v>
      </c>
      <c r="R495" s="50">
        <v>0.0</v>
      </c>
      <c r="S495" s="50">
        <v>0.0</v>
      </c>
      <c r="T495" s="50">
        <v>2.8125</v>
      </c>
      <c r="U495" s="50">
        <v>0.0</v>
      </c>
      <c r="V495" s="50">
        <v>5.625</v>
      </c>
      <c r="W495" s="50">
        <v>0.0</v>
      </c>
      <c r="X495" s="50">
        <v>2.8125</v>
      </c>
      <c r="Y495" s="50">
        <v>11.25</v>
      </c>
    </row>
    <row r="496">
      <c r="A496" s="26">
        <v>490.0</v>
      </c>
      <c r="B496" s="65">
        <v>0.5554198830672736</v>
      </c>
      <c r="C496" s="65">
        <v>-0.50615268555544</v>
      </c>
      <c r="D496" s="65">
        <v>-0.9770796783433591</v>
      </c>
      <c r="E496" s="65">
        <v>-2.2075461557493763</v>
      </c>
      <c r="F496" s="65">
        <v>3.75910621037825</v>
      </c>
      <c r="G496" s="50">
        <v>0.0</v>
      </c>
      <c r="H496" s="50">
        <v>0.0</v>
      </c>
      <c r="I496" s="50">
        <v>0.0</v>
      </c>
      <c r="J496" s="50">
        <v>0.0</v>
      </c>
      <c r="K496" s="50">
        <v>0.0</v>
      </c>
      <c r="L496" s="50">
        <v>0.0</v>
      </c>
      <c r="M496" s="50">
        <v>0.0</v>
      </c>
      <c r="N496" s="50">
        <v>0.0</v>
      </c>
      <c r="O496" s="50">
        <v>0.0</v>
      </c>
      <c r="P496" s="50">
        <v>0.0</v>
      </c>
      <c r="Q496" s="50">
        <v>0.0</v>
      </c>
      <c r="R496" s="50">
        <v>0.0</v>
      </c>
      <c r="S496" s="50">
        <v>0.0</v>
      </c>
      <c r="T496" s="50">
        <v>2.8125</v>
      </c>
      <c r="U496" s="50">
        <v>0.0</v>
      </c>
      <c r="V496" s="50">
        <v>0.0</v>
      </c>
      <c r="W496" s="50">
        <v>0.0</v>
      </c>
      <c r="X496" s="50">
        <v>2.8125</v>
      </c>
      <c r="Y496" s="50">
        <v>5.625</v>
      </c>
    </row>
    <row r="497">
      <c r="A497" s="26">
        <v>491.0</v>
      </c>
      <c r="B497" s="65">
        <v>0.5040802872799953</v>
      </c>
      <c r="C497" s="65">
        <v>-1.3458415558266676</v>
      </c>
      <c r="D497" s="65">
        <v>-1.263723856231001</v>
      </c>
      <c r="E497" s="65">
        <v>1.3094379182364189</v>
      </c>
      <c r="F497" s="65">
        <v>6.549783650699963</v>
      </c>
      <c r="G497" s="50">
        <v>0.0</v>
      </c>
      <c r="H497" s="50">
        <v>0.0</v>
      </c>
      <c r="I497" s="50">
        <v>0.0</v>
      </c>
      <c r="J497" s="50">
        <v>0.0</v>
      </c>
      <c r="K497" s="50">
        <v>0.0</v>
      </c>
      <c r="L497" s="50">
        <v>0.0</v>
      </c>
      <c r="M497" s="50">
        <v>0.0</v>
      </c>
      <c r="N497" s="50">
        <v>0.0</v>
      </c>
      <c r="O497" s="50">
        <v>0.0</v>
      </c>
      <c r="P497" s="50">
        <v>0.0</v>
      </c>
      <c r="Q497" s="50">
        <v>0.0</v>
      </c>
      <c r="R497" s="50">
        <v>0.0</v>
      </c>
      <c r="S497" s="50">
        <v>0.0</v>
      </c>
      <c r="T497" s="50">
        <v>2.8125</v>
      </c>
      <c r="U497" s="50">
        <v>0.0</v>
      </c>
      <c r="V497" s="50">
        <v>0.0</v>
      </c>
      <c r="W497" s="50">
        <v>0.0</v>
      </c>
      <c r="X497" s="50">
        <v>2.8125</v>
      </c>
      <c r="Y497" s="50">
        <v>5.625</v>
      </c>
    </row>
    <row r="498">
      <c r="A498" s="26">
        <v>492.0</v>
      </c>
      <c r="B498" s="65">
        <v>-1.6783767705387238</v>
      </c>
      <c r="C498" s="65">
        <v>0.34782484741191494</v>
      </c>
      <c r="D498" s="65">
        <v>0.7942259905972662</v>
      </c>
      <c r="E498" s="65">
        <v>-0.9457155446002478</v>
      </c>
      <c r="F498" s="65">
        <v>2.9529230037175633</v>
      </c>
      <c r="G498" s="50">
        <v>0.0</v>
      </c>
      <c r="H498" s="50">
        <v>0.0</v>
      </c>
      <c r="I498" s="50">
        <v>0.0</v>
      </c>
      <c r="J498" s="50">
        <v>0.0</v>
      </c>
      <c r="K498" s="50">
        <v>0.0</v>
      </c>
      <c r="L498" s="50">
        <v>0.0</v>
      </c>
      <c r="M498" s="50">
        <v>0.0</v>
      </c>
      <c r="N498" s="50">
        <v>0.0</v>
      </c>
      <c r="O498" s="50">
        <v>7.425000000000001</v>
      </c>
      <c r="P498" s="50">
        <v>2.475</v>
      </c>
      <c r="Q498" s="50">
        <v>0.0</v>
      </c>
      <c r="R498" s="50">
        <v>0.0</v>
      </c>
      <c r="S498" s="50">
        <v>0.0</v>
      </c>
      <c r="T498" s="50">
        <v>2.8125</v>
      </c>
      <c r="U498" s="50">
        <v>0.0</v>
      </c>
      <c r="V498" s="50">
        <v>5.625</v>
      </c>
      <c r="W498" s="50">
        <v>4.95</v>
      </c>
      <c r="X498" s="50">
        <v>2.8125</v>
      </c>
      <c r="Y498" s="50">
        <v>26.099999999999998</v>
      </c>
    </row>
    <row r="499">
      <c r="A499" s="26">
        <v>493.0</v>
      </c>
      <c r="B499" s="65">
        <v>-1.2868776880220516</v>
      </c>
      <c r="C499" s="65">
        <v>-2.7479389127515863</v>
      </c>
      <c r="D499" s="65">
        <v>-0.10604492082109856</v>
      </c>
      <c r="E499" s="65">
        <v>0.18692749716581267</v>
      </c>
      <c r="F499" s="65">
        <v>9.74620023513308</v>
      </c>
      <c r="G499" s="50">
        <v>0.0</v>
      </c>
      <c r="H499" s="50">
        <v>0.0</v>
      </c>
      <c r="I499" s="50">
        <v>0.0</v>
      </c>
      <c r="J499" s="50">
        <v>0.0</v>
      </c>
      <c r="K499" s="50">
        <v>0.0</v>
      </c>
      <c r="L499" s="50">
        <v>0.0</v>
      </c>
      <c r="M499" s="50">
        <v>0.0</v>
      </c>
      <c r="N499" s="50">
        <v>0.0</v>
      </c>
      <c r="O499" s="50">
        <v>7.425000000000001</v>
      </c>
      <c r="P499" s="50">
        <v>0.0</v>
      </c>
      <c r="Q499" s="50">
        <v>0.0</v>
      </c>
      <c r="R499" s="50">
        <v>0.0</v>
      </c>
      <c r="S499" s="50">
        <v>0.0</v>
      </c>
      <c r="T499" s="50">
        <v>2.8125</v>
      </c>
      <c r="U499" s="50">
        <v>0.0</v>
      </c>
      <c r="V499" s="50">
        <v>0.0</v>
      </c>
      <c r="W499" s="50">
        <v>0.0</v>
      </c>
      <c r="X499" s="50">
        <v>2.8125</v>
      </c>
      <c r="Y499" s="50">
        <v>13.05</v>
      </c>
    </row>
    <row r="500">
      <c r="A500" s="26">
        <v>494.0</v>
      </c>
      <c r="B500" s="65">
        <v>0.9939675275935599</v>
      </c>
      <c r="C500" s="65">
        <v>-0.1309646857414254</v>
      </c>
      <c r="D500" s="65">
        <v>-1.1791900473306223</v>
      </c>
      <c r="E500" s="65">
        <v>0.049354525630462574</v>
      </c>
      <c r="F500" s="65">
        <v>7.097286226705471</v>
      </c>
      <c r="G500" s="50">
        <v>0.0</v>
      </c>
      <c r="H500" s="50">
        <v>0.0</v>
      </c>
      <c r="I500" s="50">
        <v>0.0</v>
      </c>
      <c r="J500" s="50">
        <v>0.0</v>
      </c>
      <c r="K500" s="50">
        <v>0.0</v>
      </c>
      <c r="L500" s="50">
        <v>0.0</v>
      </c>
      <c r="M500" s="50">
        <v>0.0</v>
      </c>
      <c r="N500" s="50">
        <v>0.0</v>
      </c>
      <c r="O500" s="50">
        <v>7.425000000000001</v>
      </c>
      <c r="P500" s="50">
        <v>0.0</v>
      </c>
      <c r="Q500" s="50">
        <v>0.0</v>
      </c>
      <c r="R500" s="50">
        <v>0.0</v>
      </c>
      <c r="S500" s="50">
        <v>0.0</v>
      </c>
      <c r="T500" s="50">
        <v>2.8125</v>
      </c>
      <c r="U500" s="50">
        <v>0.0</v>
      </c>
      <c r="V500" s="50">
        <v>0.0</v>
      </c>
      <c r="W500" s="50">
        <v>0.0</v>
      </c>
      <c r="X500" s="50">
        <v>2.8125</v>
      </c>
      <c r="Y500" s="50">
        <v>13.05</v>
      </c>
    </row>
    <row r="501">
      <c r="A501" s="26">
        <v>495.0</v>
      </c>
      <c r="B501" s="65">
        <v>0.6696582733953853</v>
      </c>
      <c r="C501" s="65">
        <v>0.8631752576642562</v>
      </c>
      <c r="D501" s="65">
        <v>0.16933123797057067</v>
      </c>
      <c r="E501" s="65">
        <v>-0.40777759058354174</v>
      </c>
      <c r="F501" s="65">
        <v>3.613954875515154</v>
      </c>
      <c r="G501" s="50">
        <v>0.0</v>
      </c>
      <c r="H501" s="50">
        <v>0.0</v>
      </c>
      <c r="I501" s="50">
        <v>0.0</v>
      </c>
      <c r="J501" s="50">
        <v>0.0</v>
      </c>
      <c r="K501" s="50">
        <v>0.0</v>
      </c>
      <c r="L501" s="50">
        <v>0.0</v>
      </c>
      <c r="M501" s="50">
        <v>0.0</v>
      </c>
      <c r="N501" s="50">
        <v>0.0</v>
      </c>
      <c r="O501" s="50">
        <v>0.0</v>
      </c>
      <c r="P501" s="50">
        <v>2.475</v>
      </c>
      <c r="Q501" s="50">
        <v>0.0</v>
      </c>
      <c r="R501" s="50">
        <v>0.0</v>
      </c>
      <c r="S501" s="50">
        <v>0.0</v>
      </c>
      <c r="T501" s="50">
        <v>2.8125</v>
      </c>
      <c r="U501" s="50">
        <v>0.0</v>
      </c>
      <c r="V501" s="50">
        <v>0.0</v>
      </c>
      <c r="W501" s="50">
        <v>0.0</v>
      </c>
      <c r="X501" s="50">
        <v>2.8125</v>
      </c>
      <c r="Y501" s="50">
        <v>8.1</v>
      </c>
    </row>
    <row r="502">
      <c r="A502" s="26">
        <v>496.0</v>
      </c>
      <c r="B502" s="65">
        <v>0.8206122805062269</v>
      </c>
      <c r="C502" s="65">
        <v>-0.47896948895477937</v>
      </c>
      <c r="D502" s="65">
        <v>-0.5179682793569526</v>
      </c>
      <c r="E502" s="65">
        <v>0.6188679982270309</v>
      </c>
      <c r="F502" s="65">
        <v>5.0103590201562405</v>
      </c>
      <c r="G502" s="50">
        <v>0.0</v>
      </c>
      <c r="H502" s="50">
        <v>0.0</v>
      </c>
      <c r="I502" s="50">
        <v>0.0</v>
      </c>
      <c r="J502" s="50">
        <v>0.0</v>
      </c>
      <c r="K502" s="50">
        <v>0.0</v>
      </c>
      <c r="L502" s="50">
        <v>0.0</v>
      </c>
      <c r="M502" s="50">
        <v>0.0</v>
      </c>
      <c r="N502" s="50">
        <v>0.0</v>
      </c>
      <c r="O502" s="50">
        <v>0.0</v>
      </c>
      <c r="P502" s="50">
        <v>0.0</v>
      </c>
      <c r="Q502" s="50">
        <v>0.0</v>
      </c>
      <c r="R502" s="50">
        <v>0.0</v>
      </c>
      <c r="S502" s="50">
        <v>0.0</v>
      </c>
      <c r="T502" s="50">
        <v>2.8125</v>
      </c>
      <c r="U502" s="50">
        <v>0.0</v>
      </c>
      <c r="V502" s="50">
        <v>0.0</v>
      </c>
      <c r="W502" s="50">
        <v>0.0</v>
      </c>
      <c r="X502" s="50">
        <v>2.8125</v>
      </c>
      <c r="Y502" s="50">
        <v>5.625</v>
      </c>
    </row>
    <row r="503">
      <c r="A503" s="26">
        <v>497.0</v>
      </c>
      <c r="B503" s="65">
        <v>-1.2801188385838234</v>
      </c>
      <c r="C503" s="65">
        <v>-0.4518178736652741</v>
      </c>
      <c r="D503" s="65">
        <v>-1.002423596153934</v>
      </c>
      <c r="E503" s="65">
        <v>1.6573053453778261</v>
      </c>
      <c r="F503" s="65">
        <v>2.534589899152515</v>
      </c>
      <c r="G503" s="50">
        <v>0.0</v>
      </c>
      <c r="H503" s="50">
        <v>0.0</v>
      </c>
      <c r="I503" s="50">
        <v>0.0</v>
      </c>
      <c r="J503" s="50">
        <v>0.0</v>
      </c>
      <c r="K503" s="50">
        <v>0.0</v>
      </c>
      <c r="L503" s="50">
        <v>0.0</v>
      </c>
      <c r="M503" s="50">
        <v>0.0</v>
      </c>
      <c r="N503" s="50">
        <v>0.0</v>
      </c>
      <c r="O503" s="50">
        <v>0.0</v>
      </c>
      <c r="P503" s="50">
        <v>0.0</v>
      </c>
      <c r="Q503" s="50">
        <v>13.5</v>
      </c>
      <c r="R503" s="50">
        <v>0.0</v>
      </c>
      <c r="S503" s="50">
        <v>0.0</v>
      </c>
      <c r="T503" s="50">
        <v>2.8125</v>
      </c>
      <c r="U503" s="50">
        <v>0.0</v>
      </c>
      <c r="V503" s="50">
        <v>0.0</v>
      </c>
      <c r="W503" s="50">
        <v>4.95</v>
      </c>
      <c r="X503" s="50">
        <v>2.8125</v>
      </c>
      <c r="Y503" s="50">
        <v>24.075</v>
      </c>
    </row>
    <row r="504">
      <c r="A504" s="26">
        <v>498.0</v>
      </c>
      <c r="B504" s="65">
        <v>-0.3214472652188154</v>
      </c>
      <c r="C504" s="65">
        <v>-0.04452464050335081</v>
      </c>
      <c r="D504" s="65">
        <v>-0.43231631076512644</v>
      </c>
      <c r="E504" s="65">
        <v>-0.015787463719986374</v>
      </c>
      <c r="F504" s="65">
        <v>4.693135204778957</v>
      </c>
      <c r="G504" s="50">
        <v>0.0</v>
      </c>
      <c r="H504" s="50">
        <v>0.0</v>
      </c>
      <c r="I504" s="50">
        <v>0.0</v>
      </c>
      <c r="J504" s="50">
        <v>0.0</v>
      </c>
      <c r="K504" s="50">
        <v>0.0</v>
      </c>
      <c r="L504" s="50">
        <v>0.0</v>
      </c>
      <c r="M504" s="50">
        <v>0.0</v>
      </c>
      <c r="N504" s="50">
        <v>0.0</v>
      </c>
      <c r="O504" s="50">
        <v>0.0</v>
      </c>
      <c r="P504" s="50">
        <v>0.0</v>
      </c>
      <c r="Q504" s="50">
        <v>0.0</v>
      </c>
      <c r="R504" s="50">
        <v>0.0</v>
      </c>
      <c r="S504" s="50">
        <v>0.0</v>
      </c>
      <c r="T504" s="50">
        <v>2.8125</v>
      </c>
      <c r="U504" s="50">
        <v>0.0</v>
      </c>
      <c r="V504" s="50">
        <v>5.625</v>
      </c>
      <c r="W504" s="50">
        <v>0.0</v>
      </c>
      <c r="X504" s="50">
        <v>2.8125</v>
      </c>
      <c r="Y504" s="50">
        <v>11.25</v>
      </c>
    </row>
    <row r="505">
      <c r="A505" s="26">
        <v>499.0</v>
      </c>
      <c r="B505" s="65">
        <v>-0.18093627430143622</v>
      </c>
      <c r="C505" s="65">
        <v>-0.5168879026663503</v>
      </c>
      <c r="D505" s="65">
        <v>-0.858978117146604</v>
      </c>
      <c r="E505" s="65">
        <v>-2.5808076724849744</v>
      </c>
      <c r="F505" s="65">
        <v>5.161974890525608</v>
      </c>
      <c r="G505" s="50">
        <v>0.0</v>
      </c>
      <c r="H505" s="50">
        <v>0.0</v>
      </c>
      <c r="I505" s="50">
        <v>0.0</v>
      </c>
      <c r="J505" s="50">
        <v>0.0</v>
      </c>
      <c r="K505" s="50">
        <v>0.0</v>
      </c>
      <c r="L505" s="50">
        <v>0.0</v>
      </c>
      <c r="M505" s="50">
        <v>0.0</v>
      </c>
      <c r="N505" s="50">
        <v>0.0</v>
      </c>
      <c r="O505" s="50">
        <v>0.0</v>
      </c>
      <c r="P505" s="50">
        <v>0.0</v>
      </c>
      <c r="Q505" s="50">
        <v>0.0</v>
      </c>
      <c r="R505" s="50">
        <v>0.0</v>
      </c>
      <c r="S505" s="50">
        <v>0.0</v>
      </c>
      <c r="T505" s="50">
        <v>2.8125</v>
      </c>
      <c r="U505" s="50">
        <v>0.0</v>
      </c>
      <c r="V505" s="50">
        <v>5.625</v>
      </c>
      <c r="W505" s="50">
        <v>0.0</v>
      </c>
      <c r="X505" s="50">
        <v>2.8125</v>
      </c>
      <c r="Y505" s="50">
        <v>11.25</v>
      </c>
    </row>
    <row r="506">
      <c r="A506" s="26">
        <v>500.0</v>
      </c>
      <c r="B506" s="65">
        <v>0.4510968638386936</v>
      </c>
      <c r="C506" s="65">
        <v>-0.6341403675018231</v>
      </c>
      <c r="D506" s="65">
        <v>-0.48050260992478866</v>
      </c>
      <c r="E506" s="65">
        <v>0.4035890852522866</v>
      </c>
      <c r="F506" s="65">
        <v>1.265458358681789</v>
      </c>
      <c r="G506" s="50">
        <v>0.0</v>
      </c>
      <c r="H506" s="50">
        <v>0.0</v>
      </c>
      <c r="I506" s="50">
        <v>0.0</v>
      </c>
      <c r="J506" s="50">
        <v>0.0</v>
      </c>
      <c r="K506" s="50">
        <v>0.0</v>
      </c>
      <c r="L506" s="50">
        <v>0.0</v>
      </c>
      <c r="M506" s="50">
        <v>0.0</v>
      </c>
      <c r="N506" s="50">
        <v>0.0</v>
      </c>
      <c r="O506" s="50">
        <v>7.425000000000001</v>
      </c>
      <c r="P506" s="50">
        <v>0.0</v>
      </c>
      <c r="Q506" s="50">
        <v>0.0</v>
      </c>
      <c r="R506" s="50">
        <v>0.0</v>
      </c>
      <c r="S506" s="50">
        <v>0.0</v>
      </c>
      <c r="T506" s="50">
        <v>2.8125</v>
      </c>
      <c r="U506" s="50">
        <v>0.0</v>
      </c>
      <c r="V506" s="50">
        <v>0.0</v>
      </c>
      <c r="W506" s="50">
        <v>0.0</v>
      </c>
      <c r="X506" s="50">
        <v>2.8125</v>
      </c>
      <c r="Y506" s="50">
        <v>13.05</v>
      </c>
    </row>
    <row r="507">
      <c r="A507" s="26">
        <v>501.0</v>
      </c>
      <c r="B507" s="65">
        <v>-0.7414277585257784</v>
      </c>
      <c r="C507" s="65">
        <v>-0.7880734641591783</v>
      </c>
      <c r="D507" s="65">
        <v>-0.27994253006287806</v>
      </c>
      <c r="E507" s="65">
        <v>1.0773545078001032</v>
      </c>
      <c r="F507" s="65">
        <v>11.189022882235298</v>
      </c>
      <c r="G507" s="50">
        <v>0.0</v>
      </c>
      <c r="H507" s="50">
        <v>0.0</v>
      </c>
      <c r="I507" s="50">
        <v>0.0</v>
      </c>
      <c r="J507" s="50">
        <v>0.0</v>
      </c>
      <c r="K507" s="50">
        <v>0.0</v>
      </c>
      <c r="L507" s="50">
        <v>0.0</v>
      </c>
      <c r="M507" s="50">
        <v>0.0</v>
      </c>
      <c r="N507" s="50">
        <v>0.0</v>
      </c>
      <c r="O507" s="50">
        <v>0.0</v>
      </c>
      <c r="P507" s="50">
        <v>0.0</v>
      </c>
      <c r="Q507" s="50">
        <v>0.0</v>
      </c>
      <c r="R507" s="50">
        <v>0.0</v>
      </c>
      <c r="S507" s="50">
        <v>0.0</v>
      </c>
      <c r="T507" s="50">
        <v>2.8125</v>
      </c>
      <c r="U507" s="50">
        <v>0.0</v>
      </c>
      <c r="V507" s="50">
        <v>0.0</v>
      </c>
      <c r="W507" s="50">
        <v>0.0</v>
      </c>
      <c r="X507" s="50">
        <v>2.8125</v>
      </c>
      <c r="Y507" s="50">
        <v>5.625</v>
      </c>
    </row>
    <row r="508">
      <c r="A508" s="26">
        <v>502.0</v>
      </c>
      <c r="B508" s="65">
        <v>-2.679873531068653</v>
      </c>
      <c r="C508" s="65">
        <v>-0.5810163484885265</v>
      </c>
      <c r="D508" s="65">
        <v>0.7860804801928284</v>
      </c>
      <c r="E508" s="65">
        <v>-0.6419347458891189</v>
      </c>
      <c r="F508" s="65">
        <v>2.2456688158686133</v>
      </c>
      <c r="G508" s="50">
        <v>0.0</v>
      </c>
      <c r="H508" s="50">
        <v>0.0</v>
      </c>
      <c r="I508" s="50">
        <v>0.0</v>
      </c>
      <c r="J508" s="50">
        <v>0.0</v>
      </c>
      <c r="K508" s="50">
        <v>0.0</v>
      </c>
      <c r="L508" s="50">
        <v>0.0</v>
      </c>
      <c r="M508" s="50">
        <v>0.0</v>
      </c>
      <c r="N508" s="50">
        <v>0.0</v>
      </c>
      <c r="O508" s="50">
        <v>0.0</v>
      </c>
      <c r="P508" s="50">
        <v>2.475</v>
      </c>
      <c r="Q508" s="50">
        <v>0.0</v>
      </c>
      <c r="R508" s="50">
        <v>9.9</v>
      </c>
      <c r="S508" s="50">
        <v>11.25</v>
      </c>
      <c r="T508" s="50">
        <v>2.8125</v>
      </c>
      <c r="U508" s="50">
        <v>9.9</v>
      </c>
      <c r="V508" s="50">
        <v>5.625</v>
      </c>
      <c r="W508" s="50">
        <v>0.0</v>
      </c>
      <c r="X508" s="50">
        <v>2.8125</v>
      </c>
      <c r="Y508" s="50">
        <v>44.775</v>
      </c>
    </row>
    <row r="509">
      <c r="A509" s="26">
        <v>503.0</v>
      </c>
      <c r="B509" s="65">
        <v>0.29938412944619613</v>
      </c>
      <c r="C509" s="65">
        <v>0.589816045713704</v>
      </c>
      <c r="D509" s="65">
        <v>-0.25381150181531975</v>
      </c>
      <c r="E509" s="65">
        <v>0.058036450579321434</v>
      </c>
      <c r="F509" s="65">
        <v>5.422198088048907</v>
      </c>
      <c r="G509" s="50">
        <v>0.0</v>
      </c>
      <c r="H509" s="50">
        <v>0.0</v>
      </c>
      <c r="I509" s="50">
        <v>0.0</v>
      </c>
      <c r="J509" s="50">
        <v>0.0</v>
      </c>
      <c r="K509" s="50">
        <v>0.0</v>
      </c>
      <c r="L509" s="50">
        <v>0.0</v>
      </c>
      <c r="M509" s="50">
        <v>0.0</v>
      </c>
      <c r="N509" s="50">
        <v>0.0</v>
      </c>
      <c r="O509" s="50">
        <v>0.0</v>
      </c>
      <c r="P509" s="50">
        <v>0.0</v>
      </c>
      <c r="Q509" s="50">
        <v>0.0</v>
      </c>
      <c r="R509" s="50">
        <v>0.0</v>
      </c>
      <c r="S509" s="50">
        <v>0.0</v>
      </c>
      <c r="T509" s="50">
        <v>2.8125</v>
      </c>
      <c r="U509" s="50">
        <v>0.0</v>
      </c>
      <c r="V509" s="50">
        <v>0.0</v>
      </c>
      <c r="W509" s="50">
        <v>0.0</v>
      </c>
      <c r="X509" s="50">
        <v>2.8125</v>
      </c>
      <c r="Y509" s="50">
        <v>5.625</v>
      </c>
    </row>
    <row r="510">
      <c r="A510" s="26">
        <v>504.0</v>
      </c>
      <c r="B510" s="65">
        <v>1.1600115555650252</v>
      </c>
      <c r="C510" s="65">
        <v>0.2918096716030223</v>
      </c>
      <c r="D510" s="65">
        <v>0.77683305679678</v>
      </c>
      <c r="E510" s="65">
        <v>-0.6919122300261523</v>
      </c>
      <c r="F510" s="65">
        <v>3.5878079268885323</v>
      </c>
      <c r="G510" s="50">
        <v>0.0</v>
      </c>
      <c r="H510" s="50">
        <v>0.0</v>
      </c>
      <c r="I510" s="50">
        <v>0.0</v>
      </c>
      <c r="J510" s="50">
        <v>0.0</v>
      </c>
      <c r="K510" s="50">
        <v>0.0</v>
      </c>
      <c r="L510" s="50">
        <v>0.0</v>
      </c>
      <c r="M510" s="50">
        <v>0.0</v>
      </c>
      <c r="N510" s="50">
        <v>0.0</v>
      </c>
      <c r="O510" s="50">
        <v>0.0</v>
      </c>
      <c r="P510" s="50">
        <v>0.0</v>
      </c>
      <c r="Q510" s="50">
        <v>0.0</v>
      </c>
      <c r="R510" s="50">
        <v>0.0</v>
      </c>
      <c r="S510" s="50">
        <v>0.0</v>
      </c>
      <c r="T510" s="50">
        <v>2.8125</v>
      </c>
      <c r="U510" s="50">
        <v>0.0</v>
      </c>
      <c r="V510" s="50">
        <v>5.625</v>
      </c>
      <c r="W510" s="50">
        <v>0.0</v>
      </c>
      <c r="X510" s="50">
        <v>2.8125</v>
      </c>
      <c r="Y510" s="50">
        <v>11.25</v>
      </c>
    </row>
    <row r="511">
      <c r="A511" s="26">
        <v>505.0</v>
      </c>
      <c r="B511" s="65">
        <v>0.21135366316513832</v>
      </c>
      <c r="C511" s="65">
        <v>-0.9678558361656796</v>
      </c>
      <c r="D511" s="65">
        <v>1.2852042945980025</v>
      </c>
      <c r="E511" s="65">
        <v>-0.35290991652533427</v>
      </c>
      <c r="F511" s="65">
        <v>8.596518297494898</v>
      </c>
      <c r="G511" s="50">
        <v>0.0</v>
      </c>
      <c r="H511" s="50">
        <v>0.0</v>
      </c>
      <c r="I511" s="50">
        <v>0.0</v>
      </c>
      <c r="J511" s="50">
        <v>0.0</v>
      </c>
      <c r="K511" s="50">
        <v>0.0</v>
      </c>
      <c r="L511" s="50">
        <v>0.0</v>
      </c>
      <c r="M511" s="50">
        <v>0.0</v>
      </c>
      <c r="N511" s="50">
        <v>0.0</v>
      </c>
      <c r="O511" s="50">
        <v>0.0</v>
      </c>
      <c r="P511" s="50">
        <v>0.0</v>
      </c>
      <c r="Q511" s="50">
        <v>0.0</v>
      </c>
      <c r="R511" s="50">
        <v>0.0</v>
      </c>
      <c r="S511" s="50">
        <v>0.0</v>
      </c>
      <c r="T511" s="50">
        <v>2.8125</v>
      </c>
      <c r="U511" s="50">
        <v>0.0</v>
      </c>
      <c r="V511" s="50">
        <v>0.0</v>
      </c>
      <c r="W511" s="50">
        <v>0.0</v>
      </c>
      <c r="X511" s="50">
        <v>2.8125</v>
      </c>
      <c r="Y511" s="50">
        <v>5.625</v>
      </c>
    </row>
    <row r="512">
      <c r="A512" s="26">
        <v>506.0</v>
      </c>
      <c r="B512" s="65">
        <v>-0.18926633489949674</v>
      </c>
      <c r="C512" s="65">
        <v>1.4809790803109293</v>
      </c>
      <c r="D512" s="65">
        <v>-0.29600992263171816</v>
      </c>
      <c r="E512" s="65">
        <v>0.4698521088081821</v>
      </c>
      <c r="F512" s="65">
        <v>4.3760238598884875</v>
      </c>
      <c r="G512" s="50">
        <v>0.0</v>
      </c>
      <c r="H512" s="50">
        <v>0.0</v>
      </c>
      <c r="I512" s="50">
        <v>0.0</v>
      </c>
      <c r="J512" s="50">
        <v>0.0</v>
      </c>
      <c r="K512" s="50">
        <v>0.0</v>
      </c>
      <c r="L512" s="50">
        <v>0.0</v>
      </c>
      <c r="M512" s="50">
        <v>0.0</v>
      </c>
      <c r="N512" s="50">
        <v>0.0</v>
      </c>
      <c r="O512" s="50">
        <v>0.0</v>
      </c>
      <c r="P512" s="50">
        <v>0.0</v>
      </c>
      <c r="Q512" s="50">
        <v>0.0</v>
      </c>
      <c r="R512" s="50">
        <v>0.0</v>
      </c>
      <c r="S512" s="50">
        <v>0.0</v>
      </c>
      <c r="T512" s="50">
        <v>2.8125</v>
      </c>
      <c r="U512" s="50">
        <v>0.0</v>
      </c>
      <c r="V512" s="50">
        <v>0.0</v>
      </c>
      <c r="W512" s="50">
        <v>0.0</v>
      </c>
      <c r="X512" s="50">
        <v>2.8125</v>
      </c>
      <c r="Y512" s="50">
        <v>5.625</v>
      </c>
    </row>
    <row r="513">
      <c r="A513" s="26">
        <v>507.0</v>
      </c>
      <c r="B513" s="65">
        <v>1.3276359641936255</v>
      </c>
      <c r="C513" s="65">
        <v>0.15346379457329573</v>
      </c>
      <c r="D513" s="65">
        <v>-1.5774463686764097</v>
      </c>
      <c r="E513" s="65">
        <v>-1.1174031816125989</v>
      </c>
      <c r="F513" s="65">
        <v>1.4969206333709733</v>
      </c>
      <c r="G513" s="50">
        <v>0.0</v>
      </c>
      <c r="H513" s="50">
        <v>0.0</v>
      </c>
      <c r="I513" s="50">
        <v>0.0</v>
      </c>
      <c r="J513" s="50">
        <v>0.0</v>
      </c>
      <c r="K513" s="50">
        <v>0.0</v>
      </c>
      <c r="L513" s="50">
        <v>0.0</v>
      </c>
      <c r="M513" s="50">
        <v>0.0</v>
      </c>
      <c r="N513" s="50">
        <v>0.0</v>
      </c>
      <c r="O513" s="50">
        <v>0.0</v>
      </c>
      <c r="P513" s="50">
        <v>0.0</v>
      </c>
      <c r="Q513" s="50">
        <v>0.0</v>
      </c>
      <c r="R513" s="50">
        <v>0.0</v>
      </c>
      <c r="S513" s="50">
        <v>0.0</v>
      </c>
      <c r="T513" s="50">
        <v>2.8125</v>
      </c>
      <c r="U513" s="50">
        <v>0.0</v>
      </c>
      <c r="V513" s="50">
        <v>0.0</v>
      </c>
      <c r="W513" s="50">
        <v>0.0</v>
      </c>
      <c r="X513" s="50">
        <v>2.8125</v>
      </c>
      <c r="Y513" s="50">
        <v>5.625</v>
      </c>
    </row>
    <row r="514">
      <c r="A514" s="26">
        <v>508.0</v>
      </c>
      <c r="B514" s="65">
        <v>0.5015083259219737</v>
      </c>
      <c r="C514" s="65">
        <v>-0.7443495625315562</v>
      </c>
      <c r="D514" s="65">
        <v>0.7647856607849752</v>
      </c>
      <c r="E514" s="65">
        <v>9.118176809319188E-4</v>
      </c>
      <c r="F514" s="65">
        <v>5.212079699054154</v>
      </c>
      <c r="G514" s="50">
        <v>0.0</v>
      </c>
      <c r="H514" s="50">
        <v>0.0</v>
      </c>
      <c r="I514" s="50">
        <v>0.0</v>
      </c>
      <c r="J514" s="50">
        <v>0.0</v>
      </c>
      <c r="K514" s="50">
        <v>0.0</v>
      </c>
      <c r="L514" s="50">
        <v>0.0</v>
      </c>
      <c r="M514" s="50">
        <v>0.0</v>
      </c>
      <c r="N514" s="50">
        <v>0.0</v>
      </c>
      <c r="O514" s="50">
        <v>7.425000000000001</v>
      </c>
      <c r="P514" s="50">
        <v>0.0</v>
      </c>
      <c r="Q514" s="50">
        <v>0.0</v>
      </c>
      <c r="R514" s="50">
        <v>0.0</v>
      </c>
      <c r="S514" s="50">
        <v>0.0</v>
      </c>
      <c r="T514" s="50">
        <v>2.8125</v>
      </c>
      <c r="U514" s="50">
        <v>0.0</v>
      </c>
      <c r="V514" s="50">
        <v>0.0</v>
      </c>
      <c r="W514" s="50">
        <v>0.0</v>
      </c>
      <c r="X514" s="50">
        <v>2.8125</v>
      </c>
      <c r="Y514" s="50">
        <v>13.05</v>
      </c>
    </row>
    <row r="515">
      <c r="A515" s="26">
        <v>509.0</v>
      </c>
      <c r="B515" s="65">
        <v>-1.660029247275058</v>
      </c>
      <c r="C515" s="65">
        <v>-0.16881287991070842</v>
      </c>
      <c r="D515" s="65">
        <v>0.49429002424597784</v>
      </c>
      <c r="E515" s="65">
        <v>0.2992983728529195</v>
      </c>
      <c r="F515" s="65">
        <v>9.08520893831095</v>
      </c>
      <c r="G515" s="50">
        <v>0.0</v>
      </c>
      <c r="H515" s="50">
        <v>0.0</v>
      </c>
      <c r="I515" s="50">
        <v>0.0</v>
      </c>
      <c r="J515" s="50">
        <v>0.0</v>
      </c>
      <c r="K515" s="50">
        <v>0.0</v>
      </c>
      <c r="L515" s="50">
        <v>0.0</v>
      </c>
      <c r="M515" s="50">
        <v>0.0</v>
      </c>
      <c r="N515" s="50">
        <v>0.0</v>
      </c>
      <c r="O515" s="50">
        <v>0.0</v>
      </c>
      <c r="P515" s="50">
        <v>0.0</v>
      </c>
      <c r="Q515" s="50">
        <v>0.0</v>
      </c>
      <c r="R515" s="50">
        <v>0.0</v>
      </c>
      <c r="S515" s="50">
        <v>0.0</v>
      </c>
      <c r="T515" s="50">
        <v>2.8125</v>
      </c>
      <c r="U515" s="50">
        <v>0.0</v>
      </c>
      <c r="V515" s="50">
        <v>5.625</v>
      </c>
      <c r="W515" s="50">
        <v>0.0</v>
      </c>
      <c r="X515" s="50">
        <v>2.8125</v>
      </c>
      <c r="Y515" s="50">
        <v>11.25</v>
      </c>
    </row>
    <row r="516">
      <c r="A516" s="26">
        <v>510.0</v>
      </c>
      <c r="B516" s="65">
        <v>-0.7110890053382187</v>
      </c>
      <c r="C516" s="65">
        <v>-0.1199356648359964</v>
      </c>
      <c r="D516" s="65">
        <v>-0.9275632370332577</v>
      </c>
      <c r="E516" s="65">
        <v>-0.5857683796679667</v>
      </c>
      <c r="F516" s="65">
        <v>3.9319365759614158</v>
      </c>
      <c r="G516" s="50">
        <v>0.0</v>
      </c>
      <c r="H516" s="50">
        <v>0.0</v>
      </c>
      <c r="I516" s="50">
        <v>0.0</v>
      </c>
      <c r="J516" s="50">
        <v>0.0</v>
      </c>
      <c r="K516" s="50">
        <v>0.0</v>
      </c>
      <c r="L516" s="50">
        <v>0.0</v>
      </c>
      <c r="M516" s="50">
        <v>0.0</v>
      </c>
      <c r="N516" s="50">
        <v>0.0</v>
      </c>
      <c r="O516" s="50">
        <v>0.0</v>
      </c>
      <c r="P516" s="50">
        <v>0.0</v>
      </c>
      <c r="Q516" s="50">
        <v>0.0</v>
      </c>
      <c r="R516" s="50">
        <v>0.0</v>
      </c>
      <c r="S516" s="50">
        <v>0.0</v>
      </c>
      <c r="T516" s="50">
        <v>2.8125</v>
      </c>
      <c r="U516" s="50">
        <v>0.0</v>
      </c>
      <c r="V516" s="50">
        <v>5.625</v>
      </c>
      <c r="W516" s="50">
        <v>4.95</v>
      </c>
      <c r="X516" s="50">
        <v>2.8125</v>
      </c>
      <c r="Y516" s="50">
        <v>16.2</v>
      </c>
    </row>
    <row r="517">
      <c r="A517" s="26">
        <v>511.0</v>
      </c>
      <c r="B517" s="65">
        <v>-0.3581704990926307</v>
      </c>
      <c r="C517" s="65">
        <v>-0.31915420619630297</v>
      </c>
      <c r="D517" s="65">
        <v>0.9721379268733076</v>
      </c>
      <c r="E517" s="65">
        <v>-1.7228639486331463</v>
      </c>
      <c r="F517" s="65">
        <v>4.22433226780221</v>
      </c>
      <c r="G517" s="50">
        <v>0.0</v>
      </c>
      <c r="H517" s="50">
        <v>0.0</v>
      </c>
      <c r="I517" s="50">
        <v>0.0</v>
      </c>
      <c r="J517" s="50">
        <v>0.0</v>
      </c>
      <c r="K517" s="50">
        <v>0.0</v>
      </c>
      <c r="L517" s="50">
        <v>0.0</v>
      </c>
      <c r="M517" s="50">
        <v>0.0</v>
      </c>
      <c r="N517" s="50">
        <v>0.0</v>
      </c>
      <c r="O517" s="50">
        <v>0.0</v>
      </c>
      <c r="P517" s="50">
        <v>0.0</v>
      </c>
      <c r="Q517" s="50">
        <v>0.0</v>
      </c>
      <c r="R517" s="50">
        <v>0.0</v>
      </c>
      <c r="S517" s="50">
        <v>0.0</v>
      </c>
      <c r="T517" s="50">
        <v>2.8125</v>
      </c>
      <c r="U517" s="50">
        <v>0.0</v>
      </c>
      <c r="V517" s="50">
        <v>5.625</v>
      </c>
      <c r="W517" s="50">
        <v>0.0</v>
      </c>
      <c r="X517" s="50">
        <v>2.8125</v>
      </c>
      <c r="Y517" s="50">
        <v>11.25</v>
      </c>
    </row>
    <row r="518">
      <c r="A518" s="26">
        <v>512.0</v>
      </c>
      <c r="B518" s="65">
        <v>-2.123067289660374</v>
      </c>
      <c r="C518" s="65">
        <v>1.272651960260737</v>
      </c>
      <c r="D518" s="65">
        <v>-0.6541571913805589</v>
      </c>
      <c r="E518" s="65">
        <v>1.77696480730379</v>
      </c>
      <c r="F518" s="65">
        <v>4.969967283939329</v>
      </c>
      <c r="G518" s="50">
        <v>0.0</v>
      </c>
      <c r="H518" s="50">
        <v>0.0</v>
      </c>
      <c r="I518" s="50">
        <v>0.0</v>
      </c>
      <c r="J518" s="50">
        <v>0.0</v>
      </c>
      <c r="K518" s="50">
        <v>0.0</v>
      </c>
      <c r="L518" s="50">
        <v>0.0</v>
      </c>
      <c r="M518" s="50">
        <v>0.0</v>
      </c>
      <c r="N518" s="50">
        <v>0.0</v>
      </c>
      <c r="O518" s="50">
        <v>0.0</v>
      </c>
      <c r="P518" s="50">
        <v>0.0</v>
      </c>
      <c r="Q518" s="50">
        <v>0.0</v>
      </c>
      <c r="R518" s="50">
        <v>0.0</v>
      </c>
      <c r="S518" s="50">
        <v>0.0</v>
      </c>
      <c r="T518" s="50">
        <v>2.8125</v>
      </c>
      <c r="U518" s="50">
        <v>0.0</v>
      </c>
      <c r="V518" s="50">
        <v>5.625</v>
      </c>
      <c r="W518" s="50">
        <v>0.0</v>
      </c>
      <c r="X518" s="50">
        <v>2.8125</v>
      </c>
      <c r="Y518" s="50">
        <v>11.25</v>
      </c>
    </row>
    <row r="519">
      <c r="A519" s="26">
        <v>513.0</v>
      </c>
      <c r="B519" s="65">
        <v>0.32465325394395367</v>
      </c>
      <c r="C519" s="65">
        <v>0.5820032323024791</v>
      </c>
      <c r="D519" s="65">
        <v>-0.2997171516502857</v>
      </c>
      <c r="E519" s="65">
        <v>0.8980472014948832</v>
      </c>
      <c r="F519" s="65">
        <v>0.522214422258708</v>
      </c>
      <c r="G519" s="50">
        <v>0.0</v>
      </c>
      <c r="H519" s="50">
        <v>0.0</v>
      </c>
      <c r="I519" s="50">
        <v>0.0</v>
      </c>
      <c r="J519" s="50">
        <v>0.0</v>
      </c>
      <c r="K519" s="50">
        <v>0.0</v>
      </c>
      <c r="L519" s="50">
        <v>0.0</v>
      </c>
      <c r="M519" s="50">
        <v>0.0</v>
      </c>
      <c r="N519" s="50">
        <v>0.0</v>
      </c>
      <c r="O519" s="50">
        <v>0.0</v>
      </c>
      <c r="P519" s="50">
        <v>0.0</v>
      </c>
      <c r="Q519" s="50">
        <v>13.5</v>
      </c>
      <c r="R519" s="50">
        <v>0.0</v>
      </c>
      <c r="S519" s="50">
        <v>0.0</v>
      </c>
      <c r="T519" s="50">
        <v>2.8125</v>
      </c>
      <c r="U519" s="50">
        <v>0.0</v>
      </c>
      <c r="V519" s="50">
        <v>0.0</v>
      </c>
      <c r="W519" s="50">
        <v>0.0</v>
      </c>
      <c r="X519" s="50">
        <v>2.8125</v>
      </c>
      <c r="Y519" s="50">
        <v>19.125</v>
      </c>
    </row>
    <row r="520">
      <c r="A520" s="26">
        <v>514.0</v>
      </c>
      <c r="B520" s="65">
        <v>0.28630433460238214</v>
      </c>
      <c r="C520" s="65">
        <v>-1.5489202825516468</v>
      </c>
      <c r="D520" s="65">
        <v>-0.8532276093786446</v>
      </c>
      <c r="E520" s="65">
        <v>-0.12586656876826585</v>
      </c>
      <c r="F520" s="65">
        <v>1.2107397046454063</v>
      </c>
      <c r="G520" s="50">
        <v>0.0</v>
      </c>
      <c r="H520" s="50">
        <v>0.0</v>
      </c>
      <c r="I520" s="50">
        <v>0.0</v>
      </c>
      <c r="J520" s="50">
        <v>0.0</v>
      </c>
      <c r="K520" s="50">
        <v>0.0</v>
      </c>
      <c r="L520" s="50">
        <v>0.0</v>
      </c>
      <c r="M520" s="50">
        <v>0.0</v>
      </c>
      <c r="N520" s="50">
        <v>0.0</v>
      </c>
      <c r="O520" s="50">
        <v>7.425000000000001</v>
      </c>
      <c r="P520" s="50">
        <v>2.475</v>
      </c>
      <c r="Q520" s="50">
        <v>0.0</v>
      </c>
      <c r="R520" s="50">
        <v>0.0</v>
      </c>
      <c r="S520" s="50">
        <v>0.0</v>
      </c>
      <c r="T520" s="50">
        <v>2.8125</v>
      </c>
      <c r="U520" s="50">
        <v>0.0</v>
      </c>
      <c r="V520" s="50">
        <v>5.625</v>
      </c>
      <c r="W520" s="50">
        <v>0.0</v>
      </c>
      <c r="X520" s="50">
        <v>2.8125</v>
      </c>
      <c r="Y520" s="50">
        <v>21.15</v>
      </c>
    </row>
    <row r="521">
      <c r="A521" s="26">
        <v>515.0</v>
      </c>
      <c r="B521" s="65">
        <v>0.22964841431847505</v>
      </c>
      <c r="C521" s="65">
        <v>0.3386095673348927</v>
      </c>
      <c r="D521" s="65">
        <v>-0.45626688061534576</v>
      </c>
      <c r="E521" s="65">
        <v>-0.6288744662842914</v>
      </c>
      <c r="F521" s="65">
        <v>1.1831643950376927</v>
      </c>
      <c r="G521" s="50">
        <v>0.0</v>
      </c>
      <c r="H521" s="50">
        <v>0.0</v>
      </c>
      <c r="I521" s="50">
        <v>0.0</v>
      </c>
      <c r="J521" s="50">
        <v>0.0</v>
      </c>
      <c r="K521" s="50">
        <v>0.0</v>
      </c>
      <c r="L521" s="50">
        <v>0.0</v>
      </c>
      <c r="M521" s="50">
        <v>0.0</v>
      </c>
      <c r="N521" s="50">
        <v>0.0</v>
      </c>
      <c r="O521" s="50">
        <v>0.0</v>
      </c>
      <c r="P521" s="50">
        <v>0.0</v>
      </c>
      <c r="Q521" s="50">
        <v>0.0</v>
      </c>
      <c r="R521" s="50">
        <v>0.0</v>
      </c>
      <c r="S521" s="50">
        <v>0.0</v>
      </c>
      <c r="T521" s="50">
        <v>2.8125</v>
      </c>
      <c r="U521" s="50">
        <v>0.0</v>
      </c>
      <c r="V521" s="50">
        <v>0.0</v>
      </c>
      <c r="W521" s="50">
        <v>0.0</v>
      </c>
      <c r="X521" s="50">
        <v>2.8125</v>
      </c>
      <c r="Y521" s="50">
        <v>5.625</v>
      </c>
    </row>
    <row r="522">
      <c r="A522" s="26">
        <v>516.0</v>
      </c>
      <c r="B522" s="65">
        <v>-0.588949221124431</v>
      </c>
      <c r="C522" s="65">
        <v>-0.3398211401113731</v>
      </c>
      <c r="D522" s="65">
        <v>0.8679920201631228</v>
      </c>
      <c r="E522" s="65">
        <v>0.28780736475997876</v>
      </c>
      <c r="F522" s="65">
        <v>0.3082601066678662</v>
      </c>
      <c r="G522" s="50">
        <v>9.0</v>
      </c>
      <c r="H522" s="50">
        <v>0.0</v>
      </c>
      <c r="I522" s="50">
        <v>0.0</v>
      </c>
      <c r="J522" s="50">
        <v>9.0</v>
      </c>
      <c r="K522" s="50">
        <v>0.0</v>
      </c>
      <c r="L522" s="50">
        <v>0.0</v>
      </c>
      <c r="M522" s="50">
        <v>0.0</v>
      </c>
      <c r="N522" s="50">
        <v>0.0</v>
      </c>
      <c r="O522" s="50">
        <v>0.0</v>
      </c>
      <c r="P522" s="50">
        <v>0.0</v>
      </c>
      <c r="Q522" s="50">
        <v>0.0</v>
      </c>
      <c r="R522" s="50">
        <v>9.9</v>
      </c>
      <c r="S522" s="50">
        <v>0.0</v>
      </c>
      <c r="T522" s="50">
        <v>2.8125</v>
      </c>
      <c r="U522" s="50">
        <v>9.9</v>
      </c>
      <c r="V522" s="50">
        <v>0.0</v>
      </c>
      <c r="W522" s="50">
        <v>4.95</v>
      </c>
      <c r="X522" s="50">
        <v>2.8125</v>
      </c>
      <c r="Y522" s="50">
        <v>48.375</v>
      </c>
    </row>
    <row r="523">
      <c r="A523" s="26">
        <v>517.0</v>
      </c>
      <c r="B523" s="65">
        <v>-0.23803603670592868</v>
      </c>
      <c r="C523" s="65">
        <v>1.1415450885623741</v>
      </c>
      <c r="D523" s="65">
        <v>1.8017403487535228</v>
      </c>
      <c r="E523" s="65">
        <v>1.046007895666809</v>
      </c>
      <c r="F523" s="65">
        <v>3.6928289032000663</v>
      </c>
      <c r="G523" s="50">
        <v>0.0</v>
      </c>
      <c r="H523" s="50">
        <v>0.0</v>
      </c>
      <c r="I523" s="50">
        <v>0.0</v>
      </c>
      <c r="J523" s="50">
        <v>0.0</v>
      </c>
      <c r="K523" s="50">
        <v>0.0</v>
      </c>
      <c r="L523" s="50">
        <v>0.0</v>
      </c>
      <c r="M523" s="50">
        <v>0.0</v>
      </c>
      <c r="N523" s="50">
        <v>0.0</v>
      </c>
      <c r="O523" s="50">
        <v>0.0</v>
      </c>
      <c r="P523" s="50">
        <v>0.0</v>
      </c>
      <c r="Q523" s="50">
        <v>0.0</v>
      </c>
      <c r="R523" s="50">
        <v>0.0</v>
      </c>
      <c r="S523" s="50">
        <v>0.0</v>
      </c>
      <c r="T523" s="50">
        <v>2.8125</v>
      </c>
      <c r="U523" s="50">
        <v>0.0</v>
      </c>
      <c r="V523" s="50">
        <v>0.0</v>
      </c>
      <c r="W523" s="50">
        <v>0.0</v>
      </c>
      <c r="X523" s="50">
        <v>2.8125</v>
      </c>
      <c r="Y523" s="50">
        <v>5.625</v>
      </c>
    </row>
    <row r="524">
      <c r="A524" s="26">
        <v>518.0</v>
      </c>
      <c r="B524" s="65">
        <v>-1.6923514785687803</v>
      </c>
      <c r="C524" s="65">
        <v>2.0320257108535538</v>
      </c>
      <c r="D524" s="65">
        <v>-0.6647527381932462</v>
      </c>
      <c r="E524" s="65">
        <v>0.4054821452456603</v>
      </c>
      <c r="F524" s="65">
        <v>7.438054062847057</v>
      </c>
      <c r="G524" s="50">
        <v>0.0</v>
      </c>
      <c r="H524" s="50">
        <v>0.0</v>
      </c>
      <c r="I524" s="50">
        <v>0.0</v>
      </c>
      <c r="J524" s="50">
        <v>0.0</v>
      </c>
      <c r="K524" s="50">
        <v>0.0</v>
      </c>
      <c r="L524" s="50">
        <v>0.0</v>
      </c>
      <c r="M524" s="50">
        <v>0.0</v>
      </c>
      <c r="N524" s="50">
        <v>0.0</v>
      </c>
      <c r="O524" s="50">
        <v>0.0</v>
      </c>
      <c r="P524" s="50">
        <v>2.475</v>
      </c>
      <c r="Q524" s="50">
        <v>0.0</v>
      </c>
      <c r="R524" s="50">
        <v>0.0</v>
      </c>
      <c r="S524" s="50">
        <v>0.0</v>
      </c>
      <c r="T524" s="50">
        <v>2.8125</v>
      </c>
      <c r="U524" s="50">
        <v>0.0</v>
      </c>
      <c r="V524" s="50">
        <v>0.0</v>
      </c>
      <c r="W524" s="50">
        <v>4.95</v>
      </c>
      <c r="X524" s="50">
        <v>2.8125</v>
      </c>
      <c r="Y524" s="50">
        <v>13.05</v>
      </c>
    </row>
    <row r="525">
      <c r="A525" s="26">
        <v>519.0</v>
      </c>
      <c r="B525" s="65">
        <v>-0.3356171838290272</v>
      </c>
      <c r="C525" s="65">
        <v>-0.09803200337705814</v>
      </c>
      <c r="D525" s="65">
        <v>-0.3812413673999948</v>
      </c>
      <c r="E525" s="65">
        <v>0.6836202418272186</v>
      </c>
      <c r="F525" s="65">
        <v>0.6143692762926252</v>
      </c>
      <c r="G525" s="50">
        <v>0.0</v>
      </c>
      <c r="H525" s="50">
        <v>0.0</v>
      </c>
      <c r="I525" s="50">
        <v>0.0</v>
      </c>
      <c r="J525" s="50">
        <v>0.0</v>
      </c>
      <c r="K525" s="50">
        <v>0.0</v>
      </c>
      <c r="L525" s="50">
        <v>0.0</v>
      </c>
      <c r="M525" s="50">
        <v>0.0</v>
      </c>
      <c r="N525" s="50">
        <v>0.0</v>
      </c>
      <c r="O525" s="50">
        <v>0.0</v>
      </c>
      <c r="P525" s="50">
        <v>2.475</v>
      </c>
      <c r="Q525" s="50">
        <v>0.0</v>
      </c>
      <c r="R525" s="50">
        <v>9.9</v>
      </c>
      <c r="S525" s="50">
        <v>0.0</v>
      </c>
      <c r="T525" s="50">
        <v>2.8125</v>
      </c>
      <c r="U525" s="50">
        <v>0.0</v>
      </c>
      <c r="V525" s="50">
        <v>0.0</v>
      </c>
      <c r="W525" s="50">
        <v>4.95</v>
      </c>
      <c r="X525" s="50">
        <v>2.8125</v>
      </c>
      <c r="Y525" s="50">
        <v>22.95</v>
      </c>
    </row>
    <row r="526">
      <c r="A526" s="26">
        <v>520.0</v>
      </c>
      <c r="B526" s="65">
        <v>-0.6923254995043242</v>
      </c>
      <c r="C526" s="65">
        <v>-1.8236446167453746</v>
      </c>
      <c r="D526" s="65">
        <v>0.20699952417452616</v>
      </c>
      <c r="E526" s="65">
        <v>-0.5879622023141862</v>
      </c>
      <c r="F526" s="65">
        <v>3.856647993954151</v>
      </c>
      <c r="G526" s="50">
        <v>0.0</v>
      </c>
      <c r="H526" s="50">
        <v>0.0</v>
      </c>
      <c r="I526" s="50">
        <v>0.0</v>
      </c>
      <c r="J526" s="50">
        <v>0.0</v>
      </c>
      <c r="K526" s="50">
        <v>0.0</v>
      </c>
      <c r="L526" s="50">
        <v>0.0</v>
      </c>
      <c r="M526" s="50">
        <v>0.0</v>
      </c>
      <c r="N526" s="50">
        <v>0.0</v>
      </c>
      <c r="O526" s="50">
        <v>7.425000000000001</v>
      </c>
      <c r="P526" s="50">
        <v>2.475</v>
      </c>
      <c r="Q526" s="50">
        <v>0.0</v>
      </c>
      <c r="R526" s="50">
        <v>0.0</v>
      </c>
      <c r="S526" s="50">
        <v>0.0</v>
      </c>
      <c r="T526" s="50">
        <v>2.8125</v>
      </c>
      <c r="U526" s="50">
        <v>0.0</v>
      </c>
      <c r="V526" s="50">
        <v>5.625</v>
      </c>
      <c r="W526" s="50">
        <v>4.95</v>
      </c>
      <c r="X526" s="50">
        <v>2.8125</v>
      </c>
      <c r="Y526" s="50">
        <v>26.099999999999998</v>
      </c>
    </row>
    <row r="527">
      <c r="A527" s="26">
        <v>521.0</v>
      </c>
      <c r="B527" s="65">
        <v>0.7911254389392887</v>
      </c>
      <c r="C527" s="65">
        <v>0.2883614490383482</v>
      </c>
      <c r="D527" s="65">
        <v>-0.7687254751684311</v>
      </c>
      <c r="E527" s="65">
        <v>-0.5971124479415295</v>
      </c>
      <c r="F527" s="65">
        <v>4.204421989786027</v>
      </c>
      <c r="G527" s="50">
        <v>0.0</v>
      </c>
      <c r="H527" s="50">
        <v>0.0</v>
      </c>
      <c r="I527" s="50">
        <v>0.0</v>
      </c>
      <c r="J527" s="50">
        <v>0.0</v>
      </c>
      <c r="K527" s="50">
        <v>0.0</v>
      </c>
      <c r="L527" s="50">
        <v>0.0</v>
      </c>
      <c r="M527" s="50">
        <v>0.0</v>
      </c>
      <c r="N527" s="50">
        <v>0.0</v>
      </c>
      <c r="O527" s="50">
        <v>0.0</v>
      </c>
      <c r="P527" s="50">
        <v>0.0</v>
      </c>
      <c r="Q527" s="50">
        <v>0.0</v>
      </c>
      <c r="R527" s="50">
        <v>0.0</v>
      </c>
      <c r="S527" s="50">
        <v>0.0</v>
      </c>
      <c r="T527" s="50">
        <v>2.8125</v>
      </c>
      <c r="U527" s="50">
        <v>0.0</v>
      </c>
      <c r="V527" s="50">
        <v>0.0</v>
      </c>
      <c r="W527" s="50">
        <v>0.0</v>
      </c>
      <c r="X527" s="50">
        <v>2.8125</v>
      </c>
      <c r="Y527" s="50">
        <v>5.625</v>
      </c>
    </row>
    <row r="528">
      <c r="A528" s="26">
        <v>522.0</v>
      </c>
      <c r="B528" s="65">
        <v>-0.7615422554543596</v>
      </c>
      <c r="C528" s="65">
        <v>1.3695003060177127</v>
      </c>
      <c r="D528" s="65">
        <v>1.2587984430478012</v>
      </c>
      <c r="E528" s="65">
        <v>-0.10274373806993548</v>
      </c>
      <c r="F528" s="65">
        <v>2.4098065571559917</v>
      </c>
      <c r="G528" s="50">
        <v>0.0</v>
      </c>
      <c r="H528" s="50">
        <v>0.0</v>
      </c>
      <c r="I528" s="50">
        <v>0.0</v>
      </c>
      <c r="J528" s="50">
        <v>0.0</v>
      </c>
      <c r="K528" s="50">
        <v>0.0</v>
      </c>
      <c r="L528" s="50">
        <v>0.0</v>
      </c>
      <c r="M528" s="50">
        <v>0.0</v>
      </c>
      <c r="N528" s="50">
        <v>0.0</v>
      </c>
      <c r="O528" s="50">
        <v>0.0</v>
      </c>
      <c r="P528" s="50">
        <v>0.0</v>
      </c>
      <c r="Q528" s="50">
        <v>0.0</v>
      </c>
      <c r="R528" s="50">
        <v>0.0</v>
      </c>
      <c r="S528" s="50">
        <v>0.0</v>
      </c>
      <c r="T528" s="50">
        <v>2.8125</v>
      </c>
      <c r="U528" s="50">
        <v>0.0</v>
      </c>
      <c r="V528" s="50">
        <v>0.0</v>
      </c>
      <c r="W528" s="50">
        <v>0.0</v>
      </c>
      <c r="X528" s="50">
        <v>2.8125</v>
      </c>
      <c r="Y528" s="50">
        <v>5.625</v>
      </c>
    </row>
    <row r="529">
      <c r="A529" s="26">
        <v>523.0</v>
      </c>
      <c r="B529" s="65">
        <v>0.6563330291194543</v>
      </c>
      <c r="C529" s="65">
        <v>-0.2834474696085781</v>
      </c>
      <c r="D529" s="65">
        <v>1.6027473381827937</v>
      </c>
      <c r="E529" s="65">
        <v>-1.1468552031107269</v>
      </c>
      <c r="F529" s="65">
        <v>4.6440526317987265</v>
      </c>
      <c r="G529" s="50">
        <v>0.0</v>
      </c>
      <c r="H529" s="50">
        <v>0.0</v>
      </c>
      <c r="I529" s="50">
        <v>0.0</v>
      </c>
      <c r="J529" s="50">
        <v>0.0</v>
      </c>
      <c r="K529" s="50">
        <v>0.0</v>
      </c>
      <c r="L529" s="50">
        <v>0.0</v>
      </c>
      <c r="M529" s="50">
        <v>0.0</v>
      </c>
      <c r="N529" s="50">
        <v>0.0</v>
      </c>
      <c r="O529" s="50">
        <v>0.0</v>
      </c>
      <c r="P529" s="50">
        <v>0.0</v>
      </c>
      <c r="Q529" s="50">
        <v>0.0</v>
      </c>
      <c r="R529" s="50">
        <v>0.0</v>
      </c>
      <c r="S529" s="50">
        <v>0.0</v>
      </c>
      <c r="T529" s="50">
        <v>2.8125</v>
      </c>
      <c r="U529" s="50">
        <v>0.0</v>
      </c>
      <c r="V529" s="50">
        <v>0.0</v>
      </c>
      <c r="W529" s="50">
        <v>0.0</v>
      </c>
      <c r="X529" s="50">
        <v>2.8125</v>
      </c>
      <c r="Y529" s="50">
        <v>5.625</v>
      </c>
    </row>
    <row r="530">
      <c r="A530" s="26">
        <v>524.0</v>
      </c>
      <c r="B530" s="65">
        <v>-1.1421914820410501</v>
      </c>
      <c r="C530" s="65">
        <v>0.8164435179832793</v>
      </c>
      <c r="D530" s="65">
        <v>-0.774388175119046</v>
      </c>
      <c r="E530" s="65">
        <v>-0.8877402032773867</v>
      </c>
      <c r="F530" s="65">
        <v>11.098205846795116</v>
      </c>
      <c r="G530" s="50">
        <v>0.0</v>
      </c>
      <c r="H530" s="50">
        <v>0.0</v>
      </c>
      <c r="I530" s="50">
        <v>0.0</v>
      </c>
      <c r="J530" s="50">
        <v>0.0</v>
      </c>
      <c r="K530" s="50">
        <v>0.0</v>
      </c>
      <c r="L530" s="50">
        <v>0.0</v>
      </c>
      <c r="M530" s="50">
        <v>0.0</v>
      </c>
      <c r="N530" s="50">
        <v>0.0</v>
      </c>
      <c r="O530" s="50">
        <v>0.0</v>
      </c>
      <c r="P530" s="50">
        <v>0.0</v>
      </c>
      <c r="Q530" s="50">
        <v>0.0</v>
      </c>
      <c r="R530" s="50">
        <v>0.0</v>
      </c>
      <c r="S530" s="50">
        <v>0.0</v>
      </c>
      <c r="T530" s="50">
        <v>2.8125</v>
      </c>
      <c r="U530" s="50">
        <v>0.0</v>
      </c>
      <c r="V530" s="50">
        <v>0.0</v>
      </c>
      <c r="W530" s="50">
        <v>0.0</v>
      </c>
      <c r="X530" s="50">
        <v>2.8125</v>
      </c>
      <c r="Y530" s="50">
        <v>5.625</v>
      </c>
    </row>
    <row r="531">
      <c r="A531" s="26">
        <v>525.0</v>
      </c>
      <c r="B531" s="65">
        <v>0.9239871408127179</v>
      </c>
      <c r="C531" s="65">
        <v>1.1085481387364333</v>
      </c>
      <c r="D531" s="65">
        <v>0.49048215311216087</v>
      </c>
      <c r="E531" s="65">
        <v>-1.5797776841127154</v>
      </c>
      <c r="F531" s="65">
        <v>2.4861397157169005</v>
      </c>
      <c r="G531" s="50">
        <v>0.0</v>
      </c>
      <c r="H531" s="50">
        <v>0.0</v>
      </c>
      <c r="I531" s="50">
        <v>0.0</v>
      </c>
      <c r="J531" s="50">
        <v>0.0</v>
      </c>
      <c r="K531" s="50">
        <v>0.0</v>
      </c>
      <c r="L531" s="50">
        <v>0.0</v>
      </c>
      <c r="M531" s="50">
        <v>0.0</v>
      </c>
      <c r="N531" s="50">
        <v>0.0</v>
      </c>
      <c r="O531" s="50">
        <v>0.0</v>
      </c>
      <c r="P531" s="50">
        <v>0.0</v>
      </c>
      <c r="Q531" s="50">
        <v>0.0</v>
      </c>
      <c r="R531" s="50">
        <v>0.0</v>
      </c>
      <c r="S531" s="50">
        <v>0.0</v>
      </c>
      <c r="T531" s="50">
        <v>2.8125</v>
      </c>
      <c r="U531" s="50">
        <v>9.9</v>
      </c>
      <c r="V531" s="50">
        <v>5.625</v>
      </c>
      <c r="W531" s="50">
        <v>0.0</v>
      </c>
      <c r="X531" s="50">
        <v>2.8125</v>
      </c>
      <c r="Y531" s="50">
        <v>21.15</v>
      </c>
    </row>
    <row r="532">
      <c r="A532" s="26">
        <v>526.0</v>
      </c>
      <c r="B532" s="65">
        <v>-0.31441382875456597</v>
      </c>
      <c r="C532" s="65">
        <v>0.5885274967138117</v>
      </c>
      <c r="D532" s="65">
        <v>-0.18609922464413503</v>
      </c>
      <c r="E532" s="65">
        <v>0.3684111062447709</v>
      </c>
      <c r="F532" s="65">
        <v>2.7275001440703304</v>
      </c>
      <c r="G532" s="50">
        <v>0.0</v>
      </c>
      <c r="H532" s="50">
        <v>0.0</v>
      </c>
      <c r="I532" s="50">
        <v>0.0</v>
      </c>
      <c r="J532" s="50">
        <v>0.0</v>
      </c>
      <c r="K532" s="50">
        <v>0.0</v>
      </c>
      <c r="L532" s="50">
        <v>0.0</v>
      </c>
      <c r="M532" s="50">
        <v>0.0</v>
      </c>
      <c r="N532" s="50">
        <v>0.0</v>
      </c>
      <c r="O532" s="50">
        <v>0.0</v>
      </c>
      <c r="P532" s="50">
        <v>0.0</v>
      </c>
      <c r="Q532" s="50">
        <v>0.0</v>
      </c>
      <c r="R532" s="50">
        <v>9.9</v>
      </c>
      <c r="S532" s="50">
        <v>0.0</v>
      </c>
      <c r="T532" s="50">
        <v>2.8125</v>
      </c>
      <c r="U532" s="50">
        <v>0.0</v>
      </c>
      <c r="V532" s="50">
        <v>0.0</v>
      </c>
      <c r="W532" s="50">
        <v>0.0</v>
      </c>
      <c r="X532" s="50">
        <v>2.8125</v>
      </c>
      <c r="Y532" s="50">
        <v>15.525</v>
      </c>
    </row>
    <row r="533">
      <c r="A533" s="26">
        <v>527.0</v>
      </c>
      <c r="B533" s="65">
        <v>2.2283746970004117</v>
      </c>
      <c r="C533" s="65">
        <v>-1.3723593181317775</v>
      </c>
      <c r="D533" s="65">
        <v>0.23086710766775664</v>
      </c>
      <c r="E533" s="65">
        <v>1.096566921614029</v>
      </c>
      <c r="F533" s="65">
        <v>6.063688936845206</v>
      </c>
      <c r="G533" s="50">
        <v>0.0</v>
      </c>
      <c r="H533" s="50">
        <v>0.0</v>
      </c>
      <c r="I533" s="50">
        <v>0.0</v>
      </c>
      <c r="J533" s="50">
        <v>0.0</v>
      </c>
      <c r="K533" s="50">
        <v>0.0</v>
      </c>
      <c r="L533" s="50">
        <v>0.0</v>
      </c>
      <c r="M533" s="50">
        <v>0.0</v>
      </c>
      <c r="N533" s="50">
        <v>0.0</v>
      </c>
      <c r="O533" s="50">
        <v>0.0</v>
      </c>
      <c r="P533" s="50">
        <v>0.0</v>
      </c>
      <c r="Q533" s="50">
        <v>0.0</v>
      </c>
      <c r="R533" s="50">
        <v>0.0</v>
      </c>
      <c r="S533" s="50">
        <v>0.0</v>
      </c>
      <c r="T533" s="50">
        <v>2.8125</v>
      </c>
      <c r="U533" s="50">
        <v>0.0</v>
      </c>
      <c r="V533" s="50">
        <v>0.0</v>
      </c>
      <c r="W533" s="50">
        <v>0.0</v>
      </c>
      <c r="X533" s="50">
        <v>2.8125</v>
      </c>
      <c r="Y533" s="50">
        <v>5.625</v>
      </c>
    </row>
    <row r="534">
      <c r="A534" s="26">
        <v>528.0</v>
      </c>
      <c r="B534" s="65">
        <v>0.444714781613123</v>
      </c>
      <c r="C534" s="65">
        <v>-1.604811178829635</v>
      </c>
      <c r="D534" s="65">
        <v>0.9766189055444296</v>
      </c>
      <c r="E534" s="65">
        <v>-1.3449642208201138</v>
      </c>
      <c r="F534" s="65">
        <v>7.996239221873559</v>
      </c>
      <c r="G534" s="50">
        <v>0.0</v>
      </c>
      <c r="H534" s="50">
        <v>0.0</v>
      </c>
      <c r="I534" s="50">
        <v>0.0</v>
      </c>
      <c r="J534" s="50">
        <v>0.0</v>
      </c>
      <c r="K534" s="50">
        <v>0.0</v>
      </c>
      <c r="L534" s="50">
        <v>0.0</v>
      </c>
      <c r="M534" s="50">
        <v>0.0</v>
      </c>
      <c r="N534" s="50">
        <v>0.0</v>
      </c>
      <c r="O534" s="50">
        <v>0.0</v>
      </c>
      <c r="P534" s="50">
        <v>0.0</v>
      </c>
      <c r="Q534" s="50">
        <v>0.0</v>
      </c>
      <c r="R534" s="50">
        <v>0.0</v>
      </c>
      <c r="S534" s="50">
        <v>0.0</v>
      </c>
      <c r="T534" s="50">
        <v>2.8125</v>
      </c>
      <c r="U534" s="50">
        <v>0.0</v>
      </c>
      <c r="V534" s="50">
        <v>0.0</v>
      </c>
      <c r="W534" s="50">
        <v>0.0</v>
      </c>
      <c r="X534" s="50">
        <v>2.8125</v>
      </c>
      <c r="Y534" s="50">
        <v>5.625</v>
      </c>
    </row>
    <row r="535">
      <c r="A535" s="26">
        <v>529.0</v>
      </c>
      <c r="B535" s="65">
        <v>-0.8334821392007271</v>
      </c>
      <c r="C535" s="65">
        <v>1.15721902564567</v>
      </c>
      <c r="D535" s="65">
        <v>-0.31839434138149797</v>
      </c>
      <c r="E535" s="65">
        <v>0.24420474269231057</v>
      </c>
      <c r="F535" s="65">
        <v>9.87741115725387</v>
      </c>
      <c r="G535" s="50">
        <v>0.0</v>
      </c>
      <c r="H535" s="50">
        <v>0.0</v>
      </c>
      <c r="I535" s="50">
        <v>0.0</v>
      </c>
      <c r="J535" s="50">
        <v>0.0</v>
      </c>
      <c r="K535" s="50">
        <v>0.0</v>
      </c>
      <c r="L535" s="50">
        <v>0.0</v>
      </c>
      <c r="M535" s="50">
        <v>0.0</v>
      </c>
      <c r="N535" s="50">
        <v>0.0</v>
      </c>
      <c r="O535" s="50">
        <v>0.0</v>
      </c>
      <c r="P535" s="50">
        <v>0.0</v>
      </c>
      <c r="Q535" s="50">
        <v>0.0</v>
      </c>
      <c r="R535" s="50">
        <v>0.0</v>
      </c>
      <c r="S535" s="50">
        <v>0.0</v>
      </c>
      <c r="T535" s="50">
        <v>2.8125</v>
      </c>
      <c r="U535" s="50">
        <v>0.0</v>
      </c>
      <c r="V535" s="50">
        <v>0.0</v>
      </c>
      <c r="W535" s="50">
        <v>0.0</v>
      </c>
      <c r="X535" s="50">
        <v>2.8125</v>
      </c>
      <c r="Y535" s="50">
        <v>5.625</v>
      </c>
    </row>
    <row r="536">
      <c r="A536" s="26">
        <v>530.0</v>
      </c>
      <c r="B536" s="65">
        <v>-1.9204816029354141</v>
      </c>
      <c r="C536" s="65">
        <v>-0.28002962997394354</v>
      </c>
      <c r="D536" s="65">
        <v>0.6519082623199534</v>
      </c>
      <c r="E536" s="65">
        <v>1.5004463489542157</v>
      </c>
      <c r="F536" s="65">
        <v>3.6458269397778897</v>
      </c>
      <c r="G536" s="50">
        <v>0.0</v>
      </c>
      <c r="H536" s="50">
        <v>0.0</v>
      </c>
      <c r="I536" s="50">
        <v>0.0</v>
      </c>
      <c r="J536" s="50">
        <v>0.0</v>
      </c>
      <c r="K536" s="50">
        <v>0.0</v>
      </c>
      <c r="L536" s="50">
        <v>0.0</v>
      </c>
      <c r="M536" s="50">
        <v>0.0</v>
      </c>
      <c r="N536" s="50">
        <v>0.0</v>
      </c>
      <c r="O536" s="50">
        <v>7.425000000000001</v>
      </c>
      <c r="P536" s="50">
        <v>2.475</v>
      </c>
      <c r="Q536" s="50">
        <v>0.0</v>
      </c>
      <c r="R536" s="50">
        <v>0.0</v>
      </c>
      <c r="S536" s="50">
        <v>0.0</v>
      </c>
      <c r="T536" s="50">
        <v>2.8125</v>
      </c>
      <c r="U536" s="50">
        <v>0.0</v>
      </c>
      <c r="V536" s="50">
        <v>0.0</v>
      </c>
      <c r="W536" s="50">
        <v>0.0</v>
      </c>
      <c r="X536" s="50">
        <v>2.8125</v>
      </c>
      <c r="Y536" s="50">
        <v>15.525</v>
      </c>
    </row>
    <row r="537">
      <c r="A537" s="26">
        <v>531.0</v>
      </c>
      <c r="B537" s="65">
        <v>-0.4202100996764922</v>
      </c>
      <c r="C537" s="65">
        <v>-1.8732062871514827</v>
      </c>
      <c r="D537" s="65">
        <v>-0.2289181052385031</v>
      </c>
      <c r="E537" s="65">
        <v>1.351996467865568</v>
      </c>
      <c r="F537" s="65">
        <v>4.687757746285328</v>
      </c>
      <c r="G537" s="50">
        <v>0.0</v>
      </c>
      <c r="H537" s="50">
        <v>0.0</v>
      </c>
      <c r="I537" s="50">
        <v>0.0</v>
      </c>
      <c r="J537" s="50">
        <v>0.0</v>
      </c>
      <c r="K537" s="50">
        <v>0.0</v>
      </c>
      <c r="L537" s="50">
        <v>0.0</v>
      </c>
      <c r="M537" s="50">
        <v>0.0</v>
      </c>
      <c r="N537" s="50">
        <v>0.0</v>
      </c>
      <c r="O537" s="50">
        <v>7.425000000000001</v>
      </c>
      <c r="P537" s="50">
        <v>0.0</v>
      </c>
      <c r="Q537" s="50">
        <v>0.0</v>
      </c>
      <c r="R537" s="50">
        <v>0.0</v>
      </c>
      <c r="S537" s="50">
        <v>0.0</v>
      </c>
      <c r="T537" s="50">
        <v>2.8125</v>
      </c>
      <c r="U537" s="50">
        <v>0.0</v>
      </c>
      <c r="V537" s="50">
        <v>0.0</v>
      </c>
      <c r="W537" s="50">
        <v>0.0</v>
      </c>
      <c r="X537" s="50">
        <v>2.8125</v>
      </c>
      <c r="Y537" s="50">
        <v>13.05</v>
      </c>
    </row>
    <row r="538">
      <c r="A538" s="26">
        <v>532.0</v>
      </c>
      <c r="B538" s="65">
        <v>1.0758497992673313</v>
      </c>
      <c r="C538" s="65">
        <v>-1.3996327445319414</v>
      </c>
      <c r="D538" s="65">
        <v>0.9805815608647341</v>
      </c>
      <c r="E538" s="65">
        <v>-0.44151074995607187</v>
      </c>
      <c r="F538" s="65">
        <v>2.525520936411189</v>
      </c>
      <c r="G538" s="50">
        <v>0.0</v>
      </c>
      <c r="H538" s="50">
        <v>0.0</v>
      </c>
      <c r="I538" s="50">
        <v>0.0</v>
      </c>
      <c r="J538" s="50">
        <v>0.0</v>
      </c>
      <c r="K538" s="50">
        <v>0.0</v>
      </c>
      <c r="L538" s="50">
        <v>0.0</v>
      </c>
      <c r="M538" s="50">
        <v>0.0</v>
      </c>
      <c r="N538" s="50">
        <v>0.0</v>
      </c>
      <c r="O538" s="50">
        <v>0.0</v>
      </c>
      <c r="P538" s="50">
        <v>0.0</v>
      </c>
      <c r="Q538" s="50">
        <v>0.0</v>
      </c>
      <c r="R538" s="50">
        <v>0.0</v>
      </c>
      <c r="S538" s="50">
        <v>0.0</v>
      </c>
      <c r="T538" s="50">
        <v>2.8125</v>
      </c>
      <c r="U538" s="50">
        <v>0.0</v>
      </c>
      <c r="V538" s="50">
        <v>0.0</v>
      </c>
      <c r="W538" s="50">
        <v>0.0</v>
      </c>
      <c r="X538" s="50">
        <v>2.8125</v>
      </c>
      <c r="Y538" s="50">
        <v>5.625</v>
      </c>
    </row>
    <row r="539">
      <c r="A539" s="26">
        <v>533.0</v>
      </c>
      <c r="B539" s="65">
        <v>0.7110167732362515</v>
      </c>
      <c r="C539" s="65">
        <v>-0.25498947922378146</v>
      </c>
      <c r="D539" s="65">
        <v>-0.15943309975234327</v>
      </c>
      <c r="E539" s="65">
        <v>-1.1003059557220665</v>
      </c>
      <c r="F539" s="65">
        <v>2.7856373740580063</v>
      </c>
      <c r="G539" s="50">
        <v>0.0</v>
      </c>
      <c r="H539" s="50">
        <v>0.0</v>
      </c>
      <c r="I539" s="50">
        <v>0.0</v>
      </c>
      <c r="J539" s="50">
        <v>0.0</v>
      </c>
      <c r="K539" s="50">
        <v>0.0</v>
      </c>
      <c r="L539" s="50">
        <v>0.0</v>
      </c>
      <c r="M539" s="50">
        <v>0.0</v>
      </c>
      <c r="N539" s="50">
        <v>0.0</v>
      </c>
      <c r="O539" s="50">
        <v>0.0</v>
      </c>
      <c r="P539" s="50">
        <v>0.0</v>
      </c>
      <c r="Q539" s="50">
        <v>0.0</v>
      </c>
      <c r="R539" s="50">
        <v>0.0</v>
      </c>
      <c r="S539" s="50">
        <v>0.0</v>
      </c>
      <c r="T539" s="50">
        <v>2.8125</v>
      </c>
      <c r="U539" s="50">
        <v>0.0</v>
      </c>
      <c r="V539" s="50">
        <v>5.625</v>
      </c>
      <c r="W539" s="50">
        <v>0.0</v>
      </c>
      <c r="X539" s="50">
        <v>2.8125</v>
      </c>
      <c r="Y539" s="50">
        <v>11.25</v>
      </c>
    </row>
    <row r="540">
      <c r="A540" s="26">
        <v>534.0</v>
      </c>
      <c r="B540" s="65">
        <v>-0.337318632888728</v>
      </c>
      <c r="C540" s="65">
        <v>0.2799174777311514</v>
      </c>
      <c r="D540" s="65">
        <v>1.0741458287163936</v>
      </c>
      <c r="E540" s="65">
        <v>0.28304407580841356</v>
      </c>
      <c r="F540" s="65">
        <v>3.422803927014935</v>
      </c>
      <c r="G540" s="50">
        <v>0.0</v>
      </c>
      <c r="H540" s="50">
        <v>0.0</v>
      </c>
      <c r="I540" s="50">
        <v>0.0</v>
      </c>
      <c r="J540" s="50">
        <v>0.0</v>
      </c>
      <c r="K540" s="50">
        <v>0.0</v>
      </c>
      <c r="L540" s="50">
        <v>0.0</v>
      </c>
      <c r="M540" s="50">
        <v>0.0</v>
      </c>
      <c r="N540" s="50">
        <v>0.0</v>
      </c>
      <c r="O540" s="50">
        <v>0.0</v>
      </c>
      <c r="P540" s="50">
        <v>0.0</v>
      </c>
      <c r="Q540" s="50">
        <v>0.0</v>
      </c>
      <c r="R540" s="50">
        <v>0.0</v>
      </c>
      <c r="S540" s="50">
        <v>0.0</v>
      </c>
      <c r="T540" s="50">
        <v>2.8125</v>
      </c>
      <c r="U540" s="50">
        <v>0.0</v>
      </c>
      <c r="V540" s="50">
        <v>0.0</v>
      </c>
      <c r="W540" s="50">
        <v>0.0</v>
      </c>
      <c r="X540" s="50">
        <v>2.8125</v>
      </c>
      <c r="Y540" s="50">
        <v>5.625</v>
      </c>
    </row>
    <row r="541">
      <c r="A541" s="26">
        <v>535.0</v>
      </c>
      <c r="B541" s="65">
        <v>-1.7262549043332693</v>
      </c>
      <c r="C541" s="65">
        <v>1.8755347637184943</v>
      </c>
      <c r="D541" s="65">
        <v>-0.4657647152358884</v>
      </c>
      <c r="E541" s="65">
        <v>0.3468189178802539</v>
      </c>
      <c r="F541" s="65">
        <v>7.646924356392263</v>
      </c>
      <c r="G541" s="50">
        <v>0.0</v>
      </c>
      <c r="H541" s="50">
        <v>0.0</v>
      </c>
      <c r="I541" s="50">
        <v>0.0</v>
      </c>
      <c r="J541" s="50">
        <v>0.0</v>
      </c>
      <c r="K541" s="50">
        <v>0.0</v>
      </c>
      <c r="L541" s="50">
        <v>0.0</v>
      </c>
      <c r="M541" s="50">
        <v>0.0</v>
      </c>
      <c r="N541" s="50">
        <v>0.0</v>
      </c>
      <c r="O541" s="50">
        <v>0.0</v>
      </c>
      <c r="P541" s="50">
        <v>0.0</v>
      </c>
      <c r="Q541" s="50">
        <v>0.0</v>
      </c>
      <c r="R541" s="50">
        <v>0.0</v>
      </c>
      <c r="S541" s="50">
        <v>0.0</v>
      </c>
      <c r="T541" s="50">
        <v>2.8125</v>
      </c>
      <c r="U541" s="50">
        <v>0.0</v>
      </c>
      <c r="V541" s="50">
        <v>5.625</v>
      </c>
      <c r="W541" s="50">
        <v>0.0</v>
      </c>
      <c r="X541" s="50">
        <v>2.8125</v>
      </c>
      <c r="Y541" s="50">
        <v>11.25</v>
      </c>
    </row>
    <row r="542">
      <c r="A542" s="26">
        <v>536.0</v>
      </c>
      <c r="B542" s="65">
        <v>-1.9282369635951586</v>
      </c>
      <c r="C542" s="65">
        <v>-0.006530872024986556</v>
      </c>
      <c r="D542" s="65">
        <v>-2.0129372098250657</v>
      </c>
      <c r="E542" s="65">
        <v>-0.36822993193866344</v>
      </c>
      <c r="F542" s="65">
        <v>2.109572900479894</v>
      </c>
      <c r="G542" s="50">
        <v>0.0</v>
      </c>
      <c r="H542" s="50">
        <v>0.0</v>
      </c>
      <c r="I542" s="50">
        <v>0.0</v>
      </c>
      <c r="J542" s="50">
        <v>0.0</v>
      </c>
      <c r="K542" s="50">
        <v>0.0</v>
      </c>
      <c r="L542" s="50">
        <v>0.0</v>
      </c>
      <c r="M542" s="50">
        <v>0.0</v>
      </c>
      <c r="N542" s="50">
        <v>0.0</v>
      </c>
      <c r="O542" s="50">
        <v>0.0</v>
      </c>
      <c r="P542" s="50">
        <v>2.475</v>
      </c>
      <c r="Q542" s="50">
        <v>13.5</v>
      </c>
      <c r="R542" s="50">
        <v>0.0</v>
      </c>
      <c r="S542" s="50">
        <v>0.0</v>
      </c>
      <c r="T542" s="50">
        <v>2.8125</v>
      </c>
      <c r="U542" s="50">
        <v>0.0</v>
      </c>
      <c r="V542" s="50">
        <v>5.625</v>
      </c>
      <c r="W542" s="50">
        <v>0.0</v>
      </c>
      <c r="X542" s="50">
        <v>2.8125</v>
      </c>
      <c r="Y542" s="50">
        <v>27.225</v>
      </c>
    </row>
    <row r="543">
      <c r="A543" s="26">
        <v>537.0</v>
      </c>
      <c r="B543" s="65">
        <v>-0.9212934667545104</v>
      </c>
      <c r="C543" s="65">
        <v>-0.3867220369702701</v>
      </c>
      <c r="D543" s="65">
        <v>0.04599105487170041</v>
      </c>
      <c r="E543" s="65">
        <v>0.8138460378373751</v>
      </c>
      <c r="F543" s="65">
        <v>7.653912047840284</v>
      </c>
      <c r="G543" s="50">
        <v>0.0</v>
      </c>
      <c r="H543" s="50">
        <v>0.0</v>
      </c>
      <c r="I543" s="50">
        <v>0.0</v>
      </c>
      <c r="J543" s="50">
        <v>0.0</v>
      </c>
      <c r="K543" s="50">
        <v>0.0</v>
      </c>
      <c r="L543" s="50">
        <v>0.0</v>
      </c>
      <c r="M543" s="50">
        <v>0.0</v>
      </c>
      <c r="N543" s="50">
        <v>0.0</v>
      </c>
      <c r="O543" s="50">
        <v>0.0</v>
      </c>
      <c r="P543" s="50">
        <v>0.0</v>
      </c>
      <c r="Q543" s="50">
        <v>0.0</v>
      </c>
      <c r="R543" s="50">
        <v>0.0</v>
      </c>
      <c r="S543" s="50">
        <v>0.0</v>
      </c>
      <c r="T543" s="50">
        <v>2.8125</v>
      </c>
      <c r="U543" s="50">
        <v>0.0</v>
      </c>
      <c r="V543" s="50">
        <v>5.625</v>
      </c>
      <c r="W543" s="50">
        <v>0.0</v>
      </c>
      <c r="X543" s="50">
        <v>2.8125</v>
      </c>
      <c r="Y543" s="50">
        <v>11.25</v>
      </c>
    </row>
    <row r="544">
      <c r="A544" s="26">
        <v>538.0</v>
      </c>
      <c r="B544" s="65">
        <v>-0.46899928270948477</v>
      </c>
      <c r="C544" s="65">
        <v>1.6377114713538794</v>
      </c>
      <c r="D544" s="65">
        <v>-0.9488707342815929</v>
      </c>
      <c r="E544" s="65">
        <v>-0.3678062029517504</v>
      </c>
      <c r="F544" s="65">
        <v>3.9664041314859513</v>
      </c>
      <c r="G544" s="50">
        <v>0.0</v>
      </c>
      <c r="H544" s="50">
        <v>0.0</v>
      </c>
      <c r="I544" s="50">
        <v>0.0</v>
      </c>
      <c r="J544" s="50">
        <v>0.0</v>
      </c>
      <c r="K544" s="50">
        <v>0.0</v>
      </c>
      <c r="L544" s="50">
        <v>0.0</v>
      </c>
      <c r="M544" s="50">
        <v>0.0</v>
      </c>
      <c r="N544" s="50">
        <v>0.0</v>
      </c>
      <c r="O544" s="50">
        <v>0.0</v>
      </c>
      <c r="P544" s="50">
        <v>0.0</v>
      </c>
      <c r="Q544" s="50">
        <v>0.0</v>
      </c>
      <c r="R544" s="50">
        <v>0.0</v>
      </c>
      <c r="S544" s="50">
        <v>0.0</v>
      </c>
      <c r="T544" s="50">
        <v>2.8125</v>
      </c>
      <c r="U544" s="50">
        <v>0.0</v>
      </c>
      <c r="V544" s="50">
        <v>0.0</v>
      </c>
      <c r="W544" s="50">
        <v>0.0</v>
      </c>
      <c r="X544" s="50">
        <v>2.8125</v>
      </c>
      <c r="Y544" s="50">
        <v>5.625</v>
      </c>
    </row>
    <row r="545">
      <c r="A545" s="26">
        <v>539.0</v>
      </c>
      <c r="B545" s="65">
        <v>-1.1517440741824563</v>
      </c>
      <c r="C545" s="65">
        <v>0.00706090036544165</v>
      </c>
      <c r="D545" s="65">
        <v>0.3553880075000694</v>
      </c>
      <c r="E545" s="65">
        <v>-0.5390724627355029</v>
      </c>
      <c r="F545" s="65">
        <v>3.498929941028986</v>
      </c>
      <c r="G545" s="50">
        <v>0.0</v>
      </c>
      <c r="H545" s="50">
        <v>0.0</v>
      </c>
      <c r="I545" s="50">
        <v>0.0</v>
      </c>
      <c r="J545" s="50">
        <v>0.0</v>
      </c>
      <c r="K545" s="50">
        <v>0.0</v>
      </c>
      <c r="L545" s="50">
        <v>0.0</v>
      </c>
      <c r="M545" s="50">
        <v>0.0</v>
      </c>
      <c r="N545" s="50">
        <v>0.0</v>
      </c>
      <c r="O545" s="50">
        <v>7.425000000000001</v>
      </c>
      <c r="P545" s="50">
        <v>0.0</v>
      </c>
      <c r="Q545" s="50">
        <v>0.0</v>
      </c>
      <c r="R545" s="50">
        <v>9.9</v>
      </c>
      <c r="S545" s="50">
        <v>0.0</v>
      </c>
      <c r="T545" s="50">
        <v>2.8125</v>
      </c>
      <c r="U545" s="50">
        <v>0.0</v>
      </c>
      <c r="V545" s="50">
        <v>5.625</v>
      </c>
      <c r="W545" s="50">
        <v>0.0</v>
      </c>
      <c r="X545" s="50">
        <v>2.8125</v>
      </c>
      <c r="Y545" s="50">
        <v>28.575000000000003</v>
      </c>
    </row>
    <row r="546">
      <c r="A546" s="26">
        <v>540.0</v>
      </c>
      <c r="B546" s="65">
        <v>1.557015496810163</v>
      </c>
      <c r="C546" s="65">
        <v>-0.05155803420625181</v>
      </c>
      <c r="D546" s="65">
        <v>-1.0921493484873837</v>
      </c>
      <c r="E546" s="65">
        <v>-0.6826808349553128</v>
      </c>
      <c r="F546" s="65">
        <v>0.34678736694929174</v>
      </c>
      <c r="G546" s="50">
        <v>0.0</v>
      </c>
      <c r="H546" s="50">
        <v>0.0</v>
      </c>
      <c r="I546" s="50">
        <v>0.0</v>
      </c>
      <c r="J546" s="50">
        <v>0.0</v>
      </c>
      <c r="K546" s="50">
        <v>0.0</v>
      </c>
      <c r="L546" s="50">
        <v>0.0</v>
      </c>
      <c r="M546" s="50">
        <v>0.0</v>
      </c>
      <c r="N546" s="50">
        <v>0.0</v>
      </c>
      <c r="O546" s="50">
        <v>0.0</v>
      </c>
      <c r="P546" s="50">
        <v>0.0</v>
      </c>
      <c r="Q546" s="50">
        <v>0.0</v>
      </c>
      <c r="R546" s="50">
        <v>9.9</v>
      </c>
      <c r="S546" s="50">
        <v>0.0</v>
      </c>
      <c r="T546" s="50">
        <v>2.8125</v>
      </c>
      <c r="U546" s="50">
        <v>9.9</v>
      </c>
      <c r="V546" s="50">
        <v>0.0</v>
      </c>
      <c r="W546" s="50">
        <v>0.0</v>
      </c>
      <c r="X546" s="50">
        <v>0.0</v>
      </c>
      <c r="Y546" s="50">
        <v>22.6125</v>
      </c>
    </row>
    <row r="547">
      <c r="A547" s="26">
        <v>541.0</v>
      </c>
      <c r="B547" s="65">
        <v>-1.1423108336513919</v>
      </c>
      <c r="C547" s="65">
        <v>-0.23874017450525886</v>
      </c>
      <c r="D547" s="65">
        <v>2.0485745977587055</v>
      </c>
      <c r="E547" s="65">
        <v>0.7339195471841873</v>
      </c>
      <c r="F547" s="65">
        <v>2.962619052477034</v>
      </c>
      <c r="G547" s="50">
        <v>0.0</v>
      </c>
      <c r="H547" s="50">
        <v>0.0</v>
      </c>
      <c r="I547" s="50">
        <v>0.0</v>
      </c>
      <c r="J547" s="50">
        <v>0.0</v>
      </c>
      <c r="K547" s="50">
        <v>0.0</v>
      </c>
      <c r="L547" s="50">
        <v>0.0</v>
      </c>
      <c r="M547" s="50">
        <v>0.0</v>
      </c>
      <c r="N547" s="50">
        <v>0.0</v>
      </c>
      <c r="O547" s="50">
        <v>0.0</v>
      </c>
      <c r="P547" s="50">
        <v>0.0</v>
      </c>
      <c r="Q547" s="50">
        <v>0.0</v>
      </c>
      <c r="R547" s="50">
        <v>0.0</v>
      </c>
      <c r="S547" s="50">
        <v>0.0</v>
      </c>
      <c r="T547" s="50">
        <v>2.8125</v>
      </c>
      <c r="U547" s="50">
        <v>0.0</v>
      </c>
      <c r="V547" s="50">
        <v>5.625</v>
      </c>
      <c r="W547" s="50">
        <v>0.0</v>
      </c>
      <c r="X547" s="50">
        <v>2.8125</v>
      </c>
      <c r="Y547" s="50">
        <v>11.25</v>
      </c>
    </row>
    <row r="548">
      <c r="A548" s="26">
        <v>542.0</v>
      </c>
      <c r="B548" s="65">
        <v>0.14231158815475126</v>
      </c>
      <c r="C548" s="65">
        <v>0.578210332577154</v>
      </c>
      <c r="D548" s="65">
        <v>0.960013550620327</v>
      </c>
      <c r="E548" s="65">
        <v>-1.293633621709933</v>
      </c>
      <c r="F548" s="65">
        <v>1.8867730257141608</v>
      </c>
      <c r="G548" s="50">
        <v>0.0</v>
      </c>
      <c r="H548" s="50">
        <v>0.0</v>
      </c>
      <c r="I548" s="50">
        <v>0.0</v>
      </c>
      <c r="J548" s="50">
        <v>0.0</v>
      </c>
      <c r="K548" s="50">
        <v>0.0</v>
      </c>
      <c r="L548" s="50">
        <v>0.0</v>
      </c>
      <c r="M548" s="50">
        <v>0.0</v>
      </c>
      <c r="N548" s="50">
        <v>0.0</v>
      </c>
      <c r="O548" s="50">
        <v>0.0</v>
      </c>
      <c r="P548" s="50">
        <v>0.0</v>
      </c>
      <c r="Q548" s="50">
        <v>0.0</v>
      </c>
      <c r="R548" s="50">
        <v>0.0</v>
      </c>
      <c r="S548" s="50">
        <v>0.0</v>
      </c>
      <c r="T548" s="50">
        <v>2.8125</v>
      </c>
      <c r="U548" s="50">
        <v>9.9</v>
      </c>
      <c r="V548" s="50">
        <v>0.0</v>
      </c>
      <c r="W548" s="50">
        <v>0.0</v>
      </c>
      <c r="X548" s="50">
        <v>2.8125</v>
      </c>
      <c r="Y548" s="50">
        <v>15.525</v>
      </c>
    </row>
    <row r="549">
      <c r="A549" s="26">
        <v>543.0</v>
      </c>
      <c r="B549" s="65">
        <v>0.8641482839745995</v>
      </c>
      <c r="C549" s="65">
        <v>-0.6742770431792071</v>
      </c>
      <c r="D549" s="65">
        <v>-2.3090861421582316</v>
      </c>
      <c r="E549" s="65">
        <v>0.24314394521607005</v>
      </c>
      <c r="F549" s="65">
        <v>1.447254179611542</v>
      </c>
      <c r="G549" s="50">
        <v>0.0</v>
      </c>
      <c r="H549" s="50">
        <v>0.0</v>
      </c>
      <c r="I549" s="50">
        <v>0.0</v>
      </c>
      <c r="J549" s="50">
        <v>0.0</v>
      </c>
      <c r="K549" s="50">
        <v>0.0</v>
      </c>
      <c r="L549" s="50">
        <v>0.0</v>
      </c>
      <c r="M549" s="50">
        <v>0.0</v>
      </c>
      <c r="N549" s="50">
        <v>0.0</v>
      </c>
      <c r="O549" s="50">
        <v>0.0</v>
      </c>
      <c r="P549" s="50">
        <v>0.0</v>
      </c>
      <c r="Q549" s="50">
        <v>0.0</v>
      </c>
      <c r="R549" s="50">
        <v>0.0</v>
      </c>
      <c r="S549" s="50">
        <v>0.0</v>
      </c>
      <c r="T549" s="50">
        <v>2.8125</v>
      </c>
      <c r="U549" s="50">
        <v>0.0</v>
      </c>
      <c r="V549" s="50">
        <v>0.0</v>
      </c>
      <c r="W549" s="50">
        <v>0.0</v>
      </c>
      <c r="X549" s="50">
        <v>2.8125</v>
      </c>
      <c r="Y549" s="50">
        <v>5.625</v>
      </c>
    </row>
    <row r="550">
      <c r="A550" s="26">
        <v>544.0</v>
      </c>
      <c r="B550" s="65">
        <v>1.4268455893313263</v>
      </c>
      <c r="C550" s="65">
        <v>0.5838809787907431</v>
      </c>
      <c r="D550" s="65">
        <v>0.20224939146279233</v>
      </c>
      <c r="E550" s="65">
        <v>-0.9922684645008389</v>
      </c>
      <c r="F550" s="65">
        <v>1.2501636408717745</v>
      </c>
      <c r="G550" s="50">
        <v>0.0</v>
      </c>
      <c r="H550" s="50">
        <v>0.0</v>
      </c>
      <c r="I550" s="50">
        <v>0.0</v>
      </c>
      <c r="J550" s="50">
        <v>0.0</v>
      </c>
      <c r="K550" s="50">
        <v>0.0</v>
      </c>
      <c r="L550" s="50">
        <v>0.0</v>
      </c>
      <c r="M550" s="50">
        <v>0.0</v>
      </c>
      <c r="N550" s="50">
        <v>0.0</v>
      </c>
      <c r="O550" s="50">
        <v>0.0</v>
      </c>
      <c r="P550" s="50">
        <v>0.0</v>
      </c>
      <c r="Q550" s="50">
        <v>0.0</v>
      </c>
      <c r="R550" s="50">
        <v>9.9</v>
      </c>
      <c r="S550" s="50">
        <v>0.0</v>
      </c>
      <c r="T550" s="50">
        <v>2.8125</v>
      </c>
      <c r="U550" s="50">
        <v>0.0</v>
      </c>
      <c r="V550" s="50">
        <v>5.625</v>
      </c>
      <c r="W550" s="50">
        <v>0.0</v>
      </c>
      <c r="X550" s="50">
        <v>2.8125</v>
      </c>
      <c r="Y550" s="50">
        <v>21.15</v>
      </c>
    </row>
    <row r="551">
      <c r="A551" s="26">
        <v>545.0</v>
      </c>
      <c r="B551" s="65">
        <v>1.9556055000712491</v>
      </c>
      <c r="C551" s="65">
        <v>-1.162604837555568</v>
      </c>
      <c r="D551" s="65">
        <v>-1.7798933499427367</v>
      </c>
      <c r="E551" s="65">
        <v>-0.1237350604955967</v>
      </c>
      <c r="F551" s="65">
        <v>1.6620551604867664</v>
      </c>
      <c r="G551" s="50">
        <v>0.0</v>
      </c>
      <c r="H551" s="50">
        <v>0.0</v>
      </c>
      <c r="I551" s="50">
        <v>0.0</v>
      </c>
      <c r="J551" s="50">
        <v>0.0</v>
      </c>
      <c r="K551" s="50">
        <v>0.0</v>
      </c>
      <c r="L551" s="50">
        <v>0.0</v>
      </c>
      <c r="M551" s="50">
        <v>0.0</v>
      </c>
      <c r="N551" s="50">
        <v>0.0</v>
      </c>
      <c r="O551" s="50">
        <v>0.0</v>
      </c>
      <c r="P551" s="50">
        <v>0.0</v>
      </c>
      <c r="Q551" s="50">
        <v>0.0</v>
      </c>
      <c r="R551" s="50">
        <v>0.0</v>
      </c>
      <c r="S551" s="50">
        <v>0.0</v>
      </c>
      <c r="T551" s="50">
        <v>2.8125</v>
      </c>
      <c r="U551" s="50">
        <v>0.0</v>
      </c>
      <c r="V551" s="50">
        <v>0.0</v>
      </c>
      <c r="W551" s="50">
        <v>0.0</v>
      </c>
      <c r="X551" s="50">
        <v>2.8125</v>
      </c>
      <c r="Y551" s="50">
        <v>5.625</v>
      </c>
    </row>
    <row r="552">
      <c r="A552" s="26">
        <v>546.0</v>
      </c>
      <c r="B552" s="65">
        <v>0.16709290823756764</v>
      </c>
      <c r="C552" s="65">
        <v>1.0673726018100422</v>
      </c>
      <c r="D552" s="65">
        <v>-0.018664825000793504</v>
      </c>
      <c r="E552" s="65">
        <v>0.08455769604165322</v>
      </c>
      <c r="F552" s="65">
        <v>1.964271546607036</v>
      </c>
      <c r="G552" s="50">
        <v>0.0</v>
      </c>
      <c r="H552" s="50">
        <v>0.0</v>
      </c>
      <c r="I552" s="50">
        <v>0.0</v>
      </c>
      <c r="J552" s="50">
        <v>0.0</v>
      </c>
      <c r="K552" s="50">
        <v>0.0</v>
      </c>
      <c r="L552" s="50">
        <v>0.0</v>
      </c>
      <c r="M552" s="50">
        <v>0.0</v>
      </c>
      <c r="N552" s="50">
        <v>0.0</v>
      </c>
      <c r="O552" s="50">
        <v>0.0</v>
      </c>
      <c r="P552" s="50">
        <v>0.0</v>
      </c>
      <c r="Q552" s="50">
        <v>0.0</v>
      </c>
      <c r="R552" s="50">
        <v>0.0</v>
      </c>
      <c r="S552" s="50">
        <v>0.0</v>
      </c>
      <c r="T552" s="50">
        <v>2.8125</v>
      </c>
      <c r="U552" s="50">
        <v>0.0</v>
      </c>
      <c r="V552" s="50">
        <v>5.625</v>
      </c>
      <c r="W552" s="50">
        <v>0.0</v>
      </c>
      <c r="X552" s="50">
        <v>2.8125</v>
      </c>
      <c r="Y552" s="50">
        <v>11.25</v>
      </c>
    </row>
    <row r="553">
      <c r="A553" s="26">
        <v>547.0</v>
      </c>
      <c r="B553" s="65">
        <v>-0.17882833589922023</v>
      </c>
      <c r="C553" s="65">
        <v>-0.6033944296571315</v>
      </c>
      <c r="D553" s="65">
        <v>1.1772009739086104</v>
      </c>
      <c r="E553" s="65">
        <v>-0.36691741670049405</v>
      </c>
      <c r="F553" s="65">
        <v>7.421683215054977</v>
      </c>
      <c r="G553" s="50">
        <v>0.0</v>
      </c>
      <c r="H553" s="50">
        <v>0.0</v>
      </c>
      <c r="I553" s="50">
        <v>0.0</v>
      </c>
      <c r="J553" s="50">
        <v>0.0</v>
      </c>
      <c r="K553" s="50">
        <v>0.0</v>
      </c>
      <c r="L553" s="50">
        <v>0.0</v>
      </c>
      <c r="M553" s="50">
        <v>0.0</v>
      </c>
      <c r="N553" s="50">
        <v>0.0</v>
      </c>
      <c r="O553" s="50">
        <v>0.0</v>
      </c>
      <c r="P553" s="50">
        <v>0.0</v>
      </c>
      <c r="Q553" s="50">
        <v>0.0</v>
      </c>
      <c r="R553" s="50">
        <v>0.0</v>
      </c>
      <c r="S553" s="50">
        <v>0.0</v>
      </c>
      <c r="T553" s="50">
        <v>2.8125</v>
      </c>
      <c r="U553" s="50">
        <v>0.0</v>
      </c>
      <c r="V553" s="50">
        <v>5.625</v>
      </c>
      <c r="W553" s="50">
        <v>0.0</v>
      </c>
      <c r="X553" s="50">
        <v>2.8125</v>
      </c>
      <c r="Y553" s="50">
        <v>11.25</v>
      </c>
    </row>
    <row r="554">
      <c r="A554" s="26">
        <v>548.0</v>
      </c>
      <c r="B554" s="65">
        <v>0.28045657135394625</v>
      </c>
      <c r="C554" s="65">
        <v>0.24318291074388712</v>
      </c>
      <c r="D554" s="65">
        <v>0.37848681458177574</v>
      </c>
      <c r="E554" s="65">
        <v>-0.1986752431011442</v>
      </c>
      <c r="F554" s="65">
        <v>2.470104808217988</v>
      </c>
      <c r="G554" s="50">
        <v>0.0</v>
      </c>
      <c r="H554" s="50">
        <v>0.0</v>
      </c>
      <c r="I554" s="50">
        <v>0.0</v>
      </c>
      <c r="J554" s="50">
        <v>0.0</v>
      </c>
      <c r="K554" s="50">
        <v>0.0</v>
      </c>
      <c r="L554" s="50">
        <v>0.0</v>
      </c>
      <c r="M554" s="50">
        <v>0.0</v>
      </c>
      <c r="N554" s="50">
        <v>0.0</v>
      </c>
      <c r="O554" s="50">
        <v>0.0</v>
      </c>
      <c r="P554" s="50">
        <v>0.0</v>
      </c>
      <c r="Q554" s="50">
        <v>0.0</v>
      </c>
      <c r="R554" s="50">
        <v>0.0</v>
      </c>
      <c r="S554" s="50">
        <v>0.0</v>
      </c>
      <c r="T554" s="50">
        <v>2.8125</v>
      </c>
      <c r="U554" s="50">
        <v>0.0</v>
      </c>
      <c r="V554" s="50">
        <v>0.0</v>
      </c>
      <c r="W554" s="50">
        <v>0.0</v>
      </c>
      <c r="X554" s="50">
        <v>2.8125</v>
      </c>
      <c r="Y554" s="50">
        <v>5.625</v>
      </c>
    </row>
    <row r="555">
      <c r="A555" s="26">
        <v>549.0</v>
      </c>
      <c r="B555" s="65">
        <v>-0.38994360488442126</v>
      </c>
      <c r="C555" s="65">
        <v>0.04051100120122956</v>
      </c>
      <c r="D555" s="65">
        <v>0.018529677759016986</v>
      </c>
      <c r="E555" s="65">
        <v>1.5859679669455429</v>
      </c>
      <c r="F555" s="65">
        <v>1.0042941769932725</v>
      </c>
      <c r="G555" s="50">
        <v>0.0</v>
      </c>
      <c r="H555" s="50">
        <v>0.0</v>
      </c>
      <c r="I555" s="50">
        <v>0.0</v>
      </c>
      <c r="J555" s="50">
        <v>0.0</v>
      </c>
      <c r="K555" s="50">
        <v>0.0</v>
      </c>
      <c r="L555" s="50">
        <v>0.0</v>
      </c>
      <c r="M555" s="50">
        <v>0.0</v>
      </c>
      <c r="N555" s="50">
        <v>0.0</v>
      </c>
      <c r="O555" s="50">
        <v>0.0</v>
      </c>
      <c r="P555" s="50">
        <v>0.0</v>
      </c>
      <c r="Q555" s="50">
        <v>0.0</v>
      </c>
      <c r="R555" s="50">
        <v>0.0</v>
      </c>
      <c r="S555" s="50">
        <v>0.0</v>
      </c>
      <c r="T555" s="50">
        <v>2.8125</v>
      </c>
      <c r="U555" s="50">
        <v>0.0</v>
      </c>
      <c r="V555" s="50">
        <v>0.0</v>
      </c>
      <c r="W555" s="50">
        <v>0.0</v>
      </c>
      <c r="X555" s="50">
        <v>0.0</v>
      </c>
      <c r="Y555" s="50">
        <v>2.8125</v>
      </c>
    </row>
    <row r="556">
      <c r="A556" s="26">
        <v>550.0</v>
      </c>
      <c r="B556" s="65">
        <v>1.521351951094313</v>
      </c>
      <c r="C556" s="65">
        <v>0.9720610504275162</v>
      </c>
      <c r="D556" s="65">
        <v>-1.0526347027558058</v>
      </c>
      <c r="E556" s="65">
        <v>-0.657218661920817</v>
      </c>
      <c r="F556" s="65">
        <v>5.899998843606858</v>
      </c>
      <c r="G556" s="50">
        <v>0.0</v>
      </c>
      <c r="H556" s="50">
        <v>0.0</v>
      </c>
      <c r="I556" s="50">
        <v>0.0</v>
      </c>
      <c r="J556" s="50">
        <v>0.0</v>
      </c>
      <c r="K556" s="50">
        <v>0.0</v>
      </c>
      <c r="L556" s="50">
        <v>0.0</v>
      </c>
      <c r="M556" s="50">
        <v>0.0</v>
      </c>
      <c r="N556" s="50">
        <v>0.0</v>
      </c>
      <c r="O556" s="50">
        <v>0.0</v>
      </c>
      <c r="P556" s="50">
        <v>0.0</v>
      </c>
      <c r="Q556" s="50">
        <v>0.0</v>
      </c>
      <c r="R556" s="50">
        <v>0.0</v>
      </c>
      <c r="S556" s="50">
        <v>0.0</v>
      </c>
      <c r="T556" s="50">
        <v>2.8125</v>
      </c>
      <c r="U556" s="50">
        <v>0.0</v>
      </c>
      <c r="V556" s="50">
        <v>0.0</v>
      </c>
      <c r="W556" s="50">
        <v>0.0</v>
      </c>
      <c r="X556" s="50">
        <v>2.8125</v>
      </c>
      <c r="Y556" s="50">
        <v>5.625</v>
      </c>
    </row>
    <row r="557">
      <c r="A557" s="26">
        <v>551.0</v>
      </c>
      <c r="B557" s="65">
        <v>0.40653399894747844</v>
      </c>
      <c r="C557" s="65">
        <v>-0.09279102370304017</v>
      </c>
      <c r="D557" s="65">
        <v>1.4708170342225522</v>
      </c>
      <c r="E557" s="65">
        <v>-0.06285211350305452</v>
      </c>
      <c r="F557" s="65">
        <v>0.3584576120181435</v>
      </c>
      <c r="G557" s="50">
        <v>9.0</v>
      </c>
      <c r="H557" s="50">
        <v>0.0</v>
      </c>
      <c r="I557" s="50">
        <v>0.0</v>
      </c>
      <c r="J557" s="50">
        <v>0.0</v>
      </c>
      <c r="K557" s="50">
        <v>0.0</v>
      </c>
      <c r="L557" s="50">
        <v>0.0</v>
      </c>
      <c r="M557" s="50">
        <v>0.0</v>
      </c>
      <c r="N557" s="50">
        <v>0.0</v>
      </c>
      <c r="O557" s="50">
        <v>7.425000000000001</v>
      </c>
      <c r="P557" s="50">
        <v>0.0</v>
      </c>
      <c r="Q557" s="50">
        <v>0.0</v>
      </c>
      <c r="R557" s="50">
        <v>0.0</v>
      </c>
      <c r="S557" s="50">
        <v>0.0</v>
      </c>
      <c r="T557" s="50">
        <v>0.0</v>
      </c>
      <c r="U557" s="50">
        <v>0.0</v>
      </c>
      <c r="V557" s="50">
        <v>0.0</v>
      </c>
      <c r="W557" s="50">
        <v>4.95</v>
      </c>
      <c r="X557" s="50">
        <v>2.8125</v>
      </c>
      <c r="Y557" s="50">
        <v>24.1875</v>
      </c>
    </row>
    <row r="558">
      <c r="A558" s="26">
        <v>552.0</v>
      </c>
      <c r="B558" s="65">
        <v>-1.2761693755180155</v>
      </c>
      <c r="C558" s="65">
        <v>0.43169664403589786</v>
      </c>
      <c r="D558" s="65">
        <v>0.16464017021096214</v>
      </c>
      <c r="E558" s="65">
        <v>-0.17434131612155032</v>
      </c>
      <c r="F558" s="65">
        <v>9.97742837884583</v>
      </c>
      <c r="G558" s="50">
        <v>0.0</v>
      </c>
      <c r="H558" s="50">
        <v>0.0</v>
      </c>
      <c r="I558" s="50">
        <v>0.0</v>
      </c>
      <c r="J558" s="50">
        <v>0.0</v>
      </c>
      <c r="K558" s="50">
        <v>0.0</v>
      </c>
      <c r="L558" s="50">
        <v>0.0</v>
      </c>
      <c r="M558" s="50">
        <v>0.0</v>
      </c>
      <c r="N558" s="50">
        <v>0.0</v>
      </c>
      <c r="O558" s="50">
        <v>0.0</v>
      </c>
      <c r="P558" s="50">
        <v>0.0</v>
      </c>
      <c r="Q558" s="50">
        <v>0.0</v>
      </c>
      <c r="R558" s="50">
        <v>0.0</v>
      </c>
      <c r="S558" s="50">
        <v>0.0</v>
      </c>
      <c r="T558" s="50">
        <v>2.8125</v>
      </c>
      <c r="U558" s="50">
        <v>0.0</v>
      </c>
      <c r="V558" s="50">
        <v>5.625</v>
      </c>
      <c r="W558" s="50">
        <v>0.0</v>
      </c>
      <c r="X558" s="50">
        <v>2.8125</v>
      </c>
      <c r="Y558" s="50">
        <v>11.25</v>
      </c>
    </row>
    <row r="559">
      <c r="A559" s="26">
        <v>553.0</v>
      </c>
      <c r="B559" s="65">
        <v>2.684276525905814</v>
      </c>
      <c r="C559" s="65">
        <v>0.3225396483377437</v>
      </c>
      <c r="D559" s="65">
        <v>0.42997216162360385</v>
      </c>
      <c r="E559" s="65">
        <v>-0.19628030632077223</v>
      </c>
      <c r="F559" s="65">
        <v>5.537441670965006</v>
      </c>
      <c r="G559" s="50">
        <v>0.0</v>
      </c>
      <c r="H559" s="50">
        <v>0.0</v>
      </c>
      <c r="I559" s="50">
        <v>0.0</v>
      </c>
      <c r="J559" s="50">
        <v>0.0</v>
      </c>
      <c r="K559" s="50">
        <v>0.0</v>
      </c>
      <c r="L559" s="50">
        <v>0.0</v>
      </c>
      <c r="M559" s="50">
        <v>0.0</v>
      </c>
      <c r="N559" s="50">
        <v>0.0</v>
      </c>
      <c r="O559" s="50">
        <v>0.0</v>
      </c>
      <c r="P559" s="50">
        <v>0.0</v>
      </c>
      <c r="Q559" s="50">
        <v>0.0</v>
      </c>
      <c r="R559" s="50">
        <v>0.0</v>
      </c>
      <c r="S559" s="50">
        <v>0.0</v>
      </c>
      <c r="T559" s="50">
        <v>2.8125</v>
      </c>
      <c r="U559" s="50">
        <v>0.0</v>
      </c>
      <c r="V559" s="50">
        <v>0.0</v>
      </c>
      <c r="W559" s="50">
        <v>0.0</v>
      </c>
      <c r="X559" s="50">
        <v>2.8125</v>
      </c>
      <c r="Y559" s="50">
        <v>5.625</v>
      </c>
    </row>
    <row r="560">
      <c r="A560" s="26">
        <v>554.0</v>
      </c>
      <c r="B560" s="65">
        <v>1.223271654761731</v>
      </c>
      <c r="C560" s="65">
        <v>-1.0723872030973978</v>
      </c>
      <c r="D560" s="65">
        <v>-0.731029760328903</v>
      </c>
      <c r="E560" s="65">
        <v>-1.1855704576555495</v>
      </c>
      <c r="F560" s="65">
        <v>7.445100597219129</v>
      </c>
      <c r="G560" s="50">
        <v>0.0</v>
      </c>
      <c r="H560" s="50">
        <v>0.0</v>
      </c>
      <c r="I560" s="50">
        <v>0.0</v>
      </c>
      <c r="J560" s="50">
        <v>0.0</v>
      </c>
      <c r="K560" s="50">
        <v>0.0</v>
      </c>
      <c r="L560" s="50">
        <v>0.0</v>
      </c>
      <c r="M560" s="50">
        <v>0.0</v>
      </c>
      <c r="N560" s="50">
        <v>0.0</v>
      </c>
      <c r="O560" s="50">
        <v>0.0</v>
      </c>
      <c r="P560" s="50">
        <v>0.0</v>
      </c>
      <c r="Q560" s="50">
        <v>0.0</v>
      </c>
      <c r="R560" s="50">
        <v>0.0</v>
      </c>
      <c r="S560" s="50">
        <v>0.0</v>
      </c>
      <c r="T560" s="50">
        <v>2.8125</v>
      </c>
      <c r="U560" s="50">
        <v>0.0</v>
      </c>
      <c r="V560" s="50">
        <v>0.0</v>
      </c>
      <c r="W560" s="50">
        <v>0.0</v>
      </c>
      <c r="X560" s="50">
        <v>2.8125</v>
      </c>
      <c r="Y560" s="50">
        <v>5.625</v>
      </c>
    </row>
    <row r="561">
      <c r="A561" s="26">
        <v>555.0</v>
      </c>
      <c r="B561" s="65">
        <v>1.9012848650023801</v>
      </c>
      <c r="C561" s="65">
        <v>0.18919241328487854</v>
      </c>
      <c r="D561" s="65">
        <v>-0.6877103880256297</v>
      </c>
      <c r="E561" s="65">
        <v>1.1549952843919682</v>
      </c>
      <c r="F561" s="65">
        <v>2.5801335778151104</v>
      </c>
      <c r="G561" s="50">
        <v>0.0</v>
      </c>
      <c r="H561" s="50">
        <v>0.0</v>
      </c>
      <c r="I561" s="50">
        <v>0.0</v>
      </c>
      <c r="J561" s="50">
        <v>0.0</v>
      </c>
      <c r="K561" s="50">
        <v>0.0</v>
      </c>
      <c r="L561" s="50">
        <v>0.0</v>
      </c>
      <c r="M561" s="50">
        <v>0.0</v>
      </c>
      <c r="N561" s="50">
        <v>0.0</v>
      </c>
      <c r="O561" s="50">
        <v>0.0</v>
      </c>
      <c r="P561" s="50">
        <v>0.0</v>
      </c>
      <c r="Q561" s="50">
        <v>0.0</v>
      </c>
      <c r="R561" s="50">
        <v>0.0</v>
      </c>
      <c r="S561" s="50">
        <v>0.0</v>
      </c>
      <c r="T561" s="50">
        <v>2.8125</v>
      </c>
      <c r="U561" s="50">
        <v>0.0</v>
      </c>
      <c r="V561" s="50">
        <v>0.0</v>
      </c>
      <c r="W561" s="50">
        <v>0.0</v>
      </c>
      <c r="X561" s="50">
        <v>2.8125</v>
      </c>
      <c r="Y561" s="50">
        <v>5.625</v>
      </c>
    </row>
    <row r="562">
      <c r="A562" s="26">
        <v>556.0</v>
      </c>
      <c r="B562" s="65">
        <v>0.8683826407841612</v>
      </c>
      <c r="C562" s="65">
        <v>-0.1946113143116262</v>
      </c>
      <c r="D562" s="65">
        <v>-0.5475237542842419</v>
      </c>
      <c r="E562" s="65">
        <v>-0.23736752373141165</v>
      </c>
      <c r="F562" s="65">
        <v>4.506823166171213</v>
      </c>
      <c r="G562" s="50">
        <v>0.0</v>
      </c>
      <c r="H562" s="50">
        <v>0.0</v>
      </c>
      <c r="I562" s="50">
        <v>0.0</v>
      </c>
      <c r="J562" s="50">
        <v>0.0</v>
      </c>
      <c r="K562" s="50">
        <v>0.0</v>
      </c>
      <c r="L562" s="50">
        <v>0.0</v>
      </c>
      <c r="M562" s="50">
        <v>0.0</v>
      </c>
      <c r="N562" s="50">
        <v>0.0</v>
      </c>
      <c r="O562" s="50">
        <v>0.0</v>
      </c>
      <c r="P562" s="50">
        <v>0.0</v>
      </c>
      <c r="Q562" s="50">
        <v>0.0</v>
      </c>
      <c r="R562" s="50">
        <v>0.0</v>
      </c>
      <c r="S562" s="50">
        <v>0.0</v>
      </c>
      <c r="T562" s="50">
        <v>2.8125</v>
      </c>
      <c r="U562" s="50">
        <v>0.0</v>
      </c>
      <c r="V562" s="50">
        <v>0.0</v>
      </c>
      <c r="W562" s="50">
        <v>0.0</v>
      </c>
      <c r="X562" s="50">
        <v>2.8125</v>
      </c>
      <c r="Y562" s="50">
        <v>5.625</v>
      </c>
    </row>
    <row r="563">
      <c r="A563" s="26">
        <v>557.0</v>
      </c>
      <c r="B563" s="65">
        <v>3.2916217452320757</v>
      </c>
      <c r="C563" s="65">
        <v>0.025093438526999606</v>
      </c>
      <c r="D563" s="65">
        <v>0.23248884702990333</v>
      </c>
      <c r="E563" s="65">
        <v>-1.840466126442398</v>
      </c>
      <c r="F563" s="65">
        <v>2.6963164903848216</v>
      </c>
      <c r="G563" s="50">
        <v>0.0</v>
      </c>
      <c r="H563" s="50">
        <v>0.0</v>
      </c>
      <c r="I563" s="50">
        <v>0.0</v>
      </c>
      <c r="J563" s="50">
        <v>0.0</v>
      </c>
      <c r="K563" s="50">
        <v>0.0</v>
      </c>
      <c r="L563" s="50">
        <v>0.0</v>
      </c>
      <c r="M563" s="50">
        <v>0.0</v>
      </c>
      <c r="N563" s="50">
        <v>0.0</v>
      </c>
      <c r="O563" s="50">
        <v>0.0</v>
      </c>
      <c r="P563" s="50">
        <v>0.0</v>
      </c>
      <c r="Q563" s="50">
        <v>0.0</v>
      </c>
      <c r="R563" s="50">
        <v>0.0</v>
      </c>
      <c r="S563" s="50">
        <v>0.0</v>
      </c>
      <c r="T563" s="50">
        <v>0.0</v>
      </c>
      <c r="U563" s="50">
        <v>0.0</v>
      </c>
      <c r="V563" s="50">
        <v>0.0</v>
      </c>
      <c r="W563" s="50">
        <v>0.0</v>
      </c>
      <c r="X563" s="50">
        <v>2.8125</v>
      </c>
      <c r="Y563" s="50">
        <v>2.8125</v>
      </c>
    </row>
    <row r="564">
      <c r="A564" s="26">
        <v>558.0</v>
      </c>
      <c r="B564" s="65">
        <v>0.655092188354899</v>
      </c>
      <c r="C564" s="65">
        <v>0.5945223007643318</v>
      </c>
      <c r="D564" s="65">
        <v>-1.603384731969129</v>
      </c>
      <c r="E564" s="65">
        <v>0.11706350487745132</v>
      </c>
      <c r="F564" s="65">
        <v>6.0143021112930395</v>
      </c>
      <c r="G564" s="50">
        <v>0.0</v>
      </c>
      <c r="H564" s="50">
        <v>0.0</v>
      </c>
      <c r="I564" s="50">
        <v>0.0</v>
      </c>
      <c r="J564" s="50">
        <v>0.0</v>
      </c>
      <c r="K564" s="50">
        <v>0.0</v>
      </c>
      <c r="L564" s="50">
        <v>0.0</v>
      </c>
      <c r="M564" s="50">
        <v>0.0</v>
      </c>
      <c r="N564" s="50">
        <v>0.0</v>
      </c>
      <c r="O564" s="50">
        <v>0.0</v>
      </c>
      <c r="P564" s="50">
        <v>0.0</v>
      </c>
      <c r="Q564" s="50">
        <v>0.0</v>
      </c>
      <c r="R564" s="50">
        <v>0.0</v>
      </c>
      <c r="S564" s="50">
        <v>0.0</v>
      </c>
      <c r="T564" s="50">
        <v>2.8125</v>
      </c>
      <c r="U564" s="50">
        <v>0.0</v>
      </c>
      <c r="V564" s="50">
        <v>0.0</v>
      </c>
      <c r="W564" s="50">
        <v>0.0</v>
      </c>
      <c r="X564" s="50">
        <v>2.8125</v>
      </c>
      <c r="Y564" s="50">
        <v>5.625</v>
      </c>
    </row>
    <row r="565">
      <c r="A565" s="26">
        <v>559.0</v>
      </c>
      <c r="B565" s="65">
        <v>1.0685050591599814</v>
      </c>
      <c r="C565" s="65">
        <v>1.150446371185924</v>
      </c>
      <c r="D565" s="65">
        <v>-0.739115041923314</v>
      </c>
      <c r="E565" s="65">
        <v>0.3297732874463277</v>
      </c>
      <c r="F565" s="65">
        <v>2.5829785312092466</v>
      </c>
      <c r="G565" s="50">
        <v>0.0</v>
      </c>
      <c r="H565" s="50">
        <v>0.0</v>
      </c>
      <c r="I565" s="50">
        <v>0.0</v>
      </c>
      <c r="J565" s="50">
        <v>0.0</v>
      </c>
      <c r="K565" s="50">
        <v>0.0</v>
      </c>
      <c r="L565" s="50">
        <v>0.0</v>
      </c>
      <c r="M565" s="50">
        <v>0.0</v>
      </c>
      <c r="N565" s="50">
        <v>0.0</v>
      </c>
      <c r="O565" s="50">
        <v>0.0</v>
      </c>
      <c r="P565" s="50">
        <v>2.475</v>
      </c>
      <c r="Q565" s="50">
        <v>0.0</v>
      </c>
      <c r="R565" s="50">
        <v>0.0</v>
      </c>
      <c r="S565" s="50">
        <v>0.0</v>
      </c>
      <c r="T565" s="50">
        <v>2.8125</v>
      </c>
      <c r="U565" s="50">
        <v>0.0</v>
      </c>
      <c r="V565" s="50">
        <v>0.0</v>
      </c>
      <c r="W565" s="50">
        <v>0.0</v>
      </c>
      <c r="X565" s="50">
        <v>2.8125</v>
      </c>
      <c r="Y565" s="50">
        <v>8.1</v>
      </c>
    </row>
    <row r="566">
      <c r="A566" s="26">
        <v>560.0</v>
      </c>
      <c r="B566" s="65">
        <v>0.8041323556751767</v>
      </c>
      <c r="C566" s="65">
        <v>-1.899614269512991</v>
      </c>
      <c r="D566" s="65">
        <v>1.1750577647154667</v>
      </c>
      <c r="E566" s="65">
        <v>-1.3958216057985453</v>
      </c>
      <c r="F566" s="65">
        <v>8.930465679806316</v>
      </c>
      <c r="G566" s="50">
        <v>0.0</v>
      </c>
      <c r="H566" s="50">
        <v>0.0</v>
      </c>
      <c r="I566" s="50">
        <v>0.0</v>
      </c>
      <c r="J566" s="50">
        <v>0.0</v>
      </c>
      <c r="K566" s="50">
        <v>0.0</v>
      </c>
      <c r="L566" s="50">
        <v>0.0</v>
      </c>
      <c r="M566" s="50">
        <v>0.0</v>
      </c>
      <c r="N566" s="50">
        <v>0.0</v>
      </c>
      <c r="O566" s="50">
        <v>0.0</v>
      </c>
      <c r="P566" s="50">
        <v>0.0</v>
      </c>
      <c r="Q566" s="50">
        <v>0.0</v>
      </c>
      <c r="R566" s="50">
        <v>0.0</v>
      </c>
      <c r="S566" s="50">
        <v>0.0</v>
      </c>
      <c r="T566" s="50">
        <v>2.8125</v>
      </c>
      <c r="U566" s="50">
        <v>0.0</v>
      </c>
      <c r="V566" s="50">
        <v>0.0</v>
      </c>
      <c r="W566" s="50">
        <v>0.0</v>
      </c>
      <c r="X566" s="50">
        <v>2.8125</v>
      </c>
      <c r="Y566" s="50">
        <v>5.625</v>
      </c>
    </row>
    <row r="567">
      <c r="A567" s="26">
        <v>561.0</v>
      </c>
      <c r="B567" s="65">
        <v>0.9080932101285607</v>
      </c>
      <c r="C567" s="65">
        <v>1.785001592535093</v>
      </c>
      <c r="D567" s="65">
        <v>0.11610538615953922</v>
      </c>
      <c r="E567" s="65">
        <v>0.3749007157666312</v>
      </c>
      <c r="F567" s="65">
        <v>6.61922339711329</v>
      </c>
      <c r="G567" s="50">
        <v>0.0</v>
      </c>
      <c r="H567" s="50">
        <v>0.0</v>
      </c>
      <c r="I567" s="50">
        <v>0.0</v>
      </c>
      <c r="J567" s="50">
        <v>0.0</v>
      </c>
      <c r="K567" s="50">
        <v>0.0</v>
      </c>
      <c r="L567" s="50">
        <v>0.0</v>
      </c>
      <c r="M567" s="50">
        <v>0.0</v>
      </c>
      <c r="N567" s="50">
        <v>0.0</v>
      </c>
      <c r="O567" s="50">
        <v>0.0</v>
      </c>
      <c r="P567" s="50">
        <v>0.0</v>
      </c>
      <c r="Q567" s="50">
        <v>0.0</v>
      </c>
      <c r="R567" s="50">
        <v>0.0</v>
      </c>
      <c r="S567" s="50">
        <v>0.0</v>
      </c>
      <c r="T567" s="50">
        <v>2.8125</v>
      </c>
      <c r="U567" s="50">
        <v>0.0</v>
      </c>
      <c r="V567" s="50">
        <v>0.0</v>
      </c>
      <c r="W567" s="50">
        <v>0.0</v>
      </c>
      <c r="X567" s="50">
        <v>2.8125</v>
      </c>
      <c r="Y567" s="50">
        <v>5.625</v>
      </c>
    </row>
    <row r="568">
      <c r="A568" s="26">
        <v>562.0</v>
      </c>
      <c r="B568" s="65">
        <v>-1.4023270421947722</v>
      </c>
      <c r="C568" s="65">
        <v>0.2109615566687754</v>
      </c>
      <c r="D568" s="65">
        <v>-1.1125712525271823</v>
      </c>
      <c r="E568" s="65">
        <v>1.278149870976283</v>
      </c>
      <c r="F568" s="65">
        <v>3.9898681249880754</v>
      </c>
      <c r="G568" s="50">
        <v>0.0</v>
      </c>
      <c r="H568" s="50">
        <v>0.0</v>
      </c>
      <c r="I568" s="50">
        <v>0.0</v>
      </c>
      <c r="J568" s="50">
        <v>0.0</v>
      </c>
      <c r="K568" s="50">
        <v>0.0</v>
      </c>
      <c r="L568" s="50">
        <v>0.0</v>
      </c>
      <c r="M568" s="50">
        <v>0.0</v>
      </c>
      <c r="N568" s="50">
        <v>0.0</v>
      </c>
      <c r="O568" s="50">
        <v>0.0</v>
      </c>
      <c r="P568" s="50">
        <v>2.475</v>
      </c>
      <c r="Q568" s="50">
        <v>0.0</v>
      </c>
      <c r="R568" s="50">
        <v>0.0</v>
      </c>
      <c r="S568" s="50">
        <v>0.0</v>
      </c>
      <c r="T568" s="50">
        <v>2.8125</v>
      </c>
      <c r="U568" s="50">
        <v>0.0</v>
      </c>
      <c r="V568" s="50">
        <v>0.0</v>
      </c>
      <c r="W568" s="50">
        <v>0.0</v>
      </c>
      <c r="X568" s="50">
        <v>2.8125</v>
      </c>
      <c r="Y568" s="50">
        <v>8.1</v>
      </c>
    </row>
    <row r="569">
      <c r="A569" s="26">
        <v>563.0</v>
      </c>
      <c r="B569" s="65">
        <v>-0.3023269609741765</v>
      </c>
      <c r="C569" s="65">
        <v>-1.2306917562338469</v>
      </c>
      <c r="D569" s="65">
        <v>-0.2362015210258179</v>
      </c>
      <c r="E569" s="65">
        <v>0.3097204527149831</v>
      </c>
      <c r="F569" s="65">
        <v>2.8910128393066965</v>
      </c>
      <c r="G569" s="50">
        <v>0.0</v>
      </c>
      <c r="H569" s="50">
        <v>0.0</v>
      </c>
      <c r="I569" s="50">
        <v>0.0</v>
      </c>
      <c r="J569" s="50">
        <v>0.0</v>
      </c>
      <c r="K569" s="50">
        <v>0.0</v>
      </c>
      <c r="L569" s="50">
        <v>0.0</v>
      </c>
      <c r="M569" s="50">
        <v>0.0</v>
      </c>
      <c r="N569" s="50">
        <v>0.0</v>
      </c>
      <c r="O569" s="50">
        <v>0.0</v>
      </c>
      <c r="P569" s="50">
        <v>0.0</v>
      </c>
      <c r="Q569" s="50">
        <v>0.0</v>
      </c>
      <c r="R569" s="50">
        <v>0.0</v>
      </c>
      <c r="S569" s="50">
        <v>0.0</v>
      </c>
      <c r="T569" s="50">
        <v>2.8125</v>
      </c>
      <c r="U569" s="50">
        <v>0.0</v>
      </c>
      <c r="V569" s="50">
        <v>0.0</v>
      </c>
      <c r="W569" s="50">
        <v>0.0</v>
      </c>
      <c r="X569" s="50">
        <v>2.8125</v>
      </c>
      <c r="Y569" s="50">
        <v>5.625</v>
      </c>
    </row>
    <row r="570">
      <c r="A570" s="26">
        <v>564.0</v>
      </c>
      <c r="B570" s="65">
        <v>0.27214657515775137</v>
      </c>
      <c r="C570" s="65">
        <v>0.15136836768652986</v>
      </c>
      <c r="D570" s="65">
        <v>-0.13266802279305973</v>
      </c>
      <c r="E570" s="65">
        <v>0.6629548732143085</v>
      </c>
      <c r="F570" s="65">
        <v>3.2784914564975614</v>
      </c>
      <c r="G570" s="50">
        <v>0.0</v>
      </c>
      <c r="H570" s="50">
        <v>0.0</v>
      </c>
      <c r="I570" s="50">
        <v>0.0</v>
      </c>
      <c r="J570" s="50">
        <v>0.0</v>
      </c>
      <c r="K570" s="50">
        <v>0.0</v>
      </c>
      <c r="L570" s="50">
        <v>0.0</v>
      </c>
      <c r="M570" s="50">
        <v>0.0</v>
      </c>
      <c r="N570" s="50">
        <v>0.0</v>
      </c>
      <c r="O570" s="50">
        <v>0.0</v>
      </c>
      <c r="P570" s="50">
        <v>0.0</v>
      </c>
      <c r="Q570" s="50">
        <v>0.0</v>
      </c>
      <c r="R570" s="50">
        <v>0.0</v>
      </c>
      <c r="S570" s="50">
        <v>0.0</v>
      </c>
      <c r="T570" s="50">
        <v>2.8125</v>
      </c>
      <c r="U570" s="50">
        <v>0.0</v>
      </c>
      <c r="V570" s="50">
        <v>0.0</v>
      </c>
      <c r="W570" s="50">
        <v>0.0</v>
      </c>
      <c r="X570" s="50">
        <v>2.8125</v>
      </c>
      <c r="Y570" s="50">
        <v>5.625</v>
      </c>
    </row>
    <row r="571">
      <c r="A571" s="26">
        <v>565.0</v>
      </c>
      <c r="B571" s="65">
        <v>-0.14357787528379684</v>
      </c>
      <c r="C571" s="65">
        <v>-0.6618050545294151</v>
      </c>
      <c r="D571" s="65">
        <v>2.2144735119028054</v>
      </c>
      <c r="E571" s="65">
        <v>1.3291809737416687</v>
      </c>
      <c r="F571" s="65">
        <v>4.746777285068448</v>
      </c>
      <c r="G571" s="50">
        <v>0.0</v>
      </c>
      <c r="H571" s="50">
        <v>0.0</v>
      </c>
      <c r="I571" s="50">
        <v>0.0</v>
      </c>
      <c r="J571" s="50">
        <v>0.0</v>
      </c>
      <c r="K571" s="50">
        <v>0.0</v>
      </c>
      <c r="L571" s="50">
        <v>0.0</v>
      </c>
      <c r="M571" s="50">
        <v>0.0</v>
      </c>
      <c r="N571" s="50">
        <v>0.0</v>
      </c>
      <c r="O571" s="50">
        <v>0.0</v>
      </c>
      <c r="P571" s="50">
        <v>0.0</v>
      </c>
      <c r="Q571" s="50">
        <v>0.0</v>
      </c>
      <c r="R571" s="50">
        <v>0.0</v>
      </c>
      <c r="S571" s="50">
        <v>0.0</v>
      </c>
      <c r="T571" s="50">
        <v>2.8125</v>
      </c>
      <c r="U571" s="50">
        <v>0.0</v>
      </c>
      <c r="V571" s="50">
        <v>0.0</v>
      </c>
      <c r="W571" s="50">
        <v>0.0</v>
      </c>
      <c r="X571" s="50">
        <v>2.8125</v>
      </c>
      <c r="Y571" s="50">
        <v>5.625</v>
      </c>
    </row>
    <row r="572">
      <c r="A572" s="26">
        <v>566.0</v>
      </c>
      <c r="B572" s="65">
        <v>-0.30306851172062993</v>
      </c>
      <c r="C572" s="65">
        <v>1.0636545227558534</v>
      </c>
      <c r="D572" s="65">
        <v>0.7683320573217317</v>
      </c>
      <c r="E572" s="65">
        <v>-1.7686990090006613</v>
      </c>
      <c r="F572" s="65">
        <v>3.4713613487711625</v>
      </c>
      <c r="G572" s="50">
        <v>0.0</v>
      </c>
      <c r="H572" s="50">
        <v>0.0</v>
      </c>
      <c r="I572" s="50">
        <v>0.0</v>
      </c>
      <c r="J572" s="50">
        <v>0.0</v>
      </c>
      <c r="K572" s="50">
        <v>0.0</v>
      </c>
      <c r="L572" s="50">
        <v>0.0</v>
      </c>
      <c r="M572" s="50">
        <v>0.0</v>
      </c>
      <c r="N572" s="50">
        <v>0.0</v>
      </c>
      <c r="O572" s="50">
        <v>0.0</v>
      </c>
      <c r="P572" s="50">
        <v>0.0</v>
      </c>
      <c r="Q572" s="50">
        <v>0.0</v>
      </c>
      <c r="R572" s="50">
        <v>0.0</v>
      </c>
      <c r="S572" s="50">
        <v>0.0</v>
      </c>
      <c r="T572" s="50">
        <v>2.8125</v>
      </c>
      <c r="U572" s="50">
        <v>0.0</v>
      </c>
      <c r="V572" s="50">
        <v>5.625</v>
      </c>
      <c r="W572" s="50">
        <v>0.0</v>
      </c>
      <c r="X572" s="50">
        <v>2.8125</v>
      </c>
      <c r="Y572" s="50">
        <v>11.25</v>
      </c>
    </row>
    <row r="573">
      <c r="A573" s="26">
        <v>567.0</v>
      </c>
      <c r="B573" s="65">
        <v>0.057624396739182876</v>
      </c>
      <c r="C573" s="65">
        <v>-0.683622255858229</v>
      </c>
      <c r="D573" s="65">
        <v>-1.7074362343796208</v>
      </c>
      <c r="E573" s="65">
        <v>-0.5588952263024739</v>
      </c>
      <c r="F573" s="65">
        <v>3.074325683904956</v>
      </c>
      <c r="G573" s="50">
        <v>0.0</v>
      </c>
      <c r="H573" s="50">
        <v>0.0</v>
      </c>
      <c r="I573" s="50">
        <v>0.0</v>
      </c>
      <c r="J573" s="50">
        <v>0.0</v>
      </c>
      <c r="K573" s="50">
        <v>0.0</v>
      </c>
      <c r="L573" s="50">
        <v>0.0</v>
      </c>
      <c r="M573" s="50">
        <v>0.0</v>
      </c>
      <c r="N573" s="50">
        <v>0.0</v>
      </c>
      <c r="O573" s="50">
        <v>0.0</v>
      </c>
      <c r="P573" s="50">
        <v>2.475</v>
      </c>
      <c r="Q573" s="50">
        <v>0.0</v>
      </c>
      <c r="R573" s="50">
        <v>9.9</v>
      </c>
      <c r="S573" s="50">
        <v>0.0</v>
      </c>
      <c r="T573" s="50">
        <v>2.8125</v>
      </c>
      <c r="U573" s="50">
        <v>0.0</v>
      </c>
      <c r="V573" s="50">
        <v>0.0</v>
      </c>
      <c r="W573" s="50">
        <v>0.0</v>
      </c>
      <c r="X573" s="50">
        <v>2.8125</v>
      </c>
      <c r="Y573" s="50">
        <v>18.0</v>
      </c>
    </row>
    <row r="574">
      <c r="A574" s="26">
        <v>568.0</v>
      </c>
      <c r="B574" s="65">
        <v>1.4099357329056472</v>
      </c>
      <c r="C574" s="65">
        <v>-0.13281419277425724</v>
      </c>
      <c r="D574" s="65">
        <v>0.41102015883393894</v>
      </c>
      <c r="E574" s="65">
        <v>0.8920185693242094</v>
      </c>
      <c r="F574" s="65">
        <v>13.675729260316544</v>
      </c>
      <c r="G574" s="50">
        <v>0.0</v>
      </c>
      <c r="H574" s="50">
        <v>0.0</v>
      </c>
      <c r="I574" s="50">
        <v>0.0</v>
      </c>
      <c r="J574" s="50">
        <v>0.0</v>
      </c>
      <c r="K574" s="50">
        <v>0.0</v>
      </c>
      <c r="L574" s="50">
        <v>0.0</v>
      </c>
      <c r="M574" s="50">
        <v>0.0</v>
      </c>
      <c r="N574" s="50">
        <v>0.0</v>
      </c>
      <c r="O574" s="50">
        <v>0.0</v>
      </c>
      <c r="P574" s="50">
        <v>0.0</v>
      </c>
      <c r="Q574" s="50">
        <v>0.0</v>
      </c>
      <c r="R574" s="50">
        <v>0.0</v>
      </c>
      <c r="S574" s="50">
        <v>0.0</v>
      </c>
      <c r="T574" s="50">
        <v>2.8125</v>
      </c>
      <c r="U574" s="50">
        <v>0.0</v>
      </c>
      <c r="V574" s="50">
        <v>0.0</v>
      </c>
      <c r="W574" s="50">
        <v>0.0</v>
      </c>
      <c r="X574" s="50">
        <v>2.8125</v>
      </c>
      <c r="Y574" s="50">
        <v>5.625</v>
      </c>
    </row>
    <row r="575">
      <c r="A575" s="26">
        <v>569.0</v>
      </c>
      <c r="B575" s="65">
        <v>-1.2953793150899524</v>
      </c>
      <c r="C575" s="65">
        <v>1.5635390003073493</v>
      </c>
      <c r="D575" s="65">
        <v>0.5187566855479083</v>
      </c>
      <c r="E575" s="65">
        <v>1.8832856009086945</v>
      </c>
      <c r="F575" s="65">
        <v>1.0834644986357078</v>
      </c>
      <c r="G575" s="50">
        <v>0.0</v>
      </c>
      <c r="H575" s="50">
        <v>0.0</v>
      </c>
      <c r="I575" s="50">
        <v>0.0</v>
      </c>
      <c r="J575" s="50">
        <v>0.0</v>
      </c>
      <c r="K575" s="50">
        <v>0.0</v>
      </c>
      <c r="L575" s="50">
        <v>0.0</v>
      </c>
      <c r="M575" s="50">
        <v>0.0</v>
      </c>
      <c r="N575" s="50">
        <v>0.0</v>
      </c>
      <c r="O575" s="50">
        <v>0.0</v>
      </c>
      <c r="P575" s="50">
        <v>2.475</v>
      </c>
      <c r="Q575" s="50">
        <v>0.0</v>
      </c>
      <c r="R575" s="50">
        <v>9.9</v>
      </c>
      <c r="S575" s="50">
        <v>0.0</v>
      </c>
      <c r="T575" s="50">
        <v>2.8125</v>
      </c>
      <c r="U575" s="50">
        <v>9.9</v>
      </c>
      <c r="V575" s="50">
        <v>5.625</v>
      </c>
      <c r="W575" s="50">
        <v>4.95</v>
      </c>
      <c r="X575" s="50">
        <v>2.8125</v>
      </c>
      <c r="Y575" s="50">
        <v>38.475</v>
      </c>
    </row>
    <row r="576">
      <c r="A576" s="26">
        <v>570.0</v>
      </c>
      <c r="B576" s="65">
        <v>-0.7058312529756783</v>
      </c>
      <c r="C576" s="65">
        <v>-0.48487326391927027</v>
      </c>
      <c r="D576" s="65">
        <v>-0.09377237792254137</v>
      </c>
      <c r="E576" s="65">
        <v>-0.05286669814333457</v>
      </c>
      <c r="F576" s="65">
        <v>5.235226228401786</v>
      </c>
      <c r="G576" s="50">
        <v>0.0</v>
      </c>
      <c r="H576" s="50">
        <v>0.0</v>
      </c>
      <c r="I576" s="50">
        <v>0.0</v>
      </c>
      <c r="J576" s="50">
        <v>0.0</v>
      </c>
      <c r="K576" s="50">
        <v>0.0</v>
      </c>
      <c r="L576" s="50">
        <v>0.0</v>
      </c>
      <c r="M576" s="50">
        <v>0.0</v>
      </c>
      <c r="N576" s="50">
        <v>0.0</v>
      </c>
      <c r="O576" s="50">
        <v>0.0</v>
      </c>
      <c r="P576" s="50">
        <v>0.0</v>
      </c>
      <c r="Q576" s="50">
        <v>0.0</v>
      </c>
      <c r="R576" s="50">
        <v>0.0</v>
      </c>
      <c r="S576" s="50">
        <v>0.0</v>
      </c>
      <c r="T576" s="50">
        <v>2.8125</v>
      </c>
      <c r="U576" s="50">
        <v>0.0</v>
      </c>
      <c r="V576" s="50">
        <v>0.0</v>
      </c>
      <c r="W576" s="50">
        <v>0.0</v>
      </c>
      <c r="X576" s="50">
        <v>2.8125</v>
      </c>
      <c r="Y576" s="50">
        <v>5.625</v>
      </c>
    </row>
    <row r="577">
      <c r="A577" s="26">
        <v>571.0</v>
      </c>
      <c r="B577" s="65">
        <v>0.02614330590688753</v>
      </c>
      <c r="C577" s="65">
        <v>0.5792430713300712</v>
      </c>
      <c r="D577" s="65">
        <v>-1.4489909687782625</v>
      </c>
      <c r="E577" s="65">
        <v>-0.41217554271678664</v>
      </c>
      <c r="F577" s="65">
        <v>4.12494101849548</v>
      </c>
      <c r="G577" s="50">
        <v>0.0</v>
      </c>
      <c r="H577" s="50">
        <v>0.0</v>
      </c>
      <c r="I577" s="50">
        <v>0.0</v>
      </c>
      <c r="J577" s="50">
        <v>0.0</v>
      </c>
      <c r="K577" s="50">
        <v>0.0</v>
      </c>
      <c r="L577" s="50">
        <v>0.0</v>
      </c>
      <c r="M577" s="50">
        <v>0.0</v>
      </c>
      <c r="N577" s="50">
        <v>0.0</v>
      </c>
      <c r="O577" s="50">
        <v>0.0</v>
      </c>
      <c r="P577" s="50">
        <v>0.0</v>
      </c>
      <c r="Q577" s="50">
        <v>0.0</v>
      </c>
      <c r="R577" s="50">
        <v>9.9</v>
      </c>
      <c r="S577" s="50">
        <v>0.0</v>
      </c>
      <c r="T577" s="50">
        <v>2.8125</v>
      </c>
      <c r="U577" s="50">
        <v>0.0</v>
      </c>
      <c r="V577" s="50">
        <v>0.0</v>
      </c>
      <c r="W577" s="50">
        <v>0.0</v>
      </c>
      <c r="X577" s="50">
        <v>2.8125</v>
      </c>
      <c r="Y577" s="50">
        <v>15.525</v>
      </c>
    </row>
    <row r="578">
      <c r="A578" s="26">
        <v>572.0</v>
      </c>
      <c r="B578" s="65">
        <v>-0.5974814707242708</v>
      </c>
      <c r="C578" s="65">
        <v>-2.00700670431144</v>
      </c>
      <c r="D578" s="65">
        <v>-0.18713186301747808</v>
      </c>
      <c r="E578" s="65">
        <v>1.9365637213853173</v>
      </c>
      <c r="F578" s="65">
        <v>2.7991186579958227</v>
      </c>
      <c r="G578" s="50">
        <v>0.0</v>
      </c>
      <c r="H578" s="50">
        <v>0.0</v>
      </c>
      <c r="I578" s="50">
        <v>0.0</v>
      </c>
      <c r="J578" s="50">
        <v>0.0</v>
      </c>
      <c r="K578" s="50">
        <v>0.0</v>
      </c>
      <c r="L578" s="50">
        <v>0.0</v>
      </c>
      <c r="M578" s="50">
        <v>0.0</v>
      </c>
      <c r="N578" s="50">
        <v>0.0</v>
      </c>
      <c r="O578" s="50">
        <v>0.0</v>
      </c>
      <c r="P578" s="50">
        <v>0.0</v>
      </c>
      <c r="Q578" s="50">
        <v>0.0</v>
      </c>
      <c r="R578" s="50">
        <v>9.9</v>
      </c>
      <c r="S578" s="50">
        <v>0.0</v>
      </c>
      <c r="T578" s="50">
        <v>2.8125</v>
      </c>
      <c r="U578" s="50">
        <v>0.0</v>
      </c>
      <c r="V578" s="50">
        <v>0.0</v>
      </c>
      <c r="W578" s="50">
        <v>0.0</v>
      </c>
      <c r="X578" s="50">
        <v>2.8125</v>
      </c>
      <c r="Y578" s="50">
        <v>15.525</v>
      </c>
    </row>
    <row r="579">
      <c r="A579" s="26">
        <v>573.0</v>
      </c>
      <c r="B579" s="65">
        <v>0.13127720802683626</v>
      </c>
      <c r="C579" s="65">
        <v>-0.008178791190775686</v>
      </c>
      <c r="D579" s="65">
        <v>1.3539751355158018</v>
      </c>
      <c r="E579" s="65">
        <v>-1.4963706143525464</v>
      </c>
      <c r="F579" s="65">
        <v>5.2075517505508415</v>
      </c>
      <c r="G579" s="50">
        <v>0.0</v>
      </c>
      <c r="H579" s="50">
        <v>0.0</v>
      </c>
      <c r="I579" s="50">
        <v>0.0</v>
      </c>
      <c r="J579" s="50">
        <v>0.0</v>
      </c>
      <c r="K579" s="50">
        <v>0.0</v>
      </c>
      <c r="L579" s="50">
        <v>0.0</v>
      </c>
      <c r="M579" s="50">
        <v>0.0</v>
      </c>
      <c r="N579" s="50">
        <v>0.0</v>
      </c>
      <c r="O579" s="50">
        <v>0.0</v>
      </c>
      <c r="P579" s="50">
        <v>0.0</v>
      </c>
      <c r="Q579" s="50">
        <v>0.0</v>
      </c>
      <c r="R579" s="50">
        <v>0.0</v>
      </c>
      <c r="S579" s="50">
        <v>0.0</v>
      </c>
      <c r="T579" s="50">
        <v>2.8125</v>
      </c>
      <c r="U579" s="50">
        <v>0.0</v>
      </c>
      <c r="V579" s="50">
        <v>5.625</v>
      </c>
      <c r="W579" s="50">
        <v>0.0</v>
      </c>
      <c r="X579" s="50">
        <v>2.8125</v>
      </c>
      <c r="Y579" s="50">
        <v>11.25</v>
      </c>
    </row>
    <row r="580">
      <c r="A580" s="26">
        <v>574.0</v>
      </c>
      <c r="B580" s="65">
        <v>0.618771068985074</v>
      </c>
      <c r="C580" s="65">
        <v>1.14042734288963</v>
      </c>
      <c r="D580" s="65">
        <v>-0.6516894904613552</v>
      </c>
      <c r="E580" s="65">
        <v>-0.7681874341695837</v>
      </c>
      <c r="F580" s="65">
        <v>1.5498939038630442</v>
      </c>
      <c r="G580" s="50">
        <v>0.0</v>
      </c>
      <c r="H580" s="50">
        <v>0.0</v>
      </c>
      <c r="I580" s="50">
        <v>0.0</v>
      </c>
      <c r="J580" s="50">
        <v>0.0</v>
      </c>
      <c r="K580" s="50">
        <v>0.0</v>
      </c>
      <c r="L580" s="50">
        <v>0.0</v>
      </c>
      <c r="M580" s="50">
        <v>0.0</v>
      </c>
      <c r="N580" s="50">
        <v>0.0</v>
      </c>
      <c r="O580" s="50">
        <v>0.0</v>
      </c>
      <c r="P580" s="50">
        <v>0.0</v>
      </c>
      <c r="Q580" s="50">
        <v>0.0</v>
      </c>
      <c r="R580" s="50">
        <v>0.0</v>
      </c>
      <c r="S580" s="50">
        <v>11.25</v>
      </c>
      <c r="T580" s="50">
        <v>2.8125</v>
      </c>
      <c r="U580" s="50">
        <v>9.9</v>
      </c>
      <c r="V580" s="50">
        <v>0.0</v>
      </c>
      <c r="W580" s="50">
        <v>0.0</v>
      </c>
      <c r="X580" s="50">
        <v>2.8125</v>
      </c>
      <c r="Y580" s="50">
        <v>26.775</v>
      </c>
    </row>
    <row r="581">
      <c r="A581" s="26">
        <v>575.0</v>
      </c>
      <c r="B581" s="65">
        <v>-0.6679710894907578</v>
      </c>
      <c r="C581" s="65">
        <v>-0.11410904139021054</v>
      </c>
      <c r="D581" s="65">
        <v>-1.3814317045741382</v>
      </c>
      <c r="E581" s="65">
        <v>0.019681639246296033</v>
      </c>
      <c r="F581" s="65">
        <v>1.7022306942101744</v>
      </c>
      <c r="G581" s="50">
        <v>0.0</v>
      </c>
      <c r="H581" s="50">
        <v>0.0</v>
      </c>
      <c r="I581" s="50">
        <v>0.0</v>
      </c>
      <c r="J581" s="50">
        <v>0.0</v>
      </c>
      <c r="K581" s="50">
        <v>0.0</v>
      </c>
      <c r="L581" s="50">
        <v>0.0</v>
      </c>
      <c r="M581" s="50">
        <v>0.0</v>
      </c>
      <c r="N581" s="50">
        <v>0.0</v>
      </c>
      <c r="O581" s="50">
        <v>0.0</v>
      </c>
      <c r="P581" s="50">
        <v>0.0</v>
      </c>
      <c r="Q581" s="50">
        <v>0.0</v>
      </c>
      <c r="R581" s="50">
        <v>0.0</v>
      </c>
      <c r="S581" s="50">
        <v>0.0</v>
      </c>
      <c r="T581" s="50">
        <v>2.8125</v>
      </c>
      <c r="U581" s="50">
        <v>9.9</v>
      </c>
      <c r="V581" s="50">
        <v>5.625</v>
      </c>
      <c r="W581" s="50">
        <v>0.0</v>
      </c>
      <c r="X581" s="50">
        <v>2.8125</v>
      </c>
      <c r="Y581" s="50">
        <v>21.15</v>
      </c>
    </row>
    <row r="582">
      <c r="A582" s="26">
        <v>576.0</v>
      </c>
      <c r="B582" s="65">
        <v>0.4695182247886996</v>
      </c>
      <c r="C582" s="65">
        <v>2.1508714000819023</v>
      </c>
      <c r="D582" s="65">
        <v>-0.47786540311490844</v>
      </c>
      <c r="E582" s="65">
        <v>0.5858814112084783</v>
      </c>
      <c r="F582" s="65">
        <v>5.266467938652562</v>
      </c>
      <c r="G582" s="50">
        <v>0.0</v>
      </c>
      <c r="H582" s="50">
        <v>0.0</v>
      </c>
      <c r="I582" s="50">
        <v>0.0</v>
      </c>
      <c r="J582" s="50">
        <v>0.0</v>
      </c>
      <c r="K582" s="50">
        <v>0.0</v>
      </c>
      <c r="L582" s="50">
        <v>0.0</v>
      </c>
      <c r="M582" s="50">
        <v>0.0</v>
      </c>
      <c r="N582" s="50">
        <v>0.0</v>
      </c>
      <c r="O582" s="50">
        <v>0.0</v>
      </c>
      <c r="P582" s="50">
        <v>0.0</v>
      </c>
      <c r="Q582" s="50">
        <v>0.0</v>
      </c>
      <c r="R582" s="50">
        <v>0.0</v>
      </c>
      <c r="S582" s="50">
        <v>0.0</v>
      </c>
      <c r="T582" s="50">
        <v>2.8125</v>
      </c>
      <c r="U582" s="50">
        <v>0.0</v>
      </c>
      <c r="V582" s="50">
        <v>0.0</v>
      </c>
      <c r="W582" s="50">
        <v>0.0</v>
      </c>
      <c r="X582" s="50">
        <v>2.8125</v>
      </c>
      <c r="Y582" s="50">
        <v>5.625</v>
      </c>
    </row>
    <row r="583">
      <c r="A583" s="26">
        <v>577.0</v>
      </c>
      <c r="B583" s="65">
        <v>0.5087972592588342</v>
      </c>
      <c r="C583" s="65">
        <v>1.6067827045736949</v>
      </c>
      <c r="D583" s="65">
        <v>-0.7049474103634041</v>
      </c>
      <c r="E583" s="65">
        <v>-0.5743149807486273</v>
      </c>
      <c r="F583" s="65">
        <v>3.2408727543308937</v>
      </c>
      <c r="G583" s="50">
        <v>0.0</v>
      </c>
      <c r="H583" s="50">
        <v>0.0</v>
      </c>
      <c r="I583" s="50">
        <v>0.0</v>
      </c>
      <c r="J583" s="50">
        <v>0.0</v>
      </c>
      <c r="K583" s="50">
        <v>0.0</v>
      </c>
      <c r="L583" s="50">
        <v>0.0</v>
      </c>
      <c r="M583" s="50">
        <v>0.0</v>
      </c>
      <c r="N583" s="50">
        <v>0.0</v>
      </c>
      <c r="O583" s="50">
        <v>0.0</v>
      </c>
      <c r="P583" s="50">
        <v>0.0</v>
      </c>
      <c r="Q583" s="50">
        <v>0.0</v>
      </c>
      <c r="R583" s="50">
        <v>0.0</v>
      </c>
      <c r="S583" s="50">
        <v>0.0</v>
      </c>
      <c r="T583" s="50">
        <v>2.8125</v>
      </c>
      <c r="U583" s="50">
        <v>0.0</v>
      </c>
      <c r="V583" s="50">
        <v>0.0</v>
      </c>
      <c r="W583" s="50">
        <v>0.0</v>
      </c>
      <c r="X583" s="50">
        <v>2.8125</v>
      </c>
      <c r="Y583" s="50">
        <v>5.625</v>
      </c>
    </row>
    <row r="584">
      <c r="A584" s="26">
        <v>578.0</v>
      </c>
      <c r="B584" s="65">
        <v>0.8386665016299432</v>
      </c>
      <c r="C584" s="65">
        <v>-0.20638238756072236</v>
      </c>
      <c r="D584" s="65">
        <v>-1.3429432567645416</v>
      </c>
      <c r="E584" s="65">
        <v>0.0840593752949725</v>
      </c>
      <c r="F584" s="65">
        <v>4.630642993009066</v>
      </c>
      <c r="G584" s="50">
        <v>0.0</v>
      </c>
      <c r="H584" s="50">
        <v>0.0</v>
      </c>
      <c r="I584" s="50">
        <v>0.0</v>
      </c>
      <c r="J584" s="50">
        <v>0.0</v>
      </c>
      <c r="K584" s="50">
        <v>0.0</v>
      </c>
      <c r="L584" s="50">
        <v>0.0</v>
      </c>
      <c r="M584" s="50">
        <v>0.0</v>
      </c>
      <c r="N584" s="50">
        <v>0.0</v>
      </c>
      <c r="O584" s="50">
        <v>7.425000000000001</v>
      </c>
      <c r="P584" s="50">
        <v>0.0</v>
      </c>
      <c r="Q584" s="50">
        <v>0.0</v>
      </c>
      <c r="R584" s="50">
        <v>0.0</v>
      </c>
      <c r="S584" s="50">
        <v>0.0</v>
      </c>
      <c r="T584" s="50">
        <v>2.8125</v>
      </c>
      <c r="U584" s="50">
        <v>0.0</v>
      </c>
      <c r="V584" s="50">
        <v>0.0</v>
      </c>
      <c r="W584" s="50">
        <v>0.0</v>
      </c>
      <c r="X584" s="50">
        <v>2.8125</v>
      </c>
      <c r="Y584" s="50">
        <v>13.05</v>
      </c>
    </row>
    <row r="585">
      <c r="A585" s="26">
        <v>579.0</v>
      </c>
      <c r="B585" s="65">
        <v>-0.7296137113650024</v>
      </c>
      <c r="C585" s="65">
        <v>-1.8018915784935312</v>
      </c>
      <c r="D585" s="65">
        <v>0.7594453746898973</v>
      </c>
      <c r="E585" s="65">
        <v>1.3591623496908087</v>
      </c>
      <c r="F585" s="65">
        <v>3.3415305775221285</v>
      </c>
      <c r="G585" s="50">
        <v>0.0</v>
      </c>
      <c r="H585" s="50">
        <v>0.0</v>
      </c>
      <c r="I585" s="50">
        <v>0.0</v>
      </c>
      <c r="J585" s="50">
        <v>0.0</v>
      </c>
      <c r="K585" s="50">
        <v>0.0</v>
      </c>
      <c r="L585" s="50">
        <v>0.0</v>
      </c>
      <c r="M585" s="50">
        <v>0.0</v>
      </c>
      <c r="N585" s="50">
        <v>0.0</v>
      </c>
      <c r="O585" s="50">
        <v>0.0</v>
      </c>
      <c r="P585" s="50">
        <v>2.475</v>
      </c>
      <c r="Q585" s="50">
        <v>0.0</v>
      </c>
      <c r="R585" s="50">
        <v>0.0</v>
      </c>
      <c r="S585" s="50">
        <v>0.0</v>
      </c>
      <c r="T585" s="50">
        <v>2.8125</v>
      </c>
      <c r="U585" s="50">
        <v>0.0</v>
      </c>
      <c r="V585" s="50">
        <v>5.625</v>
      </c>
      <c r="W585" s="50">
        <v>0.0</v>
      </c>
      <c r="X585" s="50">
        <v>2.8125</v>
      </c>
      <c r="Y585" s="50">
        <v>13.725</v>
      </c>
    </row>
    <row r="586">
      <c r="A586" s="26">
        <v>580.0</v>
      </c>
      <c r="B586" s="65">
        <v>0.21515364604283918</v>
      </c>
      <c r="C586" s="65">
        <v>0.19581001439277565</v>
      </c>
      <c r="D586" s="65">
        <v>0.3721318170360566</v>
      </c>
      <c r="E586" s="65">
        <v>-0.4992887984472334</v>
      </c>
      <c r="F586" s="65">
        <v>9.128261297527576</v>
      </c>
      <c r="G586" s="50">
        <v>0.0</v>
      </c>
      <c r="H586" s="50">
        <v>0.0</v>
      </c>
      <c r="I586" s="50">
        <v>0.0</v>
      </c>
      <c r="J586" s="50">
        <v>0.0</v>
      </c>
      <c r="K586" s="50">
        <v>0.0</v>
      </c>
      <c r="L586" s="50">
        <v>0.0</v>
      </c>
      <c r="M586" s="50">
        <v>0.0</v>
      </c>
      <c r="N586" s="50">
        <v>0.0</v>
      </c>
      <c r="O586" s="50">
        <v>0.0</v>
      </c>
      <c r="P586" s="50">
        <v>0.0</v>
      </c>
      <c r="Q586" s="50">
        <v>0.0</v>
      </c>
      <c r="R586" s="50">
        <v>0.0</v>
      </c>
      <c r="S586" s="50">
        <v>0.0</v>
      </c>
      <c r="T586" s="50">
        <v>2.8125</v>
      </c>
      <c r="U586" s="50">
        <v>0.0</v>
      </c>
      <c r="V586" s="50">
        <v>5.625</v>
      </c>
      <c r="W586" s="50">
        <v>0.0</v>
      </c>
      <c r="X586" s="50">
        <v>2.8125</v>
      </c>
      <c r="Y586" s="50">
        <v>11.25</v>
      </c>
    </row>
    <row r="587">
      <c r="A587" s="26">
        <v>581.0</v>
      </c>
      <c r="B587" s="65">
        <v>-1.8990416650160504</v>
      </c>
      <c r="C587" s="65">
        <v>-0.17444231358955167</v>
      </c>
      <c r="D587" s="65">
        <v>-1.6049868877364826</v>
      </c>
      <c r="E587" s="65">
        <v>-0.5789927049153681</v>
      </c>
      <c r="F587" s="65">
        <v>4.9797294635039595</v>
      </c>
      <c r="G587" s="50">
        <v>0.0</v>
      </c>
      <c r="H587" s="50">
        <v>0.0</v>
      </c>
      <c r="I587" s="50">
        <v>0.0</v>
      </c>
      <c r="J587" s="50">
        <v>0.0</v>
      </c>
      <c r="K587" s="50">
        <v>0.0</v>
      </c>
      <c r="L587" s="50">
        <v>0.0</v>
      </c>
      <c r="M587" s="50">
        <v>0.0</v>
      </c>
      <c r="N587" s="50">
        <v>0.0</v>
      </c>
      <c r="O587" s="50">
        <v>0.0</v>
      </c>
      <c r="P587" s="50">
        <v>0.0</v>
      </c>
      <c r="Q587" s="50">
        <v>0.0</v>
      </c>
      <c r="R587" s="50">
        <v>9.9</v>
      </c>
      <c r="S587" s="50">
        <v>0.0</v>
      </c>
      <c r="T587" s="50">
        <v>2.8125</v>
      </c>
      <c r="U587" s="50">
        <v>0.0</v>
      </c>
      <c r="V587" s="50">
        <v>5.625</v>
      </c>
      <c r="W587" s="50">
        <v>4.95</v>
      </c>
      <c r="X587" s="50">
        <v>2.8125</v>
      </c>
      <c r="Y587" s="50">
        <v>26.099999999999998</v>
      </c>
    </row>
    <row r="588">
      <c r="A588" s="26">
        <v>582.0</v>
      </c>
      <c r="B588" s="65">
        <v>-0.6915024099639554</v>
      </c>
      <c r="C588" s="65">
        <v>-0.031364870306235505</v>
      </c>
      <c r="D588" s="65">
        <v>-0.6251586594646944</v>
      </c>
      <c r="E588" s="65">
        <v>0.9928329586258873</v>
      </c>
      <c r="F588" s="65">
        <v>4.749252884125429</v>
      </c>
      <c r="G588" s="50">
        <v>0.0</v>
      </c>
      <c r="H588" s="50">
        <v>0.0</v>
      </c>
      <c r="I588" s="50">
        <v>0.0</v>
      </c>
      <c r="J588" s="50">
        <v>0.0</v>
      </c>
      <c r="K588" s="50">
        <v>0.0</v>
      </c>
      <c r="L588" s="50">
        <v>0.0</v>
      </c>
      <c r="M588" s="50">
        <v>0.0</v>
      </c>
      <c r="N588" s="50">
        <v>0.0</v>
      </c>
      <c r="O588" s="50">
        <v>7.425000000000001</v>
      </c>
      <c r="P588" s="50">
        <v>0.0</v>
      </c>
      <c r="Q588" s="50">
        <v>0.0</v>
      </c>
      <c r="R588" s="50">
        <v>0.0</v>
      </c>
      <c r="S588" s="50">
        <v>0.0</v>
      </c>
      <c r="T588" s="50">
        <v>2.8125</v>
      </c>
      <c r="U588" s="50">
        <v>0.0</v>
      </c>
      <c r="V588" s="50">
        <v>5.625</v>
      </c>
      <c r="W588" s="50">
        <v>0.0</v>
      </c>
      <c r="X588" s="50">
        <v>2.8125</v>
      </c>
      <c r="Y588" s="50">
        <v>18.675</v>
      </c>
    </row>
    <row r="589">
      <c r="A589" s="26">
        <v>583.0</v>
      </c>
      <c r="B589" s="65">
        <v>1.0663290549659603</v>
      </c>
      <c r="C589" s="65">
        <v>0.8790897185002908</v>
      </c>
      <c r="D589" s="65">
        <v>-0.35517188190739496</v>
      </c>
      <c r="E589" s="65">
        <v>-0.7684509335823989</v>
      </c>
      <c r="F589" s="65">
        <v>6.8176394356390135</v>
      </c>
      <c r="G589" s="50">
        <v>0.0</v>
      </c>
      <c r="H589" s="50">
        <v>0.0</v>
      </c>
      <c r="I589" s="50">
        <v>0.0</v>
      </c>
      <c r="J589" s="50">
        <v>0.0</v>
      </c>
      <c r="K589" s="50">
        <v>0.0</v>
      </c>
      <c r="L589" s="50">
        <v>0.0</v>
      </c>
      <c r="M589" s="50">
        <v>0.0</v>
      </c>
      <c r="N589" s="50">
        <v>0.0</v>
      </c>
      <c r="O589" s="50">
        <v>0.0</v>
      </c>
      <c r="P589" s="50">
        <v>0.0</v>
      </c>
      <c r="Q589" s="50">
        <v>0.0</v>
      </c>
      <c r="R589" s="50">
        <v>0.0</v>
      </c>
      <c r="S589" s="50">
        <v>0.0</v>
      </c>
      <c r="T589" s="50">
        <v>2.8125</v>
      </c>
      <c r="U589" s="50">
        <v>0.0</v>
      </c>
      <c r="V589" s="50">
        <v>0.0</v>
      </c>
      <c r="W589" s="50">
        <v>0.0</v>
      </c>
      <c r="X589" s="50">
        <v>2.8125</v>
      </c>
      <c r="Y589" s="50">
        <v>5.625</v>
      </c>
    </row>
    <row r="590">
      <c r="A590" s="26">
        <v>584.0</v>
      </c>
      <c r="B590" s="65">
        <v>-0.5659755471479524</v>
      </c>
      <c r="C590" s="65">
        <v>0.9529970247591375</v>
      </c>
      <c r="D590" s="65">
        <v>-0.8243851318064085</v>
      </c>
      <c r="E590" s="65">
        <v>-0.3431340942741978</v>
      </c>
      <c r="F590" s="65">
        <v>1.0316976484859572</v>
      </c>
      <c r="G590" s="50">
        <v>0.0</v>
      </c>
      <c r="H590" s="50">
        <v>0.0</v>
      </c>
      <c r="I590" s="50">
        <v>0.0</v>
      </c>
      <c r="J590" s="50">
        <v>0.0</v>
      </c>
      <c r="K590" s="50">
        <v>0.0</v>
      </c>
      <c r="L590" s="50">
        <v>0.0</v>
      </c>
      <c r="M590" s="50">
        <v>0.0</v>
      </c>
      <c r="N590" s="50">
        <v>0.0</v>
      </c>
      <c r="O590" s="50">
        <v>0.0</v>
      </c>
      <c r="P590" s="50">
        <v>0.0</v>
      </c>
      <c r="Q590" s="50">
        <v>0.0</v>
      </c>
      <c r="R590" s="50">
        <v>9.9</v>
      </c>
      <c r="S590" s="50">
        <v>0.0</v>
      </c>
      <c r="T590" s="50">
        <v>2.8125</v>
      </c>
      <c r="U590" s="50">
        <v>9.9</v>
      </c>
      <c r="V590" s="50">
        <v>5.625</v>
      </c>
      <c r="W590" s="50">
        <v>0.0</v>
      </c>
      <c r="X590" s="50">
        <v>2.8125</v>
      </c>
      <c r="Y590" s="50">
        <v>31.05</v>
      </c>
    </row>
    <row r="591">
      <c r="A591" s="26">
        <v>585.0</v>
      </c>
      <c r="B591" s="65">
        <v>-2.05138590631858</v>
      </c>
      <c r="C591" s="65">
        <v>0.6979490115762191</v>
      </c>
      <c r="D591" s="65">
        <v>-2.5754037032263</v>
      </c>
      <c r="E591" s="65">
        <v>-1.0105840848035559</v>
      </c>
      <c r="F591" s="65">
        <v>1.8722171412464461</v>
      </c>
      <c r="G591" s="50">
        <v>0.0</v>
      </c>
      <c r="H591" s="50">
        <v>0.0</v>
      </c>
      <c r="I591" s="50">
        <v>0.0</v>
      </c>
      <c r="J591" s="50">
        <v>0.0</v>
      </c>
      <c r="K591" s="50">
        <v>0.0</v>
      </c>
      <c r="L591" s="50">
        <v>0.0</v>
      </c>
      <c r="M591" s="50">
        <v>0.0</v>
      </c>
      <c r="N591" s="50">
        <v>0.0</v>
      </c>
      <c r="O591" s="50">
        <v>7.425000000000001</v>
      </c>
      <c r="P591" s="50">
        <v>2.475</v>
      </c>
      <c r="Q591" s="50">
        <v>0.0</v>
      </c>
      <c r="R591" s="50">
        <v>9.9</v>
      </c>
      <c r="S591" s="50">
        <v>11.25</v>
      </c>
      <c r="T591" s="50">
        <v>2.8125</v>
      </c>
      <c r="U591" s="50">
        <v>9.9</v>
      </c>
      <c r="V591" s="50">
        <v>5.625</v>
      </c>
      <c r="W591" s="50">
        <v>4.95</v>
      </c>
      <c r="X591" s="50">
        <v>2.8125</v>
      </c>
      <c r="Y591" s="50">
        <v>57.15</v>
      </c>
    </row>
    <row r="592">
      <c r="A592" s="26">
        <v>586.0</v>
      </c>
      <c r="B592" s="65">
        <v>-0.8485334124241254</v>
      </c>
      <c r="C592" s="65">
        <v>-0.9046160020442927</v>
      </c>
      <c r="D592" s="65">
        <v>1.8073581242704984</v>
      </c>
      <c r="E592" s="65">
        <v>-0.9109492568103592</v>
      </c>
      <c r="F592" s="65">
        <v>3.0977279851414243</v>
      </c>
      <c r="G592" s="50">
        <v>0.0</v>
      </c>
      <c r="H592" s="50">
        <v>0.0</v>
      </c>
      <c r="I592" s="50">
        <v>0.0</v>
      </c>
      <c r="J592" s="50">
        <v>0.0</v>
      </c>
      <c r="K592" s="50">
        <v>0.0</v>
      </c>
      <c r="L592" s="50">
        <v>0.0</v>
      </c>
      <c r="M592" s="50">
        <v>0.0</v>
      </c>
      <c r="N592" s="50">
        <v>0.0</v>
      </c>
      <c r="O592" s="50">
        <v>7.425000000000001</v>
      </c>
      <c r="P592" s="50">
        <v>0.0</v>
      </c>
      <c r="Q592" s="50">
        <v>0.0</v>
      </c>
      <c r="R592" s="50">
        <v>0.0</v>
      </c>
      <c r="S592" s="50">
        <v>0.0</v>
      </c>
      <c r="T592" s="50">
        <v>2.8125</v>
      </c>
      <c r="U592" s="50">
        <v>0.0</v>
      </c>
      <c r="V592" s="50">
        <v>5.625</v>
      </c>
      <c r="W592" s="50">
        <v>0.0</v>
      </c>
      <c r="X592" s="50">
        <v>2.8125</v>
      </c>
      <c r="Y592" s="50">
        <v>18.675</v>
      </c>
    </row>
    <row r="593">
      <c r="A593" s="26">
        <v>587.0</v>
      </c>
      <c r="B593" s="65">
        <v>2.0837554327955834</v>
      </c>
      <c r="C593" s="65">
        <v>0.3561923452833312</v>
      </c>
      <c r="D593" s="65">
        <v>0.8875301963285857</v>
      </c>
      <c r="E593" s="65">
        <v>-0.951612199272531</v>
      </c>
      <c r="F593" s="65">
        <v>2.8320891756958133</v>
      </c>
      <c r="G593" s="50">
        <v>0.0</v>
      </c>
      <c r="H593" s="50">
        <v>0.0</v>
      </c>
      <c r="I593" s="50">
        <v>0.0</v>
      </c>
      <c r="J593" s="50">
        <v>0.0</v>
      </c>
      <c r="K593" s="50">
        <v>0.0</v>
      </c>
      <c r="L593" s="50">
        <v>0.0</v>
      </c>
      <c r="M593" s="50">
        <v>0.0</v>
      </c>
      <c r="N593" s="50">
        <v>0.0</v>
      </c>
      <c r="O593" s="50">
        <v>0.0</v>
      </c>
      <c r="P593" s="50">
        <v>0.0</v>
      </c>
      <c r="Q593" s="50">
        <v>0.0</v>
      </c>
      <c r="R593" s="50">
        <v>0.0</v>
      </c>
      <c r="S593" s="50">
        <v>0.0</v>
      </c>
      <c r="T593" s="50">
        <v>2.8125</v>
      </c>
      <c r="U593" s="50">
        <v>0.0</v>
      </c>
      <c r="V593" s="50">
        <v>0.0</v>
      </c>
      <c r="W593" s="50">
        <v>0.0</v>
      </c>
      <c r="X593" s="50">
        <v>2.8125</v>
      </c>
      <c r="Y593" s="50">
        <v>5.625</v>
      </c>
    </row>
    <row r="594">
      <c r="A594" s="26">
        <v>588.0</v>
      </c>
      <c r="B594" s="65">
        <v>0.23618529567940177</v>
      </c>
      <c r="C594" s="65">
        <v>-1.0703508269058053</v>
      </c>
      <c r="D594" s="65">
        <v>-0.5587174278061161</v>
      </c>
      <c r="E594" s="65">
        <v>-0.9131440912826833</v>
      </c>
      <c r="F594" s="65">
        <v>5.99647140464065</v>
      </c>
      <c r="G594" s="50">
        <v>0.0</v>
      </c>
      <c r="H594" s="50">
        <v>0.0</v>
      </c>
      <c r="I594" s="50">
        <v>0.0</v>
      </c>
      <c r="J594" s="50">
        <v>0.0</v>
      </c>
      <c r="K594" s="50">
        <v>0.0</v>
      </c>
      <c r="L594" s="50">
        <v>0.0</v>
      </c>
      <c r="M594" s="50">
        <v>0.0</v>
      </c>
      <c r="N594" s="50">
        <v>0.0</v>
      </c>
      <c r="O594" s="50">
        <v>0.0</v>
      </c>
      <c r="P594" s="50">
        <v>0.0</v>
      </c>
      <c r="Q594" s="50">
        <v>0.0</v>
      </c>
      <c r="R594" s="50">
        <v>0.0</v>
      </c>
      <c r="S594" s="50">
        <v>0.0</v>
      </c>
      <c r="T594" s="50">
        <v>2.8125</v>
      </c>
      <c r="U594" s="50">
        <v>0.0</v>
      </c>
      <c r="V594" s="50">
        <v>0.0</v>
      </c>
      <c r="W594" s="50">
        <v>0.0</v>
      </c>
      <c r="X594" s="50">
        <v>2.8125</v>
      </c>
      <c r="Y594" s="50">
        <v>5.625</v>
      </c>
    </row>
    <row r="595">
      <c r="A595" s="26">
        <v>589.0</v>
      </c>
      <c r="B595" s="65">
        <v>0.7773123997672761</v>
      </c>
      <c r="C595" s="65">
        <v>-0.1670524122800311</v>
      </c>
      <c r="D595" s="65">
        <v>-1.6032482838882267</v>
      </c>
      <c r="E595" s="65">
        <v>1.0101862205076573</v>
      </c>
      <c r="F595" s="65">
        <v>1.825955531886381</v>
      </c>
      <c r="G595" s="50">
        <v>0.0</v>
      </c>
      <c r="H595" s="50">
        <v>0.0</v>
      </c>
      <c r="I595" s="50">
        <v>0.0</v>
      </c>
      <c r="J595" s="50">
        <v>0.0</v>
      </c>
      <c r="K595" s="50">
        <v>0.0</v>
      </c>
      <c r="L595" s="50">
        <v>0.0</v>
      </c>
      <c r="M595" s="50">
        <v>0.0</v>
      </c>
      <c r="N595" s="50">
        <v>0.0</v>
      </c>
      <c r="O595" s="50">
        <v>0.0</v>
      </c>
      <c r="P595" s="50">
        <v>0.0</v>
      </c>
      <c r="Q595" s="50">
        <v>0.0</v>
      </c>
      <c r="R595" s="50">
        <v>0.0</v>
      </c>
      <c r="S595" s="50">
        <v>0.0</v>
      </c>
      <c r="T595" s="50">
        <v>2.8125</v>
      </c>
      <c r="U595" s="50">
        <v>0.0</v>
      </c>
      <c r="V595" s="50">
        <v>0.0</v>
      </c>
      <c r="W595" s="50">
        <v>0.0</v>
      </c>
      <c r="X595" s="50">
        <v>2.8125</v>
      </c>
      <c r="Y595" s="50">
        <v>5.625</v>
      </c>
    </row>
    <row r="596">
      <c r="A596" s="26">
        <v>590.0</v>
      </c>
      <c r="B596" s="65">
        <v>0.31904453951686157</v>
      </c>
      <c r="C596" s="65">
        <v>1.726887992041459</v>
      </c>
      <c r="D596" s="65">
        <v>-0.09819637952245436</v>
      </c>
      <c r="E596" s="65">
        <v>0.7469067907122804</v>
      </c>
      <c r="F596" s="65">
        <v>6.645381083008424</v>
      </c>
      <c r="G596" s="50">
        <v>0.0</v>
      </c>
      <c r="H596" s="50">
        <v>0.0</v>
      </c>
      <c r="I596" s="50">
        <v>0.0</v>
      </c>
      <c r="J596" s="50">
        <v>0.0</v>
      </c>
      <c r="K596" s="50">
        <v>0.0</v>
      </c>
      <c r="L596" s="50">
        <v>0.0</v>
      </c>
      <c r="M596" s="50">
        <v>0.0</v>
      </c>
      <c r="N596" s="50">
        <v>0.0</v>
      </c>
      <c r="O596" s="50">
        <v>0.0</v>
      </c>
      <c r="P596" s="50">
        <v>0.0</v>
      </c>
      <c r="Q596" s="50">
        <v>0.0</v>
      </c>
      <c r="R596" s="50">
        <v>0.0</v>
      </c>
      <c r="S596" s="50">
        <v>0.0</v>
      </c>
      <c r="T596" s="50">
        <v>2.8125</v>
      </c>
      <c r="U596" s="50">
        <v>0.0</v>
      </c>
      <c r="V596" s="50">
        <v>5.625</v>
      </c>
      <c r="W596" s="50">
        <v>0.0</v>
      </c>
      <c r="X596" s="50">
        <v>2.8125</v>
      </c>
      <c r="Y596" s="50">
        <v>11.25</v>
      </c>
    </row>
    <row r="597">
      <c r="A597" s="26">
        <v>591.0</v>
      </c>
      <c r="B597" s="65">
        <v>0.0431355445182509</v>
      </c>
      <c r="C597" s="65">
        <v>-1.1222052893950316</v>
      </c>
      <c r="D597" s="65">
        <v>1.112071433789393</v>
      </c>
      <c r="E597" s="65">
        <v>0.9055696617516173</v>
      </c>
      <c r="F597" s="65">
        <v>2.740466433617173</v>
      </c>
      <c r="G597" s="50">
        <v>0.0</v>
      </c>
      <c r="H597" s="50">
        <v>0.0</v>
      </c>
      <c r="I597" s="50">
        <v>0.0</v>
      </c>
      <c r="J597" s="50">
        <v>0.0</v>
      </c>
      <c r="K597" s="50">
        <v>0.0</v>
      </c>
      <c r="L597" s="50">
        <v>0.0</v>
      </c>
      <c r="M597" s="50">
        <v>0.0</v>
      </c>
      <c r="N597" s="50">
        <v>0.0</v>
      </c>
      <c r="O597" s="50">
        <v>0.0</v>
      </c>
      <c r="P597" s="50">
        <v>0.0</v>
      </c>
      <c r="Q597" s="50">
        <v>0.0</v>
      </c>
      <c r="R597" s="50">
        <v>0.0</v>
      </c>
      <c r="S597" s="50">
        <v>0.0</v>
      </c>
      <c r="T597" s="50">
        <v>2.8125</v>
      </c>
      <c r="U597" s="50">
        <v>0.0</v>
      </c>
      <c r="V597" s="50">
        <v>0.0</v>
      </c>
      <c r="W597" s="50">
        <v>0.0</v>
      </c>
      <c r="X597" s="50">
        <v>2.8125</v>
      </c>
      <c r="Y597" s="50">
        <v>5.625</v>
      </c>
    </row>
    <row r="598">
      <c r="A598" s="26">
        <v>592.0</v>
      </c>
      <c r="B598" s="65">
        <v>-1.3755893072440668</v>
      </c>
      <c r="C598" s="65">
        <v>-1.1378581245211643</v>
      </c>
      <c r="D598" s="65">
        <v>0.016267787139981293</v>
      </c>
      <c r="E598" s="65">
        <v>-0.6653615847580628</v>
      </c>
      <c r="F598" s="65">
        <v>7.363366994499737</v>
      </c>
      <c r="G598" s="50">
        <v>0.0</v>
      </c>
      <c r="H598" s="50">
        <v>0.0</v>
      </c>
      <c r="I598" s="50">
        <v>0.0</v>
      </c>
      <c r="J598" s="50">
        <v>0.0</v>
      </c>
      <c r="K598" s="50">
        <v>0.0</v>
      </c>
      <c r="L598" s="50">
        <v>0.0</v>
      </c>
      <c r="M598" s="50">
        <v>0.0</v>
      </c>
      <c r="N598" s="50">
        <v>0.0</v>
      </c>
      <c r="O598" s="50">
        <v>7.425000000000001</v>
      </c>
      <c r="P598" s="50">
        <v>0.0</v>
      </c>
      <c r="Q598" s="50">
        <v>0.0</v>
      </c>
      <c r="R598" s="50">
        <v>0.0</v>
      </c>
      <c r="S598" s="50">
        <v>0.0</v>
      </c>
      <c r="T598" s="50">
        <v>2.8125</v>
      </c>
      <c r="U598" s="50">
        <v>0.0</v>
      </c>
      <c r="V598" s="50">
        <v>5.625</v>
      </c>
      <c r="W598" s="50">
        <v>0.0</v>
      </c>
      <c r="X598" s="50">
        <v>2.8125</v>
      </c>
      <c r="Y598" s="50">
        <v>18.675</v>
      </c>
    </row>
    <row r="599">
      <c r="A599" s="26">
        <v>593.0</v>
      </c>
      <c r="B599" s="65">
        <v>0.03382162362082092</v>
      </c>
      <c r="C599" s="65">
        <v>1.634269577118294</v>
      </c>
      <c r="D599" s="65">
        <v>1.6693705990137537</v>
      </c>
      <c r="E599" s="65">
        <v>0.4851895288129426</v>
      </c>
      <c r="F599" s="65">
        <v>4.928980082846641</v>
      </c>
      <c r="G599" s="50">
        <v>0.0</v>
      </c>
      <c r="H599" s="50">
        <v>0.0</v>
      </c>
      <c r="I599" s="50">
        <v>0.0</v>
      </c>
      <c r="J599" s="50">
        <v>0.0</v>
      </c>
      <c r="K599" s="50">
        <v>0.0</v>
      </c>
      <c r="L599" s="50">
        <v>0.0</v>
      </c>
      <c r="M599" s="50">
        <v>0.0</v>
      </c>
      <c r="N599" s="50">
        <v>0.0</v>
      </c>
      <c r="O599" s="50">
        <v>0.0</v>
      </c>
      <c r="P599" s="50">
        <v>0.0</v>
      </c>
      <c r="Q599" s="50">
        <v>0.0</v>
      </c>
      <c r="R599" s="50">
        <v>0.0</v>
      </c>
      <c r="S599" s="50">
        <v>0.0</v>
      </c>
      <c r="T599" s="50">
        <v>2.8125</v>
      </c>
      <c r="U599" s="50">
        <v>0.0</v>
      </c>
      <c r="V599" s="50">
        <v>5.625</v>
      </c>
      <c r="W599" s="50">
        <v>0.0</v>
      </c>
      <c r="X599" s="50">
        <v>2.8125</v>
      </c>
      <c r="Y599" s="50">
        <v>11.25</v>
      </c>
    </row>
    <row r="600">
      <c r="A600" s="26">
        <v>594.0</v>
      </c>
      <c r="B600" s="65">
        <v>-1.5084032153071245</v>
      </c>
      <c r="C600" s="65">
        <v>-1.132493430032407</v>
      </c>
      <c r="D600" s="65">
        <v>0.10200091299701361</v>
      </c>
      <c r="E600" s="65">
        <v>-0.6660143421412223</v>
      </c>
      <c r="F600" s="65">
        <v>10.460370163323335</v>
      </c>
      <c r="G600" s="50">
        <v>0.0</v>
      </c>
      <c r="H600" s="50">
        <v>0.0</v>
      </c>
      <c r="I600" s="50">
        <v>0.0</v>
      </c>
      <c r="J600" s="50">
        <v>0.0</v>
      </c>
      <c r="K600" s="50">
        <v>0.0</v>
      </c>
      <c r="L600" s="50">
        <v>0.0</v>
      </c>
      <c r="M600" s="50">
        <v>0.0</v>
      </c>
      <c r="N600" s="50">
        <v>0.0</v>
      </c>
      <c r="O600" s="50">
        <v>0.0</v>
      </c>
      <c r="P600" s="50">
        <v>0.0</v>
      </c>
      <c r="Q600" s="50">
        <v>0.0</v>
      </c>
      <c r="R600" s="50">
        <v>0.0</v>
      </c>
      <c r="S600" s="50">
        <v>0.0</v>
      </c>
      <c r="T600" s="50">
        <v>2.8125</v>
      </c>
      <c r="U600" s="50">
        <v>0.0</v>
      </c>
      <c r="V600" s="50">
        <v>5.625</v>
      </c>
      <c r="W600" s="50">
        <v>0.0</v>
      </c>
      <c r="X600" s="50">
        <v>2.8125</v>
      </c>
      <c r="Y600" s="50">
        <v>11.25</v>
      </c>
    </row>
    <row r="601">
      <c r="A601" s="26">
        <v>595.0</v>
      </c>
      <c r="B601" s="65">
        <v>0.9680108691068187</v>
      </c>
      <c r="C601" s="65">
        <v>0.9736400327247766</v>
      </c>
      <c r="D601" s="65">
        <v>0.7505738721255454</v>
      </c>
      <c r="E601" s="65">
        <v>-1.225510143031917</v>
      </c>
      <c r="F601" s="65">
        <v>1.7708278672059854</v>
      </c>
      <c r="G601" s="50">
        <v>0.0</v>
      </c>
      <c r="H601" s="50">
        <v>0.0</v>
      </c>
      <c r="I601" s="50">
        <v>0.0</v>
      </c>
      <c r="J601" s="50">
        <v>0.0</v>
      </c>
      <c r="K601" s="50">
        <v>0.0</v>
      </c>
      <c r="L601" s="50">
        <v>0.0</v>
      </c>
      <c r="M601" s="50">
        <v>0.0</v>
      </c>
      <c r="N601" s="50">
        <v>0.0</v>
      </c>
      <c r="O601" s="50">
        <v>0.0</v>
      </c>
      <c r="P601" s="50">
        <v>0.0</v>
      </c>
      <c r="Q601" s="50">
        <v>0.0</v>
      </c>
      <c r="R601" s="50">
        <v>0.0</v>
      </c>
      <c r="S601" s="50">
        <v>0.0</v>
      </c>
      <c r="T601" s="50">
        <v>2.8125</v>
      </c>
      <c r="U601" s="50">
        <v>0.0</v>
      </c>
      <c r="V601" s="50">
        <v>0.0</v>
      </c>
      <c r="W601" s="50">
        <v>0.0</v>
      </c>
      <c r="X601" s="50">
        <v>2.8125</v>
      </c>
      <c r="Y601" s="50">
        <v>5.625</v>
      </c>
    </row>
    <row r="602">
      <c r="A602" s="26">
        <v>596.0</v>
      </c>
      <c r="B602" s="65">
        <v>0.001152950026537887</v>
      </c>
      <c r="C602" s="65">
        <v>-0.5572833474511083</v>
      </c>
      <c r="D602" s="65">
        <v>0.9858282791678975</v>
      </c>
      <c r="E602" s="65">
        <v>-0.7356978758763274</v>
      </c>
      <c r="F602" s="65">
        <v>8.20347686766285</v>
      </c>
      <c r="G602" s="50">
        <v>0.0</v>
      </c>
      <c r="H602" s="50">
        <v>0.0</v>
      </c>
      <c r="I602" s="50">
        <v>0.0</v>
      </c>
      <c r="J602" s="50">
        <v>0.0</v>
      </c>
      <c r="K602" s="50">
        <v>0.0</v>
      </c>
      <c r="L602" s="50">
        <v>0.0</v>
      </c>
      <c r="M602" s="50">
        <v>0.0</v>
      </c>
      <c r="N602" s="50">
        <v>0.0</v>
      </c>
      <c r="O602" s="50">
        <v>0.0</v>
      </c>
      <c r="P602" s="50">
        <v>0.0</v>
      </c>
      <c r="Q602" s="50">
        <v>0.0</v>
      </c>
      <c r="R602" s="50">
        <v>0.0</v>
      </c>
      <c r="S602" s="50">
        <v>0.0</v>
      </c>
      <c r="T602" s="50">
        <v>2.8125</v>
      </c>
      <c r="U602" s="50">
        <v>0.0</v>
      </c>
      <c r="V602" s="50">
        <v>0.0</v>
      </c>
      <c r="W602" s="50">
        <v>4.95</v>
      </c>
      <c r="X602" s="50">
        <v>2.8125</v>
      </c>
      <c r="Y602" s="50">
        <v>10.575</v>
      </c>
    </row>
    <row r="603">
      <c r="A603" s="26">
        <v>597.0</v>
      </c>
      <c r="B603" s="65">
        <v>-0.2656931362878094</v>
      </c>
      <c r="C603" s="65">
        <v>-0.8640816986019981</v>
      </c>
      <c r="D603" s="65">
        <v>0.7963072425772358</v>
      </c>
      <c r="E603" s="65">
        <v>-1.4771630197519545</v>
      </c>
      <c r="F603" s="65">
        <v>10.695355449929213</v>
      </c>
      <c r="G603" s="50">
        <v>0.0</v>
      </c>
      <c r="H603" s="50">
        <v>0.0</v>
      </c>
      <c r="I603" s="50">
        <v>0.0</v>
      </c>
      <c r="J603" s="50">
        <v>0.0</v>
      </c>
      <c r="K603" s="50">
        <v>0.0</v>
      </c>
      <c r="L603" s="50">
        <v>0.0</v>
      </c>
      <c r="M603" s="50">
        <v>0.0</v>
      </c>
      <c r="N603" s="50">
        <v>0.0</v>
      </c>
      <c r="O603" s="50">
        <v>0.0</v>
      </c>
      <c r="P603" s="50">
        <v>0.0</v>
      </c>
      <c r="Q603" s="50">
        <v>0.0</v>
      </c>
      <c r="R603" s="50">
        <v>0.0</v>
      </c>
      <c r="S603" s="50">
        <v>0.0</v>
      </c>
      <c r="T603" s="50">
        <v>2.8125</v>
      </c>
      <c r="U603" s="50">
        <v>0.0</v>
      </c>
      <c r="V603" s="50">
        <v>0.0</v>
      </c>
      <c r="W603" s="50">
        <v>0.0</v>
      </c>
      <c r="X603" s="50">
        <v>2.8125</v>
      </c>
      <c r="Y603" s="50">
        <v>5.625</v>
      </c>
    </row>
    <row r="604">
      <c r="A604" s="26">
        <v>598.0</v>
      </c>
      <c r="B604" s="65">
        <v>-0.7226419114417134</v>
      </c>
      <c r="C604" s="65">
        <v>0.11430427019835436</v>
      </c>
      <c r="D604" s="65">
        <v>-1.0922684148729622</v>
      </c>
      <c r="E604" s="65">
        <v>-0.07818525275941131</v>
      </c>
      <c r="F604" s="65">
        <v>6.277108794758933</v>
      </c>
      <c r="G604" s="50">
        <v>0.0</v>
      </c>
      <c r="H604" s="50">
        <v>0.0</v>
      </c>
      <c r="I604" s="50">
        <v>0.0</v>
      </c>
      <c r="J604" s="50">
        <v>0.0</v>
      </c>
      <c r="K604" s="50">
        <v>0.0</v>
      </c>
      <c r="L604" s="50">
        <v>0.0</v>
      </c>
      <c r="M604" s="50">
        <v>0.0</v>
      </c>
      <c r="N604" s="50">
        <v>0.0</v>
      </c>
      <c r="O604" s="50">
        <v>0.0</v>
      </c>
      <c r="P604" s="50">
        <v>0.0</v>
      </c>
      <c r="Q604" s="50">
        <v>0.0</v>
      </c>
      <c r="R604" s="50">
        <v>0.0</v>
      </c>
      <c r="S604" s="50">
        <v>0.0</v>
      </c>
      <c r="T604" s="50">
        <v>2.8125</v>
      </c>
      <c r="U604" s="50">
        <v>0.0</v>
      </c>
      <c r="V604" s="50">
        <v>0.0</v>
      </c>
      <c r="W604" s="50">
        <v>0.0</v>
      </c>
      <c r="X604" s="50">
        <v>2.8125</v>
      </c>
      <c r="Y604" s="50">
        <v>5.625</v>
      </c>
    </row>
    <row r="605">
      <c r="A605" s="26">
        <v>599.0</v>
      </c>
      <c r="B605" s="65">
        <v>1.150393948563541</v>
      </c>
      <c r="C605" s="65">
        <v>-0.05789321606118046</v>
      </c>
      <c r="D605" s="65">
        <v>-0.13083299279647978</v>
      </c>
      <c r="E605" s="65">
        <v>-1.3946237493210478</v>
      </c>
      <c r="F605" s="65">
        <v>4.626090934480664</v>
      </c>
      <c r="G605" s="50">
        <v>0.0</v>
      </c>
      <c r="H605" s="50">
        <v>0.0</v>
      </c>
      <c r="I605" s="50">
        <v>0.0</v>
      </c>
      <c r="J605" s="50">
        <v>0.0</v>
      </c>
      <c r="K605" s="50">
        <v>0.0</v>
      </c>
      <c r="L605" s="50">
        <v>0.0</v>
      </c>
      <c r="M605" s="50">
        <v>0.0</v>
      </c>
      <c r="N605" s="50">
        <v>0.0</v>
      </c>
      <c r="O605" s="50">
        <v>0.0</v>
      </c>
      <c r="P605" s="50">
        <v>0.0</v>
      </c>
      <c r="Q605" s="50">
        <v>0.0</v>
      </c>
      <c r="R605" s="50">
        <v>0.0</v>
      </c>
      <c r="S605" s="50">
        <v>0.0</v>
      </c>
      <c r="T605" s="50">
        <v>2.8125</v>
      </c>
      <c r="U605" s="50">
        <v>0.0</v>
      </c>
      <c r="V605" s="50">
        <v>0.0</v>
      </c>
      <c r="W605" s="50">
        <v>0.0</v>
      </c>
      <c r="X605" s="50">
        <v>2.8125</v>
      </c>
      <c r="Y605" s="50">
        <v>5.625</v>
      </c>
    </row>
    <row r="606">
      <c r="A606" s="26">
        <v>600.0</v>
      </c>
      <c r="B606" s="65">
        <v>0.08138281675082894</v>
      </c>
      <c r="C606" s="65">
        <v>1.2043012811362532</v>
      </c>
      <c r="D606" s="65">
        <v>1.2491051576529169</v>
      </c>
      <c r="E606" s="65">
        <v>0.30996549296398335</v>
      </c>
      <c r="F606" s="65">
        <v>2.1177351229651356</v>
      </c>
      <c r="G606" s="50">
        <v>0.0</v>
      </c>
      <c r="H606" s="50">
        <v>0.0</v>
      </c>
      <c r="I606" s="50">
        <v>0.0</v>
      </c>
      <c r="J606" s="50">
        <v>0.0</v>
      </c>
      <c r="K606" s="50">
        <v>0.0</v>
      </c>
      <c r="L606" s="50">
        <v>0.0</v>
      </c>
      <c r="M606" s="50">
        <v>0.0</v>
      </c>
      <c r="N606" s="50">
        <v>0.0</v>
      </c>
      <c r="O606" s="50">
        <v>0.0</v>
      </c>
      <c r="P606" s="50">
        <v>0.0</v>
      </c>
      <c r="Q606" s="50">
        <v>0.0</v>
      </c>
      <c r="R606" s="50">
        <v>0.0</v>
      </c>
      <c r="S606" s="50">
        <v>0.0</v>
      </c>
      <c r="T606" s="50">
        <v>2.8125</v>
      </c>
      <c r="U606" s="50">
        <v>0.0</v>
      </c>
      <c r="V606" s="50">
        <v>0.0</v>
      </c>
      <c r="W606" s="50">
        <v>0.0</v>
      </c>
      <c r="X606" s="50">
        <v>2.8125</v>
      </c>
      <c r="Y606" s="50">
        <v>5.625</v>
      </c>
    </row>
    <row r="607">
      <c r="A607" s="26">
        <v>601.0</v>
      </c>
      <c r="B607" s="65">
        <v>0.45561853305073174</v>
      </c>
      <c r="C607" s="65">
        <v>0.3574664653188771</v>
      </c>
      <c r="D607" s="65">
        <v>0.11319445747654008</v>
      </c>
      <c r="E607" s="65">
        <v>-0.2596290981946037</v>
      </c>
      <c r="F607" s="65">
        <v>10.344897349680238</v>
      </c>
      <c r="G607" s="50">
        <v>0.0</v>
      </c>
      <c r="H607" s="50">
        <v>0.0</v>
      </c>
      <c r="I607" s="50">
        <v>0.0</v>
      </c>
      <c r="J607" s="50">
        <v>0.0</v>
      </c>
      <c r="K607" s="50">
        <v>0.0</v>
      </c>
      <c r="L607" s="50">
        <v>0.0</v>
      </c>
      <c r="M607" s="50">
        <v>0.0</v>
      </c>
      <c r="N607" s="50">
        <v>0.0</v>
      </c>
      <c r="O607" s="50">
        <v>0.0</v>
      </c>
      <c r="P607" s="50">
        <v>0.0</v>
      </c>
      <c r="Q607" s="50">
        <v>0.0</v>
      </c>
      <c r="R607" s="50">
        <v>0.0</v>
      </c>
      <c r="S607" s="50">
        <v>0.0</v>
      </c>
      <c r="T607" s="50">
        <v>2.8125</v>
      </c>
      <c r="U607" s="50">
        <v>0.0</v>
      </c>
      <c r="V607" s="50">
        <v>0.0</v>
      </c>
      <c r="W607" s="50">
        <v>0.0</v>
      </c>
      <c r="X607" s="50">
        <v>2.8125</v>
      </c>
      <c r="Y607" s="50">
        <v>5.625</v>
      </c>
    </row>
    <row r="608">
      <c r="A608" s="26">
        <v>602.0</v>
      </c>
      <c r="B608" s="65">
        <v>-0.5074052270996915</v>
      </c>
      <c r="C608" s="65">
        <v>0.07654519957182501</v>
      </c>
      <c r="D608" s="65">
        <v>-1.07072791845095</v>
      </c>
      <c r="E608" s="65">
        <v>0.9280991389258155</v>
      </c>
      <c r="F608" s="65">
        <v>2.73226896001623</v>
      </c>
      <c r="G608" s="50">
        <v>0.0</v>
      </c>
      <c r="H608" s="50">
        <v>0.0</v>
      </c>
      <c r="I608" s="50">
        <v>0.0</v>
      </c>
      <c r="J608" s="50">
        <v>0.0</v>
      </c>
      <c r="K608" s="50">
        <v>0.0</v>
      </c>
      <c r="L608" s="50">
        <v>0.0</v>
      </c>
      <c r="M608" s="50">
        <v>0.0</v>
      </c>
      <c r="N608" s="50">
        <v>0.0</v>
      </c>
      <c r="O608" s="50">
        <v>0.0</v>
      </c>
      <c r="P608" s="50">
        <v>2.475</v>
      </c>
      <c r="Q608" s="50">
        <v>0.0</v>
      </c>
      <c r="R608" s="50">
        <v>0.0</v>
      </c>
      <c r="S608" s="50">
        <v>0.0</v>
      </c>
      <c r="T608" s="50">
        <v>2.8125</v>
      </c>
      <c r="U608" s="50">
        <v>0.0</v>
      </c>
      <c r="V608" s="50">
        <v>0.0</v>
      </c>
      <c r="W608" s="50">
        <v>0.0</v>
      </c>
      <c r="X608" s="50">
        <v>2.8125</v>
      </c>
      <c r="Y608" s="50">
        <v>8.1</v>
      </c>
    </row>
    <row r="609">
      <c r="A609" s="26">
        <v>603.0</v>
      </c>
      <c r="B609" s="65">
        <v>-0.09843584057543081</v>
      </c>
      <c r="C609" s="65">
        <v>0.6219077537630333</v>
      </c>
      <c r="D609" s="65">
        <v>0.2704514865504375</v>
      </c>
      <c r="E609" s="65">
        <v>0.7781042011527877</v>
      </c>
      <c r="F609" s="65">
        <v>6.806385490791852</v>
      </c>
      <c r="G609" s="50">
        <v>0.0</v>
      </c>
      <c r="H609" s="50">
        <v>0.0</v>
      </c>
      <c r="I609" s="50">
        <v>0.0</v>
      </c>
      <c r="J609" s="50">
        <v>0.0</v>
      </c>
      <c r="K609" s="50">
        <v>0.0</v>
      </c>
      <c r="L609" s="50">
        <v>0.0</v>
      </c>
      <c r="M609" s="50">
        <v>0.0</v>
      </c>
      <c r="N609" s="50">
        <v>0.0</v>
      </c>
      <c r="O609" s="50">
        <v>0.0</v>
      </c>
      <c r="P609" s="50">
        <v>0.0</v>
      </c>
      <c r="Q609" s="50">
        <v>0.0</v>
      </c>
      <c r="R609" s="50">
        <v>0.0</v>
      </c>
      <c r="S609" s="50">
        <v>0.0</v>
      </c>
      <c r="T609" s="50">
        <v>2.8125</v>
      </c>
      <c r="U609" s="50">
        <v>0.0</v>
      </c>
      <c r="V609" s="50">
        <v>0.0</v>
      </c>
      <c r="W609" s="50">
        <v>0.0</v>
      </c>
      <c r="X609" s="50">
        <v>2.8125</v>
      </c>
      <c r="Y609" s="50">
        <v>5.625</v>
      </c>
    </row>
    <row r="610">
      <c r="A610" s="26">
        <v>604.0</v>
      </c>
      <c r="B610" s="65">
        <v>-0.23445260692510198</v>
      </c>
      <c r="C610" s="65">
        <v>0.25378560369309394</v>
      </c>
      <c r="D610" s="65">
        <v>-0.21453585481070975</v>
      </c>
      <c r="E610" s="65">
        <v>-1.675603421402124</v>
      </c>
      <c r="F610" s="65">
        <v>5.670848688836735</v>
      </c>
      <c r="G610" s="50">
        <v>0.0</v>
      </c>
      <c r="H610" s="50">
        <v>0.0</v>
      </c>
      <c r="I610" s="50">
        <v>0.0</v>
      </c>
      <c r="J610" s="50">
        <v>0.0</v>
      </c>
      <c r="K610" s="50">
        <v>0.0</v>
      </c>
      <c r="L610" s="50">
        <v>0.0</v>
      </c>
      <c r="M610" s="50">
        <v>0.0</v>
      </c>
      <c r="N610" s="50">
        <v>0.0</v>
      </c>
      <c r="O610" s="50">
        <v>0.0</v>
      </c>
      <c r="P610" s="50">
        <v>0.0</v>
      </c>
      <c r="Q610" s="50">
        <v>0.0</v>
      </c>
      <c r="R610" s="50">
        <v>0.0</v>
      </c>
      <c r="S610" s="50">
        <v>0.0</v>
      </c>
      <c r="T610" s="50">
        <v>2.8125</v>
      </c>
      <c r="U610" s="50">
        <v>0.0</v>
      </c>
      <c r="V610" s="50">
        <v>0.0</v>
      </c>
      <c r="W610" s="50">
        <v>0.0</v>
      </c>
      <c r="X610" s="50">
        <v>2.8125</v>
      </c>
      <c r="Y610" s="50">
        <v>5.625</v>
      </c>
    </row>
    <row r="611">
      <c r="A611" s="26">
        <v>605.0</v>
      </c>
      <c r="B611" s="65">
        <v>0.5439030336687898</v>
      </c>
      <c r="C611" s="65">
        <v>-0.32908639680138796</v>
      </c>
      <c r="D611" s="65">
        <v>1.0350787409970525</v>
      </c>
      <c r="E611" s="65">
        <v>-0.7849950910119768</v>
      </c>
      <c r="F611" s="65">
        <v>3.2680631925835</v>
      </c>
      <c r="G611" s="50">
        <v>0.0</v>
      </c>
      <c r="H611" s="50">
        <v>0.0</v>
      </c>
      <c r="I611" s="50">
        <v>0.0</v>
      </c>
      <c r="J611" s="50">
        <v>0.0</v>
      </c>
      <c r="K611" s="50">
        <v>0.0</v>
      </c>
      <c r="L611" s="50">
        <v>0.0</v>
      </c>
      <c r="M611" s="50">
        <v>0.0</v>
      </c>
      <c r="N611" s="50">
        <v>0.0</v>
      </c>
      <c r="O611" s="50">
        <v>0.0</v>
      </c>
      <c r="P611" s="50">
        <v>0.0</v>
      </c>
      <c r="Q611" s="50">
        <v>0.0</v>
      </c>
      <c r="R611" s="50">
        <v>0.0</v>
      </c>
      <c r="S611" s="50">
        <v>0.0</v>
      </c>
      <c r="T611" s="50">
        <v>2.8125</v>
      </c>
      <c r="U611" s="50">
        <v>0.0</v>
      </c>
      <c r="V611" s="50">
        <v>5.625</v>
      </c>
      <c r="W611" s="50">
        <v>0.0</v>
      </c>
      <c r="X611" s="50">
        <v>2.8125</v>
      </c>
      <c r="Y611" s="50">
        <v>11.25</v>
      </c>
    </row>
    <row r="612">
      <c r="A612" s="26">
        <v>606.0</v>
      </c>
      <c r="B612" s="65">
        <v>0.003360774812393654</v>
      </c>
      <c r="C612" s="65">
        <v>-0.7197352197458216</v>
      </c>
      <c r="D612" s="65">
        <v>0.3587114689824802</v>
      </c>
      <c r="E612" s="65">
        <v>-0.9966797167000901</v>
      </c>
      <c r="F612" s="65">
        <v>3.58617689554867</v>
      </c>
      <c r="G612" s="50">
        <v>0.0</v>
      </c>
      <c r="H612" s="50">
        <v>0.0</v>
      </c>
      <c r="I612" s="50">
        <v>0.0</v>
      </c>
      <c r="J612" s="50">
        <v>0.0</v>
      </c>
      <c r="K612" s="50">
        <v>0.0</v>
      </c>
      <c r="L612" s="50">
        <v>0.0</v>
      </c>
      <c r="M612" s="50">
        <v>0.0</v>
      </c>
      <c r="N612" s="50">
        <v>0.0</v>
      </c>
      <c r="O612" s="50">
        <v>0.0</v>
      </c>
      <c r="P612" s="50">
        <v>0.0</v>
      </c>
      <c r="Q612" s="50">
        <v>0.0</v>
      </c>
      <c r="R612" s="50">
        <v>0.0</v>
      </c>
      <c r="S612" s="50">
        <v>0.0</v>
      </c>
      <c r="T612" s="50">
        <v>2.8125</v>
      </c>
      <c r="U612" s="50">
        <v>0.0</v>
      </c>
      <c r="V612" s="50">
        <v>5.625</v>
      </c>
      <c r="W612" s="50">
        <v>0.0</v>
      </c>
      <c r="X612" s="50">
        <v>2.8125</v>
      </c>
      <c r="Y612" s="50">
        <v>11.25</v>
      </c>
    </row>
    <row r="613">
      <c r="A613" s="26">
        <v>607.0</v>
      </c>
      <c r="B613" s="65">
        <v>-2.580125981107201</v>
      </c>
      <c r="C613" s="65">
        <v>0.7001881662281949</v>
      </c>
      <c r="D613" s="65">
        <v>1.532020221043367</v>
      </c>
      <c r="E613" s="65">
        <v>-1.8510564316299176</v>
      </c>
      <c r="F613" s="65">
        <v>3.6018353573099677</v>
      </c>
      <c r="G613" s="50">
        <v>0.0</v>
      </c>
      <c r="H613" s="50">
        <v>0.0</v>
      </c>
      <c r="I613" s="50">
        <v>0.0</v>
      </c>
      <c r="J613" s="50">
        <v>0.0</v>
      </c>
      <c r="K613" s="50">
        <v>0.0</v>
      </c>
      <c r="L613" s="50">
        <v>0.0</v>
      </c>
      <c r="M613" s="50">
        <v>0.0</v>
      </c>
      <c r="N613" s="50">
        <v>0.0</v>
      </c>
      <c r="O613" s="50">
        <v>7.425000000000001</v>
      </c>
      <c r="P613" s="50">
        <v>0.0</v>
      </c>
      <c r="Q613" s="50">
        <v>0.0</v>
      </c>
      <c r="R613" s="50">
        <v>9.9</v>
      </c>
      <c r="S613" s="50">
        <v>0.0</v>
      </c>
      <c r="T613" s="50">
        <v>2.8125</v>
      </c>
      <c r="U613" s="50">
        <v>0.0</v>
      </c>
      <c r="V613" s="50">
        <v>5.625</v>
      </c>
      <c r="W613" s="50">
        <v>4.95</v>
      </c>
      <c r="X613" s="50">
        <v>2.8125</v>
      </c>
      <c r="Y613" s="50">
        <v>33.525000000000006</v>
      </c>
    </row>
    <row r="614">
      <c r="A614" s="26">
        <v>608.0</v>
      </c>
      <c r="B614" s="65">
        <v>-1.4048346745605844</v>
      </c>
      <c r="C614" s="65">
        <v>-1.4330396576741575</v>
      </c>
      <c r="D614" s="65">
        <v>-1.0204860655800436</v>
      </c>
      <c r="E614" s="65">
        <v>-0.302648312846593</v>
      </c>
      <c r="F614" s="65">
        <v>4.807344734585685</v>
      </c>
      <c r="G614" s="50">
        <v>0.0</v>
      </c>
      <c r="H614" s="50">
        <v>0.0</v>
      </c>
      <c r="I614" s="50">
        <v>0.0</v>
      </c>
      <c r="J614" s="50">
        <v>0.0</v>
      </c>
      <c r="K614" s="50">
        <v>0.0</v>
      </c>
      <c r="L614" s="50">
        <v>0.0</v>
      </c>
      <c r="M614" s="50">
        <v>0.0</v>
      </c>
      <c r="N614" s="50">
        <v>0.0</v>
      </c>
      <c r="O614" s="50">
        <v>0.0</v>
      </c>
      <c r="P614" s="50">
        <v>0.0</v>
      </c>
      <c r="Q614" s="50">
        <v>0.0</v>
      </c>
      <c r="R614" s="50">
        <v>9.9</v>
      </c>
      <c r="S614" s="50">
        <v>0.0</v>
      </c>
      <c r="T614" s="50">
        <v>2.8125</v>
      </c>
      <c r="U614" s="50">
        <v>9.9</v>
      </c>
      <c r="V614" s="50">
        <v>5.625</v>
      </c>
      <c r="W614" s="50">
        <v>4.95</v>
      </c>
      <c r="X614" s="50">
        <v>2.8125</v>
      </c>
      <c r="Y614" s="50">
        <v>36.0</v>
      </c>
    </row>
    <row r="615">
      <c r="A615" s="26">
        <v>609.0</v>
      </c>
      <c r="B615" s="65">
        <v>0.4077506707468429</v>
      </c>
      <c r="C615" s="65">
        <v>1.2406031979995413</v>
      </c>
      <c r="D615" s="65">
        <v>0.6131462663265603</v>
      </c>
      <c r="E615" s="65">
        <v>0.013380346637214857</v>
      </c>
      <c r="F615" s="65">
        <v>7.242291360693389</v>
      </c>
      <c r="G615" s="50">
        <v>0.0</v>
      </c>
      <c r="H615" s="50">
        <v>0.0</v>
      </c>
      <c r="I615" s="50">
        <v>0.0</v>
      </c>
      <c r="J615" s="50">
        <v>0.0</v>
      </c>
      <c r="K615" s="50">
        <v>0.0</v>
      </c>
      <c r="L615" s="50">
        <v>0.0</v>
      </c>
      <c r="M615" s="50">
        <v>0.0</v>
      </c>
      <c r="N615" s="50">
        <v>0.0</v>
      </c>
      <c r="O615" s="50">
        <v>0.0</v>
      </c>
      <c r="P615" s="50">
        <v>0.0</v>
      </c>
      <c r="Q615" s="50">
        <v>0.0</v>
      </c>
      <c r="R615" s="50">
        <v>0.0</v>
      </c>
      <c r="S615" s="50">
        <v>0.0</v>
      </c>
      <c r="T615" s="50">
        <v>2.8125</v>
      </c>
      <c r="U615" s="50">
        <v>0.0</v>
      </c>
      <c r="V615" s="50">
        <v>0.0</v>
      </c>
      <c r="W615" s="50">
        <v>0.0</v>
      </c>
      <c r="X615" s="50">
        <v>2.8125</v>
      </c>
      <c r="Y615" s="50">
        <v>5.625</v>
      </c>
    </row>
    <row r="616">
      <c r="A616" s="26">
        <v>610.0</v>
      </c>
      <c r="B616" s="65">
        <v>-1.651558518325475</v>
      </c>
      <c r="C616" s="65">
        <v>0.49349726331790317</v>
      </c>
      <c r="D616" s="65">
        <v>0.9992486203148877</v>
      </c>
      <c r="E616" s="65">
        <v>1.2255648050559804</v>
      </c>
      <c r="F616" s="65">
        <v>4.939300859600687</v>
      </c>
      <c r="G616" s="50">
        <v>0.0</v>
      </c>
      <c r="H616" s="50">
        <v>0.0</v>
      </c>
      <c r="I616" s="50">
        <v>0.0</v>
      </c>
      <c r="J616" s="50">
        <v>0.0</v>
      </c>
      <c r="K616" s="50">
        <v>0.0</v>
      </c>
      <c r="L616" s="50">
        <v>0.0</v>
      </c>
      <c r="M616" s="50">
        <v>0.0</v>
      </c>
      <c r="N616" s="50">
        <v>0.0</v>
      </c>
      <c r="O616" s="50">
        <v>7.425000000000001</v>
      </c>
      <c r="P616" s="50">
        <v>0.0</v>
      </c>
      <c r="Q616" s="50">
        <v>0.0</v>
      </c>
      <c r="R616" s="50">
        <v>9.9</v>
      </c>
      <c r="S616" s="50">
        <v>0.0</v>
      </c>
      <c r="T616" s="50">
        <v>2.8125</v>
      </c>
      <c r="U616" s="50">
        <v>0.0</v>
      </c>
      <c r="V616" s="50">
        <v>5.625</v>
      </c>
      <c r="W616" s="50">
        <v>0.0</v>
      </c>
      <c r="X616" s="50">
        <v>2.8125</v>
      </c>
      <c r="Y616" s="50">
        <v>28.575000000000003</v>
      </c>
    </row>
    <row r="617">
      <c r="A617" s="26">
        <v>611.0</v>
      </c>
      <c r="B617" s="65">
        <v>-0.50197793984896</v>
      </c>
      <c r="C617" s="65">
        <v>0.9135497443017673</v>
      </c>
      <c r="D617" s="65">
        <v>0.7041328639337755</v>
      </c>
      <c r="E617" s="65">
        <v>0.44210285677832784</v>
      </c>
      <c r="F617" s="65">
        <v>3.051852296519959</v>
      </c>
      <c r="G617" s="50">
        <v>0.0</v>
      </c>
      <c r="H617" s="50">
        <v>0.0</v>
      </c>
      <c r="I617" s="50">
        <v>0.0</v>
      </c>
      <c r="J617" s="50">
        <v>0.0</v>
      </c>
      <c r="K617" s="50">
        <v>0.0</v>
      </c>
      <c r="L617" s="50">
        <v>0.0</v>
      </c>
      <c r="M617" s="50">
        <v>0.0</v>
      </c>
      <c r="N617" s="50">
        <v>0.0</v>
      </c>
      <c r="O617" s="50">
        <v>0.0</v>
      </c>
      <c r="P617" s="50">
        <v>0.0</v>
      </c>
      <c r="Q617" s="50">
        <v>0.0</v>
      </c>
      <c r="R617" s="50">
        <v>9.9</v>
      </c>
      <c r="S617" s="50">
        <v>0.0</v>
      </c>
      <c r="T617" s="50">
        <v>2.8125</v>
      </c>
      <c r="U617" s="50">
        <v>0.0</v>
      </c>
      <c r="V617" s="50">
        <v>5.625</v>
      </c>
      <c r="W617" s="50">
        <v>0.0</v>
      </c>
      <c r="X617" s="50">
        <v>2.8125</v>
      </c>
      <c r="Y617" s="50">
        <v>21.15</v>
      </c>
    </row>
    <row r="618">
      <c r="A618" s="26">
        <v>612.0</v>
      </c>
      <c r="B618" s="65">
        <v>-0.016673611773872114</v>
      </c>
      <c r="C618" s="65">
        <v>0.2928856913472189</v>
      </c>
      <c r="D618" s="65">
        <v>-0.40424010114375103</v>
      </c>
      <c r="E618" s="65">
        <v>-0.21077572925923116</v>
      </c>
      <c r="F618" s="65">
        <v>4.051950875781804</v>
      </c>
      <c r="G618" s="50">
        <v>0.0</v>
      </c>
      <c r="H618" s="50">
        <v>0.0</v>
      </c>
      <c r="I618" s="50">
        <v>0.0</v>
      </c>
      <c r="J618" s="50">
        <v>0.0</v>
      </c>
      <c r="K618" s="50">
        <v>0.0</v>
      </c>
      <c r="L618" s="50">
        <v>0.0</v>
      </c>
      <c r="M618" s="50">
        <v>0.0</v>
      </c>
      <c r="N618" s="50">
        <v>0.0</v>
      </c>
      <c r="O618" s="50">
        <v>0.0</v>
      </c>
      <c r="P618" s="50">
        <v>0.0</v>
      </c>
      <c r="Q618" s="50">
        <v>0.0</v>
      </c>
      <c r="R618" s="50">
        <v>0.0</v>
      </c>
      <c r="S618" s="50">
        <v>0.0</v>
      </c>
      <c r="T618" s="50">
        <v>2.8125</v>
      </c>
      <c r="U618" s="50">
        <v>0.0</v>
      </c>
      <c r="V618" s="50">
        <v>0.0</v>
      </c>
      <c r="W618" s="50">
        <v>0.0</v>
      </c>
      <c r="X618" s="50">
        <v>2.8125</v>
      </c>
      <c r="Y618" s="50">
        <v>5.625</v>
      </c>
    </row>
    <row r="619">
      <c r="A619" s="26">
        <v>613.0</v>
      </c>
      <c r="B619" s="65">
        <v>-0.8574257238450377</v>
      </c>
      <c r="C619" s="65">
        <v>1.87378714032966</v>
      </c>
      <c r="D619" s="65">
        <v>0.18165470010907903</v>
      </c>
      <c r="E619" s="65">
        <v>0.11975100580002306</v>
      </c>
      <c r="F619" s="65">
        <v>9.91785227628686</v>
      </c>
      <c r="G619" s="50">
        <v>0.0</v>
      </c>
      <c r="H619" s="50">
        <v>0.0</v>
      </c>
      <c r="I619" s="50">
        <v>0.0</v>
      </c>
      <c r="J619" s="50">
        <v>0.0</v>
      </c>
      <c r="K619" s="50">
        <v>0.0</v>
      </c>
      <c r="L619" s="50">
        <v>0.0</v>
      </c>
      <c r="M619" s="50">
        <v>0.0</v>
      </c>
      <c r="N619" s="50">
        <v>0.0</v>
      </c>
      <c r="O619" s="50">
        <v>0.0</v>
      </c>
      <c r="P619" s="50">
        <v>0.0</v>
      </c>
      <c r="Q619" s="50">
        <v>0.0</v>
      </c>
      <c r="R619" s="50">
        <v>0.0</v>
      </c>
      <c r="S619" s="50">
        <v>0.0</v>
      </c>
      <c r="T619" s="50">
        <v>2.8125</v>
      </c>
      <c r="U619" s="50">
        <v>0.0</v>
      </c>
      <c r="V619" s="50">
        <v>0.0</v>
      </c>
      <c r="W619" s="50">
        <v>0.0</v>
      </c>
      <c r="X619" s="50">
        <v>2.8125</v>
      </c>
      <c r="Y619" s="50">
        <v>5.625</v>
      </c>
    </row>
    <row r="620">
      <c r="A620" s="26">
        <v>614.0</v>
      </c>
      <c r="B620" s="65">
        <v>-0.866730606826595</v>
      </c>
      <c r="C620" s="65">
        <v>-0.4380887393276763</v>
      </c>
      <c r="D620" s="65">
        <v>0.5275886253299613</v>
      </c>
      <c r="E620" s="65">
        <v>-0.7754217266613537</v>
      </c>
      <c r="F620" s="65">
        <v>4.96374390448492</v>
      </c>
      <c r="G620" s="50">
        <v>0.0</v>
      </c>
      <c r="H620" s="50">
        <v>0.0</v>
      </c>
      <c r="I620" s="50">
        <v>0.0</v>
      </c>
      <c r="J620" s="50">
        <v>0.0</v>
      </c>
      <c r="K620" s="50">
        <v>0.0</v>
      </c>
      <c r="L620" s="50">
        <v>0.0</v>
      </c>
      <c r="M620" s="50">
        <v>0.0</v>
      </c>
      <c r="N620" s="50">
        <v>0.0</v>
      </c>
      <c r="O620" s="50">
        <v>0.0</v>
      </c>
      <c r="P620" s="50">
        <v>0.0</v>
      </c>
      <c r="Q620" s="50">
        <v>0.0</v>
      </c>
      <c r="R620" s="50">
        <v>9.9</v>
      </c>
      <c r="S620" s="50">
        <v>0.0</v>
      </c>
      <c r="T620" s="50">
        <v>2.8125</v>
      </c>
      <c r="U620" s="50">
        <v>0.0</v>
      </c>
      <c r="V620" s="50">
        <v>5.625</v>
      </c>
      <c r="W620" s="50">
        <v>4.95</v>
      </c>
      <c r="X620" s="50">
        <v>2.8125</v>
      </c>
      <c r="Y620" s="50">
        <v>26.099999999999998</v>
      </c>
    </row>
    <row r="621">
      <c r="A621" s="26">
        <v>615.0</v>
      </c>
      <c r="B621" s="65">
        <v>1.556590710241866</v>
      </c>
      <c r="C621" s="65">
        <v>0.2846723722315575</v>
      </c>
      <c r="D621" s="65">
        <v>2.260903128824111</v>
      </c>
      <c r="E621" s="65">
        <v>-0.6676420504143373</v>
      </c>
      <c r="F621" s="65">
        <v>4.407867249002936</v>
      </c>
      <c r="G621" s="50">
        <v>0.0</v>
      </c>
      <c r="H621" s="50">
        <v>0.0</v>
      </c>
      <c r="I621" s="50">
        <v>0.0</v>
      </c>
      <c r="J621" s="50">
        <v>0.0</v>
      </c>
      <c r="K621" s="50">
        <v>0.0</v>
      </c>
      <c r="L621" s="50">
        <v>0.0</v>
      </c>
      <c r="M621" s="50">
        <v>0.0</v>
      </c>
      <c r="N621" s="50">
        <v>0.0</v>
      </c>
      <c r="O621" s="50">
        <v>0.0</v>
      </c>
      <c r="P621" s="50">
        <v>0.0</v>
      </c>
      <c r="Q621" s="50">
        <v>0.0</v>
      </c>
      <c r="R621" s="50">
        <v>0.0</v>
      </c>
      <c r="S621" s="50">
        <v>0.0</v>
      </c>
      <c r="T621" s="50">
        <v>0.0</v>
      </c>
      <c r="U621" s="50">
        <v>0.0</v>
      </c>
      <c r="V621" s="50">
        <v>0.0</v>
      </c>
      <c r="W621" s="50">
        <v>0.0</v>
      </c>
      <c r="X621" s="50">
        <v>2.8125</v>
      </c>
      <c r="Y621" s="50">
        <v>2.8125</v>
      </c>
    </row>
    <row r="622">
      <c r="A622" s="26">
        <v>616.0</v>
      </c>
      <c r="B622" s="65">
        <v>0.15059211777220122</v>
      </c>
      <c r="C622" s="65">
        <v>0.9778644073374354</v>
      </c>
      <c r="D622" s="65">
        <v>-0.40740579328146087</v>
      </c>
      <c r="E622" s="65">
        <v>-0.41068590718096676</v>
      </c>
      <c r="F622" s="65">
        <v>10.384554933858047</v>
      </c>
      <c r="G622" s="50">
        <v>0.0</v>
      </c>
      <c r="H622" s="50">
        <v>0.0</v>
      </c>
      <c r="I622" s="50">
        <v>0.0</v>
      </c>
      <c r="J622" s="50">
        <v>0.0</v>
      </c>
      <c r="K622" s="50">
        <v>0.0</v>
      </c>
      <c r="L622" s="50">
        <v>0.0</v>
      </c>
      <c r="M622" s="50">
        <v>0.0</v>
      </c>
      <c r="N622" s="50">
        <v>0.0</v>
      </c>
      <c r="O622" s="50">
        <v>0.0</v>
      </c>
      <c r="P622" s="50">
        <v>0.0</v>
      </c>
      <c r="Q622" s="50">
        <v>0.0</v>
      </c>
      <c r="R622" s="50">
        <v>0.0</v>
      </c>
      <c r="S622" s="50">
        <v>0.0</v>
      </c>
      <c r="T622" s="50">
        <v>2.8125</v>
      </c>
      <c r="U622" s="50">
        <v>0.0</v>
      </c>
      <c r="V622" s="50">
        <v>0.0</v>
      </c>
      <c r="W622" s="50">
        <v>0.0</v>
      </c>
      <c r="X622" s="50">
        <v>2.8125</v>
      </c>
      <c r="Y622" s="50">
        <v>5.625</v>
      </c>
    </row>
    <row r="623">
      <c r="A623" s="26">
        <v>617.0</v>
      </c>
      <c r="B623" s="65">
        <v>1.9347846529929285</v>
      </c>
      <c r="C623" s="65">
        <v>0.29265123686984584</v>
      </c>
      <c r="D623" s="65">
        <v>0.5069696258371807</v>
      </c>
      <c r="E623" s="65">
        <v>-1.412741797738355</v>
      </c>
      <c r="F623" s="65">
        <v>1.85309699263516</v>
      </c>
      <c r="G623" s="50">
        <v>0.0</v>
      </c>
      <c r="H623" s="50">
        <v>0.0</v>
      </c>
      <c r="I623" s="50">
        <v>0.0</v>
      </c>
      <c r="J623" s="50">
        <v>0.0</v>
      </c>
      <c r="K623" s="50">
        <v>0.0</v>
      </c>
      <c r="L623" s="50">
        <v>0.0</v>
      </c>
      <c r="M623" s="50">
        <v>0.0</v>
      </c>
      <c r="N623" s="50">
        <v>0.0</v>
      </c>
      <c r="O623" s="50">
        <v>0.0</v>
      </c>
      <c r="P623" s="50">
        <v>0.0</v>
      </c>
      <c r="Q623" s="50">
        <v>0.0</v>
      </c>
      <c r="R623" s="50">
        <v>0.0</v>
      </c>
      <c r="S623" s="50">
        <v>0.0</v>
      </c>
      <c r="T623" s="50">
        <v>2.8125</v>
      </c>
      <c r="U623" s="50">
        <v>0.0</v>
      </c>
      <c r="V623" s="50">
        <v>0.0</v>
      </c>
      <c r="W623" s="50">
        <v>0.0</v>
      </c>
      <c r="X623" s="50">
        <v>2.8125</v>
      </c>
      <c r="Y623" s="50">
        <v>5.625</v>
      </c>
    </row>
    <row r="624">
      <c r="A624" s="26">
        <v>618.0</v>
      </c>
      <c r="B624" s="65">
        <v>1.382508471777634</v>
      </c>
      <c r="C624" s="65">
        <v>0.7868348376933106</v>
      </c>
      <c r="D624" s="65">
        <v>1.837480185770054</v>
      </c>
      <c r="E624" s="65">
        <v>0.28272436164218473</v>
      </c>
      <c r="F624" s="65">
        <v>4.9196686902582085</v>
      </c>
      <c r="G624" s="50">
        <v>0.0</v>
      </c>
      <c r="H624" s="50">
        <v>0.0</v>
      </c>
      <c r="I624" s="50">
        <v>0.0</v>
      </c>
      <c r="J624" s="50">
        <v>0.0</v>
      </c>
      <c r="K624" s="50">
        <v>0.0</v>
      </c>
      <c r="L624" s="50">
        <v>0.0</v>
      </c>
      <c r="M624" s="50">
        <v>0.0</v>
      </c>
      <c r="N624" s="50">
        <v>0.0</v>
      </c>
      <c r="O624" s="50">
        <v>7.425000000000001</v>
      </c>
      <c r="P624" s="50">
        <v>0.0</v>
      </c>
      <c r="Q624" s="50">
        <v>0.0</v>
      </c>
      <c r="R624" s="50">
        <v>0.0</v>
      </c>
      <c r="S624" s="50">
        <v>0.0</v>
      </c>
      <c r="T624" s="50">
        <v>2.8125</v>
      </c>
      <c r="U624" s="50">
        <v>0.0</v>
      </c>
      <c r="V624" s="50">
        <v>0.0</v>
      </c>
      <c r="W624" s="50">
        <v>0.0</v>
      </c>
      <c r="X624" s="50">
        <v>2.8125</v>
      </c>
      <c r="Y624" s="50">
        <v>13.05</v>
      </c>
    </row>
    <row r="625">
      <c r="A625" s="26">
        <v>619.0</v>
      </c>
      <c r="B625" s="65">
        <v>-0.7035096154177154</v>
      </c>
      <c r="C625" s="65">
        <v>-0.4475257151499311</v>
      </c>
      <c r="D625" s="65">
        <v>-0.0629643802354959</v>
      </c>
      <c r="E625" s="65">
        <v>1.9395089104188403</v>
      </c>
      <c r="F625" s="65">
        <v>7.319279628947172</v>
      </c>
      <c r="G625" s="50">
        <v>0.0</v>
      </c>
      <c r="H625" s="50">
        <v>0.0</v>
      </c>
      <c r="I625" s="50">
        <v>0.0</v>
      </c>
      <c r="J625" s="50">
        <v>0.0</v>
      </c>
      <c r="K625" s="50">
        <v>0.0</v>
      </c>
      <c r="L625" s="50">
        <v>0.0</v>
      </c>
      <c r="M625" s="50">
        <v>0.0</v>
      </c>
      <c r="N625" s="50">
        <v>0.0</v>
      </c>
      <c r="O625" s="50">
        <v>0.0</v>
      </c>
      <c r="P625" s="50">
        <v>0.0</v>
      </c>
      <c r="Q625" s="50">
        <v>0.0</v>
      </c>
      <c r="R625" s="50">
        <v>0.0</v>
      </c>
      <c r="S625" s="50">
        <v>0.0</v>
      </c>
      <c r="T625" s="50">
        <v>2.8125</v>
      </c>
      <c r="U625" s="50">
        <v>0.0</v>
      </c>
      <c r="V625" s="50">
        <v>0.0</v>
      </c>
      <c r="W625" s="50">
        <v>0.0</v>
      </c>
      <c r="X625" s="50">
        <v>2.8125</v>
      </c>
      <c r="Y625" s="50">
        <v>5.625</v>
      </c>
    </row>
    <row r="626">
      <c r="A626" s="26">
        <v>620.0</v>
      </c>
      <c r="B626" s="65">
        <v>1.1909618985012933</v>
      </c>
      <c r="C626" s="65">
        <v>1.0894805509771006</v>
      </c>
      <c r="D626" s="65">
        <v>-0.7352942549704649</v>
      </c>
      <c r="E626" s="65">
        <v>-0.20966067556176504</v>
      </c>
      <c r="F626" s="65">
        <v>9.703474701263307</v>
      </c>
      <c r="G626" s="50">
        <v>0.0</v>
      </c>
      <c r="H626" s="50">
        <v>0.0</v>
      </c>
      <c r="I626" s="50">
        <v>0.0</v>
      </c>
      <c r="J626" s="50">
        <v>0.0</v>
      </c>
      <c r="K626" s="50">
        <v>0.0</v>
      </c>
      <c r="L626" s="50">
        <v>0.0</v>
      </c>
      <c r="M626" s="50">
        <v>0.0</v>
      </c>
      <c r="N626" s="50">
        <v>0.0</v>
      </c>
      <c r="O626" s="50">
        <v>0.0</v>
      </c>
      <c r="P626" s="50">
        <v>0.0</v>
      </c>
      <c r="Q626" s="50">
        <v>0.0</v>
      </c>
      <c r="R626" s="50">
        <v>0.0</v>
      </c>
      <c r="S626" s="50">
        <v>0.0</v>
      </c>
      <c r="T626" s="50">
        <v>2.8125</v>
      </c>
      <c r="U626" s="50">
        <v>0.0</v>
      </c>
      <c r="V626" s="50">
        <v>0.0</v>
      </c>
      <c r="W626" s="50">
        <v>0.0</v>
      </c>
      <c r="X626" s="50">
        <v>2.8125</v>
      </c>
      <c r="Y626" s="50">
        <v>5.625</v>
      </c>
    </row>
    <row r="627">
      <c r="A627" s="26">
        <v>621.0</v>
      </c>
      <c r="B627" s="65">
        <v>0.3823239780537588</v>
      </c>
      <c r="C627" s="65">
        <v>0.8524246824845697</v>
      </c>
      <c r="D627" s="65">
        <v>0.03685237600144974</v>
      </c>
      <c r="E627" s="65">
        <v>-1.111675210137223</v>
      </c>
      <c r="F627" s="65">
        <v>2.0676023290341847</v>
      </c>
      <c r="G627" s="50">
        <v>0.0</v>
      </c>
      <c r="H627" s="50">
        <v>0.0</v>
      </c>
      <c r="I627" s="50">
        <v>0.0</v>
      </c>
      <c r="J627" s="50">
        <v>0.0</v>
      </c>
      <c r="K627" s="50">
        <v>0.0</v>
      </c>
      <c r="L627" s="50">
        <v>0.0</v>
      </c>
      <c r="M627" s="50">
        <v>0.0</v>
      </c>
      <c r="N627" s="50">
        <v>0.0</v>
      </c>
      <c r="O627" s="50">
        <v>0.0</v>
      </c>
      <c r="P627" s="50">
        <v>0.0</v>
      </c>
      <c r="Q627" s="50">
        <v>0.0</v>
      </c>
      <c r="R627" s="50">
        <v>9.9</v>
      </c>
      <c r="S627" s="50">
        <v>0.0</v>
      </c>
      <c r="T627" s="50">
        <v>2.8125</v>
      </c>
      <c r="U627" s="50">
        <v>0.0</v>
      </c>
      <c r="V627" s="50">
        <v>5.625</v>
      </c>
      <c r="W627" s="50">
        <v>4.95</v>
      </c>
      <c r="X627" s="50">
        <v>2.8125</v>
      </c>
      <c r="Y627" s="50">
        <v>26.099999999999998</v>
      </c>
    </row>
    <row r="628">
      <c r="A628" s="26">
        <v>622.0</v>
      </c>
      <c r="B628" s="65">
        <v>-1.0016077872003735</v>
      </c>
      <c r="C628" s="65">
        <v>-0.3732190107506474</v>
      </c>
      <c r="D628" s="65">
        <v>-0.5735970513932492</v>
      </c>
      <c r="E628" s="65">
        <v>-0.31927320527391706</v>
      </c>
      <c r="F628" s="65">
        <v>9.420660758706411</v>
      </c>
      <c r="G628" s="50">
        <v>0.0</v>
      </c>
      <c r="H628" s="50">
        <v>0.0</v>
      </c>
      <c r="I628" s="50">
        <v>0.0</v>
      </c>
      <c r="J628" s="50">
        <v>0.0</v>
      </c>
      <c r="K628" s="50">
        <v>0.0</v>
      </c>
      <c r="L628" s="50">
        <v>0.0</v>
      </c>
      <c r="M628" s="50">
        <v>0.0</v>
      </c>
      <c r="N628" s="50">
        <v>0.0</v>
      </c>
      <c r="O628" s="50">
        <v>0.0</v>
      </c>
      <c r="P628" s="50">
        <v>0.0</v>
      </c>
      <c r="Q628" s="50">
        <v>0.0</v>
      </c>
      <c r="R628" s="50">
        <v>0.0</v>
      </c>
      <c r="S628" s="50">
        <v>0.0</v>
      </c>
      <c r="T628" s="50">
        <v>2.8125</v>
      </c>
      <c r="U628" s="50">
        <v>0.0</v>
      </c>
      <c r="V628" s="50">
        <v>0.0</v>
      </c>
      <c r="W628" s="50">
        <v>0.0</v>
      </c>
      <c r="X628" s="50">
        <v>2.8125</v>
      </c>
      <c r="Y628" s="50">
        <v>5.625</v>
      </c>
    </row>
    <row r="629">
      <c r="A629" s="26">
        <v>623.0</v>
      </c>
      <c r="B629" s="65">
        <v>1.556481615331637</v>
      </c>
      <c r="C629" s="65">
        <v>-1.1684323370263037</v>
      </c>
      <c r="D629" s="65">
        <v>0.7473726780280885</v>
      </c>
      <c r="E629" s="65">
        <v>0.6040764016519169</v>
      </c>
      <c r="F629" s="65">
        <v>2.833179704177691</v>
      </c>
      <c r="G629" s="50">
        <v>0.0</v>
      </c>
      <c r="H629" s="50">
        <v>0.0</v>
      </c>
      <c r="I629" s="50">
        <v>0.0</v>
      </c>
      <c r="J629" s="50">
        <v>0.0</v>
      </c>
      <c r="K629" s="50">
        <v>0.0</v>
      </c>
      <c r="L629" s="50">
        <v>0.0</v>
      </c>
      <c r="M629" s="50">
        <v>0.0</v>
      </c>
      <c r="N629" s="50">
        <v>0.0</v>
      </c>
      <c r="O629" s="50">
        <v>0.0</v>
      </c>
      <c r="P629" s="50">
        <v>0.0</v>
      </c>
      <c r="Q629" s="50">
        <v>0.0</v>
      </c>
      <c r="R629" s="50">
        <v>0.0</v>
      </c>
      <c r="S629" s="50">
        <v>0.0</v>
      </c>
      <c r="T629" s="50">
        <v>2.8125</v>
      </c>
      <c r="U629" s="50">
        <v>0.0</v>
      </c>
      <c r="V629" s="50">
        <v>0.0</v>
      </c>
      <c r="W629" s="50">
        <v>0.0</v>
      </c>
      <c r="X629" s="50">
        <v>2.8125</v>
      </c>
      <c r="Y629" s="50">
        <v>5.625</v>
      </c>
    </row>
    <row r="630">
      <c r="A630" s="26">
        <v>624.0</v>
      </c>
      <c r="B630" s="65">
        <v>-0.7394714101178282</v>
      </c>
      <c r="C630" s="65">
        <v>-0.7689073526774828</v>
      </c>
      <c r="D630" s="65">
        <v>-0.6177015932806044</v>
      </c>
      <c r="E630" s="65">
        <v>-0.3805867059292641</v>
      </c>
      <c r="F630" s="65">
        <v>4.305350946831822</v>
      </c>
      <c r="G630" s="50">
        <v>0.0</v>
      </c>
      <c r="H630" s="50">
        <v>0.0</v>
      </c>
      <c r="I630" s="50">
        <v>0.0</v>
      </c>
      <c r="J630" s="50">
        <v>0.0</v>
      </c>
      <c r="K630" s="50">
        <v>0.0</v>
      </c>
      <c r="L630" s="50">
        <v>0.0</v>
      </c>
      <c r="M630" s="50">
        <v>0.0</v>
      </c>
      <c r="N630" s="50">
        <v>0.0</v>
      </c>
      <c r="O630" s="50">
        <v>0.0</v>
      </c>
      <c r="P630" s="50">
        <v>0.0</v>
      </c>
      <c r="Q630" s="50">
        <v>0.0</v>
      </c>
      <c r="R630" s="50">
        <v>9.9</v>
      </c>
      <c r="S630" s="50">
        <v>0.0</v>
      </c>
      <c r="T630" s="50">
        <v>2.8125</v>
      </c>
      <c r="U630" s="50">
        <v>0.0</v>
      </c>
      <c r="V630" s="50">
        <v>5.625</v>
      </c>
      <c r="W630" s="50">
        <v>0.0</v>
      </c>
      <c r="X630" s="50">
        <v>2.8125</v>
      </c>
      <c r="Y630" s="50">
        <v>21.15</v>
      </c>
    </row>
    <row r="631">
      <c r="A631" s="26">
        <v>625.0</v>
      </c>
      <c r="B631" s="65">
        <v>-0.18923987288984429</v>
      </c>
      <c r="C631" s="65">
        <v>-0.28500662092960244</v>
      </c>
      <c r="D631" s="65">
        <v>-1.2824223781743536</v>
      </c>
      <c r="E631" s="65">
        <v>-1.1105147314980546</v>
      </c>
      <c r="F631" s="65">
        <v>4.854453479891337</v>
      </c>
      <c r="G631" s="50">
        <v>0.0</v>
      </c>
      <c r="H631" s="50">
        <v>0.0</v>
      </c>
      <c r="I631" s="50">
        <v>0.0</v>
      </c>
      <c r="J631" s="50">
        <v>0.0</v>
      </c>
      <c r="K631" s="50">
        <v>0.0</v>
      </c>
      <c r="L631" s="50">
        <v>0.0</v>
      </c>
      <c r="M631" s="50">
        <v>0.0</v>
      </c>
      <c r="N631" s="50">
        <v>0.0</v>
      </c>
      <c r="O631" s="50">
        <v>0.0</v>
      </c>
      <c r="P631" s="50">
        <v>0.0</v>
      </c>
      <c r="Q631" s="50">
        <v>0.0</v>
      </c>
      <c r="R631" s="50">
        <v>0.0</v>
      </c>
      <c r="S631" s="50">
        <v>0.0</v>
      </c>
      <c r="T631" s="50">
        <v>2.8125</v>
      </c>
      <c r="U631" s="50">
        <v>0.0</v>
      </c>
      <c r="V631" s="50">
        <v>5.625</v>
      </c>
      <c r="W631" s="50">
        <v>0.0</v>
      </c>
      <c r="X631" s="50">
        <v>2.8125</v>
      </c>
      <c r="Y631" s="50">
        <v>11.25</v>
      </c>
    </row>
    <row r="632">
      <c r="A632" s="26">
        <v>626.0</v>
      </c>
      <c r="B632" s="65">
        <v>0.14668568761475304</v>
      </c>
      <c r="C632" s="65">
        <v>0.35292821049245776</v>
      </c>
      <c r="D632" s="65">
        <v>1.5639967373299133</v>
      </c>
      <c r="E632" s="65">
        <v>-1.2870508431706622</v>
      </c>
      <c r="F632" s="65">
        <v>10.137769991005431</v>
      </c>
      <c r="G632" s="50">
        <v>0.0</v>
      </c>
      <c r="H632" s="50">
        <v>0.0</v>
      </c>
      <c r="I632" s="50">
        <v>0.0</v>
      </c>
      <c r="J632" s="50">
        <v>0.0</v>
      </c>
      <c r="K632" s="50">
        <v>0.0</v>
      </c>
      <c r="L632" s="50">
        <v>0.0</v>
      </c>
      <c r="M632" s="50">
        <v>0.0</v>
      </c>
      <c r="N632" s="50">
        <v>0.0</v>
      </c>
      <c r="O632" s="50">
        <v>0.0</v>
      </c>
      <c r="P632" s="50">
        <v>0.0</v>
      </c>
      <c r="Q632" s="50">
        <v>0.0</v>
      </c>
      <c r="R632" s="50">
        <v>0.0</v>
      </c>
      <c r="S632" s="50">
        <v>0.0</v>
      </c>
      <c r="T632" s="50">
        <v>2.8125</v>
      </c>
      <c r="U632" s="50">
        <v>0.0</v>
      </c>
      <c r="V632" s="50">
        <v>0.0</v>
      </c>
      <c r="W632" s="50">
        <v>0.0</v>
      </c>
      <c r="X632" s="50">
        <v>2.8125</v>
      </c>
      <c r="Y632" s="50">
        <v>5.625</v>
      </c>
    </row>
    <row r="633">
      <c r="A633" s="26">
        <v>627.0</v>
      </c>
      <c r="B633" s="65">
        <v>0.012051058335755687</v>
      </c>
      <c r="C633" s="65">
        <v>-0.9359961566078413</v>
      </c>
      <c r="D633" s="65">
        <v>-0.791793052918591</v>
      </c>
      <c r="E633" s="65">
        <v>0.5616777233234568</v>
      </c>
      <c r="F633" s="65">
        <v>6.232336431111069</v>
      </c>
      <c r="G633" s="50">
        <v>0.0</v>
      </c>
      <c r="H633" s="50">
        <v>0.0</v>
      </c>
      <c r="I633" s="50">
        <v>0.0</v>
      </c>
      <c r="J633" s="50">
        <v>0.0</v>
      </c>
      <c r="K633" s="50">
        <v>0.0</v>
      </c>
      <c r="L633" s="50">
        <v>0.0</v>
      </c>
      <c r="M633" s="50">
        <v>0.0</v>
      </c>
      <c r="N633" s="50">
        <v>0.0</v>
      </c>
      <c r="O633" s="50">
        <v>0.0</v>
      </c>
      <c r="P633" s="50">
        <v>0.0</v>
      </c>
      <c r="Q633" s="50">
        <v>0.0</v>
      </c>
      <c r="R633" s="50">
        <v>9.9</v>
      </c>
      <c r="S633" s="50">
        <v>0.0</v>
      </c>
      <c r="T633" s="50">
        <v>2.8125</v>
      </c>
      <c r="U633" s="50">
        <v>0.0</v>
      </c>
      <c r="V633" s="50">
        <v>5.625</v>
      </c>
      <c r="W633" s="50">
        <v>0.0</v>
      </c>
      <c r="X633" s="50">
        <v>2.8125</v>
      </c>
      <c r="Y633" s="50">
        <v>21.15</v>
      </c>
    </row>
    <row r="634">
      <c r="A634" s="26">
        <v>628.0</v>
      </c>
      <c r="B634" s="65">
        <v>0.334954591348112</v>
      </c>
      <c r="C634" s="65">
        <v>1.5620002125858257</v>
      </c>
      <c r="D634" s="65">
        <v>0.07679744616911732</v>
      </c>
      <c r="E634" s="65">
        <v>1.4549884737570546</v>
      </c>
      <c r="F634" s="65">
        <v>6.5359959981828695</v>
      </c>
      <c r="G634" s="50">
        <v>0.0</v>
      </c>
      <c r="H634" s="50">
        <v>0.0</v>
      </c>
      <c r="I634" s="50">
        <v>0.0</v>
      </c>
      <c r="J634" s="50">
        <v>0.0</v>
      </c>
      <c r="K634" s="50">
        <v>0.0</v>
      </c>
      <c r="L634" s="50">
        <v>0.0</v>
      </c>
      <c r="M634" s="50">
        <v>0.0</v>
      </c>
      <c r="N634" s="50">
        <v>0.0</v>
      </c>
      <c r="O634" s="50">
        <v>0.0</v>
      </c>
      <c r="P634" s="50">
        <v>0.0</v>
      </c>
      <c r="Q634" s="50">
        <v>0.0</v>
      </c>
      <c r="R634" s="50">
        <v>0.0</v>
      </c>
      <c r="S634" s="50">
        <v>0.0</v>
      </c>
      <c r="T634" s="50">
        <v>2.8125</v>
      </c>
      <c r="U634" s="50">
        <v>0.0</v>
      </c>
      <c r="V634" s="50">
        <v>0.0</v>
      </c>
      <c r="W634" s="50">
        <v>0.0</v>
      </c>
      <c r="X634" s="50">
        <v>2.8125</v>
      </c>
      <c r="Y634" s="50">
        <v>5.625</v>
      </c>
    </row>
    <row r="635">
      <c r="A635" s="26">
        <v>629.0</v>
      </c>
      <c r="B635" s="65">
        <v>-0.023313744982408915</v>
      </c>
      <c r="C635" s="65">
        <v>0.3932598659036699</v>
      </c>
      <c r="D635" s="65">
        <v>1.1112202281307997</v>
      </c>
      <c r="E635" s="65">
        <v>-0.6304911479742574</v>
      </c>
      <c r="F635" s="65">
        <v>3.702478919129203</v>
      </c>
      <c r="G635" s="50">
        <v>0.0</v>
      </c>
      <c r="H635" s="50">
        <v>0.0</v>
      </c>
      <c r="I635" s="50">
        <v>0.0</v>
      </c>
      <c r="J635" s="50">
        <v>0.0</v>
      </c>
      <c r="K635" s="50">
        <v>0.0</v>
      </c>
      <c r="L635" s="50">
        <v>0.0</v>
      </c>
      <c r="M635" s="50">
        <v>0.0</v>
      </c>
      <c r="N635" s="50">
        <v>0.0</v>
      </c>
      <c r="O635" s="50">
        <v>0.0</v>
      </c>
      <c r="P635" s="50">
        <v>0.0</v>
      </c>
      <c r="Q635" s="50">
        <v>0.0</v>
      </c>
      <c r="R635" s="50">
        <v>0.0</v>
      </c>
      <c r="S635" s="50">
        <v>0.0</v>
      </c>
      <c r="T635" s="50">
        <v>2.8125</v>
      </c>
      <c r="U635" s="50">
        <v>0.0</v>
      </c>
      <c r="V635" s="50">
        <v>5.625</v>
      </c>
      <c r="W635" s="50">
        <v>0.0</v>
      </c>
      <c r="X635" s="50">
        <v>2.8125</v>
      </c>
      <c r="Y635" s="50">
        <v>11.25</v>
      </c>
    </row>
    <row r="636">
      <c r="A636" s="26">
        <v>630.0</v>
      </c>
      <c r="B636" s="65">
        <v>-0.416624438679515</v>
      </c>
      <c r="C636" s="65">
        <v>0.8130826788360614</v>
      </c>
      <c r="D636" s="65">
        <v>-2.3271857082558745</v>
      </c>
      <c r="E636" s="65">
        <v>-1.1212340992328442</v>
      </c>
      <c r="F636" s="65">
        <v>3.8662995905733815</v>
      </c>
      <c r="G636" s="50">
        <v>0.0</v>
      </c>
      <c r="H636" s="50">
        <v>0.0</v>
      </c>
      <c r="I636" s="50">
        <v>0.0</v>
      </c>
      <c r="J636" s="50">
        <v>0.0</v>
      </c>
      <c r="K636" s="50">
        <v>0.0</v>
      </c>
      <c r="L636" s="50">
        <v>0.0</v>
      </c>
      <c r="M636" s="50">
        <v>0.0</v>
      </c>
      <c r="N636" s="50">
        <v>0.0</v>
      </c>
      <c r="O636" s="50">
        <v>0.0</v>
      </c>
      <c r="P636" s="50">
        <v>0.0</v>
      </c>
      <c r="Q636" s="50">
        <v>0.0</v>
      </c>
      <c r="R636" s="50">
        <v>0.0</v>
      </c>
      <c r="S636" s="50">
        <v>0.0</v>
      </c>
      <c r="T636" s="50">
        <v>2.8125</v>
      </c>
      <c r="U636" s="50">
        <v>0.0</v>
      </c>
      <c r="V636" s="50">
        <v>5.625</v>
      </c>
      <c r="W636" s="50">
        <v>0.0</v>
      </c>
      <c r="X636" s="50">
        <v>2.8125</v>
      </c>
      <c r="Y636" s="50">
        <v>11.25</v>
      </c>
    </row>
    <row r="637">
      <c r="A637" s="26">
        <v>631.0</v>
      </c>
      <c r="B637" s="65">
        <v>-0.6964379969397625</v>
      </c>
      <c r="C637" s="65">
        <v>-0.19379831268413772</v>
      </c>
      <c r="D637" s="65">
        <v>0.9580722336917966</v>
      </c>
      <c r="E637" s="65">
        <v>-0.6236577160424045</v>
      </c>
      <c r="F637" s="65">
        <v>6.104739107544011</v>
      </c>
      <c r="G637" s="50">
        <v>0.0</v>
      </c>
      <c r="H637" s="50">
        <v>0.0</v>
      </c>
      <c r="I637" s="50">
        <v>0.0</v>
      </c>
      <c r="J637" s="50">
        <v>0.0</v>
      </c>
      <c r="K637" s="50">
        <v>0.0</v>
      </c>
      <c r="L637" s="50">
        <v>0.0</v>
      </c>
      <c r="M637" s="50">
        <v>0.0</v>
      </c>
      <c r="N637" s="50">
        <v>0.0</v>
      </c>
      <c r="O637" s="50">
        <v>0.0</v>
      </c>
      <c r="P637" s="50">
        <v>0.0</v>
      </c>
      <c r="Q637" s="50">
        <v>0.0</v>
      </c>
      <c r="R637" s="50">
        <v>0.0</v>
      </c>
      <c r="S637" s="50">
        <v>0.0</v>
      </c>
      <c r="T637" s="50">
        <v>2.8125</v>
      </c>
      <c r="U637" s="50">
        <v>0.0</v>
      </c>
      <c r="V637" s="50">
        <v>0.0</v>
      </c>
      <c r="W637" s="50">
        <v>0.0</v>
      </c>
      <c r="X637" s="50">
        <v>2.8125</v>
      </c>
      <c r="Y637" s="50">
        <v>5.625</v>
      </c>
    </row>
    <row r="638">
      <c r="A638" s="26">
        <v>632.0</v>
      </c>
      <c r="B638" s="65">
        <v>-0.8719142583113489</v>
      </c>
      <c r="C638" s="65">
        <v>0.04657809246870883</v>
      </c>
      <c r="D638" s="65">
        <v>0.2860342929590918</v>
      </c>
      <c r="E638" s="65">
        <v>-1.9255185868376923</v>
      </c>
      <c r="F638" s="65">
        <v>6.393419571867497</v>
      </c>
      <c r="G638" s="50">
        <v>0.0</v>
      </c>
      <c r="H638" s="50">
        <v>0.0</v>
      </c>
      <c r="I638" s="50">
        <v>0.0</v>
      </c>
      <c r="J638" s="50">
        <v>0.0</v>
      </c>
      <c r="K638" s="50">
        <v>0.0</v>
      </c>
      <c r="L638" s="50">
        <v>0.0</v>
      </c>
      <c r="M638" s="50">
        <v>0.0</v>
      </c>
      <c r="N638" s="50">
        <v>0.0</v>
      </c>
      <c r="O638" s="50">
        <v>0.0</v>
      </c>
      <c r="P638" s="50">
        <v>0.0</v>
      </c>
      <c r="Q638" s="50">
        <v>0.0</v>
      </c>
      <c r="R638" s="50">
        <v>0.0</v>
      </c>
      <c r="S638" s="50">
        <v>0.0</v>
      </c>
      <c r="T638" s="50">
        <v>2.8125</v>
      </c>
      <c r="U638" s="50">
        <v>0.0</v>
      </c>
      <c r="V638" s="50">
        <v>5.625</v>
      </c>
      <c r="W638" s="50">
        <v>0.0</v>
      </c>
      <c r="X638" s="50">
        <v>2.8125</v>
      </c>
      <c r="Y638" s="50">
        <v>11.25</v>
      </c>
    </row>
    <row r="639">
      <c r="A639" s="26">
        <v>633.0</v>
      </c>
      <c r="B639" s="65">
        <v>-0.9430857609237737</v>
      </c>
      <c r="C639" s="65">
        <v>-0.856637014976069</v>
      </c>
      <c r="D639" s="65">
        <v>-1.2974264462813712</v>
      </c>
      <c r="E639" s="65">
        <v>-0.7597124225267258</v>
      </c>
      <c r="F639" s="65">
        <v>7.256363434621356</v>
      </c>
      <c r="G639" s="50">
        <v>0.0</v>
      </c>
      <c r="H639" s="50">
        <v>0.0</v>
      </c>
      <c r="I639" s="50">
        <v>0.0</v>
      </c>
      <c r="J639" s="50">
        <v>0.0</v>
      </c>
      <c r="K639" s="50">
        <v>0.0</v>
      </c>
      <c r="L639" s="50">
        <v>0.0</v>
      </c>
      <c r="M639" s="50">
        <v>0.0</v>
      </c>
      <c r="N639" s="50">
        <v>0.0</v>
      </c>
      <c r="O639" s="50">
        <v>7.425000000000001</v>
      </c>
      <c r="P639" s="50">
        <v>0.0</v>
      </c>
      <c r="Q639" s="50">
        <v>0.0</v>
      </c>
      <c r="R639" s="50">
        <v>9.9</v>
      </c>
      <c r="S639" s="50">
        <v>0.0</v>
      </c>
      <c r="T639" s="50">
        <v>2.8125</v>
      </c>
      <c r="U639" s="50">
        <v>0.0</v>
      </c>
      <c r="V639" s="50">
        <v>0.0</v>
      </c>
      <c r="W639" s="50">
        <v>0.0</v>
      </c>
      <c r="X639" s="50">
        <v>2.8125</v>
      </c>
      <c r="Y639" s="50">
        <v>22.950000000000003</v>
      </c>
    </row>
    <row r="640">
      <c r="A640" s="26">
        <v>634.0</v>
      </c>
      <c r="B640" s="65">
        <v>-0.8200850011637342</v>
      </c>
      <c r="C640" s="65">
        <v>1.0465582180184916</v>
      </c>
      <c r="D640" s="65">
        <v>0.3866216509064452</v>
      </c>
      <c r="E640" s="65">
        <v>-0.4981987559696177</v>
      </c>
      <c r="F640" s="65">
        <v>3.748275948147241</v>
      </c>
      <c r="G640" s="50">
        <v>0.0</v>
      </c>
      <c r="H640" s="50">
        <v>0.0</v>
      </c>
      <c r="I640" s="50">
        <v>0.0</v>
      </c>
      <c r="J640" s="50">
        <v>0.0</v>
      </c>
      <c r="K640" s="50">
        <v>0.0</v>
      </c>
      <c r="L640" s="50">
        <v>0.0</v>
      </c>
      <c r="M640" s="50">
        <v>0.0</v>
      </c>
      <c r="N640" s="50">
        <v>0.0</v>
      </c>
      <c r="O640" s="50">
        <v>0.0</v>
      </c>
      <c r="P640" s="50">
        <v>0.0</v>
      </c>
      <c r="Q640" s="50">
        <v>0.0</v>
      </c>
      <c r="R640" s="50">
        <v>0.0</v>
      </c>
      <c r="S640" s="50">
        <v>0.0</v>
      </c>
      <c r="T640" s="50">
        <v>2.8125</v>
      </c>
      <c r="U640" s="50">
        <v>0.0</v>
      </c>
      <c r="V640" s="50">
        <v>0.0</v>
      </c>
      <c r="W640" s="50">
        <v>0.0</v>
      </c>
      <c r="X640" s="50">
        <v>2.8125</v>
      </c>
      <c r="Y640" s="50">
        <v>5.625</v>
      </c>
    </row>
    <row r="641">
      <c r="A641" s="26">
        <v>635.0</v>
      </c>
      <c r="B641" s="65">
        <v>-0.921886549527624</v>
      </c>
      <c r="C641" s="65">
        <v>2.5349202152617285</v>
      </c>
      <c r="D641" s="65">
        <v>1.1254583868236958</v>
      </c>
      <c r="E641" s="65">
        <v>-1.1462518917824234</v>
      </c>
      <c r="F641" s="65">
        <v>11.538567108245486</v>
      </c>
      <c r="G641" s="50">
        <v>0.0</v>
      </c>
      <c r="H641" s="50">
        <v>0.0</v>
      </c>
      <c r="I641" s="50">
        <v>0.0</v>
      </c>
      <c r="J641" s="50">
        <v>0.0</v>
      </c>
      <c r="K641" s="50">
        <v>0.0</v>
      </c>
      <c r="L641" s="50">
        <v>0.0</v>
      </c>
      <c r="M641" s="50">
        <v>0.0</v>
      </c>
      <c r="N641" s="50">
        <v>0.0</v>
      </c>
      <c r="O641" s="50">
        <v>0.0</v>
      </c>
      <c r="P641" s="50">
        <v>0.0</v>
      </c>
      <c r="Q641" s="50">
        <v>0.0</v>
      </c>
      <c r="R641" s="50">
        <v>0.0</v>
      </c>
      <c r="S641" s="50">
        <v>0.0</v>
      </c>
      <c r="T641" s="50">
        <v>2.8125</v>
      </c>
      <c r="U641" s="50">
        <v>0.0</v>
      </c>
      <c r="V641" s="50">
        <v>5.625</v>
      </c>
      <c r="W641" s="50">
        <v>0.0</v>
      </c>
      <c r="X641" s="50">
        <v>2.8125</v>
      </c>
      <c r="Y641" s="50">
        <v>11.25</v>
      </c>
    </row>
    <row r="642">
      <c r="A642" s="26">
        <v>636.0</v>
      </c>
      <c r="B642" s="65">
        <v>1.0184767784121092</v>
      </c>
      <c r="C642" s="65">
        <v>-1.6323949695836408</v>
      </c>
      <c r="D642" s="65">
        <v>1.093027090557656</v>
      </c>
      <c r="E642" s="65">
        <v>-0.3861380053009663</v>
      </c>
      <c r="F642" s="65">
        <v>4.28290756245839</v>
      </c>
      <c r="G642" s="50">
        <v>0.0</v>
      </c>
      <c r="H642" s="50">
        <v>0.0</v>
      </c>
      <c r="I642" s="50">
        <v>0.0</v>
      </c>
      <c r="J642" s="50">
        <v>0.0</v>
      </c>
      <c r="K642" s="50">
        <v>0.0</v>
      </c>
      <c r="L642" s="50">
        <v>0.0</v>
      </c>
      <c r="M642" s="50">
        <v>0.0</v>
      </c>
      <c r="N642" s="50">
        <v>0.0</v>
      </c>
      <c r="O642" s="50">
        <v>0.0</v>
      </c>
      <c r="P642" s="50">
        <v>0.0</v>
      </c>
      <c r="Q642" s="50">
        <v>0.0</v>
      </c>
      <c r="R642" s="50">
        <v>0.0</v>
      </c>
      <c r="S642" s="50">
        <v>0.0</v>
      </c>
      <c r="T642" s="50">
        <v>2.8125</v>
      </c>
      <c r="U642" s="50">
        <v>0.0</v>
      </c>
      <c r="V642" s="50">
        <v>0.0</v>
      </c>
      <c r="W642" s="50">
        <v>0.0</v>
      </c>
      <c r="X642" s="50">
        <v>2.8125</v>
      </c>
      <c r="Y642" s="50">
        <v>5.625</v>
      </c>
    </row>
    <row r="643">
      <c r="A643" s="26">
        <v>637.0</v>
      </c>
      <c r="B643" s="65">
        <v>-0.856988738812122</v>
      </c>
      <c r="C643" s="65">
        <v>-0.406779603023891</v>
      </c>
      <c r="D643" s="65">
        <v>-1.4231800897158304</v>
      </c>
      <c r="E643" s="65">
        <v>0.30409861332705507</v>
      </c>
      <c r="F643" s="65">
        <v>4.268048975817394</v>
      </c>
      <c r="G643" s="50">
        <v>0.0</v>
      </c>
      <c r="H643" s="50">
        <v>0.0</v>
      </c>
      <c r="I643" s="50">
        <v>0.0</v>
      </c>
      <c r="J643" s="50">
        <v>0.0</v>
      </c>
      <c r="K643" s="50">
        <v>0.0</v>
      </c>
      <c r="L643" s="50">
        <v>0.0</v>
      </c>
      <c r="M643" s="50">
        <v>0.0</v>
      </c>
      <c r="N643" s="50">
        <v>0.0</v>
      </c>
      <c r="O643" s="50">
        <v>0.0</v>
      </c>
      <c r="P643" s="50">
        <v>2.475</v>
      </c>
      <c r="Q643" s="50">
        <v>0.0</v>
      </c>
      <c r="R643" s="50">
        <v>9.9</v>
      </c>
      <c r="S643" s="50">
        <v>0.0</v>
      </c>
      <c r="T643" s="50">
        <v>2.8125</v>
      </c>
      <c r="U643" s="50">
        <v>0.0</v>
      </c>
      <c r="V643" s="50">
        <v>5.625</v>
      </c>
      <c r="W643" s="50">
        <v>4.95</v>
      </c>
      <c r="X643" s="50">
        <v>2.8125</v>
      </c>
      <c r="Y643" s="50">
        <v>28.575</v>
      </c>
    </row>
    <row r="644">
      <c r="A644" s="26">
        <v>638.0</v>
      </c>
      <c r="B644" s="65">
        <v>-0.2648338395692969</v>
      </c>
      <c r="C644" s="65">
        <v>-0.3902680187002265</v>
      </c>
      <c r="D644" s="65">
        <v>0.9238140434469915</v>
      </c>
      <c r="E644" s="65">
        <v>0.4488947960938001</v>
      </c>
      <c r="F644" s="65">
        <v>2.119884682655495</v>
      </c>
      <c r="G644" s="50">
        <v>0.0</v>
      </c>
      <c r="H644" s="50">
        <v>0.0</v>
      </c>
      <c r="I644" s="50">
        <v>0.0</v>
      </c>
      <c r="J644" s="50">
        <v>0.0</v>
      </c>
      <c r="K644" s="50">
        <v>0.0</v>
      </c>
      <c r="L644" s="50">
        <v>0.0</v>
      </c>
      <c r="M644" s="50">
        <v>0.0</v>
      </c>
      <c r="N644" s="50">
        <v>0.0</v>
      </c>
      <c r="O644" s="50">
        <v>0.0</v>
      </c>
      <c r="P644" s="50">
        <v>0.0</v>
      </c>
      <c r="Q644" s="50">
        <v>0.0</v>
      </c>
      <c r="R644" s="50">
        <v>0.0</v>
      </c>
      <c r="S644" s="50">
        <v>0.0</v>
      </c>
      <c r="T644" s="50">
        <v>2.8125</v>
      </c>
      <c r="U644" s="50">
        <v>9.9</v>
      </c>
      <c r="V644" s="50">
        <v>0.0</v>
      </c>
      <c r="W644" s="50">
        <v>0.0</v>
      </c>
      <c r="X644" s="50">
        <v>2.8125</v>
      </c>
      <c r="Y644" s="50">
        <v>15.525</v>
      </c>
    </row>
    <row r="645">
      <c r="A645" s="26">
        <v>639.0</v>
      </c>
      <c r="B645" s="65">
        <v>0.3033291882066136</v>
      </c>
      <c r="C645" s="65">
        <v>0.8961603425537206</v>
      </c>
      <c r="D645" s="65">
        <v>3.371587920602867</v>
      </c>
      <c r="E645" s="65">
        <v>-0.20161848351329226</v>
      </c>
      <c r="F645" s="65">
        <v>4.16688959526239</v>
      </c>
      <c r="G645" s="50">
        <v>0.0</v>
      </c>
      <c r="H645" s="50">
        <v>0.0</v>
      </c>
      <c r="I645" s="50">
        <v>0.0</v>
      </c>
      <c r="J645" s="50">
        <v>0.0</v>
      </c>
      <c r="K645" s="50">
        <v>0.0</v>
      </c>
      <c r="L645" s="50">
        <v>0.0</v>
      </c>
      <c r="M645" s="50">
        <v>0.0</v>
      </c>
      <c r="N645" s="50">
        <v>0.0</v>
      </c>
      <c r="O645" s="50">
        <v>0.0</v>
      </c>
      <c r="P645" s="50">
        <v>0.0</v>
      </c>
      <c r="Q645" s="50">
        <v>0.0</v>
      </c>
      <c r="R645" s="50">
        <v>0.0</v>
      </c>
      <c r="S645" s="50">
        <v>0.0</v>
      </c>
      <c r="T645" s="50">
        <v>2.8125</v>
      </c>
      <c r="U645" s="50">
        <v>0.0</v>
      </c>
      <c r="V645" s="50">
        <v>0.0</v>
      </c>
      <c r="W645" s="50">
        <v>4.95</v>
      </c>
      <c r="X645" s="50">
        <v>2.8125</v>
      </c>
      <c r="Y645" s="50">
        <v>10.575</v>
      </c>
    </row>
    <row r="646">
      <c r="A646" s="26">
        <v>640.0</v>
      </c>
      <c r="B646" s="65">
        <v>-0.19666807596717997</v>
      </c>
      <c r="C646" s="65">
        <v>0.5527821313012502</v>
      </c>
      <c r="D646" s="65">
        <v>0.11485837340337206</v>
      </c>
      <c r="E646" s="65">
        <v>-0.7928008825992594</v>
      </c>
      <c r="F646" s="65">
        <v>3.2374261223451195</v>
      </c>
      <c r="G646" s="50">
        <v>0.0</v>
      </c>
      <c r="H646" s="50">
        <v>0.0</v>
      </c>
      <c r="I646" s="50">
        <v>0.0</v>
      </c>
      <c r="J646" s="50">
        <v>0.0</v>
      </c>
      <c r="K646" s="50">
        <v>0.0</v>
      </c>
      <c r="L646" s="50">
        <v>0.0</v>
      </c>
      <c r="M646" s="50">
        <v>0.0</v>
      </c>
      <c r="N646" s="50">
        <v>0.0</v>
      </c>
      <c r="O646" s="50">
        <v>0.0</v>
      </c>
      <c r="P646" s="50">
        <v>0.0</v>
      </c>
      <c r="Q646" s="50">
        <v>0.0</v>
      </c>
      <c r="R646" s="50">
        <v>0.0</v>
      </c>
      <c r="S646" s="50">
        <v>0.0</v>
      </c>
      <c r="T646" s="50">
        <v>2.8125</v>
      </c>
      <c r="U646" s="50">
        <v>0.0</v>
      </c>
      <c r="V646" s="50">
        <v>5.625</v>
      </c>
      <c r="W646" s="50">
        <v>0.0</v>
      </c>
      <c r="X646" s="50">
        <v>2.8125</v>
      </c>
      <c r="Y646" s="50">
        <v>11.25</v>
      </c>
    </row>
    <row r="647">
      <c r="A647" s="26">
        <v>641.0</v>
      </c>
      <c r="B647" s="65">
        <v>0.11339863434413186</v>
      </c>
      <c r="C647" s="65">
        <v>0.05050647405570707</v>
      </c>
      <c r="D647" s="65">
        <v>1.5741713152738788</v>
      </c>
      <c r="E647" s="65">
        <v>0.4805779959117848</v>
      </c>
      <c r="F647" s="65">
        <v>4.691025124180159</v>
      </c>
      <c r="G647" s="50">
        <v>0.0</v>
      </c>
      <c r="H647" s="50">
        <v>0.0</v>
      </c>
      <c r="I647" s="50">
        <v>0.0</v>
      </c>
      <c r="J647" s="50">
        <v>0.0</v>
      </c>
      <c r="K647" s="50">
        <v>0.0</v>
      </c>
      <c r="L647" s="50">
        <v>0.0</v>
      </c>
      <c r="M647" s="50">
        <v>0.0</v>
      </c>
      <c r="N647" s="50">
        <v>0.0</v>
      </c>
      <c r="O647" s="50">
        <v>0.0</v>
      </c>
      <c r="P647" s="50">
        <v>0.0</v>
      </c>
      <c r="Q647" s="50">
        <v>0.0</v>
      </c>
      <c r="R647" s="50">
        <v>0.0</v>
      </c>
      <c r="S647" s="50">
        <v>0.0</v>
      </c>
      <c r="T647" s="50">
        <v>2.8125</v>
      </c>
      <c r="U647" s="50">
        <v>0.0</v>
      </c>
      <c r="V647" s="50">
        <v>0.0</v>
      </c>
      <c r="W647" s="50">
        <v>0.0</v>
      </c>
      <c r="X647" s="50">
        <v>2.8125</v>
      </c>
      <c r="Y647" s="50">
        <v>5.625</v>
      </c>
    </row>
    <row r="648">
      <c r="A648" s="26">
        <v>642.0</v>
      </c>
      <c r="B648" s="65">
        <v>1.2748862244701142</v>
      </c>
      <c r="C648" s="65">
        <v>0.07989653362970668</v>
      </c>
      <c r="D648" s="65">
        <v>2.0739421247956136</v>
      </c>
      <c r="E648" s="65">
        <v>-1.1390545861722636</v>
      </c>
      <c r="F648" s="65">
        <v>9.79922183659307</v>
      </c>
      <c r="G648" s="50">
        <v>0.0</v>
      </c>
      <c r="H648" s="50">
        <v>0.0</v>
      </c>
      <c r="I648" s="50">
        <v>0.0</v>
      </c>
      <c r="J648" s="50">
        <v>0.0</v>
      </c>
      <c r="K648" s="50">
        <v>0.0</v>
      </c>
      <c r="L648" s="50">
        <v>0.0</v>
      </c>
      <c r="M648" s="50">
        <v>0.0</v>
      </c>
      <c r="N648" s="50">
        <v>0.0</v>
      </c>
      <c r="O648" s="50">
        <v>0.0</v>
      </c>
      <c r="P648" s="50">
        <v>0.0</v>
      </c>
      <c r="Q648" s="50">
        <v>0.0</v>
      </c>
      <c r="R648" s="50">
        <v>0.0</v>
      </c>
      <c r="S648" s="50">
        <v>0.0</v>
      </c>
      <c r="T648" s="50">
        <v>2.8125</v>
      </c>
      <c r="U648" s="50">
        <v>0.0</v>
      </c>
      <c r="V648" s="50">
        <v>0.0</v>
      </c>
      <c r="W648" s="50">
        <v>0.0</v>
      </c>
      <c r="X648" s="50">
        <v>2.8125</v>
      </c>
      <c r="Y648" s="50">
        <v>5.625</v>
      </c>
    </row>
    <row r="649">
      <c r="A649" s="26">
        <v>643.0</v>
      </c>
      <c r="B649" s="65">
        <v>-0.7605326017140587</v>
      </c>
      <c r="C649" s="65">
        <v>1.3502605029480326</v>
      </c>
      <c r="D649" s="65">
        <v>-0.7709435849997273</v>
      </c>
      <c r="E649" s="65">
        <v>0.9435286466813548</v>
      </c>
      <c r="F649" s="65">
        <v>7.000531584323351</v>
      </c>
      <c r="G649" s="50">
        <v>0.0</v>
      </c>
      <c r="H649" s="50">
        <v>0.0</v>
      </c>
      <c r="I649" s="50">
        <v>0.0</v>
      </c>
      <c r="J649" s="50">
        <v>0.0</v>
      </c>
      <c r="K649" s="50">
        <v>0.0</v>
      </c>
      <c r="L649" s="50">
        <v>0.0</v>
      </c>
      <c r="M649" s="50">
        <v>0.0</v>
      </c>
      <c r="N649" s="50">
        <v>0.0</v>
      </c>
      <c r="O649" s="50">
        <v>0.0</v>
      </c>
      <c r="P649" s="50">
        <v>0.0</v>
      </c>
      <c r="Q649" s="50">
        <v>0.0</v>
      </c>
      <c r="R649" s="50">
        <v>0.0</v>
      </c>
      <c r="S649" s="50">
        <v>0.0</v>
      </c>
      <c r="T649" s="50">
        <v>2.8125</v>
      </c>
      <c r="U649" s="50">
        <v>0.0</v>
      </c>
      <c r="V649" s="50">
        <v>0.0</v>
      </c>
      <c r="W649" s="50">
        <v>0.0</v>
      </c>
      <c r="X649" s="50">
        <v>2.8125</v>
      </c>
      <c r="Y649" s="50">
        <v>5.625</v>
      </c>
    </row>
    <row r="650">
      <c r="A650" s="26">
        <v>644.0</v>
      </c>
      <c r="B650" s="65">
        <v>1.6955544972470507</v>
      </c>
      <c r="C650" s="65">
        <v>0.12852799512312232</v>
      </c>
      <c r="D650" s="65">
        <v>0.05777116605141211</v>
      </c>
      <c r="E650" s="65">
        <v>-1.054487453095227</v>
      </c>
      <c r="F650" s="65">
        <v>3.8296165178516652</v>
      </c>
      <c r="G650" s="50">
        <v>0.0</v>
      </c>
      <c r="H650" s="50">
        <v>0.0</v>
      </c>
      <c r="I650" s="50">
        <v>0.0</v>
      </c>
      <c r="J650" s="50">
        <v>0.0</v>
      </c>
      <c r="K650" s="50">
        <v>0.0</v>
      </c>
      <c r="L650" s="50">
        <v>0.0</v>
      </c>
      <c r="M650" s="50">
        <v>0.0</v>
      </c>
      <c r="N650" s="50">
        <v>0.0</v>
      </c>
      <c r="O650" s="50">
        <v>0.0</v>
      </c>
      <c r="P650" s="50">
        <v>0.0</v>
      </c>
      <c r="Q650" s="50">
        <v>0.0</v>
      </c>
      <c r="R650" s="50">
        <v>0.0</v>
      </c>
      <c r="S650" s="50">
        <v>0.0</v>
      </c>
      <c r="T650" s="50">
        <v>2.8125</v>
      </c>
      <c r="U650" s="50">
        <v>0.0</v>
      </c>
      <c r="V650" s="50">
        <v>0.0</v>
      </c>
      <c r="W650" s="50">
        <v>0.0</v>
      </c>
      <c r="X650" s="50">
        <v>2.8125</v>
      </c>
      <c r="Y650" s="50">
        <v>5.625</v>
      </c>
    </row>
    <row r="651">
      <c r="A651" s="26">
        <v>645.0</v>
      </c>
      <c r="B651" s="65">
        <v>0.6424001392176681</v>
      </c>
      <c r="C651" s="65">
        <v>-0.7424132585149942</v>
      </c>
      <c r="D651" s="65">
        <v>0.1834313577138704</v>
      </c>
      <c r="E651" s="65">
        <v>-1.3368951628822825</v>
      </c>
      <c r="F651" s="65">
        <v>6.650704530837233</v>
      </c>
      <c r="G651" s="50">
        <v>0.0</v>
      </c>
      <c r="H651" s="50">
        <v>0.0</v>
      </c>
      <c r="I651" s="50">
        <v>0.0</v>
      </c>
      <c r="J651" s="50">
        <v>0.0</v>
      </c>
      <c r="K651" s="50">
        <v>0.0</v>
      </c>
      <c r="L651" s="50">
        <v>0.0</v>
      </c>
      <c r="M651" s="50">
        <v>0.0</v>
      </c>
      <c r="N651" s="50">
        <v>0.0</v>
      </c>
      <c r="O651" s="50">
        <v>0.0</v>
      </c>
      <c r="P651" s="50">
        <v>0.0</v>
      </c>
      <c r="Q651" s="50">
        <v>0.0</v>
      </c>
      <c r="R651" s="50">
        <v>0.0</v>
      </c>
      <c r="S651" s="50">
        <v>0.0</v>
      </c>
      <c r="T651" s="50">
        <v>2.8125</v>
      </c>
      <c r="U651" s="50">
        <v>9.9</v>
      </c>
      <c r="V651" s="50">
        <v>0.0</v>
      </c>
      <c r="W651" s="50">
        <v>0.0</v>
      </c>
      <c r="X651" s="50">
        <v>2.8125</v>
      </c>
      <c r="Y651" s="50">
        <v>15.525</v>
      </c>
    </row>
    <row r="652">
      <c r="A652" s="26">
        <v>646.0</v>
      </c>
      <c r="B652" s="65">
        <v>1.0561257315924577</v>
      </c>
      <c r="C652" s="65">
        <v>1.5202968950606108</v>
      </c>
      <c r="D652" s="65">
        <v>-0.16309454748759633</v>
      </c>
      <c r="E652" s="65">
        <v>-0.37695952420480516</v>
      </c>
      <c r="F652" s="65">
        <v>3.911793251078921</v>
      </c>
      <c r="G652" s="50">
        <v>0.0</v>
      </c>
      <c r="H652" s="50">
        <v>0.0</v>
      </c>
      <c r="I652" s="50">
        <v>0.0</v>
      </c>
      <c r="J652" s="50">
        <v>0.0</v>
      </c>
      <c r="K652" s="50">
        <v>0.0</v>
      </c>
      <c r="L652" s="50">
        <v>0.0</v>
      </c>
      <c r="M652" s="50">
        <v>0.0</v>
      </c>
      <c r="N652" s="50">
        <v>0.0</v>
      </c>
      <c r="O652" s="50">
        <v>0.0</v>
      </c>
      <c r="P652" s="50">
        <v>0.0</v>
      </c>
      <c r="Q652" s="50">
        <v>0.0</v>
      </c>
      <c r="R652" s="50">
        <v>0.0</v>
      </c>
      <c r="S652" s="50">
        <v>0.0</v>
      </c>
      <c r="T652" s="50">
        <v>2.8125</v>
      </c>
      <c r="U652" s="50">
        <v>0.0</v>
      </c>
      <c r="V652" s="50">
        <v>0.0</v>
      </c>
      <c r="W652" s="50">
        <v>0.0</v>
      </c>
      <c r="X652" s="50">
        <v>2.8125</v>
      </c>
      <c r="Y652" s="50">
        <v>5.625</v>
      </c>
    </row>
    <row r="653">
      <c r="A653" s="26">
        <v>647.0</v>
      </c>
      <c r="B653" s="65">
        <v>0.23726193831971557</v>
      </c>
      <c r="C653" s="65">
        <v>0.07195910576409563</v>
      </c>
      <c r="D653" s="65">
        <v>1.171777650387226</v>
      </c>
      <c r="E653" s="65">
        <v>0.49757036122265164</v>
      </c>
      <c r="F653" s="65">
        <v>7.903916026726329</v>
      </c>
      <c r="G653" s="50">
        <v>0.0</v>
      </c>
      <c r="H653" s="50">
        <v>0.0</v>
      </c>
      <c r="I653" s="50">
        <v>0.0</v>
      </c>
      <c r="J653" s="50">
        <v>0.0</v>
      </c>
      <c r="K653" s="50">
        <v>0.0</v>
      </c>
      <c r="L653" s="50">
        <v>0.0</v>
      </c>
      <c r="M653" s="50">
        <v>0.0</v>
      </c>
      <c r="N653" s="50">
        <v>0.0</v>
      </c>
      <c r="O653" s="50">
        <v>0.0</v>
      </c>
      <c r="P653" s="50">
        <v>0.0</v>
      </c>
      <c r="Q653" s="50">
        <v>0.0</v>
      </c>
      <c r="R653" s="50">
        <v>0.0</v>
      </c>
      <c r="S653" s="50">
        <v>0.0</v>
      </c>
      <c r="T653" s="50">
        <v>2.8125</v>
      </c>
      <c r="U653" s="50">
        <v>0.0</v>
      </c>
      <c r="V653" s="50">
        <v>0.0</v>
      </c>
      <c r="W653" s="50">
        <v>0.0</v>
      </c>
      <c r="X653" s="50">
        <v>2.8125</v>
      </c>
      <c r="Y653" s="50">
        <v>5.625</v>
      </c>
    </row>
    <row r="654">
      <c r="A654" s="26">
        <v>648.0</v>
      </c>
      <c r="B654" s="65">
        <v>1.2885077755072798</v>
      </c>
      <c r="C654" s="65">
        <v>-0.8723695652491541</v>
      </c>
      <c r="D654" s="65">
        <v>-0.5125810227454999</v>
      </c>
      <c r="E654" s="65">
        <v>1.6660604798495324</v>
      </c>
      <c r="F654" s="65">
        <v>0.6904025894335408</v>
      </c>
      <c r="G654" s="50">
        <v>9.0</v>
      </c>
      <c r="H654" s="50">
        <v>0.0</v>
      </c>
      <c r="I654" s="50">
        <v>0.0</v>
      </c>
      <c r="J654" s="50">
        <v>0.0</v>
      </c>
      <c r="K654" s="50">
        <v>0.0</v>
      </c>
      <c r="L654" s="50">
        <v>0.0</v>
      </c>
      <c r="M654" s="50">
        <v>0.0</v>
      </c>
      <c r="N654" s="50">
        <v>0.0</v>
      </c>
      <c r="O654" s="50">
        <v>0.0</v>
      </c>
      <c r="P654" s="50">
        <v>0.0</v>
      </c>
      <c r="Q654" s="50">
        <v>0.0</v>
      </c>
      <c r="R654" s="50">
        <v>0.0</v>
      </c>
      <c r="S654" s="50">
        <v>0.0</v>
      </c>
      <c r="T654" s="50">
        <v>2.8125</v>
      </c>
      <c r="U654" s="50">
        <v>0.0</v>
      </c>
      <c r="V654" s="50">
        <v>0.0</v>
      </c>
      <c r="W654" s="50">
        <v>0.0</v>
      </c>
      <c r="X654" s="50">
        <v>0.0</v>
      </c>
      <c r="Y654" s="50">
        <v>11.8125</v>
      </c>
    </row>
    <row r="655">
      <c r="A655" s="26">
        <v>649.0</v>
      </c>
      <c r="B655" s="65">
        <v>0.2023901096475379</v>
      </c>
      <c r="C655" s="65">
        <v>-0.3825022466188169</v>
      </c>
      <c r="D655" s="65">
        <v>0.19346169877544322</v>
      </c>
      <c r="E655" s="65">
        <v>-0.7556694598572784</v>
      </c>
      <c r="F655" s="65">
        <v>1.3249247859604503</v>
      </c>
      <c r="G655" s="50">
        <v>0.0</v>
      </c>
      <c r="H655" s="50">
        <v>0.0</v>
      </c>
      <c r="I655" s="50">
        <v>0.0</v>
      </c>
      <c r="J655" s="50">
        <v>0.0</v>
      </c>
      <c r="K655" s="50">
        <v>0.0</v>
      </c>
      <c r="L655" s="50">
        <v>0.0</v>
      </c>
      <c r="M655" s="50">
        <v>0.0</v>
      </c>
      <c r="N655" s="50">
        <v>0.0</v>
      </c>
      <c r="O655" s="50">
        <v>0.0</v>
      </c>
      <c r="P655" s="50">
        <v>0.0</v>
      </c>
      <c r="Q655" s="50">
        <v>0.0</v>
      </c>
      <c r="R655" s="50">
        <v>0.0</v>
      </c>
      <c r="S655" s="50">
        <v>0.0</v>
      </c>
      <c r="T655" s="50">
        <v>2.8125</v>
      </c>
      <c r="U655" s="50">
        <v>9.9</v>
      </c>
      <c r="V655" s="50">
        <v>0.0</v>
      </c>
      <c r="W655" s="50">
        <v>0.0</v>
      </c>
      <c r="X655" s="50">
        <v>2.8125</v>
      </c>
      <c r="Y655" s="50">
        <v>15.525</v>
      </c>
    </row>
    <row r="656">
      <c r="A656" s="26">
        <v>650.0</v>
      </c>
      <c r="B656" s="65">
        <v>-0.5242933372666001</v>
      </c>
      <c r="C656" s="65">
        <v>0.7892096435633494</v>
      </c>
      <c r="D656" s="65">
        <v>-0.8029515535074229</v>
      </c>
      <c r="E656" s="65">
        <v>0.8293293386795352</v>
      </c>
      <c r="F656" s="65">
        <v>3.261228254639602</v>
      </c>
      <c r="G656" s="50">
        <v>0.0</v>
      </c>
      <c r="H656" s="50">
        <v>0.0</v>
      </c>
      <c r="I656" s="50">
        <v>0.0</v>
      </c>
      <c r="J656" s="50">
        <v>0.0</v>
      </c>
      <c r="K656" s="50">
        <v>0.0</v>
      </c>
      <c r="L656" s="50">
        <v>0.0</v>
      </c>
      <c r="M656" s="50">
        <v>0.0</v>
      </c>
      <c r="N656" s="50">
        <v>0.0</v>
      </c>
      <c r="O656" s="50">
        <v>0.0</v>
      </c>
      <c r="P656" s="50">
        <v>2.475</v>
      </c>
      <c r="Q656" s="50">
        <v>0.0</v>
      </c>
      <c r="R656" s="50">
        <v>0.0</v>
      </c>
      <c r="S656" s="50">
        <v>11.25</v>
      </c>
      <c r="T656" s="50">
        <v>2.8125</v>
      </c>
      <c r="U656" s="50">
        <v>0.0</v>
      </c>
      <c r="V656" s="50">
        <v>0.0</v>
      </c>
      <c r="W656" s="50">
        <v>4.95</v>
      </c>
      <c r="X656" s="50">
        <v>2.8125</v>
      </c>
      <c r="Y656" s="50">
        <v>24.3</v>
      </c>
    </row>
    <row r="657">
      <c r="A657" s="26">
        <v>651.0</v>
      </c>
      <c r="B657" s="65">
        <v>1.1351068811185936</v>
      </c>
      <c r="C657" s="65">
        <v>1.701078155592025</v>
      </c>
      <c r="D657" s="65">
        <v>0.26318872545747724</v>
      </c>
      <c r="E657" s="65">
        <v>0.5474947007241224</v>
      </c>
      <c r="F657" s="65">
        <v>6.097676853774999</v>
      </c>
      <c r="G657" s="50">
        <v>0.0</v>
      </c>
      <c r="H657" s="50">
        <v>0.0</v>
      </c>
      <c r="I657" s="50">
        <v>0.0</v>
      </c>
      <c r="J657" s="50">
        <v>0.0</v>
      </c>
      <c r="K657" s="50">
        <v>0.0</v>
      </c>
      <c r="L657" s="50">
        <v>0.0</v>
      </c>
      <c r="M657" s="50">
        <v>0.0</v>
      </c>
      <c r="N657" s="50">
        <v>0.0</v>
      </c>
      <c r="O657" s="50">
        <v>0.0</v>
      </c>
      <c r="P657" s="50">
        <v>0.0</v>
      </c>
      <c r="Q657" s="50">
        <v>0.0</v>
      </c>
      <c r="R657" s="50">
        <v>0.0</v>
      </c>
      <c r="S657" s="50">
        <v>0.0</v>
      </c>
      <c r="T657" s="50">
        <v>2.8125</v>
      </c>
      <c r="U657" s="50">
        <v>0.0</v>
      </c>
      <c r="V657" s="50">
        <v>0.0</v>
      </c>
      <c r="W657" s="50">
        <v>0.0</v>
      </c>
      <c r="X657" s="50">
        <v>2.8125</v>
      </c>
      <c r="Y657" s="50">
        <v>5.625</v>
      </c>
    </row>
    <row r="658">
      <c r="A658" s="26">
        <v>652.0</v>
      </c>
      <c r="B658" s="65">
        <v>0.5665571364868606</v>
      </c>
      <c r="C658" s="65">
        <v>-1.4676804819833174</v>
      </c>
      <c r="D658" s="65">
        <v>0.44175357192441145</v>
      </c>
      <c r="E658" s="65">
        <v>0.6389064468983395</v>
      </c>
      <c r="F658" s="65">
        <v>5.745245795608287</v>
      </c>
      <c r="G658" s="50">
        <v>0.0</v>
      </c>
      <c r="H658" s="50">
        <v>0.0</v>
      </c>
      <c r="I658" s="50">
        <v>0.0</v>
      </c>
      <c r="J658" s="50">
        <v>0.0</v>
      </c>
      <c r="K658" s="50">
        <v>0.0</v>
      </c>
      <c r="L658" s="50">
        <v>0.0</v>
      </c>
      <c r="M658" s="50">
        <v>0.0</v>
      </c>
      <c r="N658" s="50">
        <v>0.0</v>
      </c>
      <c r="O658" s="50">
        <v>0.0</v>
      </c>
      <c r="P658" s="50">
        <v>0.0</v>
      </c>
      <c r="Q658" s="50">
        <v>0.0</v>
      </c>
      <c r="R658" s="50">
        <v>0.0</v>
      </c>
      <c r="S658" s="50">
        <v>0.0</v>
      </c>
      <c r="T658" s="50">
        <v>2.8125</v>
      </c>
      <c r="U658" s="50">
        <v>0.0</v>
      </c>
      <c r="V658" s="50">
        <v>0.0</v>
      </c>
      <c r="W658" s="50">
        <v>0.0</v>
      </c>
      <c r="X658" s="50">
        <v>2.8125</v>
      </c>
      <c r="Y658" s="50">
        <v>5.625</v>
      </c>
    </row>
    <row r="659">
      <c r="A659" s="26">
        <v>653.0</v>
      </c>
      <c r="B659" s="65">
        <v>0.19815477072843346</v>
      </c>
      <c r="C659" s="65">
        <v>1.6461054698655317</v>
      </c>
      <c r="D659" s="65">
        <v>-0.6457127284395856</v>
      </c>
      <c r="E659" s="65">
        <v>-1.792647215164714</v>
      </c>
      <c r="F659" s="65">
        <v>3.6672953752414346</v>
      </c>
      <c r="G659" s="50">
        <v>0.0</v>
      </c>
      <c r="H659" s="50">
        <v>0.0</v>
      </c>
      <c r="I659" s="50">
        <v>0.0</v>
      </c>
      <c r="J659" s="50">
        <v>0.0</v>
      </c>
      <c r="K659" s="50">
        <v>0.0</v>
      </c>
      <c r="L659" s="50">
        <v>0.0</v>
      </c>
      <c r="M659" s="50">
        <v>0.0</v>
      </c>
      <c r="N659" s="50">
        <v>0.0</v>
      </c>
      <c r="O659" s="50">
        <v>0.0</v>
      </c>
      <c r="P659" s="50">
        <v>0.0</v>
      </c>
      <c r="Q659" s="50">
        <v>0.0</v>
      </c>
      <c r="R659" s="50">
        <v>0.0</v>
      </c>
      <c r="S659" s="50">
        <v>0.0</v>
      </c>
      <c r="T659" s="50">
        <v>2.8125</v>
      </c>
      <c r="U659" s="50">
        <v>0.0</v>
      </c>
      <c r="V659" s="50">
        <v>5.625</v>
      </c>
      <c r="W659" s="50">
        <v>4.95</v>
      </c>
      <c r="X659" s="50">
        <v>2.8125</v>
      </c>
      <c r="Y659" s="50">
        <v>16.2</v>
      </c>
    </row>
    <row r="660">
      <c r="A660" s="26">
        <v>654.0</v>
      </c>
      <c r="B660" s="65">
        <v>-0.7250099971523425</v>
      </c>
      <c r="C660" s="65">
        <v>-1.0475289666570706</v>
      </c>
      <c r="D660" s="65">
        <v>0.44148060143350754</v>
      </c>
      <c r="E660" s="65">
        <v>-0.5605701477194052</v>
      </c>
      <c r="F660" s="65">
        <v>1.5477456815059425</v>
      </c>
      <c r="G660" s="50">
        <v>0.0</v>
      </c>
      <c r="H660" s="50">
        <v>0.0</v>
      </c>
      <c r="I660" s="50">
        <v>0.0</v>
      </c>
      <c r="J660" s="50">
        <v>0.0</v>
      </c>
      <c r="K660" s="50">
        <v>0.0</v>
      </c>
      <c r="L660" s="50">
        <v>0.0</v>
      </c>
      <c r="M660" s="50">
        <v>0.0</v>
      </c>
      <c r="N660" s="50">
        <v>0.0</v>
      </c>
      <c r="O660" s="50">
        <v>7.425000000000001</v>
      </c>
      <c r="P660" s="50">
        <v>0.0</v>
      </c>
      <c r="Q660" s="50">
        <v>0.0</v>
      </c>
      <c r="R660" s="50">
        <v>9.9</v>
      </c>
      <c r="S660" s="50">
        <v>0.0</v>
      </c>
      <c r="T660" s="50">
        <v>2.8125</v>
      </c>
      <c r="U660" s="50">
        <v>9.9</v>
      </c>
      <c r="V660" s="50">
        <v>5.625</v>
      </c>
      <c r="W660" s="50">
        <v>4.95</v>
      </c>
      <c r="X660" s="50">
        <v>2.8125</v>
      </c>
      <c r="Y660" s="50">
        <v>43.425000000000004</v>
      </c>
    </row>
    <row r="661">
      <c r="A661" s="26">
        <v>655.0</v>
      </c>
      <c r="B661" s="65">
        <v>0.550173086630561</v>
      </c>
      <c r="C661" s="65">
        <v>1.3458280031036787</v>
      </c>
      <c r="D661" s="65">
        <v>1.1613155993507511</v>
      </c>
      <c r="E661" s="65">
        <v>-0.3402244299103744</v>
      </c>
      <c r="F661" s="65">
        <v>1.4203314951864046</v>
      </c>
      <c r="G661" s="50">
        <v>0.0</v>
      </c>
      <c r="H661" s="50">
        <v>0.0</v>
      </c>
      <c r="I661" s="50">
        <v>0.0</v>
      </c>
      <c r="J661" s="50">
        <v>0.0</v>
      </c>
      <c r="K661" s="50">
        <v>0.0</v>
      </c>
      <c r="L661" s="50">
        <v>0.0</v>
      </c>
      <c r="M661" s="50">
        <v>0.0</v>
      </c>
      <c r="N661" s="50">
        <v>0.0</v>
      </c>
      <c r="O661" s="50">
        <v>0.0</v>
      </c>
      <c r="P661" s="50">
        <v>0.0</v>
      </c>
      <c r="Q661" s="50">
        <v>0.0</v>
      </c>
      <c r="R661" s="50">
        <v>0.0</v>
      </c>
      <c r="S661" s="50">
        <v>0.0</v>
      </c>
      <c r="T661" s="50">
        <v>2.8125</v>
      </c>
      <c r="U661" s="50">
        <v>0.0</v>
      </c>
      <c r="V661" s="50">
        <v>0.0</v>
      </c>
      <c r="W661" s="50">
        <v>4.95</v>
      </c>
      <c r="X661" s="50">
        <v>2.8125</v>
      </c>
      <c r="Y661" s="50">
        <v>10.575</v>
      </c>
    </row>
    <row r="662">
      <c r="A662" s="26">
        <v>656.0</v>
      </c>
      <c r="B662" s="65">
        <v>0.6864391751173098</v>
      </c>
      <c r="C662" s="65">
        <v>0.41269392394765686</v>
      </c>
      <c r="D662" s="65">
        <v>0.5244760389225616</v>
      </c>
      <c r="E662" s="65">
        <v>-0.7733542467558384</v>
      </c>
      <c r="F662" s="65">
        <v>7.250510688585501</v>
      </c>
      <c r="G662" s="50">
        <v>0.0</v>
      </c>
      <c r="H662" s="50">
        <v>0.0</v>
      </c>
      <c r="I662" s="50">
        <v>0.0</v>
      </c>
      <c r="J662" s="50">
        <v>0.0</v>
      </c>
      <c r="K662" s="50">
        <v>0.0</v>
      </c>
      <c r="L662" s="50">
        <v>0.0</v>
      </c>
      <c r="M662" s="50">
        <v>0.0</v>
      </c>
      <c r="N662" s="50">
        <v>0.0</v>
      </c>
      <c r="O662" s="50">
        <v>0.0</v>
      </c>
      <c r="P662" s="50">
        <v>0.0</v>
      </c>
      <c r="Q662" s="50">
        <v>0.0</v>
      </c>
      <c r="R662" s="50">
        <v>0.0</v>
      </c>
      <c r="S662" s="50">
        <v>0.0</v>
      </c>
      <c r="T662" s="50">
        <v>2.8125</v>
      </c>
      <c r="U662" s="50">
        <v>0.0</v>
      </c>
      <c r="V662" s="50">
        <v>0.0</v>
      </c>
      <c r="W662" s="50">
        <v>0.0</v>
      </c>
      <c r="X662" s="50">
        <v>2.8125</v>
      </c>
      <c r="Y662" s="50">
        <v>5.625</v>
      </c>
    </row>
    <row r="663">
      <c r="A663" s="26">
        <v>657.0</v>
      </c>
      <c r="B663" s="65">
        <v>0.5292109305146881</v>
      </c>
      <c r="C663" s="65">
        <v>0.3732927512247561</v>
      </c>
      <c r="D663" s="65">
        <v>-1.5032835230040067</v>
      </c>
      <c r="E663" s="65">
        <v>-1.265260994498977</v>
      </c>
      <c r="F663" s="65">
        <v>7.39020849112237</v>
      </c>
      <c r="G663" s="50">
        <v>0.0</v>
      </c>
      <c r="H663" s="50">
        <v>0.0</v>
      </c>
      <c r="I663" s="50">
        <v>0.0</v>
      </c>
      <c r="J663" s="50">
        <v>0.0</v>
      </c>
      <c r="K663" s="50">
        <v>0.0</v>
      </c>
      <c r="L663" s="50">
        <v>0.0</v>
      </c>
      <c r="M663" s="50">
        <v>0.0</v>
      </c>
      <c r="N663" s="50">
        <v>0.0</v>
      </c>
      <c r="O663" s="50">
        <v>0.0</v>
      </c>
      <c r="P663" s="50">
        <v>0.0</v>
      </c>
      <c r="Q663" s="50">
        <v>0.0</v>
      </c>
      <c r="R663" s="50">
        <v>0.0</v>
      </c>
      <c r="S663" s="50">
        <v>0.0</v>
      </c>
      <c r="T663" s="50">
        <v>2.8125</v>
      </c>
      <c r="U663" s="50">
        <v>0.0</v>
      </c>
      <c r="V663" s="50">
        <v>5.625</v>
      </c>
      <c r="W663" s="50">
        <v>0.0</v>
      </c>
      <c r="X663" s="50">
        <v>2.8125</v>
      </c>
      <c r="Y663" s="50">
        <v>11.25</v>
      </c>
    </row>
    <row r="664">
      <c r="A664" s="26">
        <v>658.0</v>
      </c>
      <c r="B664" s="65">
        <v>-0.05547602537963285</v>
      </c>
      <c r="C664" s="65">
        <v>1.9817677767981152</v>
      </c>
      <c r="D664" s="65">
        <v>-0.6728414967285641</v>
      </c>
      <c r="E664" s="65">
        <v>0.0727332702385299</v>
      </c>
      <c r="F664" s="65">
        <v>7.274958475269377</v>
      </c>
      <c r="G664" s="50">
        <v>0.0</v>
      </c>
      <c r="H664" s="50">
        <v>0.0</v>
      </c>
      <c r="I664" s="50">
        <v>0.0</v>
      </c>
      <c r="J664" s="50">
        <v>0.0</v>
      </c>
      <c r="K664" s="50">
        <v>0.0</v>
      </c>
      <c r="L664" s="50">
        <v>0.0</v>
      </c>
      <c r="M664" s="50">
        <v>0.0</v>
      </c>
      <c r="N664" s="50">
        <v>0.0</v>
      </c>
      <c r="O664" s="50">
        <v>0.0</v>
      </c>
      <c r="P664" s="50">
        <v>0.0</v>
      </c>
      <c r="Q664" s="50">
        <v>0.0</v>
      </c>
      <c r="R664" s="50">
        <v>0.0</v>
      </c>
      <c r="S664" s="50">
        <v>0.0</v>
      </c>
      <c r="T664" s="50">
        <v>2.8125</v>
      </c>
      <c r="U664" s="50">
        <v>0.0</v>
      </c>
      <c r="V664" s="50">
        <v>0.0</v>
      </c>
      <c r="W664" s="50">
        <v>0.0</v>
      </c>
      <c r="X664" s="50">
        <v>2.8125</v>
      </c>
      <c r="Y664" s="50">
        <v>5.625</v>
      </c>
    </row>
    <row r="665">
      <c r="A665" s="26">
        <v>659.0</v>
      </c>
      <c r="B665" s="65">
        <v>0.5757997958990434</v>
      </c>
      <c r="C665" s="65">
        <v>-2.543855897787765</v>
      </c>
      <c r="D665" s="65">
        <v>1.8464428772712165</v>
      </c>
      <c r="E665" s="65">
        <v>-0.5479099401346442</v>
      </c>
      <c r="F665" s="65">
        <v>2.837917056402964</v>
      </c>
      <c r="G665" s="50">
        <v>0.0</v>
      </c>
      <c r="H665" s="50">
        <v>0.0</v>
      </c>
      <c r="I665" s="50">
        <v>0.0</v>
      </c>
      <c r="J665" s="50">
        <v>0.0</v>
      </c>
      <c r="K665" s="50">
        <v>0.0</v>
      </c>
      <c r="L665" s="50">
        <v>0.0</v>
      </c>
      <c r="M665" s="50">
        <v>0.0</v>
      </c>
      <c r="N665" s="50">
        <v>0.0</v>
      </c>
      <c r="O665" s="50">
        <v>0.0</v>
      </c>
      <c r="P665" s="50">
        <v>0.0</v>
      </c>
      <c r="Q665" s="50">
        <v>0.0</v>
      </c>
      <c r="R665" s="50">
        <v>0.0</v>
      </c>
      <c r="S665" s="50">
        <v>0.0</v>
      </c>
      <c r="T665" s="50">
        <v>2.8125</v>
      </c>
      <c r="U665" s="50">
        <v>0.0</v>
      </c>
      <c r="V665" s="50">
        <v>0.0</v>
      </c>
      <c r="W665" s="50">
        <v>0.0</v>
      </c>
      <c r="X665" s="50">
        <v>2.8125</v>
      </c>
      <c r="Y665" s="50">
        <v>5.625</v>
      </c>
    </row>
    <row r="666">
      <c r="A666" s="26">
        <v>660.0</v>
      </c>
      <c r="B666" s="65">
        <v>-1.5969830262797242</v>
      </c>
      <c r="C666" s="65">
        <v>0.45504911346417903</v>
      </c>
      <c r="D666" s="65">
        <v>-0.8425120810000425</v>
      </c>
      <c r="E666" s="65">
        <v>0.6733090210867673</v>
      </c>
      <c r="F666" s="65">
        <v>8.606352969723254</v>
      </c>
      <c r="G666" s="50">
        <v>0.0</v>
      </c>
      <c r="H666" s="50">
        <v>0.0</v>
      </c>
      <c r="I666" s="50">
        <v>0.0</v>
      </c>
      <c r="J666" s="50">
        <v>0.0</v>
      </c>
      <c r="K666" s="50">
        <v>0.0</v>
      </c>
      <c r="L666" s="50">
        <v>0.0</v>
      </c>
      <c r="M666" s="50">
        <v>0.0</v>
      </c>
      <c r="N666" s="50">
        <v>0.0</v>
      </c>
      <c r="O666" s="50">
        <v>0.0</v>
      </c>
      <c r="P666" s="50">
        <v>0.0</v>
      </c>
      <c r="Q666" s="50">
        <v>0.0</v>
      </c>
      <c r="R666" s="50">
        <v>0.0</v>
      </c>
      <c r="S666" s="50">
        <v>0.0</v>
      </c>
      <c r="T666" s="50">
        <v>2.8125</v>
      </c>
      <c r="U666" s="50">
        <v>0.0</v>
      </c>
      <c r="V666" s="50">
        <v>0.0</v>
      </c>
      <c r="W666" s="50">
        <v>0.0</v>
      </c>
      <c r="X666" s="50">
        <v>2.8125</v>
      </c>
      <c r="Y666" s="50">
        <v>5.625</v>
      </c>
    </row>
    <row r="667">
      <c r="A667" s="26">
        <v>661.0</v>
      </c>
      <c r="B667" s="65">
        <v>-0.7800548155873376</v>
      </c>
      <c r="C667" s="65">
        <v>0.7239447425278736</v>
      </c>
      <c r="D667" s="65">
        <v>0.043888686441351854</v>
      </c>
      <c r="E667" s="65">
        <v>0.5656643052473981</v>
      </c>
      <c r="F667" s="65">
        <v>2.1861137235274173</v>
      </c>
      <c r="G667" s="50">
        <v>0.0</v>
      </c>
      <c r="H667" s="50">
        <v>0.0</v>
      </c>
      <c r="I667" s="50">
        <v>0.0</v>
      </c>
      <c r="J667" s="50">
        <v>0.0</v>
      </c>
      <c r="K667" s="50">
        <v>0.0</v>
      </c>
      <c r="L667" s="50">
        <v>0.0</v>
      </c>
      <c r="M667" s="50">
        <v>0.0</v>
      </c>
      <c r="N667" s="50">
        <v>0.0</v>
      </c>
      <c r="O667" s="50">
        <v>0.0</v>
      </c>
      <c r="P667" s="50">
        <v>2.475</v>
      </c>
      <c r="Q667" s="50">
        <v>0.0</v>
      </c>
      <c r="R667" s="50">
        <v>0.0</v>
      </c>
      <c r="S667" s="50">
        <v>0.0</v>
      </c>
      <c r="T667" s="50">
        <v>2.8125</v>
      </c>
      <c r="U667" s="50">
        <v>0.0</v>
      </c>
      <c r="V667" s="50">
        <v>0.0</v>
      </c>
      <c r="W667" s="50">
        <v>0.0</v>
      </c>
      <c r="X667" s="50">
        <v>2.8125</v>
      </c>
      <c r="Y667" s="50">
        <v>8.1</v>
      </c>
    </row>
    <row r="668">
      <c r="A668" s="26">
        <v>662.0</v>
      </c>
      <c r="B668" s="65">
        <v>-0.9138242382987916</v>
      </c>
      <c r="C668" s="65">
        <v>0.11915117459144005</v>
      </c>
      <c r="D668" s="65">
        <v>-0.5842539717099243</v>
      </c>
      <c r="E668" s="65">
        <v>-2.296307158145082</v>
      </c>
      <c r="F668" s="65">
        <v>2.2393769599051883</v>
      </c>
      <c r="G668" s="50">
        <v>0.0</v>
      </c>
      <c r="H668" s="50">
        <v>0.0</v>
      </c>
      <c r="I668" s="50">
        <v>0.0</v>
      </c>
      <c r="J668" s="50">
        <v>0.0</v>
      </c>
      <c r="K668" s="50">
        <v>0.0</v>
      </c>
      <c r="L668" s="50">
        <v>0.0</v>
      </c>
      <c r="M668" s="50">
        <v>0.0</v>
      </c>
      <c r="N668" s="50">
        <v>0.0</v>
      </c>
      <c r="O668" s="50">
        <v>7.425000000000001</v>
      </c>
      <c r="P668" s="50">
        <v>0.0</v>
      </c>
      <c r="Q668" s="50">
        <v>0.0</v>
      </c>
      <c r="R668" s="50">
        <v>0.0</v>
      </c>
      <c r="S668" s="50">
        <v>11.25</v>
      </c>
      <c r="T668" s="50">
        <v>2.8125</v>
      </c>
      <c r="U668" s="50">
        <v>0.0</v>
      </c>
      <c r="V668" s="50">
        <v>5.625</v>
      </c>
      <c r="W668" s="50">
        <v>4.95</v>
      </c>
      <c r="X668" s="50">
        <v>2.8125</v>
      </c>
      <c r="Y668" s="50">
        <v>34.875</v>
      </c>
    </row>
    <row r="669">
      <c r="A669" s="26">
        <v>663.0</v>
      </c>
      <c r="B669" s="65">
        <v>-0.286256229921949</v>
      </c>
      <c r="C669" s="65">
        <v>-0.6493692115886381</v>
      </c>
      <c r="D669" s="65">
        <v>-0.20176955715342237</v>
      </c>
      <c r="E669" s="65">
        <v>1.1250602558954237</v>
      </c>
      <c r="F669" s="65">
        <v>6.031666069104888</v>
      </c>
      <c r="G669" s="50">
        <v>0.0</v>
      </c>
      <c r="H669" s="50">
        <v>0.0</v>
      </c>
      <c r="I669" s="50">
        <v>0.0</v>
      </c>
      <c r="J669" s="50">
        <v>0.0</v>
      </c>
      <c r="K669" s="50">
        <v>0.0</v>
      </c>
      <c r="L669" s="50">
        <v>0.0</v>
      </c>
      <c r="M669" s="50">
        <v>0.0</v>
      </c>
      <c r="N669" s="50">
        <v>0.0</v>
      </c>
      <c r="O669" s="50">
        <v>0.0</v>
      </c>
      <c r="P669" s="50">
        <v>0.0</v>
      </c>
      <c r="Q669" s="50">
        <v>0.0</v>
      </c>
      <c r="R669" s="50">
        <v>0.0</v>
      </c>
      <c r="S669" s="50">
        <v>0.0</v>
      </c>
      <c r="T669" s="50">
        <v>2.8125</v>
      </c>
      <c r="U669" s="50">
        <v>0.0</v>
      </c>
      <c r="V669" s="50">
        <v>0.0</v>
      </c>
      <c r="W669" s="50">
        <v>0.0</v>
      </c>
      <c r="X669" s="50">
        <v>2.8125</v>
      </c>
      <c r="Y669" s="50">
        <v>5.625</v>
      </c>
    </row>
    <row r="670">
      <c r="A670" s="26">
        <v>664.0</v>
      </c>
      <c r="B670" s="65">
        <v>-1.616416516862162</v>
      </c>
      <c r="C670" s="65">
        <v>-1.1072840399388295</v>
      </c>
      <c r="D670" s="65">
        <v>-1.7138124694861128</v>
      </c>
      <c r="E670" s="65">
        <v>-0.4585615690398166</v>
      </c>
      <c r="F670" s="65">
        <v>0.23393790832531147</v>
      </c>
      <c r="G670" s="50">
        <v>0.0</v>
      </c>
      <c r="H670" s="50">
        <v>0.0</v>
      </c>
      <c r="I670" s="50">
        <v>0.0</v>
      </c>
      <c r="J670" s="50">
        <v>0.0</v>
      </c>
      <c r="K670" s="50">
        <v>0.0</v>
      </c>
      <c r="L670" s="50">
        <v>4.5</v>
      </c>
      <c r="M670" s="50">
        <v>0.0</v>
      </c>
      <c r="N670" s="50">
        <v>13.5</v>
      </c>
      <c r="O670" s="50">
        <v>0.0</v>
      </c>
      <c r="P670" s="50">
        <v>2.475</v>
      </c>
      <c r="Q670" s="50">
        <v>0.0</v>
      </c>
      <c r="R670" s="50">
        <v>9.9</v>
      </c>
      <c r="S670" s="50">
        <v>0.0</v>
      </c>
      <c r="T670" s="50">
        <v>2.8125</v>
      </c>
      <c r="U670" s="50">
        <v>0.0</v>
      </c>
      <c r="V670" s="50">
        <v>5.625</v>
      </c>
      <c r="W670" s="50">
        <v>4.95</v>
      </c>
      <c r="X670" s="50">
        <v>2.8125</v>
      </c>
      <c r="Y670" s="50">
        <v>46.575</v>
      </c>
    </row>
    <row r="671">
      <c r="A671" s="26">
        <v>665.0</v>
      </c>
      <c r="B671" s="65">
        <v>0.4777972210966905</v>
      </c>
      <c r="C671" s="65">
        <v>0.7064262388587577</v>
      </c>
      <c r="D671" s="65">
        <v>1.5837665491338946</v>
      </c>
      <c r="E671" s="65">
        <v>-0.13894379577222862</v>
      </c>
      <c r="F671" s="65">
        <v>2.755943192961304</v>
      </c>
      <c r="G671" s="50">
        <v>0.0</v>
      </c>
      <c r="H671" s="50">
        <v>0.0</v>
      </c>
      <c r="I671" s="50">
        <v>0.0</v>
      </c>
      <c r="J671" s="50">
        <v>0.0</v>
      </c>
      <c r="K671" s="50">
        <v>0.0</v>
      </c>
      <c r="L671" s="50">
        <v>0.0</v>
      </c>
      <c r="M671" s="50">
        <v>0.0</v>
      </c>
      <c r="N671" s="50">
        <v>0.0</v>
      </c>
      <c r="O671" s="50">
        <v>0.0</v>
      </c>
      <c r="P671" s="50">
        <v>0.0</v>
      </c>
      <c r="Q671" s="50">
        <v>0.0</v>
      </c>
      <c r="R671" s="50">
        <v>0.0</v>
      </c>
      <c r="S671" s="50">
        <v>0.0</v>
      </c>
      <c r="T671" s="50">
        <v>2.8125</v>
      </c>
      <c r="U671" s="50">
        <v>0.0</v>
      </c>
      <c r="V671" s="50">
        <v>0.0</v>
      </c>
      <c r="W671" s="50">
        <v>0.0</v>
      </c>
      <c r="X671" s="50">
        <v>2.8125</v>
      </c>
      <c r="Y671" s="50">
        <v>5.625</v>
      </c>
    </row>
    <row r="672">
      <c r="A672" s="26">
        <v>666.0</v>
      </c>
      <c r="B672" s="65">
        <v>-0.20067032540586063</v>
      </c>
      <c r="C672" s="65">
        <v>-0.5714536889874542</v>
      </c>
      <c r="D672" s="65">
        <v>-0.6558539396495928</v>
      </c>
      <c r="E672" s="65">
        <v>-0.11190472774170847</v>
      </c>
      <c r="F672" s="65">
        <v>12.046284172017653</v>
      </c>
      <c r="G672" s="50">
        <v>0.0</v>
      </c>
      <c r="H672" s="50">
        <v>0.0</v>
      </c>
      <c r="I672" s="50">
        <v>0.0</v>
      </c>
      <c r="J672" s="50">
        <v>0.0</v>
      </c>
      <c r="K672" s="50">
        <v>0.0</v>
      </c>
      <c r="L672" s="50">
        <v>0.0</v>
      </c>
      <c r="M672" s="50">
        <v>0.0</v>
      </c>
      <c r="N672" s="50">
        <v>0.0</v>
      </c>
      <c r="O672" s="50">
        <v>0.0</v>
      </c>
      <c r="P672" s="50">
        <v>0.0</v>
      </c>
      <c r="Q672" s="50">
        <v>0.0</v>
      </c>
      <c r="R672" s="50">
        <v>0.0</v>
      </c>
      <c r="S672" s="50">
        <v>0.0</v>
      </c>
      <c r="T672" s="50">
        <v>2.8125</v>
      </c>
      <c r="U672" s="50">
        <v>0.0</v>
      </c>
      <c r="V672" s="50">
        <v>0.0</v>
      </c>
      <c r="W672" s="50">
        <v>0.0</v>
      </c>
      <c r="X672" s="50">
        <v>2.8125</v>
      </c>
      <c r="Y672" s="50">
        <v>5.625</v>
      </c>
    </row>
    <row r="673">
      <c r="A673" s="26">
        <v>667.0</v>
      </c>
      <c r="B673" s="65">
        <v>-0.6738062323551645</v>
      </c>
      <c r="C673" s="65">
        <v>0.9502596108865808</v>
      </c>
      <c r="D673" s="65">
        <v>-0.6360782210865092</v>
      </c>
      <c r="E673" s="65">
        <v>-0.29275151786266956</v>
      </c>
      <c r="F673" s="65">
        <v>3.8250431765911728</v>
      </c>
      <c r="G673" s="50">
        <v>0.0</v>
      </c>
      <c r="H673" s="50">
        <v>0.0</v>
      </c>
      <c r="I673" s="50">
        <v>0.0</v>
      </c>
      <c r="J673" s="50">
        <v>0.0</v>
      </c>
      <c r="K673" s="50">
        <v>0.0</v>
      </c>
      <c r="L673" s="50">
        <v>0.0</v>
      </c>
      <c r="M673" s="50">
        <v>0.0</v>
      </c>
      <c r="N673" s="50">
        <v>0.0</v>
      </c>
      <c r="O673" s="50">
        <v>0.0</v>
      </c>
      <c r="P673" s="50">
        <v>0.0</v>
      </c>
      <c r="Q673" s="50">
        <v>0.0</v>
      </c>
      <c r="R673" s="50">
        <v>0.0</v>
      </c>
      <c r="S673" s="50">
        <v>0.0</v>
      </c>
      <c r="T673" s="50">
        <v>2.8125</v>
      </c>
      <c r="U673" s="50">
        <v>0.0</v>
      </c>
      <c r="V673" s="50">
        <v>5.625</v>
      </c>
      <c r="W673" s="50">
        <v>0.0</v>
      </c>
      <c r="X673" s="50">
        <v>2.8125</v>
      </c>
      <c r="Y673" s="50">
        <v>11.25</v>
      </c>
    </row>
    <row r="674">
      <c r="A674" s="26">
        <v>668.0</v>
      </c>
      <c r="B674" s="65">
        <v>-0.20411216655756229</v>
      </c>
      <c r="C674" s="65">
        <v>-1.7925206052590485</v>
      </c>
      <c r="D674" s="65">
        <v>2.272713388257004</v>
      </c>
      <c r="E674" s="65">
        <v>0.06551643310742122</v>
      </c>
      <c r="F674" s="65">
        <v>8.999481379422454</v>
      </c>
      <c r="G674" s="50">
        <v>0.0</v>
      </c>
      <c r="H674" s="50">
        <v>0.0</v>
      </c>
      <c r="I674" s="50">
        <v>0.0</v>
      </c>
      <c r="J674" s="50">
        <v>0.0</v>
      </c>
      <c r="K674" s="50">
        <v>0.0</v>
      </c>
      <c r="L674" s="50">
        <v>0.0</v>
      </c>
      <c r="M674" s="50">
        <v>0.0</v>
      </c>
      <c r="N674" s="50">
        <v>0.0</v>
      </c>
      <c r="O674" s="50">
        <v>0.0</v>
      </c>
      <c r="P674" s="50">
        <v>0.0</v>
      </c>
      <c r="Q674" s="50">
        <v>0.0</v>
      </c>
      <c r="R674" s="50">
        <v>0.0</v>
      </c>
      <c r="S674" s="50">
        <v>0.0</v>
      </c>
      <c r="T674" s="50">
        <v>2.8125</v>
      </c>
      <c r="U674" s="50">
        <v>0.0</v>
      </c>
      <c r="V674" s="50">
        <v>5.625</v>
      </c>
      <c r="W674" s="50">
        <v>0.0</v>
      </c>
      <c r="X674" s="50">
        <v>2.8125</v>
      </c>
      <c r="Y674" s="50">
        <v>11.25</v>
      </c>
    </row>
    <row r="675">
      <c r="A675" s="26">
        <v>669.0</v>
      </c>
      <c r="B675" s="65">
        <v>3.0011139353260443</v>
      </c>
      <c r="C675" s="65">
        <v>-0.19204782956878824</v>
      </c>
      <c r="D675" s="65">
        <v>1.3309665263309263</v>
      </c>
      <c r="E675" s="65">
        <v>-0.05636551325240713</v>
      </c>
      <c r="F675" s="65">
        <v>5.351947132898356</v>
      </c>
      <c r="G675" s="50">
        <v>0.0</v>
      </c>
      <c r="H675" s="50">
        <v>0.0</v>
      </c>
      <c r="I675" s="50">
        <v>0.0</v>
      </c>
      <c r="J675" s="50">
        <v>0.0</v>
      </c>
      <c r="K675" s="50">
        <v>0.0</v>
      </c>
      <c r="L675" s="50">
        <v>0.0</v>
      </c>
      <c r="M675" s="50">
        <v>0.0</v>
      </c>
      <c r="N675" s="50">
        <v>0.0</v>
      </c>
      <c r="O675" s="50">
        <v>0.0</v>
      </c>
      <c r="P675" s="50">
        <v>0.0</v>
      </c>
      <c r="Q675" s="50">
        <v>0.0</v>
      </c>
      <c r="R675" s="50">
        <v>0.0</v>
      </c>
      <c r="S675" s="50">
        <v>0.0</v>
      </c>
      <c r="T675" s="50">
        <v>2.8125</v>
      </c>
      <c r="U675" s="50">
        <v>0.0</v>
      </c>
      <c r="V675" s="50">
        <v>0.0</v>
      </c>
      <c r="W675" s="50">
        <v>0.0</v>
      </c>
      <c r="X675" s="50">
        <v>2.8125</v>
      </c>
      <c r="Y675" s="50">
        <v>5.625</v>
      </c>
    </row>
    <row r="676">
      <c r="A676" s="26">
        <v>670.0</v>
      </c>
      <c r="B676" s="65">
        <v>-1.2996994583011965</v>
      </c>
      <c r="C676" s="65">
        <v>0.42978571349328737</v>
      </c>
      <c r="D676" s="65">
        <v>-0.12555745564003412</v>
      </c>
      <c r="E676" s="65">
        <v>0.41436308584003373</v>
      </c>
      <c r="F676" s="65">
        <v>9.568396532917278</v>
      </c>
      <c r="G676" s="50">
        <v>0.0</v>
      </c>
      <c r="H676" s="50">
        <v>0.0</v>
      </c>
      <c r="I676" s="50">
        <v>0.0</v>
      </c>
      <c r="J676" s="50">
        <v>0.0</v>
      </c>
      <c r="K676" s="50">
        <v>0.0</v>
      </c>
      <c r="L676" s="50">
        <v>0.0</v>
      </c>
      <c r="M676" s="50">
        <v>0.0</v>
      </c>
      <c r="N676" s="50">
        <v>0.0</v>
      </c>
      <c r="O676" s="50">
        <v>7.425000000000001</v>
      </c>
      <c r="P676" s="50">
        <v>0.0</v>
      </c>
      <c r="Q676" s="50">
        <v>0.0</v>
      </c>
      <c r="R676" s="50">
        <v>9.9</v>
      </c>
      <c r="S676" s="50">
        <v>0.0</v>
      </c>
      <c r="T676" s="50">
        <v>2.8125</v>
      </c>
      <c r="U676" s="50">
        <v>0.0</v>
      </c>
      <c r="V676" s="50">
        <v>5.625</v>
      </c>
      <c r="W676" s="50">
        <v>0.0</v>
      </c>
      <c r="X676" s="50">
        <v>2.8125</v>
      </c>
      <c r="Y676" s="50">
        <v>28.575000000000003</v>
      </c>
    </row>
    <row r="677">
      <c r="A677" s="26">
        <v>671.0</v>
      </c>
      <c r="B677" s="65">
        <v>1.4379213676245277</v>
      </c>
      <c r="C677" s="65">
        <v>2.6606163323436465</v>
      </c>
      <c r="D677" s="65">
        <v>-0.07703837444447793</v>
      </c>
      <c r="E677" s="65">
        <v>-1.479663206021168</v>
      </c>
      <c r="F677" s="65">
        <v>1.600580769214464</v>
      </c>
      <c r="G677" s="50">
        <v>0.0</v>
      </c>
      <c r="H677" s="50">
        <v>0.0</v>
      </c>
      <c r="I677" s="50">
        <v>0.0</v>
      </c>
      <c r="J677" s="50">
        <v>0.0</v>
      </c>
      <c r="K677" s="50">
        <v>0.0</v>
      </c>
      <c r="L677" s="50">
        <v>0.0</v>
      </c>
      <c r="M677" s="50">
        <v>0.0</v>
      </c>
      <c r="N677" s="50">
        <v>0.0</v>
      </c>
      <c r="O677" s="50">
        <v>0.0</v>
      </c>
      <c r="P677" s="50">
        <v>0.0</v>
      </c>
      <c r="Q677" s="50">
        <v>0.0</v>
      </c>
      <c r="R677" s="50">
        <v>0.0</v>
      </c>
      <c r="S677" s="50">
        <v>0.0</v>
      </c>
      <c r="T677" s="50">
        <v>2.8125</v>
      </c>
      <c r="U677" s="50">
        <v>0.0</v>
      </c>
      <c r="V677" s="50">
        <v>0.0</v>
      </c>
      <c r="W677" s="50">
        <v>0.0</v>
      </c>
      <c r="X677" s="50">
        <v>2.8125</v>
      </c>
      <c r="Y677" s="50">
        <v>5.625</v>
      </c>
    </row>
    <row r="678">
      <c r="A678" s="26">
        <v>672.0</v>
      </c>
      <c r="B678" s="65">
        <v>0.1200426981223266</v>
      </c>
      <c r="C678" s="65">
        <v>0.9707987589548275</v>
      </c>
      <c r="D678" s="65">
        <v>0.40551784549266184</v>
      </c>
      <c r="E678" s="65">
        <v>-0.5419648845451415</v>
      </c>
      <c r="F678" s="65">
        <v>5.1320145346190476</v>
      </c>
      <c r="G678" s="50">
        <v>0.0</v>
      </c>
      <c r="H678" s="50">
        <v>0.0</v>
      </c>
      <c r="I678" s="50">
        <v>0.0</v>
      </c>
      <c r="J678" s="50">
        <v>0.0</v>
      </c>
      <c r="K678" s="50">
        <v>0.0</v>
      </c>
      <c r="L678" s="50">
        <v>0.0</v>
      </c>
      <c r="M678" s="50">
        <v>0.0</v>
      </c>
      <c r="N678" s="50">
        <v>0.0</v>
      </c>
      <c r="O678" s="50">
        <v>0.0</v>
      </c>
      <c r="P678" s="50">
        <v>0.0</v>
      </c>
      <c r="Q678" s="50">
        <v>0.0</v>
      </c>
      <c r="R678" s="50">
        <v>0.0</v>
      </c>
      <c r="S678" s="50">
        <v>0.0</v>
      </c>
      <c r="T678" s="50">
        <v>2.8125</v>
      </c>
      <c r="U678" s="50">
        <v>0.0</v>
      </c>
      <c r="V678" s="50">
        <v>0.0</v>
      </c>
      <c r="W678" s="50">
        <v>0.0</v>
      </c>
      <c r="X678" s="50">
        <v>2.8125</v>
      </c>
      <c r="Y678" s="50">
        <v>5.625</v>
      </c>
    </row>
    <row r="679">
      <c r="A679" s="26">
        <v>673.0</v>
      </c>
      <c r="B679" s="65">
        <v>0.6858327124848174</v>
      </c>
      <c r="C679" s="65">
        <v>1.394978173013752</v>
      </c>
      <c r="D679" s="65">
        <v>0.4949722118872949</v>
      </c>
      <c r="E679" s="65">
        <v>9.873371328763755E-4</v>
      </c>
      <c r="F679" s="65">
        <v>3.195846211442171</v>
      </c>
      <c r="G679" s="50">
        <v>0.0</v>
      </c>
      <c r="H679" s="50">
        <v>0.0</v>
      </c>
      <c r="I679" s="50">
        <v>0.0</v>
      </c>
      <c r="J679" s="50">
        <v>0.0</v>
      </c>
      <c r="K679" s="50">
        <v>0.0</v>
      </c>
      <c r="L679" s="50">
        <v>0.0</v>
      </c>
      <c r="M679" s="50">
        <v>0.0</v>
      </c>
      <c r="N679" s="50">
        <v>0.0</v>
      </c>
      <c r="O679" s="50">
        <v>0.0</v>
      </c>
      <c r="P679" s="50">
        <v>0.0</v>
      </c>
      <c r="Q679" s="50">
        <v>0.0</v>
      </c>
      <c r="R679" s="50">
        <v>0.0</v>
      </c>
      <c r="S679" s="50">
        <v>0.0</v>
      </c>
      <c r="T679" s="50">
        <v>2.8125</v>
      </c>
      <c r="U679" s="50">
        <v>0.0</v>
      </c>
      <c r="V679" s="50">
        <v>0.0</v>
      </c>
      <c r="W679" s="50">
        <v>0.0</v>
      </c>
      <c r="X679" s="50">
        <v>2.8125</v>
      </c>
      <c r="Y679" s="50">
        <v>5.625</v>
      </c>
    </row>
    <row r="680">
      <c r="A680" s="26">
        <v>674.0</v>
      </c>
      <c r="B680" s="65">
        <v>1.0749623805671131</v>
      </c>
      <c r="C680" s="65">
        <v>1.2394790052106086</v>
      </c>
      <c r="D680" s="65">
        <v>-0.6490303191918622</v>
      </c>
      <c r="E680" s="65">
        <v>0.47661325016332384</v>
      </c>
      <c r="F680" s="65">
        <v>8.924458357959992</v>
      </c>
      <c r="G680" s="50">
        <v>0.0</v>
      </c>
      <c r="H680" s="50">
        <v>0.0</v>
      </c>
      <c r="I680" s="50">
        <v>0.0</v>
      </c>
      <c r="J680" s="50">
        <v>0.0</v>
      </c>
      <c r="K680" s="50">
        <v>0.0</v>
      </c>
      <c r="L680" s="50">
        <v>0.0</v>
      </c>
      <c r="M680" s="50">
        <v>0.0</v>
      </c>
      <c r="N680" s="50">
        <v>0.0</v>
      </c>
      <c r="O680" s="50">
        <v>0.0</v>
      </c>
      <c r="P680" s="50">
        <v>0.0</v>
      </c>
      <c r="Q680" s="50">
        <v>0.0</v>
      </c>
      <c r="R680" s="50">
        <v>0.0</v>
      </c>
      <c r="S680" s="50">
        <v>0.0</v>
      </c>
      <c r="T680" s="50">
        <v>2.8125</v>
      </c>
      <c r="U680" s="50">
        <v>0.0</v>
      </c>
      <c r="V680" s="50">
        <v>0.0</v>
      </c>
      <c r="W680" s="50">
        <v>0.0</v>
      </c>
      <c r="X680" s="50">
        <v>2.8125</v>
      </c>
      <c r="Y680" s="50">
        <v>5.625</v>
      </c>
    </row>
    <row r="681">
      <c r="A681" s="26">
        <v>675.0</v>
      </c>
      <c r="B681" s="65">
        <v>-1.4611648352868085</v>
      </c>
      <c r="C681" s="65">
        <v>0.9513018575141994</v>
      </c>
      <c r="D681" s="65">
        <v>-0.4107735266368946</v>
      </c>
      <c r="E681" s="65">
        <v>0.12049710194651846</v>
      </c>
      <c r="F681" s="65">
        <v>7.93704019177532</v>
      </c>
      <c r="G681" s="50">
        <v>0.0</v>
      </c>
      <c r="H681" s="50">
        <v>0.0</v>
      </c>
      <c r="I681" s="50">
        <v>0.0</v>
      </c>
      <c r="J681" s="50">
        <v>0.0</v>
      </c>
      <c r="K681" s="50">
        <v>0.0</v>
      </c>
      <c r="L681" s="50">
        <v>0.0</v>
      </c>
      <c r="M681" s="50">
        <v>0.0</v>
      </c>
      <c r="N681" s="50">
        <v>0.0</v>
      </c>
      <c r="O681" s="50">
        <v>0.0</v>
      </c>
      <c r="P681" s="50">
        <v>0.0</v>
      </c>
      <c r="Q681" s="50">
        <v>0.0</v>
      </c>
      <c r="R681" s="50">
        <v>0.0</v>
      </c>
      <c r="S681" s="50">
        <v>0.0</v>
      </c>
      <c r="T681" s="50">
        <v>2.8125</v>
      </c>
      <c r="U681" s="50">
        <v>9.9</v>
      </c>
      <c r="V681" s="50">
        <v>5.625</v>
      </c>
      <c r="W681" s="50">
        <v>0.0</v>
      </c>
      <c r="X681" s="50">
        <v>2.8125</v>
      </c>
      <c r="Y681" s="50">
        <v>21.15</v>
      </c>
    </row>
    <row r="682">
      <c r="A682" s="26">
        <v>676.0</v>
      </c>
      <c r="B682" s="65">
        <v>0.8573973956816868</v>
      </c>
      <c r="C682" s="65">
        <v>-1.120182318695314</v>
      </c>
      <c r="D682" s="65">
        <v>-0.3319904166554851</v>
      </c>
      <c r="E682" s="65">
        <v>-0.23451727279493895</v>
      </c>
      <c r="F682" s="65">
        <v>7.8101405112578846</v>
      </c>
      <c r="G682" s="50">
        <v>0.0</v>
      </c>
      <c r="H682" s="50">
        <v>0.0</v>
      </c>
      <c r="I682" s="50">
        <v>0.0</v>
      </c>
      <c r="J682" s="50">
        <v>0.0</v>
      </c>
      <c r="K682" s="50">
        <v>0.0</v>
      </c>
      <c r="L682" s="50">
        <v>0.0</v>
      </c>
      <c r="M682" s="50">
        <v>0.0</v>
      </c>
      <c r="N682" s="50">
        <v>0.0</v>
      </c>
      <c r="O682" s="50">
        <v>0.0</v>
      </c>
      <c r="P682" s="50">
        <v>0.0</v>
      </c>
      <c r="Q682" s="50">
        <v>0.0</v>
      </c>
      <c r="R682" s="50">
        <v>0.0</v>
      </c>
      <c r="S682" s="50">
        <v>0.0</v>
      </c>
      <c r="T682" s="50">
        <v>2.8125</v>
      </c>
      <c r="U682" s="50">
        <v>0.0</v>
      </c>
      <c r="V682" s="50">
        <v>0.0</v>
      </c>
      <c r="W682" s="50">
        <v>0.0</v>
      </c>
      <c r="X682" s="50">
        <v>2.8125</v>
      </c>
      <c r="Y682" s="50">
        <v>5.625</v>
      </c>
    </row>
    <row r="683">
      <c r="A683" s="26">
        <v>677.0</v>
      </c>
      <c r="B683" s="65">
        <v>-0.6479739831622843</v>
      </c>
      <c r="C683" s="65">
        <v>-1.7478541764138729</v>
      </c>
      <c r="D683" s="65">
        <v>-0.3421302619663849</v>
      </c>
      <c r="E683" s="65">
        <v>0.9523516216957819</v>
      </c>
      <c r="F683" s="65">
        <v>3.981797919428204</v>
      </c>
      <c r="G683" s="50">
        <v>0.0</v>
      </c>
      <c r="H683" s="50">
        <v>0.0</v>
      </c>
      <c r="I683" s="50">
        <v>0.0</v>
      </c>
      <c r="J683" s="50">
        <v>0.0</v>
      </c>
      <c r="K683" s="50">
        <v>0.0</v>
      </c>
      <c r="L683" s="50">
        <v>0.0</v>
      </c>
      <c r="M683" s="50">
        <v>0.0</v>
      </c>
      <c r="N683" s="50">
        <v>0.0</v>
      </c>
      <c r="O683" s="50">
        <v>0.0</v>
      </c>
      <c r="P683" s="50">
        <v>0.0</v>
      </c>
      <c r="Q683" s="50">
        <v>0.0</v>
      </c>
      <c r="R683" s="50">
        <v>0.0</v>
      </c>
      <c r="S683" s="50">
        <v>0.0</v>
      </c>
      <c r="T683" s="50">
        <v>2.8125</v>
      </c>
      <c r="U683" s="50">
        <v>0.0</v>
      </c>
      <c r="V683" s="50">
        <v>5.625</v>
      </c>
      <c r="W683" s="50">
        <v>0.0</v>
      </c>
      <c r="X683" s="50">
        <v>2.8125</v>
      </c>
      <c r="Y683" s="50">
        <v>11.25</v>
      </c>
    </row>
    <row r="684">
      <c r="A684" s="26">
        <v>678.0</v>
      </c>
      <c r="B684" s="65">
        <v>0.9926064167473562</v>
      </c>
      <c r="C684" s="65">
        <v>-1.3912124822229552</v>
      </c>
      <c r="D684" s="65">
        <v>0.6690861417049997</v>
      </c>
      <c r="E684" s="65">
        <v>0.6656846239956907</v>
      </c>
      <c r="F684" s="65">
        <v>2.097187502498467</v>
      </c>
      <c r="G684" s="50">
        <v>0.0</v>
      </c>
      <c r="H684" s="50">
        <v>0.0</v>
      </c>
      <c r="I684" s="50">
        <v>0.0</v>
      </c>
      <c r="J684" s="50">
        <v>0.0</v>
      </c>
      <c r="K684" s="50">
        <v>0.0</v>
      </c>
      <c r="L684" s="50">
        <v>0.0</v>
      </c>
      <c r="M684" s="50">
        <v>0.0</v>
      </c>
      <c r="N684" s="50">
        <v>0.0</v>
      </c>
      <c r="O684" s="50">
        <v>0.0</v>
      </c>
      <c r="P684" s="50">
        <v>0.0</v>
      </c>
      <c r="Q684" s="50">
        <v>0.0</v>
      </c>
      <c r="R684" s="50">
        <v>0.0</v>
      </c>
      <c r="S684" s="50">
        <v>0.0</v>
      </c>
      <c r="T684" s="50">
        <v>2.8125</v>
      </c>
      <c r="U684" s="50">
        <v>0.0</v>
      </c>
      <c r="V684" s="50">
        <v>5.625</v>
      </c>
      <c r="W684" s="50">
        <v>0.0</v>
      </c>
      <c r="X684" s="50">
        <v>2.8125</v>
      </c>
      <c r="Y684" s="50">
        <v>11.25</v>
      </c>
    </row>
    <row r="685">
      <c r="A685" s="26">
        <v>679.0</v>
      </c>
      <c r="B685" s="65">
        <v>0.7864819107295394</v>
      </c>
      <c r="C685" s="65">
        <v>0.5567410658275677</v>
      </c>
      <c r="D685" s="65">
        <v>-1.480066633804517</v>
      </c>
      <c r="E685" s="65">
        <v>0.19722305200110915</v>
      </c>
      <c r="F685" s="65">
        <v>1.3519998796842583</v>
      </c>
      <c r="G685" s="50">
        <v>0.0</v>
      </c>
      <c r="H685" s="50">
        <v>0.0</v>
      </c>
      <c r="I685" s="50">
        <v>0.0</v>
      </c>
      <c r="J685" s="50">
        <v>0.0</v>
      </c>
      <c r="K685" s="50">
        <v>0.0</v>
      </c>
      <c r="L685" s="50">
        <v>0.0</v>
      </c>
      <c r="M685" s="50">
        <v>0.0</v>
      </c>
      <c r="N685" s="50">
        <v>0.0</v>
      </c>
      <c r="O685" s="50">
        <v>0.0</v>
      </c>
      <c r="P685" s="50">
        <v>0.0</v>
      </c>
      <c r="Q685" s="50">
        <v>0.0</v>
      </c>
      <c r="R685" s="50">
        <v>0.0</v>
      </c>
      <c r="S685" s="50">
        <v>0.0</v>
      </c>
      <c r="T685" s="50">
        <v>2.8125</v>
      </c>
      <c r="U685" s="50">
        <v>9.9</v>
      </c>
      <c r="V685" s="50">
        <v>5.625</v>
      </c>
      <c r="W685" s="50">
        <v>0.0</v>
      </c>
      <c r="X685" s="50">
        <v>2.8125</v>
      </c>
      <c r="Y685" s="50">
        <v>21.15</v>
      </c>
    </row>
    <row r="686">
      <c r="A686" s="26">
        <v>680.0</v>
      </c>
      <c r="B686" s="65">
        <v>0.0787469328114761</v>
      </c>
      <c r="C686" s="65">
        <v>-2.398239679059501</v>
      </c>
      <c r="D686" s="65">
        <v>-1.5450376656357032</v>
      </c>
      <c r="E686" s="65">
        <v>1.5003066425785425</v>
      </c>
      <c r="F686" s="65">
        <v>2.2978822185700762</v>
      </c>
      <c r="G686" s="50">
        <v>0.0</v>
      </c>
      <c r="H686" s="50">
        <v>0.0</v>
      </c>
      <c r="I686" s="50">
        <v>0.0</v>
      </c>
      <c r="J686" s="50">
        <v>0.0</v>
      </c>
      <c r="K686" s="50">
        <v>0.0</v>
      </c>
      <c r="L686" s="50">
        <v>0.0</v>
      </c>
      <c r="M686" s="50">
        <v>0.0</v>
      </c>
      <c r="N686" s="50">
        <v>0.0</v>
      </c>
      <c r="O686" s="50">
        <v>0.0</v>
      </c>
      <c r="P686" s="50">
        <v>2.475</v>
      </c>
      <c r="Q686" s="50">
        <v>0.0</v>
      </c>
      <c r="R686" s="50">
        <v>9.9</v>
      </c>
      <c r="S686" s="50">
        <v>0.0</v>
      </c>
      <c r="T686" s="50">
        <v>2.8125</v>
      </c>
      <c r="U686" s="50">
        <v>0.0</v>
      </c>
      <c r="V686" s="50">
        <v>0.0</v>
      </c>
      <c r="W686" s="50">
        <v>0.0</v>
      </c>
      <c r="X686" s="50">
        <v>2.8125</v>
      </c>
      <c r="Y686" s="50">
        <v>18.0</v>
      </c>
    </row>
    <row r="687">
      <c r="A687" s="26">
        <v>681.0</v>
      </c>
      <c r="B687" s="65">
        <v>-1.2051188971128033</v>
      </c>
      <c r="C687" s="65">
        <v>0.33535796230073417</v>
      </c>
      <c r="D687" s="65">
        <v>2.1787810402093424</v>
      </c>
      <c r="E687" s="65">
        <v>-0.6821616754777644</v>
      </c>
      <c r="F687" s="65">
        <v>4.937522137679181</v>
      </c>
      <c r="G687" s="50">
        <v>0.0</v>
      </c>
      <c r="H687" s="50">
        <v>0.0</v>
      </c>
      <c r="I687" s="50">
        <v>0.0</v>
      </c>
      <c r="J687" s="50">
        <v>0.0</v>
      </c>
      <c r="K687" s="50">
        <v>0.0</v>
      </c>
      <c r="L687" s="50">
        <v>0.0</v>
      </c>
      <c r="M687" s="50">
        <v>0.0</v>
      </c>
      <c r="N687" s="50">
        <v>0.0</v>
      </c>
      <c r="O687" s="50">
        <v>7.425000000000001</v>
      </c>
      <c r="P687" s="50">
        <v>0.0</v>
      </c>
      <c r="Q687" s="50">
        <v>0.0</v>
      </c>
      <c r="R687" s="50">
        <v>0.0</v>
      </c>
      <c r="S687" s="50">
        <v>0.0</v>
      </c>
      <c r="T687" s="50">
        <v>2.8125</v>
      </c>
      <c r="U687" s="50">
        <v>0.0</v>
      </c>
      <c r="V687" s="50">
        <v>5.625</v>
      </c>
      <c r="W687" s="50">
        <v>4.95</v>
      </c>
      <c r="X687" s="50">
        <v>2.8125</v>
      </c>
      <c r="Y687" s="50">
        <v>23.625</v>
      </c>
    </row>
    <row r="688">
      <c r="A688" s="26">
        <v>682.0</v>
      </c>
      <c r="B688" s="65">
        <v>-0.6273513844298617</v>
      </c>
      <c r="C688" s="65">
        <v>1.0302341126766619</v>
      </c>
      <c r="D688" s="65">
        <v>1.4554308304350325</v>
      </c>
      <c r="E688" s="65">
        <v>1.5160548210138605</v>
      </c>
      <c r="F688" s="65">
        <v>2.633018116814904</v>
      </c>
      <c r="G688" s="50">
        <v>0.0</v>
      </c>
      <c r="H688" s="50">
        <v>0.0</v>
      </c>
      <c r="I688" s="50">
        <v>0.0</v>
      </c>
      <c r="J688" s="50">
        <v>0.0</v>
      </c>
      <c r="K688" s="50">
        <v>0.0</v>
      </c>
      <c r="L688" s="50">
        <v>0.0</v>
      </c>
      <c r="M688" s="50">
        <v>0.0</v>
      </c>
      <c r="N688" s="50">
        <v>0.0</v>
      </c>
      <c r="O688" s="50">
        <v>0.0</v>
      </c>
      <c r="P688" s="50">
        <v>0.0</v>
      </c>
      <c r="Q688" s="50">
        <v>0.0</v>
      </c>
      <c r="R688" s="50">
        <v>0.0</v>
      </c>
      <c r="S688" s="50">
        <v>0.0</v>
      </c>
      <c r="T688" s="50">
        <v>2.8125</v>
      </c>
      <c r="U688" s="50">
        <v>0.0</v>
      </c>
      <c r="V688" s="50">
        <v>0.0</v>
      </c>
      <c r="W688" s="50">
        <v>0.0</v>
      </c>
      <c r="X688" s="50">
        <v>2.8125</v>
      </c>
      <c r="Y688" s="50">
        <v>5.625</v>
      </c>
    </row>
    <row r="689">
      <c r="A689" s="26">
        <v>683.0</v>
      </c>
      <c r="B689" s="65">
        <v>0.2742691848914856</v>
      </c>
      <c r="C689" s="65">
        <v>0.2877507485284762</v>
      </c>
      <c r="D689" s="65">
        <v>1.0958936790840887</v>
      </c>
      <c r="E689" s="65">
        <v>0.7174494520381072</v>
      </c>
      <c r="F689" s="65">
        <v>3.2597935348606137</v>
      </c>
      <c r="G689" s="50">
        <v>0.0</v>
      </c>
      <c r="H689" s="50">
        <v>0.0</v>
      </c>
      <c r="I689" s="50">
        <v>0.0</v>
      </c>
      <c r="J689" s="50">
        <v>0.0</v>
      </c>
      <c r="K689" s="50">
        <v>0.0</v>
      </c>
      <c r="L689" s="50">
        <v>0.0</v>
      </c>
      <c r="M689" s="50">
        <v>0.0</v>
      </c>
      <c r="N689" s="50">
        <v>0.0</v>
      </c>
      <c r="O689" s="50">
        <v>0.0</v>
      </c>
      <c r="P689" s="50">
        <v>0.0</v>
      </c>
      <c r="Q689" s="50">
        <v>0.0</v>
      </c>
      <c r="R689" s="50">
        <v>0.0</v>
      </c>
      <c r="S689" s="50">
        <v>0.0</v>
      </c>
      <c r="T689" s="50">
        <v>2.8125</v>
      </c>
      <c r="U689" s="50">
        <v>0.0</v>
      </c>
      <c r="V689" s="50">
        <v>0.0</v>
      </c>
      <c r="W689" s="50">
        <v>0.0</v>
      </c>
      <c r="X689" s="50">
        <v>2.8125</v>
      </c>
      <c r="Y689" s="50">
        <v>5.625</v>
      </c>
    </row>
    <row r="690">
      <c r="A690" s="26">
        <v>684.0</v>
      </c>
      <c r="B690" s="65">
        <v>-0.534373736295712</v>
      </c>
      <c r="C690" s="65">
        <v>0.09799401599639926</v>
      </c>
      <c r="D690" s="65">
        <v>-0.8612041273205376</v>
      </c>
      <c r="E690" s="65">
        <v>-0.118800439153367</v>
      </c>
      <c r="F690" s="65">
        <v>2.9179339771827295</v>
      </c>
      <c r="G690" s="50">
        <v>0.0</v>
      </c>
      <c r="H690" s="50">
        <v>0.0</v>
      </c>
      <c r="I690" s="50">
        <v>0.0</v>
      </c>
      <c r="J690" s="50">
        <v>0.0</v>
      </c>
      <c r="K690" s="50">
        <v>0.0</v>
      </c>
      <c r="L690" s="50">
        <v>0.0</v>
      </c>
      <c r="M690" s="50">
        <v>0.0</v>
      </c>
      <c r="N690" s="50">
        <v>0.0</v>
      </c>
      <c r="O690" s="50">
        <v>0.0</v>
      </c>
      <c r="P690" s="50">
        <v>2.475</v>
      </c>
      <c r="Q690" s="50">
        <v>0.0</v>
      </c>
      <c r="R690" s="50">
        <v>9.9</v>
      </c>
      <c r="S690" s="50">
        <v>0.0</v>
      </c>
      <c r="T690" s="50">
        <v>2.8125</v>
      </c>
      <c r="U690" s="50">
        <v>0.0</v>
      </c>
      <c r="V690" s="50">
        <v>0.0</v>
      </c>
      <c r="W690" s="50">
        <v>0.0</v>
      </c>
      <c r="X690" s="50">
        <v>2.8125</v>
      </c>
      <c r="Y690" s="50">
        <v>18.0</v>
      </c>
    </row>
    <row r="691">
      <c r="A691" s="26">
        <v>685.0</v>
      </c>
      <c r="B691" s="65">
        <v>0.060370837052288594</v>
      </c>
      <c r="C691" s="65">
        <v>-2.244818191708764</v>
      </c>
      <c r="D691" s="65">
        <v>-0.7431790838343242</v>
      </c>
      <c r="E691" s="65">
        <v>1.8050656463602082</v>
      </c>
      <c r="F691" s="65">
        <v>8.644763616134304</v>
      </c>
      <c r="G691" s="50">
        <v>0.0</v>
      </c>
      <c r="H691" s="50">
        <v>0.0</v>
      </c>
      <c r="I691" s="50">
        <v>0.0</v>
      </c>
      <c r="J691" s="50">
        <v>0.0</v>
      </c>
      <c r="K691" s="50">
        <v>0.0</v>
      </c>
      <c r="L691" s="50">
        <v>0.0</v>
      </c>
      <c r="M691" s="50">
        <v>0.0</v>
      </c>
      <c r="N691" s="50">
        <v>0.0</v>
      </c>
      <c r="O691" s="50">
        <v>0.0</v>
      </c>
      <c r="P691" s="50">
        <v>0.0</v>
      </c>
      <c r="Q691" s="50">
        <v>0.0</v>
      </c>
      <c r="R691" s="50">
        <v>0.0</v>
      </c>
      <c r="S691" s="50">
        <v>0.0</v>
      </c>
      <c r="T691" s="50">
        <v>2.8125</v>
      </c>
      <c r="U691" s="50">
        <v>0.0</v>
      </c>
      <c r="V691" s="50">
        <v>0.0</v>
      </c>
      <c r="W691" s="50">
        <v>0.0</v>
      </c>
      <c r="X691" s="50">
        <v>2.8125</v>
      </c>
      <c r="Y691" s="50">
        <v>5.625</v>
      </c>
    </row>
    <row r="692">
      <c r="A692" s="26">
        <v>686.0</v>
      </c>
      <c r="B692" s="65">
        <v>-1.1977443511334518</v>
      </c>
      <c r="C692" s="65">
        <v>0.2874939758009284</v>
      </c>
      <c r="D692" s="65">
        <v>0.7099211098981851</v>
      </c>
      <c r="E692" s="65">
        <v>-1.1778147107550825</v>
      </c>
      <c r="F692" s="65">
        <v>5.1262071129484905</v>
      </c>
      <c r="G692" s="50">
        <v>0.0</v>
      </c>
      <c r="H692" s="50">
        <v>0.0</v>
      </c>
      <c r="I692" s="50">
        <v>0.0</v>
      </c>
      <c r="J692" s="50">
        <v>0.0</v>
      </c>
      <c r="K692" s="50">
        <v>0.0</v>
      </c>
      <c r="L692" s="50">
        <v>0.0</v>
      </c>
      <c r="M692" s="50">
        <v>0.0</v>
      </c>
      <c r="N692" s="50">
        <v>0.0</v>
      </c>
      <c r="O692" s="50">
        <v>0.0</v>
      </c>
      <c r="P692" s="50">
        <v>2.475</v>
      </c>
      <c r="Q692" s="50">
        <v>0.0</v>
      </c>
      <c r="R692" s="50">
        <v>0.0</v>
      </c>
      <c r="S692" s="50">
        <v>0.0</v>
      </c>
      <c r="T692" s="50">
        <v>2.8125</v>
      </c>
      <c r="U692" s="50">
        <v>0.0</v>
      </c>
      <c r="V692" s="50">
        <v>5.625</v>
      </c>
      <c r="W692" s="50">
        <v>0.0</v>
      </c>
      <c r="X692" s="50">
        <v>2.8125</v>
      </c>
      <c r="Y692" s="50">
        <v>13.725</v>
      </c>
    </row>
    <row r="693">
      <c r="A693" s="26">
        <v>687.0</v>
      </c>
      <c r="B693" s="65">
        <v>0.6067993384168635</v>
      </c>
      <c r="C693" s="65">
        <v>0.9741105195237842</v>
      </c>
      <c r="D693" s="65">
        <v>-1.384448556725044</v>
      </c>
      <c r="E693" s="65">
        <v>0.0072722320865505315</v>
      </c>
      <c r="F693" s="65">
        <v>10.741429097731599</v>
      </c>
      <c r="G693" s="50">
        <v>0.0</v>
      </c>
      <c r="H693" s="50">
        <v>0.0</v>
      </c>
      <c r="I693" s="50">
        <v>0.0</v>
      </c>
      <c r="J693" s="50">
        <v>0.0</v>
      </c>
      <c r="K693" s="50">
        <v>0.0</v>
      </c>
      <c r="L693" s="50">
        <v>0.0</v>
      </c>
      <c r="M693" s="50">
        <v>0.0</v>
      </c>
      <c r="N693" s="50">
        <v>0.0</v>
      </c>
      <c r="O693" s="50">
        <v>0.0</v>
      </c>
      <c r="P693" s="50">
        <v>0.0</v>
      </c>
      <c r="Q693" s="50">
        <v>0.0</v>
      </c>
      <c r="R693" s="50">
        <v>0.0</v>
      </c>
      <c r="S693" s="50">
        <v>0.0</v>
      </c>
      <c r="T693" s="50">
        <v>2.8125</v>
      </c>
      <c r="U693" s="50">
        <v>0.0</v>
      </c>
      <c r="V693" s="50">
        <v>0.0</v>
      </c>
      <c r="W693" s="50">
        <v>0.0</v>
      </c>
      <c r="X693" s="50">
        <v>2.8125</v>
      </c>
      <c r="Y693" s="50">
        <v>5.625</v>
      </c>
    </row>
    <row r="694">
      <c r="A694" s="26">
        <v>688.0</v>
      </c>
      <c r="B694" s="65">
        <v>-0.5537889967621122</v>
      </c>
      <c r="C694" s="65">
        <v>-0.6636105080186842</v>
      </c>
      <c r="D694" s="65">
        <v>-1.1674620594965335</v>
      </c>
      <c r="E694" s="65">
        <v>-0.10076589931529238</v>
      </c>
      <c r="F694" s="65">
        <v>6.083110751533287</v>
      </c>
      <c r="G694" s="50">
        <v>0.0</v>
      </c>
      <c r="H694" s="50">
        <v>0.0</v>
      </c>
      <c r="I694" s="50">
        <v>0.0</v>
      </c>
      <c r="J694" s="50">
        <v>0.0</v>
      </c>
      <c r="K694" s="50">
        <v>0.0</v>
      </c>
      <c r="L694" s="50">
        <v>0.0</v>
      </c>
      <c r="M694" s="50">
        <v>0.0</v>
      </c>
      <c r="N694" s="50">
        <v>0.0</v>
      </c>
      <c r="O694" s="50">
        <v>0.0</v>
      </c>
      <c r="P694" s="50">
        <v>0.0</v>
      </c>
      <c r="Q694" s="50">
        <v>0.0</v>
      </c>
      <c r="R694" s="50">
        <v>0.0</v>
      </c>
      <c r="S694" s="50">
        <v>0.0</v>
      </c>
      <c r="T694" s="50">
        <v>2.8125</v>
      </c>
      <c r="U694" s="50">
        <v>0.0</v>
      </c>
      <c r="V694" s="50">
        <v>5.625</v>
      </c>
      <c r="W694" s="50">
        <v>0.0</v>
      </c>
      <c r="X694" s="50">
        <v>2.8125</v>
      </c>
      <c r="Y694" s="50">
        <v>11.25</v>
      </c>
    </row>
    <row r="695">
      <c r="A695" s="26">
        <v>689.0</v>
      </c>
      <c r="B695" s="65">
        <v>-0.2350288052887562</v>
      </c>
      <c r="C695" s="65">
        <v>-2.670309183579586</v>
      </c>
      <c r="D695" s="65">
        <v>-0.6758728514446691</v>
      </c>
      <c r="E695" s="65">
        <v>1.309779031119793</v>
      </c>
      <c r="F695" s="65">
        <v>4.747348387629078</v>
      </c>
      <c r="G695" s="50">
        <v>0.0</v>
      </c>
      <c r="H695" s="50">
        <v>0.0</v>
      </c>
      <c r="I695" s="50">
        <v>0.0</v>
      </c>
      <c r="J695" s="50">
        <v>0.0</v>
      </c>
      <c r="K695" s="50">
        <v>0.0</v>
      </c>
      <c r="L695" s="50">
        <v>0.0</v>
      </c>
      <c r="M695" s="50">
        <v>0.0</v>
      </c>
      <c r="N695" s="50">
        <v>0.0</v>
      </c>
      <c r="O695" s="50">
        <v>7.425000000000001</v>
      </c>
      <c r="P695" s="50">
        <v>0.0</v>
      </c>
      <c r="Q695" s="50">
        <v>0.0</v>
      </c>
      <c r="R695" s="50">
        <v>0.0</v>
      </c>
      <c r="S695" s="50">
        <v>0.0</v>
      </c>
      <c r="T695" s="50">
        <v>2.8125</v>
      </c>
      <c r="U695" s="50">
        <v>0.0</v>
      </c>
      <c r="V695" s="50">
        <v>0.0</v>
      </c>
      <c r="W695" s="50">
        <v>0.0</v>
      </c>
      <c r="X695" s="50">
        <v>2.8125</v>
      </c>
      <c r="Y695" s="50">
        <v>13.05</v>
      </c>
    </row>
    <row r="696">
      <c r="A696" s="26">
        <v>690.0</v>
      </c>
      <c r="B696" s="65">
        <v>-0.1855638994146865</v>
      </c>
      <c r="C696" s="65">
        <v>-0.4523753912395455</v>
      </c>
      <c r="D696" s="65">
        <v>-0.29656997862951856</v>
      </c>
      <c r="E696" s="65">
        <v>0.762353476036042</v>
      </c>
      <c r="F696" s="65">
        <v>3.51187580159478</v>
      </c>
      <c r="G696" s="50">
        <v>0.0</v>
      </c>
      <c r="H696" s="50">
        <v>0.0</v>
      </c>
      <c r="I696" s="50">
        <v>0.0</v>
      </c>
      <c r="J696" s="50">
        <v>0.0</v>
      </c>
      <c r="K696" s="50">
        <v>0.0</v>
      </c>
      <c r="L696" s="50">
        <v>0.0</v>
      </c>
      <c r="M696" s="50">
        <v>0.0</v>
      </c>
      <c r="N696" s="50">
        <v>0.0</v>
      </c>
      <c r="O696" s="50">
        <v>0.0</v>
      </c>
      <c r="P696" s="50">
        <v>0.0</v>
      </c>
      <c r="Q696" s="50">
        <v>0.0</v>
      </c>
      <c r="R696" s="50">
        <v>0.0</v>
      </c>
      <c r="S696" s="50">
        <v>0.0</v>
      </c>
      <c r="T696" s="50">
        <v>2.8125</v>
      </c>
      <c r="U696" s="50">
        <v>0.0</v>
      </c>
      <c r="V696" s="50">
        <v>0.0</v>
      </c>
      <c r="W696" s="50">
        <v>0.0</v>
      </c>
      <c r="X696" s="50">
        <v>2.8125</v>
      </c>
      <c r="Y696" s="50">
        <v>5.625</v>
      </c>
    </row>
    <row r="697">
      <c r="A697" s="26">
        <v>691.0</v>
      </c>
      <c r="B697" s="65">
        <v>0.48535183190590986</v>
      </c>
      <c r="C697" s="65">
        <v>-1.6809987373828918</v>
      </c>
      <c r="D697" s="65">
        <v>-0.8469331656192867</v>
      </c>
      <c r="E697" s="65">
        <v>-0.154782944921839</v>
      </c>
      <c r="F697" s="65">
        <v>2.4161603386579213</v>
      </c>
      <c r="G697" s="50">
        <v>0.0</v>
      </c>
      <c r="H697" s="50">
        <v>0.0</v>
      </c>
      <c r="I697" s="50">
        <v>0.0</v>
      </c>
      <c r="J697" s="50">
        <v>0.0</v>
      </c>
      <c r="K697" s="50">
        <v>0.0</v>
      </c>
      <c r="L697" s="50">
        <v>0.0</v>
      </c>
      <c r="M697" s="50">
        <v>0.0</v>
      </c>
      <c r="N697" s="50">
        <v>0.0</v>
      </c>
      <c r="O697" s="50">
        <v>0.0</v>
      </c>
      <c r="P697" s="50">
        <v>2.475</v>
      </c>
      <c r="Q697" s="50">
        <v>0.0</v>
      </c>
      <c r="R697" s="50">
        <v>9.9</v>
      </c>
      <c r="S697" s="50">
        <v>0.0</v>
      </c>
      <c r="T697" s="50">
        <v>2.8125</v>
      </c>
      <c r="U697" s="50">
        <v>0.0</v>
      </c>
      <c r="V697" s="50">
        <v>0.0</v>
      </c>
      <c r="W697" s="50">
        <v>0.0</v>
      </c>
      <c r="X697" s="50">
        <v>2.8125</v>
      </c>
      <c r="Y697" s="50">
        <v>18.0</v>
      </c>
    </row>
    <row r="698">
      <c r="A698" s="26">
        <v>692.0</v>
      </c>
      <c r="B698" s="65">
        <v>-0.30660106834032813</v>
      </c>
      <c r="C698" s="65">
        <v>2.112158189456673</v>
      </c>
      <c r="D698" s="65">
        <v>-0.20147606837213064</v>
      </c>
      <c r="E698" s="65">
        <v>1.1094570558028154</v>
      </c>
      <c r="F698" s="65">
        <v>2.6858832257601617</v>
      </c>
      <c r="G698" s="50">
        <v>0.0</v>
      </c>
      <c r="H698" s="50">
        <v>0.0</v>
      </c>
      <c r="I698" s="50">
        <v>0.0</v>
      </c>
      <c r="J698" s="50">
        <v>0.0</v>
      </c>
      <c r="K698" s="50">
        <v>0.0</v>
      </c>
      <c r="L698" s="50">
        <v>0.0</v>
      </c>
      <c r="M698" s="50">
        <v>0.0</v>
      </c>
      <c r="N698" s="50">
        <v>0.0</v>
      </c>
      <c r="O698" s="50">
        <v>0.0</v>
      </c>
      <c r="P698" s="50">
        <v>0.0</v>
      </c>
      <c r="Q698" s="50">
        <v>0.0</v>
      </c>
      <c r="R698" s="50">
        <v>0.0</v>
      </c>
      <c r="S698" s="50">
        <v>0.0</v>
      </c>
      <c r="T698" s="50">
        <v>2.8125</v>
      </c>
      <c r="U698" s="50">
        <v>0.0</v>
      </c>
      <c r="V698" s="50">
        <v>0.0</v>
      </c>
      <c r="W698" s="50">
        <v>0.0</v>
      </c>
      <c r="X698" s="50">
        <v>2.8125</v>
      </c>
      <c r="Y698" s="50">
        <v>5.625</v>
      </c>
    </row>
    <row r="699">
      <c r="A699" s="26">
        <v>693.0</v>
      </c>
      <c r="B699" s="65">
        <v>0.30556696069590256</v>
      </c>
      <c r="C699" s="65">
        <v>-0.034106955506853484</v>
      </c>
      <c r="D699" s="65">
        <v>-2.538950003424694</v>
      </c>
      <c r="E699" s="65">
        <v>-2.4316067532081598</v>
      </c>
      <c r="F699" s="65">
        <v>4.925586931525872</v>
      </c>
      <c r="G699" s="50">
        <v>0.0</v>
      </c>
      <c r="H699" s="50">
        <v>0.0</v>
      </c>
      <c r="I699" s="50">
        <v>0.0</v>
      </c>
      <c r="J699" s="50">
        <v>0.0</v>
      </c>
      <c r="K699" s="50">
        <v>0.0</v>
      </c>
      <c r="L699" s="50">
        <v>0.0</v>
      </c>
      <c r="M699" s="50">
        <v>0.0</v>
      </c>
      <c r="N699" s="50">
        <v>0.0</v>
      </c>
      <c r="O699" s="50">
        <v>0.0</v>
      </c>
      <c r="P699" s="50">
        <v>0.0</v>
      </c>
      <c r="Q699" s="50">
        <v>0.0</v>
      </c>
      <c r="R699" s="50">
        <v>9.9</v>
      </c>
      <c r="S699" s="50">
        <v>0.0</v>
      </c>
      <c r="T699" s="50">
        <v>2.8125</v>
      </c>
      <c r="U699" s="50">
        <v>0.0</v>
      </c>
      <c r="V699" s="50">
        <v>5.625</v>
      </c>
      <c r="W699" s="50">
        <v>4.95</v>
      </c>
      <c r="X699" s="50">
        <v>2.8125</v>
      </c>
      <c r="Y699" s="50">
        <v>26.099999999999998</v>
      </c>
    </row>
    <row r="700">
      <c r="A700" s="26">
        <v>694.0</v>
      </c>
      <c r="B700" s="65">
        <v>-0.10409391159187008</v>
      </c>
      <c r="C700" s="65">
        <v>1.0522556030173174</v>
      </c>
      <c r="D700" s="65">
        <v>1.058536587576745</v>
      </c>
      <c r="E700" s="65">
        <v>-0.598181053188669</v>
      </c>
      <c r="F700" s="65">
        <v>6.049802384207439</v>
      </c>
      <c r="G700" s="50">
        <v>0.0</v>
      </c>
      <c r="H700" s="50">
        <v>0.0</v>
      </c>
      <c r="I700" s="50">
        <v>0.0</v>
      </c>
      <c r="J700" s="50">
        <v>0.0</v>
      </c>
      <c r="K700" s="50">
        <v>0.0</v>
      </c>
      <c r="L700" s="50">
        <v>0.0</v>
      </c>
      <c r="M700" s="50">
        <v>0.0</v>
      </c>
      <c r="N700" s="50">
        <v>0.0</v>
      </c>
      <c r="O700" s="50">
        <v>0.0</v>
      </c>
      <c r="P700" s="50">
        <v>0.0</v>
      </c>
      <c r="Q700" s="50">
        <v>0.0</v>
      </c>
      <c r="R700" s="50">
        <v>0.0</v>
      </c>
      <c r="S700" s="50">
        <v>0.0</v>
      </c>
      <c r="T700" s="50">
        <v>2.8125</v>
      </c>
      <c r="U700" s="50">
        <v>0.0</v>
      </c>
      <c r="V700" s="50">
        <v>5.625</v>
      </c>
      <c r="W700" s="50">
        <v>0.0</v>
      </c>
      <c r="X700" s="50">
        <v>2.8125</v>
      </c>
      <c r="Y700" s="50">
        <v>11.25</v>
      </c>
    </row>
    <row r="701">
      <c r="A701" s="26">
        <v>695.0</v>
      </c>
      <c r="B701" s="65">
        <v>1.0333093800122464</v>
      </c>
      <c r="C701" s="65">
        <v>-0.7328850702375242</v>
      </c>
      <c r="D701" s="65">
        <v>1.4375986271191268</v>
      </c>
      <c r="E701" s="65">
        <v>-0.09785048180494038</v>
      </c>
      <c r="F701" s="65">
        <v>7.384355398856949</v>
      </c>
      <c r="G701" s="50">
        <v>0.0</v>
      </c>
      <c r="H701" s="50">
        <v>0.0</v>
      </c>
      <c r="I701" s="50">
        <v>0.0</v>
      </c>
      <c r="J701" s="50">
        <v>0.0</v>
      </c>
      <c r="K701" s="50">
        <v>0.0</v>
      </c>
      <c r="L701" s="50">
        <v>0.0</v>
      </c>
      <c r="M701" s="50">
        <v>0.0</v>
      </c>
      <c r="N701" s="50">
        <v>0.0</v>
      </c>
      <c r="O701" s="50">
        <v>0.0</v>
      </c>
      <c r="P701" s="50">
        <v>0.0</v>
      </c>
      <c r="Q701" s="50">
        <v>0.0</v>
      </c>
      <c r="R701" s="50">
        <v>0.0</v>
      </c>
      <c r="S701" s="50">
        <v>0.0</v>
      </c>
      <c r="T701" s="50">
        <v>2.8125</v>
      </c>
      <c r="U701" s="50">
        <v>0.0</v>
      </c>
      <c r="V701" s="50">
        <v>0.0</v>
      </c>
      <c r="W701" s="50">
        <v>0.0</v>
      </c>
      <c r="X701" s="50">
        <v>2.8125</v>
      </c>
      <c r="Y701" s="50">
        <v>5.625</v>
      </c>
    </row>
    <row r="702">
      <c r="A702" s="26">
        <v>696.0</v>
      </c>
      <c r="B702" s="65">
        <v>0.037732823995302193</v>
      </c>
      <c r="C702" s="65">
        <v>-0.12602079588103252</v>
      </c>
      <c r="D702" s="65">
        <v>0.3892767426513654</v>
      </c>
      <c r="E702" s="65">
        <v>-0.8228598133063697</v>
      </c>
      <c r="F702" s="65">
        <v>0.8584036657998828</v>
      </c>
      <c r="G702" s="50">
        <v>0.0</v>
      </c>
      <c r="H702" s="50">
        <v>0.0</v>
      </c>
      <c r="I702" s="50">
        <v>0.0</v>
      </c>
      <c r="J702" s="50">
        <v>0.0</v>
      </c>
      <c r="K702" s="50">
        <v>0.0</v>
      </c>
      <c r="L702" s="50">
        <v>0.0</v>
      </c>
      <c r="M702" s="50">
        <v>0.0</v>
      </c>
      <c r="N702" s="50">
        <v>0.0</v>
      </c>
      <c r="O702" s="50">
        <v>7.425000000000001</v>
      </c>
      <c r="P702" s="50">
        <v>0.0</v>
      </c>
      <c r="Q702" s="50">
        <v>0.0</v>
      </c>
      <c r="R702" s="50">
        <v>9.9</v>
      </c>
      <c r="S702" s="50">
        <v>0.0</v>
      </c>
      <c r="T702" s="50">
        <v>2.8125</v>
      </c>
      <c r="U702" s="50">
        <v>0.0</v>
      </c>
      <c r="V702" s="50">
        <v>5.625</v>
      </c>
      <c r="W702" s="50">
        <v>0.0</v>
      </c>
      <c r="X702" s="50">
        <v>2.8125</v>
      </c>
      <c r="Y702" s="50">
        <v>28.575000000000003</v>
      </c>
    </row>
    <row r="703">
      <c r="A703" s="26">
        <v>697.0</v>
      </c>
      <c r="B703" s="65">
        <v>-1.1154030312587109</v>
      </c>
      <c r="C703" s="65">
        <v>-0.4923161038202708</v>
      </c>
      <c r="D703" s="65">
        <v>0.35447162094487383</v>
      </c>
      <c r="E703" s="65">
        <v>0.07729766229078544</v>
      </c>
      <c r="F703" s="65">
        <v>2.1130066885818444</v>
      </c>
      <c r="G703" s="50">
        <v>0.0</v>
      </c>
      <c r="H703" s="50">
        <v>0.0</v>
      </c>
      <c r="I703" s="50">
        <v>0.0</v>
      </c>
      <c r="J703" s="50">
        <v>0.0</v>
      </c>
      <c r="K703" s="50">
        <v>0.0</v>
      </c>
      <c r="L703" s="50">
        <v>0.0</v>
      </c>
      <c r="M703" s="50">
        <v>0.0</v>
      </c>
      <c r="N703" s="50">
        <v>0.0</v>
      </c>
      <c r="O703" s="50">
        <v>0.0</v>
      </c>
      <c r="P703" s="50">
        <v>0.0</v>
      </c>
      <c r="Q703" s="50">
        <v>0.0</v>
      </c>
      <c r="R703" s="50">
        <v>0.0</v>
      </c>
      <c r="S703" s="50">
        <v>0.0</v>
      </c>
      <c r="T703" s="50">
        <v>2.8125</v>
      </c>
      <c r="U703" s="50">
        <v>0.0</v>
      </c>
      <c r="V703" s="50">
        <v>5.625</v>
      </c>
      <c r="W703" s="50">
        <v>0.0</v>
      </c>
      <c r="X703" s="50">
        <v>2.8125</v>
      </c>
      <c r="Y703" s="50">
        <v>11.25</v>
      </c>
    </row>
    <row r="704">
      <c r="A704" s="26">
        <v>698.0</v>
      </c>
      <c r="B704" s="65">
        <v>0.14145143479610328</v>
      </c>
      <c r="C704" s="65">
        <v>0.14933604529645442</v>
      </c>
      <c r="D704" s="65">
        <v>0.47412589886582684</v>
      </c>
      <c r="E704" s="65">
        <v>-0.5306649327037545</v>
      </c>
      <c r="F704" s="65">
        <v>2.859352921222239</v>
      </c>
      <c r="G704" s="50">
        <v>0.0</v>
      </c>
      <c r="H704" s="50">
        <v>0.0</v>
      </c>
      <c r="I704" s="50">
        <v>0.0</v>
      </c>
      <c r="J704" s="50">
        <v>0.0</v>
      </c>
      <c r="K704" s="50">
        <v>0.0</v>
      </c>
      <c r="L704" s="50">
        <v>0.0</v>
      </c>
      <c r="M704" s="50">
        <v>0.0</v>
      </c>
      <c r="N704" s="50">
        <v>0.0</v>
      </c>
      <c r="O704" s="50">
        <v>0.0</v>
      </c>
      <c r="P704" s="50">
        <v>0.0</v>
      </c>
      <c r="Q704" s="50">
        <v>0.0</v>
      </c>
      <c r="R704" s="50">
        <v>0.0</v>
      </c>
      <c r="S704" s="50">
        <v>0.0</v>
      </c>
      <c r="T704" s="50">
        <v>2.8125</v>
      </c>
      <c r="U704" s="50">
        <v>0.0</v>
      </c>
      <c r="V704" s="50">
        <v>0.0</v>
      </c>
      <c r="W704" s="50">
        <v>0.0</v>
      </c>
      <c r="X704" s="50">
        <v>2.8125</v>
      </c>
      <c r="Y704" s="50">
        <v>5.625</v>
      </c>
    </row>
    <row r="705">
      <c r="A705" s="26">
        <v>699.0</v>
      </c>
      <c r="B705" s="65">
        <v>1.3697778206441873</v>
      </c>
      <c r="C705" s="65">
        <v>-1.863105450392788</v>
      </c>
      <c r="D705" s="65">
        <v>0.9723388409969906</v>
      </c>
      <c r="E705" s="65">
        <v>0.26250087820573437</v>
      </c>
      <c r="F705" s="65">
        <v>2.5866936990647638</v>
      </c>
      <c r="G705" s="50">
        <v>0.0</v>
      </c>
      <c r="H705" s="50">
        <v>0.0</v>
      </c>
      <c r="I705" s="50">
        <v>0.0</v>
      </c>
      <c r="J705" s="50">
        <v>0.0</v>
      </c>
      <c r="K705" s="50">
        <v>0.0</v>
      </c>
      <c r="L705" s="50">
        <v>0.0</v>
      </c>
      <c r="M705" s="50">
        <v>0.0</v>
      </c>
      <c r="N705" s="50">
        <v>0.0</v>
      </c>
      <c r="O705" s="50">
        <v>7.425000000000001</v>
      </c>
      <c r="P705" s="50">
        <v>0.0</v>
      </c>
      <c r="Q705" s="50">
        <v>0.0</v>
      </c>
      <c r="R705" s="50">
        <v>0.0</v>
      </c>
      <c r="S705" s="50">
        <v>0.0</v>
      </c>
      <c r="T705" s="50">
        <v>2.8125</v>
      </c>
      <c r="U705" s="50">
        <v>0.0</v>
      </c>
      <c r="V705" s="50">
        <v>0.0</v>
      </c>
      <c r="W705" s="50">
        <v>0.0</v>
      </c>
      <c r="X705" s="50">
        <v>2.8125</v>
      </c>
      <c r="Y705" s="50">
        <v>13.05</v>
      </c>
    </row>
    <row r="706">
      <c r="A706" s="26">
        <v>700.0</v>
      </c>
      <c r="B706" s="65">
        <v>-0.6750437770455373</v>
      </c>
      <c r="C706" s="65">
        <v>-0.5678764069602205</v>
      </c>
      <c r="D706" s="65">
        <v>0.6299396801507975</v>
      </c>
      <c r="E706" s="65">
        <v>1.3458595440108327</v>
      </c>
      <c r="F706" s="65">
        <v>9.447297496573697</v>
      </c>
      <c r="G706" s="50">
        <v>0.0</v>
      </c>
      <c r="H706" s="50">
        <v>0.0</v>
      </c>
      <c r="I706" s="50">
        <v>0.0</v>
      </c>
      <c r="J706" s="50">
        <v>0.0</v>
      </c>
      <c r="K706" s="50">
        <v>0.0</v>
      </c>
      <c r="L706" s="50">
        <v>0.0</v>
      </c>
      <c r="M706" s="50">
        <v>0.0</v>
      </c>
      <c r="N706" s="50">
        <v>0.0</v>
      </c>
      <c r="O706" s="50">
        <v>0.0</v>
      </c>
      <c r="P706" s="50">
        <v>0.0</v>
      </c>
      <c r="Q706" s="50">
        <v>0.0</v>
      </c>
      <c r="R706" s="50">
        <v>0.0</v>
      </c>
      <c r="S706" s="50">
        <v>0.0</v>
      </c>
      <c r="T706" s="50">
        <v>2.8125</v>
      </c>
      <c r="U706" s="50">
        <v>0.0</v>
      </c>
      <c r="V706" s="50">
        <v>0.0</v>
      </c>
      <c r="W706" s="50">
        <v>0.0</v>
      </c>
      <c r="X706" s="50">
        <v>2.8125</v>
      </c>
      <c r="Y706" s="50">
        <v>5.625</v>
      </c>
    </row>
    <row r="707">
      <c r="A707" s="26">
        <v>701.0</v>
      </c>
      <c r="B707" s="65">
        <v>0.7079512799857118</v>
      </c>
      <c r="C707" s="65">
        <v>0.6216023007769241</v>
      </c>
      <c r="D707" s="65">
        <v>-0.5837201075460137</v>
      </c>
      <c r="E707" s="65">
        <v>0.5818123007007617</v>
      </c>
      <c r="F707" s="65">
        <v>1.9312305567049861</v>
      </c>
      <c r="G707" s="50">
        <v>0.0</v>
      </c>
      <c r="H707" s="50">
        <v>0.0</v>
      </c>
      <c r="I707" s="50">
        <v>0.0</v>
      </c>
      <c r="J707" s="50">
        <v>0.0</v>
      </c>
      <c r="K707" s="50">
        <v>0.0</v>
      </c>
      <c r="L707" s="50">
        <v>0.0</v>
      </c>
      <c r="M707" s="50">
        <v>0.0</v>
      </c>
      <c r="N707" s="50">
        <v>0.0</v>
      </c>
      <c r="O707" s="50">
        <v>0.0</v>
      </c>
      <c r="P707" s="50">
        <v>0.0</v>
      </c>
      <c r="Q707" s="50">
        <v>0.0</v>
      </c>
      <c r="R707" s="50">
        <v>9.9</v>
      </c>
      <c r="S707" s="50">
        <v>0.0</v>
      </c>
      <c r="T707" s="50">
        <v>2.8125</v>
      </c>
      <c r="U707" s="50">
        <v>0.0</v>
      </c>
      <c r="V707" s="50">
        <v>0.0</v>
      </c>
      <c r="W707" s="50">
        <v>0.0</v>
      </c>
      <c r="X707" s="50">
        <v>2.8125</v>
      </c>
      <c r="Y707" s="50">
        <v>15.525</v>
      </c>
    </row>
    <row r="708">
      <c r="A708" s="26">
        <v>702.0</v>
      </c>
      <c r="B708" s="65">
        <v>-0.7228449828893918</v>
      </c>
      <c r="C708" s="65">
        <v>1.0854089332996817</v>
      </c>
      <c r="D708" s="65">
        <v>1.1649763332207066</v>
      </c>
      <c r="E708" s="65">
        <v>-0.2950819313706642</v>
      </c>
      <c r="F708" s="65">
        <v>8.050920911636963</v>
      </c>
      <c r="G708" s="50">
        <v>0.0</v>
      </c>
      <c r="H708" s="50">
        <v>0.0</v>
      </c>
      <c r="I708" s="50">
        <v>0.0</v>
      </c>
      <c r="J708" s="50">
        <v>0.0</v>
      </c>
      <c r="K708" s="50">
        <v>0.0</v>
      </c>
      <c r="L708" s="50">
        <v>0.0</v>
      </c>
      <c r="M708" s="50">
        <v>0.0</v>
      </c>
      <c r="N708" s="50">
        <v>0.0</v>
      </c>
      <c r="O708" s="50">
        <v>0.0</v>
      </c>
      <c r="P708" s="50">
        <v>0.0</v>
      </c>
      <c r="Q708" s="50">
        <v>0.0</v>
      </c>
      <c r="R708" s="50">
        <v>0.0</v>
      </c>
      <c r="S708" s="50">
        <v>0.0</v>
      </c>
      <c r="T708" s="50">
        <v>2.8125</v>
      </c>
      <c r="U708" s="50">
        <v>0.0</v>
      </c>
      <c r="V708" s="50">
        <v>5.625</v>
      </c>
      <c r="W708" s="50">
        <v>0.0</v>
      </c>
      <c r="X708" s="50">
        <v>2.8125</v>
      </c>
      <c r="Y708" s="50">
        <v>11.25</v>
      </c>
    </row>
    <row r="709">
      <c r="A709" s="26">
        <v>703.0</v>
      </c>
      <c r="B709" s="65">
        <v>-0.744795983422315</v>
      </c>
      <c r="C709" s="65">
        <v>-0.6199798728239139</v>
      </c>
      <c r="D709" s="65">
        <v>0.5181445335017242</v>
      </c>
      <c r="E709" s="65">
        <v>-0.15641645319505376</v>
      </c>
      <c r="F709" s="65">
        <v>3.9007128365627035</v>
      </c>
      <c r="G709" s="50">
        <v>0.0</v>
      </c>
      <c r="H709" s="50">
        <v>0.0</v>
      </c>
      <c r="I709" s="50">
        <v>0.0</v>
      </c>
      <c r="J709" s="50">
        <v>0.0</v>
      </c>
      <c r="K709" s="50">
        <v>0.0</v>
      </c>
      <c r="L709" s="50">
        <v>0.0</v>
      </c>
      <c r="M709" s="50">
        <v>0.0</v>
      </c>
      <c r="N709" s="50">
        <v>0.0</v>
      </c>
      <c r="O709" s="50">
        <v>0.0</v>
      </c>
      <c r="P709" s="50">
        <v>0.0</v>
      </c>
      <c r="Q709" s="50">
        <v>0.0</v>
      </c>
      <c r="R709" s="50">
        <v>0.0</v>
      </c>
      <c r="S709" s="50">
        <v>0.0</v>
      </c>
      <c r="T709" s="50">
        <v>2.8125</v>
      </c>
      <c r="U709" s="50">
        <v>0.0</v>
      </c>
      <c r="V709" s="50">
        <v>5.625</v>
      </c>
      <c r="W709" s="50">
        <v>4.95</v>
      </c>
      <c r="X709" s="50">
        <v>2.8125</v>
      </c>
      <c r="Y709" s="50">
        <v>16.2</v>
      </c>
    </row>
    <row r="710">
      <c r="A710" s="26">
        <v>704.0</v>
      </c>
      <c r="B710" s="65">
        <v>-0.427501535099384</v>
      </c>
      <c r="C710" s="65">
        <v>-1.5397657072365871</v>
      </c>
      <c r="D710" s="65">
        <v>0.323747968153674</v>
      </c>
      <c r="E710" s="65">
        <v>-0.8602733059217534</v>
      </c>
      <c r="F710" s="65">
        <v>12.490846845578949</v>
      </c>
      <c r="G710" s="50">
        <v>0.0</v>
      </c>
      <c r="H710" s="50">
        <v>0.0</v>
      </c>
      <c r="I710" s="50">
        <v>0.0</v>
      </c>
      <c r="J710" s="50">
        <v>0.0</v>
      </c>
      <c r="K710" s="50">
        <v>0.0</v>
      </c>
      <c r="L710" s="50">
        <v>0.0</v>
      </c>
      <c r="M710" s="50">
        <v>0.0</v>
      </c>
      <c r="N710" s="50">
        <v>0.0</v>
      </c>
      <c r="O710" s="50">
        <v>0.0</v>
      </c>
      <c r="P710" s="50">
        <v>0.0</v>
      </c>
      <c r="Q710" s="50">
        <v>0.0</v>
      </c>
      <c r="R710" s="50">
        <v>0.0</v>
      </c>
      <c r="S710" s="50">
        <v>0.0</v>
      </c>
      <c r="T710" s="50">
        <v>2.8125</v>
      </c>
      <c r="U710" s="50">
        <v>0.0</v>
      </c>
      <c r="V710" s="50">
        <v>5.625</v>
      </c>
      <c r="W710" s="50">
        <v>0.0</v>
      </c>
      <c r="X710" s="50">
        <v>2.8125</v>
      </c>
      <c r="Y710" s="50">
        <v>11.25</v>
      </c>
    </row>
    <row r="711">
      <c r="A711" s="26">
        <v>705.0</v>
      </c>
      <c r="B711" s="65">
        <v>0.182918503214261</v>
      </c>
      <c r="C711" s="65">
        <v>0.5960620961651548</v>
      </c>
      <c r="D711" s="65">
        <v>0.41774865152442897</v>
      </c>
      <c r="E711" s="65">
        <v>0.2704870297389744</v>
      </c>
      <c r="F711" s="65">
        <v>10.830976898276935</v>
      </c>
      <c r="G711" s="50">
        <v>0.0</v>
      </c>
      <c r="H711" s="50">
        <v>0.0</v>
      </c>
      <c r="I711" s="50">
        <v>0.0</v>
      </c>
      <c r="J711" s="50">
        <v>0.0</v>
      </c>
      <c r="K711" s="50">
        <v>0.0</v>
      </c>
      <c r="L711" s="50">
        <v>0.0</v>
      </c>
      <c r="M711" s="50">
        <v>0.0</v>
      </c>
      <c r="N711" s="50">
        <v>0.0</v>
      </c>
      <c r="O711" s="50">
        <v>0.0</v>
      </c>
      <c r="P711" s="50">
        <v>0.0</v>
      </c>
      <c r="Q711" s="50">
        <v>0.0</v>
      </c>
      <c r="R711" s="50">
        <v>0.0</v>
      </c>
      <c r="S711" s="50">
        <v>0.0</v>
      </c>
      <c r="T711" s="50">
        <v>2.8125</v>
      </c>
      <c r="U711" s="50">
        <v>0.0</v>
      </c>
      <c r="V711" s="50">
        <v>5.625</v>
      </c>
      <c r="W711" s="50">
        <v>0.0</v>
      </c>
      <c r="X711" s="50">
        <v>2.8125</v>
      </c>
      <c r="Y711" s="50">
        <v>11.25</v>
      </c>
    </row>
    <row r="712">
      <c r="A712" s="26">
        <v>706.0</v>
      </c>
      <c r="B712" s="65">
        <v>-0.04225809851298331</v>
      </c>
      <c r="C712" s="65">
        <v>-0.5823345539161383</v>
      </c>
      <c r="D712" s="65">
        <v>-1.262288195774097</v>
      </c>
      <c r="E712" s="65">
        <v>0.7138581757238075</v>
      </c>
      <c r="F712" s="65">
        <v>0.9128929176827958</v>
      </c>
      <c r="G712" s="50">
        <v>0.0</v>
      </c>
      <c r="H712" s="50">
        <v>0.0</v>
      </c>
      <c r="I712" s="50">
        <v>0.0</v>
      </c>
      <c r="J712" s="50">
        <v>0.0</v>
      </c>
      <c r="K712" s="50">
        <v>0.0</v>
      </c>
      <c r="L712" s="50">
        <v>0.0</v>
      </c>
      <c r="M712" s="50">
        <v>0.0</v>
      </c>
      <c r="N712" s="50">
        <v>0.0</v>
      </c>
      <c r="O712" s="50">
        <v>7.425000000000001</v>
      </c>
      <c r="P712" s="50">
        <v>0.0</v>
      </c>
      <c r="Q712" s="50">
        <v>13.5</v>
      </c>
      <c r="R712" s="50">
        <v>0.0</v>
      </c>
      <c r="S712" s="50">
        <v>11.25</v>
      </c>
      <c r="T712" s="50">
        <v>2.8125</v>
      </c>
      <c r="U712" s="50">
        <v>0.0</v>
      </c>
      <c r="V712" s="50">
        <v>0.0</v>
      </c>
      <c r="W712" s="50">
        <v>0.0</v>
      </c>
      <c r="X712" s="50">
        <v>2.8125</v>
      </c>
      <c r="Y712" s="50">
        <v>37.8</v>
      </c>
    </row>
    <row r="713">
      <c r="A713" s="26">
        <v>707.0</v>
      </c>
      <c r="B713" s="65">
        <v>-0.5931006894854574</v>
      </c>
      <c r="C713" s="65">
        <v>0.8577503726317455</v>
      </c>
      <c r="D713" s="65">
        <v>-0.2343230852886546</v>
      </c>
      <c r="E713" s="65">
        <v>0.5021401275521092</v>
      </c>
      <c r="F713" s="65">
        <v>2.0543503611522653</v>
      </c>
      <c r="G713" s="50">
        <v>0.0</v>
      </c>
      <c r="H713" s="50">
        <v>0.0</v>
      </c>
      <c r="I713" s="50">
        <v>0.0</v>
      </c>
      <c r="J713" s="50">
        <v>0.0</v>
      </c>
      <c r="K713" s="50">
        <v>0.0</v>
      </c>
      <c r="L713" s="50">
        <v>0.0</v>
      </c>
      <c r="M713" s="50">
        <v>0.0</v>
      </c>
      <c r="N713" s="50">
        <v>0.0</v>
      </c>
      <c r="O713" s="50">
        <v>0.0</v>
      </c>
      <c r="P713" s="50">
        <v>2.475</v>
      </c>
      <c r="Q713" s="50">
        <v>0.0</v>
      </c>
      <c r="R713" s="50">
        <v>0.0</v>
      </c>
      <c r="S713" s="50">
        <v>0.0</v>
      </c>
      <c r="T713" s="50">
        <v>2.8125</v>
      </c>
      <c r="U713" s="50">
        <v>9.9</v>
      </c>
      <c r="V713" s="50">
        <v>5.625</v>
      </c>
      <c r="W713" s="50">
        <v>0.0</v>
      </c>
      <c r="X713" s="50">
        <v>2.8125</v>
      </c>
      <c r="Y713" s="50">
        <v>23.625</v>
      </c>
    </row>
    <row r="714">
      <c r="A714" s="26">
        <v>708.0</v>
      </c>
      <c r="B714" s="65">
        <v>-0.5005750972859988</v>
      </c>
      <c r="C714" s="65">
        <v>0.34351184951099806</v>
      </c>
      <c r="D714" s="65">
        <v>-0.6344516314843357</v>
      </c>
      <c r="E714" s="65">
        <v>0.4600318765668525</v>
      </c>
      <c r="F714" s="65">
        <v>8.752140566148555</v>
      </c>
      <c r="G714" s="50">
        <v>0.0</v>
      </c>
      <c r="H714" s="50">
        <v>0.0</v>
      </c>
      <c r="I714" s="50">
        <v>0.0</v>
      </c>
      <c r="J714" s="50">
        <v>0.0</v>
      </c>
      <c r="K714" s="50">
        <v>0.0</v>
      </c>
      <c r="L714" s="50">
        <v>0.0</v>
      </c>
      <c r="M714" s="50">
        <v>0.0</v>
      </c>
      <c r="N714" s="50">
        <v>0.0</v>
      </c>
      <c r="O714" s="50">
        <v>0.0</v>
      </c>
      <c r="P714" s="50">
        <v>0.0</v>
      </c>
      <c r="Q714" s="50">
        <v>0.0</v>
      </c>
      <c r="R714" s="50">
        <v>0.0</v>
      </c>
      <c r="S714" s="50">
        <v>0.0</v>
      </c>
      <c r="T714" s="50">
        <v>2.8125</v>
      </c>
      <c r="U714" s="50">
        <v>0.0</v>
      </c>
      <c r="V714" s="50">
        <v>0.0</v>
      </c>
      <c r="W714" s="50">
        <v>0.0</v>
      </c>
      <c r="X714" s="50">
        <v>2.8125</v>
      </c>
      <c r="Y714" s="50">
        <v>5.625</v>
      </c>
    </row>
    <row r="715">
      <c r="A715" s="26">
        <v>709.0</v>
      </c>
      <c r="B715" s="65">
        <v>-0.41658029718287287</v>
      </c>
      <c r="C715" s="65">
        <v>0.40266614710660636</v>
      </c>
      <c r="D715" s="65">
        <v>-0.1353545681528049</v>
      </c>
      <c r="E715" s="65">
        <v>1.6256918400487403</v>
      </c>
      <c r="F715" s="65">
        <v>7.646680710218474</v>
      </c>
      <c r="G715" s="50">
        <v>0.0</v>
      </c>
      <c r="H715" s="50">
        <v>0.0</v>
      </c>
      <c r="I715" s="50">
        <v>0.0</v>
      </c>
      <c r="J715" s="50">
        <v>0.0</v>
      </c>
      <c r="K715" s="50">
        <v>0.0</v>
      </c>
      <c r="L715" s="50">
        <v>0.0</v>
      </c>
      <c r="M715" s="50">
        <v>0.0</v>
      </c>
      <c r="N715" s="50">
        <v>0.0</v>
      </c>
      <c r="O715" s="50">
        <v>0.0</v>
      </c>
      <c r="P715" s="50">
        <v>0.0</v>
      </c>
      <c r="Q715" s="50">
        <v>0.0</v>
      </c>
      <c r="R715" s="50">
        <v>0.0</v>
      </c>
      <c r="S715" s="50">
        <v>0.0</v>
      </c>
      <c r="T715" s="50">
        <v>2.8125</v>
      </c>
      <c r="U715" s="50">
        <v>0.0</v>
      </c>
      <c r="V715" s="50">
        <v>0.0</v>
      </c>
      <c r="W715" s="50">
        <v>0.0</v>
      </c>
      <c r="X715" s="50">
        <v>2.8125</v>
      </c>
      <c r="Y715" s="50">
        <v>5.625</v>
      </c>
    </row>
    <row r="716">
      <c r="A716" s="26">
        <v>710.0</v>
      </c>
      <c r="B716" s="65">
        <v>-0.052090856904278816</v>
      </c>
      <c r="C716" s="65">
        <v>0.8217565042790144</v>
      </c>
      <c r="D716" s="65">
        <v>-0.4694649827070731</v>
      </c>
      <c r="E716" s="65">
        <v>-0.3160133857483247</v>
      </c>
      <c r="F716" s="65">
        <v>9.702686346096508</v>
      </c>
      <c r="G716" s="50">
        <v>0.0</v>
      </c>
      <c r="H716" s="50">
        <v>0.0</v>
      </c>
      <c r="I716" s="50">
        <v>0.0</v>
      </c>
      <c r="J716" s="50">
        <v>0.0</v>
      </c>
      <c r="K716" s="50">
        <v>0.0</v>
      </c>
      <c r="L716" s="50">
        <v>0.0</v>
      </c>
      <c r="M716" s="50">
        <v>0.0</v>
      </c>
      <c r="N716" s="50">
        <v>0.0</v>
      </c>
      <c r="O716" s="50">
        <v>0.0</v>
      </c>
      <c r="P716" s="50">
        <v>0.0</v>
      </c>
      <c r="Q716" s="50">
        <v>0.0</v>
      </c>
      <c r="R716" s="50">
        <v>0.0</v>
      </c>
      <c r="S716" s="50">
        <v>0.0</v>
      </c>
      <c r="T716" s="50">
        <v>2.8125</v>
      </c>
      <c r="U716" s="50">
        <v>0.0</v>
      </c>
      <c r="V716" s="50">
        <v>0.0</v>
      </c>
      <c r="W716" s="50">
        <v>0.0</v>
      </c>
      <c r="X716" s="50">
        <v>2.8125</v>
      </c>
      <c r="Y716" s="50">
        <v>5.625</v>
      </c>
    </row>
    <row r="717">
      <c r="A717" s="26">
        <v>711.0</v>
      </c>
      <c r="B717" s="65">
        <v>-1.1144714041653796</v>
      </c>
      <c r="C717" s="65">
        <v>-1.4467667407344165</v>
      </c>
      <c r="D717" s="65">
        <v>1.0366062672719185</v>
      </c>
      <c r="E717" s="65">
        <v>1.8866365310915187</v>
      </c>
      <c r="F717" s="65">
        <v>1.3066330809509215</v>
      </c>
      <c r="G717" s="50">
        <v>0.0</v>
      </c>
      <c r="H717" s="50">
        <v>0.0</v>
      </c>
      <c r="I717" s="50">
        <v>0.0</v>
      </c>
      <c r="J717" s="50">
        <v>0.0</v>
      </c>
      <c r="K717" s="50">
        <v>0.0</v>
      </c>
      <c r="L717" s="50">
        <v>0.0</v>
      </c>
      <c r="M717" s="50">
        <v>0.0</v>
      </c>
      <c r="N717" s="50">
        <v>0.0</v>
      </c>
      <c r="O717" s="50">
        <v>7.425000000000001</v>
      </c>
      <c r="P717" s="50">
        <v>0.0</v>
      </c>
      <c r="Q717" s="50">
        <v>0.0</v>
      </c>
      <c r="R717" s="50">
        <v>0.0</v>
      </c>
      <c r="S717" s="50">
        <v>0.0</v>
      </c>
      <c r="T717" s="50">
        <v>2.8125</v>
      </c>
      <c r="U717" s="50">
        <v>9.9</v>
      </c>
      <c r="V717" s="50">
        <v>0.0</v>
      </c>
      <c r="W717" s="50">
        <v>0.0</v>
      </c>
      <c r="X717" s="50">
        <v>2.8125</v>
      </c>
      <c r="Y717" s="50">
        <v>22.950000000000003</v>
      </c>
    </row>
    <row r="718">
      <c r="A718" s="26">
        <v>712.0</v>
      </c>
      <c r="B718" s="65">
        <v>-1.202312207877113</v>
      </c>
      <c r="C718" s="65">
        <v>-0.3945148186986633</v>
      </c>
      <c r="D718" s="65">
        <v>-0.5631189806190179</v>
      </c>
      <c r="E718" s="65">
        <v>-1.2086277194496635</v>
      </c>
      <c r="F718" s="65">
        <v>8.054891652123828</v>
      </c>
      <c r="G718" s="50">
        <v>0.0</v>
      </c>
      <c r="H718" s="50">
        <v>0.0</v>
      </c>
      <c r="I718" s="50">
        <v>0.0</v>
      </c>
      <c r="J718" s="50">
        <v>0.0</v>
      </c>
      <c r="K718" s="50">
        <v>0.0</v>
      </c>
      <c r="L718" s="50">
        <v>0.0</v>
      </c>
      <c r="M718" s="50">
        <v>0.0</v>
      </c>
      <c r="N718" s="50">
        <v>0.0</v>
      </c>
      <c r="O718" s="50">
        <v>7.425000000000001</v>
      </c>
      <c r="P718" s="50">
        <v>0.0</v>
      </c>
      <c r="Q718" s="50">
        <v>0.0</v>
      </c>
      <c r="R718" s="50">
        <v>0.0</v>
      </c>
      <c r="S718" s="50">
        <v>0.0</v>
      </c>
      <c r="T718" s="50">
        <v>2.8125</v>
      </c>
      <c r="U718" s="50">
        <v>0.0</v>
      </c>
      <c r="V718" s="50">
        <v>5.625</v>
      </c>
      <c r="W718" s="50">
        <v>0.0</v>
      </c>
      <c r="X718" s="50">
        <v>2.8125</v>
      </c>
      <c r="Y718" s="50">
        <v>18.675</v>
      </c>
    </row>
    <row r="719">
      <c r="A719" s="26">
        <v>713.0</v>
      </c>
      <c r="B719" s="65">
        <v>-0.38265785152043624</v>
      </c>
      <c r="C719" s="65">
        <v>0.25298438570706394</v>
      </c>
      <c r="D719" s="65">
        <v>-0.9170636126208619</v>
      </c>
      <c r="E719" s="65">
        <v>0.2999258550137373</v>
      </c>
      <c r="F719" s="65">
        <v>1.5254888903115307</v>
      </c>
      <c r="G719" s="50">
        <v>0.0</v>
      </c>
      <c r="H719" s="50">
        <v>0.0</v>
      </c>
      <c r="I719" s="50">
        <v>0.0</v>
      </c>
      <c r="J719" s="50">
        <v>0.0</v>
      </c>
      <c r="K719" s="50">
        <v>0.0</v>
      </c>
      <c r="L719" s="50">
        <v>0.0</v>
      </c>
      <c r="M719" s="50">
        <v>0.0</v>
      </c>
      <c r="N719" s="50">
        <v>0.0</v>
      </c>
      <c r="O719" s="50">
        <v>0.0</v>
      </c>
      <c r="P719" s="50">
        <v>0.0</v>
      </c>
      <c r="Q719" s="50">
        <v>0.0</v>
      </c>
      <c r="R719" s="50">
        <v>0.0</v>
      </c>
      <c r="S719" s="50">
        <v>0.0</v>
      </c>
      <c r="T719" s="50">
        <v>2.8125</v>
      </c>
      <c r="U719" s="50">
        <v>0.0</v>
      </c>
      <c r="V719" s="50">
        <v>0.0</v>
      </c>
      <c r="W719" s="50">
        <v>0.0</v>
      </c>
      <c r="X719" s="50">
        <v>2.8125</v>
      </c>
      <c r="Y719" s="50">
        <v>5.625</v>
      </c>
    </row>
    <row r="720">
      <c r="A720" s="26">
        <v>714.0</v>
      </c>
      <c r="B720" s="65">
        <v>2.1144808910897774</v>
      </c>
      <c r="C720" s="65">
        <v>-1.8380393109629152</v>
      </c>
      <c r="D720" s="65">
        <v>1.4320430232370187</v>
      </c>
      <c r="E720" s="65">
        <v>-0.7311639819219737</v>
      </c>
      <c r="F720" s="65">
        <v>4.9716094254360375</v>
      </c>
      <c r="G720" s="50">
        <v>0.0</v>
      </c>
      <c r="H720" s="50">
        <v>0.0</v>
      </c>
      <c r="I720" s="50">
        <v>0.0</v>
      </c>
      <c r="J720" s="50">
        <v>0.0</v>
      </c>
      <c r="K720" s="50">
        <v>0.0</v>
      </c>
      <c r="L720" s="50">
        <v>0.0</v>
      </c>
      <c r="M720" s="50">
        <v>0.0</v>
      </c>
      <c r="N720" s="50">
        <v>0.0</v>
      </c>
      <c r="O720" s="50">
        <v>0.0</v>
      </c>
      <c r="P720" s="50">
        <v>0.0</v>
      </c>
      <c r="Q720" s="50">
        <v>0.0</v>
      </c>
      <c r="R720" s="50">
        <v>0.0</v>
      </c>
      <c r="S720" s="50">
        <v>0.0</v>
      </c>
      <c r="T720" s="50">
        <v>2.8125</v>
      </c>
      <c r="U720" s="50">
        <v>0.0</v>
      </c>
      <c r="V720" s="50">
        <v>0.0</v>
      </c>
      <c r="W720" s="50">
        <v>0.0</v>
      </c>
      <c r="X720" s="50">
        <v>2.8125</v>
      </c>
      <c r="Y720" s="50">
        <v>5.625</v>
      </c>
    </row>
    <row r="721">
      <c r="A721" s="26">
        <v>715.0</v>
      </c>
      <c r="B721" s="65">
        <v>-0.7484073242519965</v>
      </c>
      <c r="C721" s="65">
        <v>-1.5698654564321328</v>
      </c>
      <c r="D721" s="65">
        <v>2.814175393519112</v>
      </c>
      <c r="E721" s="65">
        <v>1.0622422891085224</v>
      </c>
      <c r="F721" s="65">
        <v>7.565951146757081</v>
      </c>
      <c r="G721" s="50">
        <v>0.0</v>
      </c>
      <c r="H721" s="50">
        <v>0.0</v>
      </c>
      <c r="I721" s="50">
        <v>0.0</v>
      </c>
      <c r="J721" s="50">
        <v>0.0</v>
      </c>
      <c r="K721" s="50">
        <v>0.0</v>
      </c>
      <c r="L721" s="50">
        <v>0.0</v>
      </c>
      <c r="M721" s="50">
        <v>0.0</v>
      </c>
      <c r="N721" s="50">
        <v>0.0</v>
      </c>
      <c r="O721" s="50">
        <v>0.0</v>
      </c>
      <c r="P721" s="50">
        <v>0.0</v>
      </c>
      <c r="Q721" s="50">
        <v>0.0</v>
      </c>
      <c r="R721" s="50">
        <v>0.0</v>
      </c>
      <c r="S721" s="50">
        <v>0.0</v>
      </c>
      <c r="T721" s="50">
        <v>2.8125</v>
      </c>
      <c r="U721" s="50">
        <v>0.0</v>
      </c>
      <c r="V721" s="50">
        <v>5.625</v>
      </c>
      <c r="W721" s="50">
        <v>0.0</v>
      </c>
      <c r="X721" s="50">
        <v>2.8125</v>
      </c>
      <c r="Y721" s="50">
        <v>11.25</v>
      </c>
    </row>
    <row r="722">
      <c r="A722" s="26">
        <v>716.0</v>
      </c>
      <c r="B722" s="65">
        <v>0.6126536595926029</v>
      </c>
      <c r="C722" s="65">
        <v>0.6364709452496687</v>
      </c>
      <c r="D722" s="65">
        <v>1.073944772684708</v>
      </c>
      <c r="E722" s="65">
        <v>0.32530746549551237</v>
      </c>
      <c r="F722" s="65">
        <v>2.4420933645260474</v>
      </c>
      <c r="G722" s="50">
        <v>0.0</v>
      </c>
      <c r="H722" s="50">
        <v>0.0</v>
      </c>
      <c r="I722" s="50">
        <v>0.0</v>
      </c>
      <c r="J722" s="50">
        <v>0.0</v>
      </c>
      <c r="K722" s="50">
        <v>0.0</v>
      </c>
      <c r="L722" s="50">
        <v>0.0</v>
      </c>
      <c r="M722" s="50">
        <v>0.0</v>
      </c>
      <c r="N722" s="50">
        <v>0.0</v>
      </c>
      <c r="O722" s="50">
        <v>0.0</v>
      </c>
      <c r="P722" s="50">
        <v>0.0</v>
      </c>
      <c r="Q722" s="50">
        <v>0.0</v>
      </c>
      <c r="R722" s="50">
        <v>0.0</v>
      </c>
      <c r="S722" s="50">
        <v>0.0</v>
      </c>
      <c r="T722" s="50">
        <v>2.8125</v>
      </c>
      <c r="U722" s="50">
        <v>0.0</v>
      </c>
      <c r="V722" s="50">
        <v>0.0</v>
      </c>
      <c r="W722" s="50">
        <v>0.0</v>
      </c>
      <c r="X722" s="50">
        <v>2.8125</v>
      </c>
      <c r="Y722" s="50">
        <v>5.625</v>
      </c>
    </row>
    <row r="723">
      <c r="A723" s="26">
        <v>717.0</v>
      </c>
      <c r="B723" s="65">
        <v>0.8579225507492658</v>
      </c>
      <c r="C723" s="65">
        <v>0.4028542731160216</v>
      </c>
      <c r="D723" s="65">
        <v>1.015595859424627</v>
      </c>
      <c r="E723" s="65">
        <v>-0.09691101882914822</v>
      </c>
      <c r="F723" s="65">
        <v>5.344886442400727</v>
      </c>
      <c r="G723" s="50">
        <v>0.0</v>
      </c>
      <c r="H723" s="50">
        <v>0.0</v>
      </c>
      <c r="I723" s="50">
        <v>0.0</v>
      </c>
      <c r="J723" s="50">
        <v>0.0</v>
      </c>
      <c r="K723" s="50">
        <v>0.0</v>
      </c>
      <c r="L723" s="50">
        <v>0.0</v>
      </c>
      <c r="M723" s="50">
        <v>0.0</v>
      </c>
      <c r="N723" s="50">
        <v>0.0</v>
      </c>
      <c r="O723" s="50">
        <v>0.0</v>
      </c>
      <c r="P723" s="50">
        <v>0.0</v>
      </c>
      <c r="Q723" s="50">
        <v>0.0</v>
      </c>
      <c r="R723" s="50">
        <v>0.0</v>
      </c>
      <c r="S723" s="50">
        <v>0.0</v>
      </c>
      <c r="T723" s="50">
        <v>2.8125</v>
      </c>
      <c r="U723" s="50">
        <v>0.0</v>
      </c>
      <c r="V723" s="50">
        <v>5.625</v>
      </c>
      <c r="W723" s="50">
        <v>0.0</v>
      </c>
      <c r="X723" s="50">
        <v>2.8125</v>
      </c>
      <c r="Y723" s="50">
        <v>11.25</v>
      </c>
    </row>
    <row r="724">
      <c r="A724" s="26">
        <v>718.0</v>
      </c>
      <c r="B724" s="65">
        <v>0.3326942483575574</v>
      </c>
      <c r="C724" s="65">
        <v>-1.6019231216959846</v>
      </c>
      <c r="D724" s="65">
        <v>-0.8810015518944682</v>
      </c>
      <c r="E724" s="65">
        <v>0.983256262327247</v>
      </c>
      <c r="F724" s="65">
        <v>6.569050728238844</v>
      </c>
      <c r="G724" s="50">
        <v>0.0</v>
      </c>
      <c r="H724" s="50">
        <v>0.0</v>
      </c>
      <c r="I724" s="50">
        <v>0.0</v>
      </c>
      <c r="J724" s="50">
        <v>0.0</v>
      </c>
      <c r="K724" s="50">
        <v>0.0</v>
      </c>
      <c r="L724" s="50">
        <v>0.0</v>
      </c>
      <c r="M724" s="50">
        <v>0.0</v>
      </c>
      <c r="N724" s="50">
        <v>0.0</v>
      </c>
      <c r="O724" s="50">
        <v>0.0</v>
      </c>
      <c r="P724" s="50">
        <v>2.475</v>
      </c>
      <c r="Q724" s="50">
        <v>0.0</v>
      </c>
      <c r="R724" s="50">
        <v>0.0</v>
      </c>
      <c r="S724" s="50">
        <v>0.0</v>
      </c>
      <c r="T724" s="50">
        <v>2.8125</v>
      </c>
      <c r="U724" s="50">
        <v>0.0</v>
      </c>
      <c r="V724" s="50">
        <v>0.0</v>
      </c>
      <c r="W724" s="50">
        <v>0.0</v>
      </c>
      <c r="X724" s="50">
        <v>2.8125</v>
      </c>
      <c r="Y724" s="50">
        <v>8.1</v>
      </c>
    </row>
    <row r="725">
      <c r="A725" s="26">
        <v>719.0</v>
      </c>
      <c r="B725" s="65">
        <v>0.1189761902219759</v>
      </c>
      <c r="C725" s="65">
        <v>0.6117403241013301</v>
      </c>
      <c r="D725" s="65">
        <v>1.5155035940678963</v>
      </c>
      <c r="E725" s="65">
        <v>-0.027152715765275715</v>
      </c>
      <c r="F725" s="65">
        <v>3.118786283123399</v>
      </c>
      <c r="G725" s="50">
        <v>0.0</v>
      </c>
      <c r="H725" s="50">
        <v>0.0</v>
      </c>
      <c r="I725" s="50">
        <v>0.0</v>
      </c>
      <c r="J725" s="50">
        <v>0.0</v>
      </c>
      <c r="K725" s="50">
        <v>0.0</v>
      </c>
      <c r="L725" s="50">
        <v>0.0</v>
      </c>
      <c r="M725" s="50">
        <v>0.0</v>
      </c>
      <c r="N725" s="50">
        <v>0.0</v>
      </c>
      <c r="O725" s="50">
        <v>0.0</v>
      </c>
      <c r="P725" s="50">
        <v>0.0</v>
      </c>
      <c r="Q725" s="50">
        <v>0.0</v>
      </c>
      <c r="R725" s="50">
        <v>0.0</v>
      </c>
      <c r="S725" s="50">
        <v>0.0</v>
      </c>
      <c r="T725" s="50">
        <v>2.8125</v>
      </c>
      <c r="U725" s="50">
        <v>0.0</v>
      </c>
      <c r="V725" s="50">
        <v>5.625</v>
      </c>
      <c r="W725" s="50">
        <v>0.0</v>
      </c>
      <c r="X725" s="50">
        <v>2.8125</v>
      </c>
      <c r="Y725" s="50">
        <v>11.25</v>
      </c>
    </row>
    <row r="726">
      <c r="A726" s="26">
        <v>720.0</v>
      </c>
      <c r="B726" s="65">
        <v>0.6684204046501723</v>
      </c>
      <c r="C726" s="65">
        <v>-0.012684408093796444</v>
      </c>
      <c r="D726" s="65">
        <v>-0.10292644679993847</v>
      </c>
      <c r="E726" s="65">
        <v>-1.243537443294962</v>
      </c>
      <c r="F726" s="65">
        <v>6.816498587292774</v>
      </c>
      <c r="G726" s="50">
        <v>0.0</v>
      </c>
      <c r="H726" s="50">
        <v>0.0</v>
      </c>
      <c r="I726" s="50">
        <v>0.0</v>
      </c>
      <c r="J726" s="50">
        <v>0.0</v>
      </c>
      <c r="K726" s="50">
        <v>0.0</v>
      </c>
      <c r="L726" s="50">
        <v>0.0</v>
      </c>
      <c r="M726" s="50">
        <v>0.0</v>
      </c>
      <c r="N726" s="50">
        <v>0.0</v>
      </c>
      <c r="O726" s="50">
        <v>0.0</v>
      </c>
      <c r="P726" s="50">
        <v>0.0</v>
      </c>
      <c r="Q726" s="50">
        <v>0.0</v>
      </c>
      <c r="R726" s="50">
        <v>0.0</v>
      </c>
      <c r="S726" s="50">
        <v>0.0</v>
      </c>
      <c r="T726" s="50">
        <v>2.8125</v>
      </c>
      <c r="U726" s="50">
        <v>0.0</v>
      </c>
      <c r="V726" s="50">
        <v>0.0</v>
      </c>
      <c r="W726" s="50">
        <v>0.0</v>
      </c>
      <c r="X726" s="50">
        <v>2.8125</v>
      </c>
      <c r="Y726" s="50">
        <v>5.625</v>
      </c>
    </row>
    <row r="727">
      <c r="A727" s="26">
        <v>721.0</v>
      </c>
      <c r="B727" s="65">
        <v>-0.4993267822776653</v>
      </c>
      <c r="C727" s="65">
        <v>-0.4735534635085148</v>
      </c>
      <c r="D727" s="65">
        <v>-1.5947286810628873</v>
      </c>
      <c r="E727" s="65">
        <v>-0.5906445514247189</v>
      </c>
      <c r="F727" s="65">
        <v>10.657533052204728</v>
      </c>
      <c r="G727" s="50">
        <v>0.0</v>
      </c>
      <c r="H727" s="50">
        <v>0.0</v>
      </c>
      <c r="I727" s="50">
        <v>0.0</v>
      </c>
      <c r="J727" s="50">
        <v>0.0</v>
      </c>
      <c r="K727" s="50">
        <v>0.0</v>
      </c>
      <c r="L727" s="50">
        <v>0.0</v>
      </c>
      <c r="M727" s="50">
        <v>0.0</v>
      </c>
      <c r="N727" s="50">
        <v>0.0</v>
      </c>
      <c r="O727" s="50">
        <v>0.0</v>
      </c>
      <c r="P727" s="50">
        <v>0.0</v>
      </c>
      <c r="Q727" s="50">
        <v>0.0</v>
      </c>
      <c r="R727" s="50">
        <v>0.0</v>
      </c>
      <c r="S727" s="50">
        <v>0.0</v>
      </c>
      <c r="T727" s="50">
        <v>2.8125</v>
      </c>
      <c r="U727" s="50">
        <v>0.0</v>
      </c>
      <c r="V727" s="50">
        <v>5.625</v>
      </c>
      <c r="W727" s="50">
        <v>0.0</v>
      </c>
      <c r="X727" s="50">
        <v>2.8125</v>
      </c>
      <c r="Y727" s="50">
        <v>11.25</v>
      </c>
    </row>
    <row r="728">
      <c r="A728" s="26">
        <v>722.0</v>
      </c>
      <c r="B728" s="65">
        <v>-0.8410998426758837</v>
      </c>
      <c r="C728" s="65">
        <v>-0.43461447191320207</v>
      </c>
      <c r="D728" s="65">
        <v>1.4892619129055873</v>
      </c>
      <c r="E728" s="65">
        <v>0.5201191276161011</v>
      </c>
      <c r="F728" s="65">
        <v>5.634668810748667</v>
      </c>
      <c r="G728" s="50">
        <v>0.0</v>
      </c>
      <c r="H728" s="50">
        <v>0.0</v>
      </c>
      <c r="I728" s="50">
        <v>0.0</v>
      </c>
      <c r="J728" s="50">
        <v>0.0</v>
      </c>
      <c r="K728" s="50">
        <v>0.0</v>
      </c>
      <c r="L728" s="50">
        <v>0.0</v>
      </c>
      <c r="M728" s="50">
        <v>0.0</v>
      </c>
      <c r="N728" s="50">
        <v>0.0</v>
      </c>
      <c r="O728" s="50">
        <v>0.0</v>
      </c>
      <c r="P728" s="50">
        <v>0.0</v>
      </c>
      <c r="Q728" s="50">
        <v>0.0</v>
      </c>
      <c r="R728" s="50">
        <v>0.0</v>
      </c>
      <c r="S728" s="50">
        <v>0.0</v>
      </c>
      <c r="T728" s="50">
        <v>2.8125</v>
      </c>
      <c r="U728" s="50">
        <v>0.0</v>
      </c>
      <c r="V728" s="50">
        <v>5.625</v>
      </c>
      <c r="W728" s="50">
        <v>0.0</v>
      </c>
      <c r="X728" s="50">
        <v>2.8125</v>
      </c>
      <c r="Y728" s="50">
        <v>11.25</v>
      </c>
    </row>
    <row r="729">
      <c r="A729" s="26">
        <v>723.0</v>
      </c>
      <c r="B729" s="65">
        <v>0.7187373439091943</v>
      </c>
      <c r="C729" s="65">
        <v>-0.30922700321309354</v>
      </c>
      <c r="D729" s="65">
        <v>1.1986998851002015</v>
      </c>
      <c r="E729" s="65">
        <v>-0.4254619256415205</v>
      </c>
      <c r="F729" s="65">
        <v>7.192239066112825</v>
      </c>
      <c r="G729" s="50">
        <v>0.0</v>
      </c>
      <c r="H729" s="50">
        <v>0.0</v>
      </c>
      <c r="I729" s="50">
        <v>0.0</v>
      </c>
      <c r="J729" s="50">
        <v>0.0</v>
      </c>
      <c r="K729" s="50">
        <v>0.0</v>
      </c>
      <c r="L729" s="50">
        <v>0.0</v>
      </c>
      <c r="M729" s="50">
        <v>0.0</v>
      </c>
      <c r="N729" s="50">
        <v>0.0</v>
      </c>
      <c r="O729" s="50">
        <v>0.0</v>
      </c>
      <c r="P729" s="50">
        <v>0.0</v>
      </c>
      <c r="Q729" s="50">
        <v>0.0</v>
      </c>
      <c r="R729" s="50">
        <v>0.0</v>
      </c>
      <c r="S729" s="50">
        <v>0.0</v>
      </c>
      <c r="T729" s="50">
        <v>2.8125</v>
      </c>
      <c r="U729" s="50">
        <v>0.0</v>
      </c>
      <c r="V729" s="50">
        <v>0.0</v>
      </c>
      <c r="W729" s="50">
        <v>0.0</v>
      </c>
      <c r="X729" s="50">
        <v>2.8125</v>
      </c>
      <c r="Y729" s="50">
        <v>5.625</v>
      </c>
    </row>
    <row r="730">
      <c r="A730" s="26">
        <v>724.0</v>
      </c>
      <c r="B730" s="65">
        <v>-0.48383483572417685</v>
      </c>
      <c r="C730" s="65">
        <v>0.2471950503336942</v>
      </c>
      <c r="D730" s="65">
        <v>-1.4155850617038552</v>
      </c>
      <c r="E730" s="65">
        <v>-0.47155730455198114</v>
      </c>
      <c r="F730" s="65">
        <v>7.943768742160753</v>
      </c>
      <c r="G730" s="50">
        <v>0.0</v>
      </c>
      <c r="H730" s="50">
        <v>0.0</v>
      </c>
      <c r="I730" s="50">
        <v>0.0</v>
      </c>
      <c r="J730" s="50">
        <v>0.0</v>
      </c>
      <c r="K730" s="50">
        <v>0.0</v>
      </c>
      <c r="L730" s="50">
        <v>0.0</v>
      </c>
      <c r="M730" s="50">
        <v>0.0</v>
      </c>
      <c r="N730" s="50">
        <v>0.0</v>
      </c>
      <c r="O730" s="50">
        <v>0.0</v>
      </c>
      <c r="P730" s="50">
        <v>2.475</v>
      </c>
      <c r="Q730" s="50">
        <v>0.0</v>
      </c>
      <c r="R730" s="50">
        <v>9.9</v>
      </c>
      <c r="S730" s="50">
        <v>0.0</v>
      </c>
      <c r="T730" s="50">
        <v>2.8125</v>
      </c>
      <c r="U730" s="50">
        <v>0.0</v>
      </c>
      <c r="V730" s="50">
        <v>0.0</v>
      </c>
      <c r="W730" s="50">
        <v>4.95</v>
      </c>
      <c r="X730" s="50">
        <v>2.8125</v>
      </c>
      <c r="Y730" s="50">
        <v>22.95</v>
      </c>
    </row>
    <row r="731">
      <c r="A731" s="26">
        <v>725.0</v>
      </c>
      <c r="B731" s="65">
        <v>-1.136046767509027</v>
      </c>
      <c r="C731" s="65">
        <v>0.7253415208423605</v>
      </c>
      <c r="D731" s="65">
        <v>0.030764306412899973</v>
      </c>
      <c r="E731" s="65">
        <v>-0.7113507977984479</v>
      </c>
      <c r="F731" s="65">
        <v>5.02218144760841</v>
      </c>
      <c r="G731" s="50">
        <v>0.0</v>
      </c>
      <c r="H731" s="50">
        <v>0.0</v>
      </c>
      <c r="I731" s="50">
        <v>0.0</v>
      </c>
      <c r="J731" s="50">
        <v>0.0</v>
      </c>
      <c r="K731" s="50">
        <v>0.0</v>
      </c>
      <c r="L731" s="50">
        <v>0.0</v>
      </c>
      <c r="M731" s="50">
        <v>0.0</v>
      </c>
      <c r="N731" s="50">
        <v>0.0</v>
      </c>
      <c r="O731" s="50">
        <v>0.0</v>
      </c>
      <c r="P731" s="50">
        <v>0.0</v>
      </c>
      <c r="Q731" s="50">
        <v>0.0</v>
      </c>
      <c r="R731" s="50">
        <v>0.0</v>
      </c>
      <c r="S731" s="50">
        <v>0.0</v>
      </c>
      <c r="T731" s="50">
        <v>2.8125</v>
      </c>
      <c r="U731" s="50">
        <v>9.9</v>
      </c>
      <c r="V731" s="50">
        <v>0.0</v>
      </c>
      <c r="W731" s="50">
        <v>4.95</v>
      </c>
      <c r="X731" s="50">
        <v>2.8125</v>
      </c>
      <c r="Y731" s="50">
        <v>20.475</v>
      </c>
    </row>
    <row r="732">
      <c r="A732" s="26">
        <v>726.0</v>
      </c>
      <c r="B732" s="65">
        <v>-0.18985136287908205</v>
      </c>
      <c r="C732" s="65">
        <v>0.6513376404941164</v>
      </c>
      <c r="D732" s="65">
        <v>1.664167120708555</v>
      </c>
      <c r="E732" s="65">
        <v>0.7010074904482254</v>
      </c>
      <c r="F732" s="65">
        <v>6.755204408066239</v>
      </c>
      <c r="G732" s="50">
        <v>0.0</v>
      </c>
      <c r="H732" s="50">
        <v>0.0</v>
      </c>
      <c r="I732" s="50">
        <v>0.0</v>
      </c>
      <c r="J732" s="50">
        <v>0.0</v>
      </c>
      <c r="K732" s="50">
        <v>0.0</v>
      </c>
      <c r="L732" s="50">
        <v>0.0</v>
      </c>
      <c r="M732" s="50">
        <v>0.0</v>
      </c>
      <c r="N732" s="50">
        <v>0.0</v>
      </c>
      <c r="O732" s="50">
        <v>0.0</v>
      </c>
      <c r="P732" s="50">
        <v>0.0</v>
      </c>
      <c r="Q732" s="50">
        <v>0.0</v>
      </c>
      <c r="R732" s="50">
        <v>0.0</v>
      </c>
      <c r="S732" s="50">
        <v>0.0</v>
      </c>
      <c r="T732" s="50">
        <v>2.8125</v>
      </c>
      <c r="U732" s="50">
        <v>0.0</v>
      </c>
      <c r="V732" s="50">
        <v>0.0</v>
      </c>
      <c r="W732" s="50">
        <v>0.0</v>
      </c>
      <c r="X732" s="50">
        <v>2.8125</v>
      </c>
      <c r="Y732" s="50">
        <v>5.625</v>
      </c>
    </row>
    <row r="733">
      <c r="A733" s="26">
        <v>727.0</v>
      </c>
      <c r="B733" s="65">
        <v>-0.4103937609435655</v>
      </c>
      <c r="C733" s="65">
        <v>-1.929914322906248</v>
      </c>
      <c r="D733" s="65">
        <v>0.5069231711719513</v>
      </c>
      <c r="E733" s="65">
        <v>-0.10404022190798125</v>
      </c>
      <c r="F733" s="65">
        <v>5.082554366154228</v>
      </c>
      <c r="G733" s="50">
        <v>0.0</v>
      </c>
      <c r="H733" s="50">
        <v>0.0</v>
      </c>
      <c r="I733" s="50">
        <v>0.0</v>
      </c>
      <c r="J733" s="50">
        <v>0.0</v>
      </c>
      <c r="K733" s="50">
        <v>0.0</v>
      </c>
      <c r="L733" s="50">
        <v>0.0</v>
      </c>
      <c r="M733" s="50">
        <v>0.0</v>
      </c>
      <c r="N733" s="50">
        <v>0.0</v>
      </c>
      <c r="O733" s="50">
        <v>7.425000000000001</v>
      </c>
      <c r="P733" s="50">
        <v>0.0</v>
      </c>
      <c r="Q733" s="50">
        <v>0.0</v>
      </c>
      <c r="R733" s="50">
        <v>0.0</v>
      </c>
      <c r="S733" s="50">
        <v>0.0</v>
      </c>
      <c r="T733" s="50">
        <v>2.8125</v>
      </c>
      <c r="U733" s="50">
        <v>0.0</v>
      </c>
      <c r="V733" s="50">
        <v>5.625</v>
      </c>
      <c r="W733" s="50">
        <v>0.0</v>
      </c>
      <c r="X733" s="50">
        <v>2.8125</v>
      </c>
      <c r="Y733" s="50">
        <v>18.675</v>
      </c>
    </row>
    <row r="734">
      <c r="A734" s="26">
        <v>728.0</v>
      </c>
      <c r="B734" s="65">
        <v>0.5504896046494958</v>
      </c>
      <c r="C734" s="65">
        <v>-0.6000372289510815</v>
      </c>
      <c r="D734" s="65">
        <v>-2.2172171358359165</v>
      </c>
      <c r="E734" s="65">
        <v>-1.0000762294075325</v>
      </c>
      <c r="F734" s="65">
        <v>1.0234866135394265</v>
      </c>
      <c r="G734" s="50">
        <v>0.0</v>
      </c>
      <c r="H734" s="50">
        <v>0.0</v>
      </c>
      <c r="I734" s="50">
        <v>0.0</v>
      </c>
      <c r="J734" s="50">
        <v>0.0</v>
      </c>
      <c r="K734" s="50">
        <v>0.0</v>
      </c>
      <c r="L734" s="50">
        <v>0.0</v>
      </c>
      <c r="M734" s="50">
        <v>0.0</v>
      </c>
      <c r="N734" s="50">
        <v>0.0</v>
      </c>
      <c r="O734" s="50">
        <v>0.0</v>
      </c>
      <c r="P734" s="50">
        <v>0.0</v>
      </c>
      <c r="Q734" s="50">
        <v>0.0</v>
      </c>
      <c r="R734" s="50">
        <v>0.0</v>
      </c>
      <c r="S734" s="50">
        <v>0.0</v>
      </c>
      <c r="T734" s="50">
        <v>2.8125</v>
      </c>
      <c r="U734" s="50">
        <v>0.0</v>
      </c>
      <c r="V734" s="50">
        <v>0.0</v>
      </c>
      <c r="W734" s="50">
        <v>0.0</v>
      </c>
      <c r="X734" s="50">
        <v>2.8125</v>
      </c>
      <c r="Y734" s="50">
        <v>5.625</v>
      </c>
    </row>
    <row r="735">
      <c r="A735" s="26">
        <v>729.0</v>
      </c>
      <c r="B735" s="65">
        <v>1.3582780619886137</v>
      </c>
      <c r="C735" s="65">
        <v>-0.7737469532996295</v>
      </c>
      <c r="D735" s="65">
        <v>-0.49421928623917705</v>
      </c>
      <c r="E735" s="65">
        <v>0.08387926370471938</v>
      </c>
      <c r="F735" s="65">
        <v>3.489309646965285</v>
      </c>
      <c r="G735" s="50">
        <v>0.0</v>
      </c>
      <c r="H735" s="50">
        <v>0.0</v>
      </c>
      <c r="I735" s="50">
        <v>0.0</v>
      </c>
      <c r="J735" s="50">
        <v>0.0</v>
      </c>
      <c r="K735" s="50">
        <v>0.0</v>
      </c>
      <c r="L735" s="50">
        <v>0.0</v>
      </c>
      <c r="M735" s="50">
        <v>0.0</v>
      </c>
      <c r="N735" s="50">
        <v>0.0</v>
      </c>
      <c r="O735" s="50">
        <v>0.0</v>
      </c>
      <c r="P735" s="50">
        <v>0.0</v>
      </c>
      <c r="Q735" s="50">
        <v>0.0</v>
      </c>
      <c r="R735" s="50">
        <v>0.0</v>
      </c>
      <c r="S735" s="50">
        <v>0.0</v>
      </c>
      <c r="T735" s="50">
        <v>2.8125</v>
      </c>
      <c r="U735" s="50">
        <v>0.0</v>
      </c>
      <c r="V735" s="50">
        <v>0.0</v>
      </c>
      <c r="W735" s="50">
        <v>0.0</v>
      </c>
      <c r="X735" s="50">
        <v>2.8125</v>
      </c>
      <c r="Y735" s="50">
        <v>5.625</v>
      </c>
    </row>
    <row r="736">
      <c r="A736" s="26">
        <v>730.0</v>
      </c>
      <c r="B736" s="65">
        <v>0.5765263124761068</v>
      </c>
      <c r="C736" s="65">
        <v>-1.402340535792736</v>
      </c>
      <c r="D736" s="65">
        <v>-0.026723083289358653</v>
      </c>
      <c r="E736" s="65">
        <v>0.9777273169354684</v>
      </c>
      <c r="F736" s="65">
        <v>2.790927017766416</v>
      </c>
      <c r="G736" s="50">
        <v>0.0</v>
      </c>
      <c r="H736" s="50">
        <v>0.0</v>
      </c>
      <c r="I736" s="50">
        <v>0.0</v>
      </c>
      <c r="J736" s="50">
        <v>0.0</v>
      </c>
      <c r="K736" s="50">
        <v>0.0</v>
      </c>
      <c r="L736" s="50">
        <v>0.0</v>
      </c>
      <c r="M736" s="50">
        <v>0.0</v>
      </c>
      <c r="N736" s="50">
        <v>0.0</v>
      </c>
      <c r="O736" s="50">
        <v>0.0</v>
      </c>
      <c r="P736" s="50">
        <v>0.0</v>
      </c>
      <c r="Q736" s="50">
        <v>0.0</v>
      </c>
      <c r="R736" s="50">
        <v>0.0</v>
      </c>
      <c r="S736" s="50">
        <v>0.0</v>
      </c>
      <c r="T736" s="50">
        <v>2.8125</v>
      </c>
      <c r="U736" s="50">
        <v>0.0</v>
      </c>
      <c r="V736" s="50">
        <v>0.0</v>
      </c>
      <c r="W736" s="50">
        <v>0.0</v>
      </c>
      <c r="X736" s="50">
        <v>2.8125</v>
      </c>
      <c r="Y736" s="50">
        <v>5.625</v>
      </c>
    </row>
    <row r="737">
      <c r="A737" s="26">
        <v>731.0</v>
      </c>
      <c r="B737" s="65">
        <v>-0.28947626507238866</v>
      </c>
      <c r="C737" s="65">
        <v>-0.725169253640862</v>
      </c>
      <c r="D737" s="65">
        <v>0.26321155816726727</v>
      </c>
      <c r="E737" s="65">
        <v>1.6284409672877111</v>
      </c>
      <c r="F737" s="65">
        <v>9.446312274900547</v>
      </c>
      <c r="G737" s="50">
        <v>0.0</v>
      </c>
      <c r="H737" s="50">
        <v>0.0</v>
      </c>
      <c r="I737" s="50">
        <v>0.0</v>
      </c>
      <c r="J737" s="50">
        <v>0.0</v>
      </c>
      <c r="K737" s="50">
        <v>0.0</v>
      </c>
      <c r="L737" s="50">
        <v>0.0</v>
      </c>
      <c r="M737" s="50">
        <v>0.0</v>
      </c>
      <c r="N737" s="50">
        <v>0.0</v>
      </c>
      <c r="O737" s="50">
        <v>0.0</v>
      </c>
      <c r="P737" s="50">
        <v>0.0</v>
      </c>
      <c r="Q737" s="50">
        <v>0.0</v>
      </c>
      <c r="R737" s="50">
        <v>0.0</v>
      </c>
      <c r="S737" s="50">
        <v>0.0</v>
      </c>
      <c r="T737" s="50">
        <v>2.8125</v>
      </c>
      <c r="U737" s="50">
        <v>0.0</v>
      </c>
      <c r="V737" s="50">
        <v>0.0</v>
      </c>
      <c r="W737" s="50">
        <v>0.0</v>
      </c>
      <c r="X737" s="50">
        <v>2.8125</v>
      </c>
      <c r="Y737" s="50">
        <v>5.625</v>
      </c>
    </row>
    <row r="738">
      <c r="A738" s="26">
        <v>732.0</v>
      </c>
      <c r="B738" s="65">
        <v>1.6969271976777123</v>
      </c>
      <c r="C738" s="65">
        <v>0.1209431857384096</v>
      </c>
      <c r="D738" s="65">
        <v>-1.1887044211807167</v>
      </c>
      <c r="E738" s="65">
        <v>1.1254446878816564</v>
      </c>
      <c r="F738" s="65">
        <v>7.851730913361424</v>
      </c>
      <c r="G738" s="50">
        <v>0.0</v>
      </c>
      <c r="H738" s="50">
        <v>0.0</v>
      </c>
      <c r="I738" s="50">
        <v>0.0</v>
      </c>
      <c r="J738" s="50">
        <v>0.0</v>
      </c>
      <c r="K738" s="50">
        <v>0.0</v>
      </c>
      <c r="L738" s="50">
        <v>0.0</v>
      </c>
      <c r="M738" s="50">
        <v>0.0</v>
      </c>
      <c r="N738" s="50">
        <v>0.0</v>
      </c>
      <c r="O738" s="50">
        <v>0.0</v>
      </c>
      <c r="P738" s="50">
        <v>0.0</v>
      </c>
      <c r="Q738" s="50">
        <v>0.0</v>
      </c>
      <c r="R738" s="50">
        <v>0.0</v>
      </c>
      <c r="S738" s="50">
        <v>0.0</v>
      </c>
      <c r="T738" s="50">
        <v>2.8125</v>
      </c>
      <c r="U738" s="50">
        <v>0.0</v>
      </c>
      <c r="V738" s="50">
        <v>0.0</v>
      </c>
      <c r="W738" s="50">
        <v>0.0</v>
      </c>
      <c r="X738" s="50">
        <v>2.8125</v>
      </c>
      <c r="Y738" s="50">
        <v>5.625</v>
      </c>
    </row>
    <row r="739">
      <c r="A739" s="26">
        <v>733.0</v>
      </c>
      <c r="B739" s="65">
        <v>-0.02046061874640002</v>
      </c>
      <c r="C739" s="65">
        <v>0.11869382653779699</v>
      </c>
      <c r="D739" s="65">
        <v>-1.8464874080485945</v>
      </c>
      <c r="E739" s="65">
        <v>-0.019702535398006295</v>
      </c>
      <c r="F739" s="65">
        <v>17.632048463106266</v>
      </c>
      <c r="G739" s="50">
        <v>0.0</v>
      </c>
      <c r="H739" s="50">
        <v>0.0</v>
      </c>
      <c r="I739" s="50">
        <v>0.0</v>
      </c>
      <c r="J739" s="50">
        <v>0.0</v>
      </c>
      <c r="K739" s="50">
        <v>0.0</v>
      </c>
      <c r="L739" s="50">
        <v>0.0</v>
      </c>
      <c r="M739" s="50">
        <v>0.0</v>
      </c>
      <c r="N739" s="50">
        <v>0.0</v>
      </c>
      <c r="O739" s="50">
        <v>0.0</v>
      </c>
      <c r="P739" s="50">
        <v>0.0</v>
      </c>
      <c r="Q739" s="50">
        <v>0.0</v>
      </c>
      <c r="R739" s="50">
        <v>0.0</v>
      </c>
      <c r="S739" s="50">
        <v>0.0</v>
      </c>
      <c r="T739" s="50">
        <v>2.8125</v>
      </c>
      <c r="U739" s="50">
        <v>0.0</v>
      </c>
      <c r="V739" s="50">
        <v>0.0</v>
      </c>
      <c r="W739" s="50">
        <v>0.0</v>
      </c>
      <c r="X739" s="50">
        <v>2.8125</v>
      </c>
      <c r="Y739" s="50">
        <v>5.625</v>
      </c>
    </row>
    <row r="740">
      <c r="A740" s="26">
        <v>734.0</v>
      </c>
      <c r="B740" s="65">
        <v>1.1392231829986237</v>
      </c>
      <c r="C740" s="65">
        <v>0.2993335594553136</v>
      </c>
      <c r="D740" s="65">
        <v>0.2645771321479853</v>
      </c>
      <c r="E740" s="65">
        <v>-0.08915068666122918</v>
      </c>
      <c r="F740" s="65">
        <v>2.9604640022150406</v>
      </c>
      <c r="G740" s="50">
        <v>0.0</v>
      </c>
      <c r="H740" s="50">
        <v>0.0</v>
      </c>
      <c r="I740" s="50">
        <v>0.0</v>
      </c>
      <c r="J740" s="50">
        <v>0.0</v>
      </c>
      <c r="K740" s="50">
        <v>0.0</v>
      </c>
      <c r="L740" s="50">
        <v>0.0</v>
      </c>
      <c r="M740" s="50">
        <v>0.0</v>
      </c>
      <c r="N740" s="50">
        <v>0.0</v>
      </c>
      <c r="O740" s="50">
        <v>0.0</v>
      </c>
      <c r="P740" s="50">
        <v>0.0</v>
      </c>
      <c r="Q740" s="50">
        <v>0.0</v>
      </c>
      <c r="R740" s="50">
        <v>0.0</v>
      </c>
      <c r="S740" s="50">
        <v>0.0</v>
      </c>
      <c r="T740" s="50">
        <v>2.8125</v>
      </c>
      <c r="U740" s="50">
        <v>0.0</v>
      </c>
      <c r="V740" s="50">
        <v>0.0</v>
      </c>
      <c r="W740" s="50">
        <v>0.0</v>
      </c>
      <c r="X740" s="50">
        <v>2.8125</v>
      </c>
      <c r="Y740" s="50">
        <v>5.625</v>
      </c>
    </row>
    <row r="741">
      <c r="A741" s="26">
        <v>735.0</v>
      </c>
      <c r="B741" s="65">
        <v>1.5174824413290093</v>
      </c>
      <c r="C741" s="65">
        <v>2.491517109905649</v>
      </c>
      <c r="D741" s="65">
        <v>-2.57449901898591</v>
      </c>
      <c r="E741" s="65">
        <v>-0.6218935608787381</v>
      </c>
      <c r="F741" s="65">
        <v>8.479285987197475</v>
      </c>
      <c r="G741" s="50">
        <v>0.0</v>
      </c>
      <c r="H741" s="50">
        <v>0.0</v>
      </c>
      <c r="I741" s="50">
        <v>0.0</v>
      </c>
      <c r="J741" s="50">
        <v>0.0</v>
      </c>
      <c r="K741" s="50">
        <v>0.0</v>
      </c>
      <c r="L741" s="50">
        <v>0.0</v>
      </c>
      <c r="M741" s="50">
        <v>0.0</v>
      </c>
      <c r="N741" s="50">
        <v>0.0</v>
      </c>
      <c r="O741" s="50">
        <v>0.0</v>
      </c>
      <c r="P741" s="50">
        <v>0.0</v>
      </c>
      <c r="Q741" s="50">
        <v>0.0</v>
      </c>
      <c r="R741" s="50">
        <v>0.0</v>
      </c>
      <c r="S741" s="50">
        <v>0.0</v>
      </c>
      <c r="T741" s="50">
        <v>2.8125</v>
      </c>
      <c r="U741" s="50">
        <v>0.0</v>
      </c>
      <c r="V741" s="50">
        <v>0.0</v>
      </c>
      <c r="W741" s="50">
        <v>0.0</v>
      </c>
      <c r="X741" s="50">
        <v>2.8125</v>
      </c>
      <c r="Y741" s="50">
        <v>5.625</v>
      </c>
    </row>
    <row r="742">
      <c r="A742" s="26">
        <v>736.0</v>
      </c>
      <c r="B742" s="65">
        <v>0.5668819037484064</v>
      </c>
      <c r="C742" s="65">
        <v>-0.47795192221118843</v>
      </c>
      <c r="D742" s="65">
        <v>1.1161695223574901</v>
      </c>
      <c r="E742" s="65">
        <v>0.9052065142314429</v>
      </c>
      <c r="F742" s="65">
        <v>4.59173286439704</v>
      </c>
      <c r="G742" s="50">
        <v>0.0</v>
      </c>
      <c r="H742" s="50">
        <v>0.0</v>
      </c>
      <c r="I742" s="50">
        <v>0.0</v>
      </c>
      <c r="J742" s="50">
        <v>0.0</v>
      </c>
      <c r="K742" s="50">
        <v>0.0</v>
      </c>
      <c r="L742" s="50">
        <v>0.0</v>
      </c>
      <c r="M742" s="50">
        <v>0.0</v>
      </c>
      <c r="N742" s="50">
        <v>0.0</v>
      </c>
      <c r="O742" s="50">
        <v>0.0</v>
      </c>
      <c r="P742" s="50">
        <v>0.0</v>
      </c>
      <c r="Q742" s="50">
        <v>0.0</v>
      </c>
      <c r="R742" s="50">
        <v>0.0</v>
      </c>
      <c r="S742" s="50">
        <v>0.0</v>
      </c>
      <c r="T742" s="50">
        <v>2.8125</v>
      </c>
      <c r="U742" s="50">
        <v>0.0</v>
      </c>
      <c r="V742" s="50">
        <v>0.0</v>
      </c>
      <c r="W742" s="50">
        <v>0.0</v>
      </c>
      <c r="X742" s="50">
        <v>2.8125</v>
      </c>
      <c r="Y742" s="50">
        <v>5.625</v>
      </c>
    </row>
    <row r="743">
      <c r="A743" s="26">
        <v>737.0</v>
      </c>
      <c r="B743" s="65">
        <v>-1.048670384521492</v>
      </c>
      <c r="C743" s="65">
        <v>0.6063539397614525</v>
      </c>
      <c r="D743" s="65">
        <v>-0.8911503826123603</v>
      </c>
      <c r="E743" s="65">
        <v>-1.530618724807636</v>
      </c>
      <c r="F743" s="65">
        <v>1.9558453741950512</v>
      </c>
      <c r="G743" s="50">
        <v>0.0</v>
      </c>
      <c r="H743" s="50">
        <v>0.0</v>
      </c>
      <c r="I743" s="50">
        <v>0.0</v>
      </c>
      <c r="J743" s="50">
        <v>0.0</v>
      </c>
      <c r="K743" s="50">
        <v>0.0</v>
      </c>
      <c r="L743" s="50">
        <v>0.0</v>
      </c>
      <c r="M743" s="50">
        <v>0.0</v>
      </c>
      <c r="N743" s="50">
        <v>0.0</v>
      </c>
      <c r="O743" s="50">
        <v>7.425000000000001</v>
      </c>
      <c r="P743" s="50">
        <v>2.475</v>
      </c>
      <c r="Q743" s="50">
        <v>0.0</v>
      </c>
      <c r="R743" s="50">
        <v>9.9</v>
      </c>
      <c r="S743" s="50">
        <v>0.0</v>
      </c>
      <c r="T743" s="50">
        <v>2.8125</v>
      </c>
      <c r="U743" s="50">
        <v>9.9</v>
      </c>
      <c r="V743" s="50">
        <v>5.625</v>
      </c>
      <c r="W743" s="50">
        <v>0.0</v>
      </c>
      <c r="X743" s="50">
        <v>2.8125</v>
      </c>
      <c r="Y743" s="50">
        <v>40.95</v>
      </c>
    </row>
    <row r="744">
      <c r="A744" s="26">
        <v>738.0</v>
      </c>
      <c r="B744" s="65">
        <v>-0.8889641477462533</v>
      </c>
      <c r="C744" s="65">
        <v>1.2934517832665064</v>
      </c>
      <c r="D744" s="65">
        <v>-0.08416499154614333</v>
      </c>
      <c r="E744" s="65">
        <v>-1.5657440079638396</v>
      </c>
      <c r="F744" s="65">
        <v>6.550379397114963</v>
      </c>
      <c r="G744" s="50">
        <v>0.0</v>
      </c>
      <c r="H744" s="50">
        <v>0.0</v>
      </c>
      <c r="I744" s="50">
        <v>0.0</v>
      </c>
      <c r="J744" s="50">
        <v>0.0</v>
      </c>
      <c r="K744" s="50">
        <v>0.0</v>
      </c>
      <c r="L744" s="50">
        <v>0.0</v>
      </c>
      <c r="M744" s="50">
        <v>0.0</v>
      </c>
      <c r="N744" s="50">
        <v>0.0</v>
      </c>
      <c r="O744" s="50">
        <v>0.0</v>
      </c>
      <c r="P744" s="50">
        <v>0.0</v>
      </c>
      <c r="Q744" s="50">
        <v>0.0</v>
      </c>
      <c r="R744" s="50">
        <v>0.0</v>
      </c>
      <c r="S744" s="50">
        <v>0.0</v>
      </c>
      <c r="T744" s="50">
        <v>2.8125</v>
      </c>
      <c r="U744" s="50">
        <v>0.0</v>
      </c>
      <c r="V744" s="50">
        <v>5.625</v>
      </c>
      <c r="W744" s="50">
        <v>0.0</v>
      </c>
      <c r="X744" s="50">
        <v>2.8125</v>
      </c>
      <c r="Y744" s="50">
        <v>11.25</v>
      </c>
    </row>
    <row r="745">
      <c r="A745" s="26">
        <v>739.0</v>
      </c>
      <c r="B745" s="65">
        <v>1.653163609418984</v>
      </c>
      <c r="C745" s="65">
        <v>0.24642882606914165</v>
      </c>
      <c r="D745" s="65">
        <v>-1.0143408219027596</v>
      </c>
      <c r="E745" s="65">
        <v>0.7379024550218205</v>
      </c>
      <c r="F745" s="65">
        <v>4.714621472630384</v>
      </c>
      <c r="G745" s="50">
        <v>0.0</v>
      </c>
      <c r="H745" s="50">
        <v>0.0</v>
      </c>
      <c r="I745" s="50">
        <v>0.0</v>
      </c>
      <c r="J745" s="50">
        <v>0.0</v>
      </c>
      <c r="K745" s="50">
        <v>0.0</v>
      </c>
      <c r="L745" s="50">
        <v>0.0</v>
      </c>
      <c r="M745" s="50">
        <v>0.0</v>
      </c>
      <c r="N745" s="50">
        <v>0.0</v>
      </c>
      <c r="O745" s="50">
        <v>0.0</v>
      </c>
      <c r="P745" s="50">
        <v>0.0</v>
      </c>
      <c r="Q745" s="50">
        <v>0.0</v>
      </c>
      <c r="R745" s="50">
        <v>0.0</v>
      </c>
      <c r="S745" s="50">
        <v>0.0</v>
      </c>
      <c r="T745" s="50">
        <v>2.8125</v>
      </c>
      <c r="U745" s="50">
        <v>0.0</v>
      </c>
      <c r="V745" s="50">
        <v>0.0</v>
      </c>
      <c r="W745" s="50">
        <v>0.0</v>
      </c>
      <c r="X745" s="50">
        <v>2.8125</v>
      </c>
      <c r="Y745" s="50">
        <v>5.625</v>
      </c>
    </row>
    <row r="746">
      <c r="A746" s="26">
        <v>740.0</v>
      </c>
      <c r="B746" s="65">
        <v>-0.2751420272366269</v>
      </c>
      <c r="C746" s="65">
        <v>1.7998049327091277</v>
      </c>
      <c r="D746" s="65">
        <v>-0.5040786418982875</v>
      </c>
      <c r="E746" s="65">
        <v>1.193349723132633</v>
      </c>
      <c r="F746" s="65">
        <v>7.26342136474428</v>
      </c>
      <c r="G746" s="50">
        <v>0.0</v>
      </c>
      <c r="H746" s="50">
        <v>0.0</v>
      </c>
      <c r="I746" s="50">
        <v>0.0</v>
      </c>
      <c r="J746" s="50">
        <v>0.0</v>
      </c>
      <c r="K746" s="50">
        <v>0.0</v>
      </c>
      <c r="L746" s="50">
        <v>0.0</v>
      </c>
      <c r="M746" s="50">
        <v>0.0</v>
      </c>
      <c r="N746" s="50">
        <v>0.0</v>
      </c>
      <c r="O746" s="50">
        <v>0.0</v>
      </c>
      <c r="P746" s="50">
        <v>0.0</v>
      </c>
      <c r="Q746" s="50">
        <v>0.0</v>
      </c>
      <c r="R746" s="50">
        <v>0.0</v>
      </c>
      <c r="S746" s="50">
        <v>0.0</v>
      </c>
      <c r="T746" s="50">
        <v>2.8125</v>
      </c>
      <c r="U746" s="50">
        <v>0.0</v>
      </c>
      <c r="V746" s="50">
        <v>5.625</v>
      </c>
      <c r="W746" s="50">
        <v>0.0</v>
      </c>
      <c r="X746" s="50">
        <v>2.8125</v>
      </c>
      <c r="Y746" s="50">
        <v>11.25</v>
      </c>
    </row>
    <row r="747">
      <c r="A747" s="26">
        <v>741.0</v>
      </c>
      <c r="B747" s="65">
        <v>0.8296315236009612</v>
      </c>
      <c r="C747" s="65">
        <v>0.29615391330337604</v>
      </c>
      <c r="D747" s="65">
        <v>-1.0852766223919958</v>
      </c>
      <c r="E747" s="65">
        <v>-0.23122547588946207</v>
      </c>
      <c r="F747" s="65">
        <v>4.78445882490521</v>
      </c>
      <c r="G747" s="50">
        <v>0.0</v>
      </c>
      <c r="H747" s="50">
        <v>0.0</v>
      </c>
      <c r="I747" s="50">
        <v>0.0</v>
      </c>
      <c r="J747" s="50">
        <v>0.0</v>
      </c>
      <c r="K747" s="50">
        <v>0.0</v>
      </c>
      <c r="L747" s="50">
        <v>0.0</v>
      </c>
      <c r="M747" s="50">
        <v>0.0</v>
      </c>
      <c r="N747" s="50">
        <v>0.0</v>
      </c>
      <c r="O747" s="50">
        <v>0.0</v>
      </c>
      <c r="P747" s="50">
        <v>0.0</v>
      </c>
      <c r="Q747" s="50">
        <v>0.0</v>
      </c>
      <c r="R747" s="50">
        <v>0.0</v>
      </c>
      <c r="S747" s="50">
        <v>0.0</v>
      </c>
      <c r="T747" s="50">
        <v>2.8125</v>
      </c>
      <c r="U747" s="50">
        <v>0.0</v>
      </c>
      <c r="V747" s="50">
        <v>0.0</v>
      </c>
      <c r="W747" s="50">
        <v>0.0</v>
      </c>
      <c r="X747" s="50">
        <v>2.8125</v>
      </c>
      <c r="Y747" s="50">
        <v>5.625</v>
      </c>
    </row>
    <row r="748">
      <c r="A748" s="26">
        <v>742.0</v>
      </c>
      <c r="B748" s="65">
        <v>0.7606676661521233</v>
      </c>
      <c r="C748" s="65">
        <v>-0.36614601651138146</v>
      </c>
      <c r="D748" s="65">
        <v>0.3164288407571093</v>
      </c>
      <c r="E748" s="65">
        <v>-0.8256989630419657</v>
      </c>
      <c r="F748" s="65">
        <v>3.8031493953567934</v>
      </c>
      <c r="G748" s="50">
        <v>0.0</v>
      </c>
      <c r="H748" s="50">
        <v>0.0</v>
      </c>
      <c r="I748" s="50">
        <v>0.0</v>
      </c>
      <c r="J748" s="50">
        <v>0.0</v>
      </c>
      <c r="K748" s="50">
        <v>0.0</v>
      </c>
      <c r="L748" s="50">
        <v>0.0</v>
      </c>
      <c r="M748" s="50">
        <v>0.0</v>
      </c>
      <c r="N748" s="50">
        <v>0.0</v>
      </c>
      <c r="O748" s="50">
        <v>0.0</v>
      </c>
      <c r="P748" s="50">
        <v>0.0</v>
      </c>
      <c r="Q748" s="50">
        <v>0.0</v>
      </c>
      <c r="R748" s="50">
        <v>0.0</v>
      </c>
      <c r="S748" s="50">
        <v>0.0</v>
      </c>
      <c r="T748" s="50">
        <v>2.8125</v>
      </c>
      <c r="U748" s="50">
        <v>0.0</v>
      </c>
      <c r="V748" s="50">
        <v>0.0</v>
      </c>
      <c r="W748" s="50">
        <v>0.0</v>
      </c>
      <c r="X748" s="50">
        <v>2.8125</v>
      </c>
      <c r="Y748" s="50">
        <v>5.625</v>
      </c>
    </row>
    <row r="749">
      <c r="A749" s="26">
        <v>743.0</v>
      </c>
      <c r="B749" s="65">
        <v>1.4504025024855596</v>
      </c>
      <c r="C749" s="65">
        <v>1.2896850614487085</v>
      </c>
      <c r="D749" s="65">
        <v>0.6687715029151087</v>
      </c>
      <c r="E749" s="65">
        <v>-0.5126463776597637</v>
      </c>
      <c r="F749" s="65">
        <v>2.962585533334573</v>
      </c>
      <c r="G749" s="50">
        <v>0.0</v>
      </c>
      <c r="H749" s="50">
        <v>0.0</v>
      </c>
      <c r="I749" s="50">
        <v>0.0</v>
      </c>
      <c r="J749" s="50">
        <v>0.0</v>
      </c>
      <c r="K749" s="50">
        <v>0.0</v>
      </c>
      <c r="L749" s="50">
        <v>0.0</v>
      </c>
      <c r="M749" s="50">
        <v>0.0</v>
      </c>
      <c r="N749" s="50">
        <v>0.0</v>
      </c>
      <c r="O749" s="50">
        <v>0.0</v>
      </c>
      <c r="P749" s="50">
        <v>0.0</v>
      </c>
      <c r="Q749" s="50">
        <v>0.0</v>
      </c>
      <c r="R749" s="50">
        <v>0.0</v>
      </c>
      <c r="S749" s="50">
        <v>0.0</v>
      </c>
      <c r="T749" s="50">
        <v>2.8125</v>
      </c>
      <c r="U749" s="50">
        <v>0.0</v>
      </c>
      <c r="V749" s="50">
        <v>0.0</v>
      </c>
      <c r="W749" s="50">
        <v>0.0</v>
      </c>
      <c r="X749" s="50">
        <v>2.8125</v>
      </c>
      <c r="Y749" s="50">
        <v>5.625</v>
      </c>
    </row>
    <row r="750">
      <c r="A750" s="26">
        <v>744.0</v>
      </c>
      <c r="B750" s="65">
        <v>-0.4230211098778266</v>
      </c>
      <c r="C750" s="65">
        <v>0.6870662418409356</v>
      </c>
      <c r="D750" s="65">
        <v>0.1345275540516988</v>
      </c>
      <c r="E750" s="65">
        <v>0.1733182647045216</v>
      </c>
      <c r="F750" s="65">
        <v>5.289958299076745</v>
      </c>
      <c r="G750" s="50">
        <v>0.0</v>
      </c>
      <c r="H750" s="50">
        <v>0.0</v>
      </c>
      <c r="I750" s="50">
        <v>0.0</v>
      </c>
      <c r="J750" s="50">
        <v>0.0</v>
      </c>
      <c r="K750" s="50">
        <v>0.0</v>
      </c>
      <c r="L750" s="50">
        <v>0.0</v>
      </c>
      <c r="M750" s="50">
        <v>0.0</v>
      </c>
      <c r="N750" s="50">
        <v>0.0</v>
      </c>
      <c r="O750" s="50">
        <v>0.0</v>
      </c>
      <c r="P750" s="50">
        <v>0.0</v>
      </c>
      <c r="Q750" s="50">
        <v>0.0</v>
      </c>
      <c r="R750" s="50">
        <v>0.0</v>
      </c>
      <c r="S750" s="50">
        <v>0.0</v>
      </c>
      <c r="T750" s="50">
        <v>2.8125</v>
      </c>
      <c r="U750" s="50">
        <v>0.0</v>
      </c>
      <c r="V750" s="50">
        <v>0.0</v>
      </c>
      <c r="W750" s="50">
        <v>0.0</v>
      </c>
      <c r="X750" s="50">
        <v>2.8125</v>
      </c>
      <c r="Y750" s="50">
        <v>5.625</v>
      </c>
    </row>
    <row r="751">
      <c r="A751" s="26">
        <v>745.0</v>
      </c>
      <c r="B751" s="65">
        <v>-0.9810041713127331</v>
      </c>
      <c r="C751" s="65">
        <v>0.8038418521147179</v>
      </c>
      <c r="D751" s="65">
        <v>-1.4325383459941534</v>
      </c>
      <c r="E751" s="65">
        <v>0.05011651754069923</v>
      </c>
      <c r="F751" s="65">
        <v>6.431296334730217</v>
      </c>
      <c r="G751" s="50">
        <v>0.0</v>
      </c>
      <c r="H751" s="50">
        <v>0.0</v>
      </c>
      <c r="I751" s="50">
        <v>0.0</v>
      </c>
      <c r="J751" s="50">
        <v>0.0</v>
      </c>
      <c r="K751" s="50">
        <v>0.0</v>
      </c>
      <c r="L751" s="50">
        <v>0.0</v>
      </c>
      <c r="M751" s="50">
        <v>0.0</v>
      </c>
      <c r="N751" s="50">
        <v>0.0</v>
      </c>
      <c r="O751" s="50">
        <v>7.425000000000001</v>
      </c>
      <c r="P751" s="50">
        <v>0.0</v>
      </c>
      <c r="Q751" s="50">
        <v>0.0</v>
      </c>
      <c r="R751" s="50">
        <v>9.9</v>
      </c>
      <c r="S751" s="50">
        <v>0.0</v>
      </c>
      <c r="T751" s="50">
        <v>2.8125</v>
      </c>
      <c r="U751" s="50">
        <v>0.0</v>
      </c>
      <c r="V751" s="50">
        <v>5.625</v>
      </c>
      <c r="W751" s="50">
        <v>0.0</v>
      </c>
      <c r="X751" s="50">
        <v>2.8125</v>
      </c>
      <c r="Y751" s="50">
        <v>28.575000000000003</v>
      </c>
    </row>
    <row r="752">
      <c r="A752" s="26">
        <v>746.0</v>
      </c>
      <c r="B752" s="65">
        <v>0.3521006812900501</v>
      </c>
      <c r="C752" s="65">
        <v>-1.20030755484255</v>
      </c>
      <c r="D752" s="65">
        <v>-0.8106042594850402</v>
      </c>
      <c r="E752" s="65">
        <v>-1.4468293558551852</v>
      </c>
      <c r="F752" s="65">
        <v>8.19166539018552</v>
      </c>
      <c r="G752" s="50">
        <v>0.0</v>
      </c>
      <c r="H752" s="50">
        <v>0.0</v>
      </c>
      <c r="I752" s="50">
        <v>0.0</v>
      </c>
      <c r="J752" s="50">
        <v>0.0</v>
      </c>
      <c r="K752" s="50">
        <v>0.0</v>
      </c>
      <c r="L752" s="50">
        <v>0.0</v>
      </c>
      <c r="M752" s="50">
        <v>0.0</v>
      </c>
      <c r="N752" s="50">
        <v>0.0</v>
      </c>
      <c r="O752" s="50">
        <v>0.0</v>
      </c>
      <c r="P752" s="50">
        <v>0.0</v>
      </c>
      <c r="Q752" s="50">
        <v>0.0</v>
      </c>
      <c r="R752" s="50">
        <v>0.0</v>
      </c>
      <c r="S752" s="50">
        <v>0.0</v>
      </c>
      <c r="T752" s="50">
        <v>2.8125</v>
      </c>
      <c r="U752" s="50">
        <v>0.0</v>
      </c>
      <c r="V752" s="50">
        <v>5.625</v>
      </c>
      <c r="W752" s="50">
        <v>0.0</v>
      </c>
      <c r="X752" s="50">
        <v>2.8125</v>
      </c>
      <c r="Y752" s="50">
        <v>11.25</v>
      </c>
    </row>
    <row r="753">
      <c r="A753" s="26">
        <v>747.0</v>
      </c>
      <c r="B753" s="65">
        <v>-2.0168835164176353</v>
      </c>
      <c r="C753" s="65">
        <v>-0.009732068116144816</v>
      </c>
      <c r="D753" s="65">
        <v>-0.7817620912451796</v>
      </c>
      <c r="E753" s="65">
        <v>1.0794119650189158</v>
      </c>
      <c r="F753" s="65">
        <v>2.447970978277988</v>
      </c>
      <c r="G753" s="50">
        <v>0.0</v>
      </c>
      <c r="H753" s="50">
        <v>0.0</v>
      </c>
      <c r="I753" s="50">
        <v>0.0</v>
      </c>
      <c r="J753" s="50">
        <v>0.0</v>
      </c>
      <c r="K753" s="50">
        <v>0.0</v>
      </c>
      <c r="L753" s="50">
        <v>0.0</v>
      </c>
      <c r="M753" s="50">
        <v>0.0</v>
      </c>
      <c r="N753" s="50">
        <v>0.0</v>
      </c>
      <c r="O753" s="50">
        <v>7.425000000000001</v>
      </c>
      <c r="P753" s="50">
        <v>0.0</v>
      </c>
      <c r="Q753" s="50">
        <v>0.0</v>
      </c>
      <c r="R753" s="50">
        <v>9.9</v>
      </c>
      <c r="S753" s="50">
        <v>0.0</v>
      </c>
      <c r="T753" s="50">
        <v>2.8125</v>
      </c>
      <c r="U753" s="50">
        <v>0.0</v>
      </c>
      <c r="V753" s="50">
        <v>5.625</v>
      </c>
      <c r="W753" s="50">
        <v>4.95</v>
      </c>
      <c r="X753" s="50">
        <v>2.8125</v>
      </c>
      <c r="Y753" s="50">
        <v>33.525000000000006</v>
      </c>
    </row>
    <row r="754">
      <c r="A754" s="26">
        <v>748.0</v>
      </c>
      <c r="B754" s="65">
        <v>0.6795571801351922</v>
      </c>
      <c r="C754" s="65">
        <v>0.1157923455348188</v>
      </c>
      <c r="D754" s="65">
        <v>-0.3177227622697433</v>
      </c>
      <c r="E754" s="65">
        <v>0.5957897721871579</v>
      </c>
      <c r="F754" s="65">
        <v>6.964039284505611</v>
      </c>
      <c r="G754" s="50">
        <v>0.0</v>
      </c>
      <c r="H754" s="50">
        <v>0.0</v>
      </c>
      <c r="I754" s="50">
        <v>0.0</v>
      </c>
      <c r="J754" s="50">
        <v>0.0</v>
      </c>
      <c r="K754" s="50">
        <v>0.0</v>
      </c>
      <c r="L754" s="50">
        <v>0.0</v>
      </c>
      <c r="M754" s="50">
        <v>0.0</v>
      </c>
      <c r="N754" s="50">
        <v>0.0</v>
      </c>
      <c r="O754" s="50">
        <v>0.0</v>
      </c>
      <c r="P754" s="50">
        <v>0.0</v>
      </c>
      <c r="Q754" s="50">
        <v>0.0</v>
      </c>
      <c r="R754" s="50">
        <v>9.9</v>
      </c>
      <c r="S754" s="50">
        <v>0.0</v>
      </c>
      <c r="T754" s="50">
        <v>2.8125</v>
      </c>
      <c r="U754" s="50">
        <v>0.0</v>
      </c>
      <c r="V754" s="50">
        <v>0.0</v>
      </c>
      <c r="W754" s="50">
        <v>0.0</v>
      </c>
      <c r="X754" s="50">
        <v>2.8125</v>
      </c>
      <c r="Y754" s="50">
        <v>15.525</v>
      </c>
    </row>
    <row r="755">
      <c r="A755" s="26">
        <v>749.0</v>
      </c>
      <c r="B755" s="65">
        <v>-1.7445458214732867</v>
      </c>
      <c r="C755" s="65">
        <v>-0.5674432822422429</v>
      </c>
      <c r="D755" s="65">
        <v>1.8938932447488204</v>
      </c>
      <c r="E755" s="65">
        <v>0.19301798266941847</v>
      </c>
      <c r="F755" s="65">
        <v>2.1908235615264258</v>
      </c>
      <c r="G755" s="50">
        <v>0.0</v>
      </c>
      <c r="H755" s="50">
        <v>0.0</v>
      </c>
      <c r="I755" s="50">
        <v>0.0</v>
      </c>
      <c r="J755" s="50">
        <v>0.0</v>
      </c>
      <c r="K755" s="50">
        <v>0.0</v>
      </c>
      <c r="L755" s="50">
        <v>0.0</v>
      </c>
      <c r="M755" s="50">
        <v>0.0</v>
      </c>
      <c r="N755" s="50">
        <v>0.0</v>
      </c>
      <c r="O755" s="50">
        <v>7.425000000000001</v>
      </c>
      <c r="P755" s="50">
        <v>0.0</v>
      </c>
      <c r="Q755" s="50">
        <v>0.0</v>
      </c>
      <c r="R755" s="50">
        <v>9.9</v>
      </c>
      <c r="S755" s="50">
        <v>0.0</v>
      </c>
      <c r="T755" s="50">
        <v>2.8125</v>
      </c>
      <c r="U755" s="50">
        <v>9.9</v>
      </c>
      <c r="V755" s="50">
        <v>0.0</v>
      </c>
      <c r="W755" s="50">
        <v>0.0</v>
      </c>
      <c r="X755" s="50">
        <v>2.8125</v>
      </c>
      <c r="Y755" s="50">
        <v>32.85</v>
      </c>
    </row>
    <row r="756">
      <c r="A756" s="26">
        <v>750.0</v>
      </c>
      <c r="B756" s="65">
        <v>0.9166642248773832</v>
      </c>
      <c r="C756" s="65">
        <v>-0.15105579230243416</v>
      </c>
      <c r="D756" s="65">
        <v>-0.06964678359317929</v>
      </c>
      <c r="E756" s="65">
        <v>-2.351397976838099</v>
      </c>
      <c r="F756" s="65">
        <v>1.771175843212635</v>
      </c>
      <c r="G756" s="50">
        <v>0.0</v>
      </c>
      <c r="H756" s="50">
        <v>0.0</v>
      </c>
      <c r="I756" s="50">
        <v>0.0</v>
      </c>
      <c r="J756" s="50">
        <v>0.0</v>
      </c>
      <c r="K756" s="50">
        <v>0.0</v>
      </c>
      <c r="L756" s="50">
        <v>0.0</v>
      </c>
      <c r="M756" s="50">
        <v>0.0</v>
      </c>
      <c r="N756" s="50">
        <v>0.0</v>
      </c>
      <c r="O756" s="50">
        <v>0.0</v>
      </c>
      <c r="P756" s="50">
        <v>0.0</v>
      </c>
      <c r="Q756" s="50">
        <v>0.0</v>
      </c>
      <c r="R756" s="50">
        <v>0.0</v>
      </c>
      <c r="S756" s="50">
        <v>0.0</v>
      </c>
      <c r="T756" s="50">
        <v>2.8125</v>
      </c>
      <c r="U756" s="50">
        <v>0.0</v>
      </c>
      <c r="V756" s="50">
        <v>5.625</v>
      </c>
      <c r="W756" s="50">
        <v>0.0</v>
      </c>
      <c r="X756" s="50">
        <v>2.8125</v>
      </c>
      <c r="Y756" s="50">
        <v>11.25</v>
      </c>
    </row>
    <row r="757">
      <c r="A757" s="26">
        <v>751.0</v>
      </c>
      <c r="B757" s="65">
        <v>0.3351261417417644</v>
      </c>
      <c r="C757" s="65">
        <v>-1.5854139137097873</v>
      </c>
      <c r="D757" s="65">
        <v>-0.9736137656010871</v>
      </c>
      <c r="E757" s="65">
        <v>-1.0899999846615451</v>
      </c>
      <c r="F757" s="65">
        <v>3.257449262007648</v>
      </c>
      <c r="G757" s="50">
        <v>0.0</v>
      </c>
      <c r="H757" s="50">
        <v>0.0</v>
      </c>
      <c r="I757" s="50">
        <v>0.0</v>
      </c>
      <c r="J757" s="50">
        <v>0.0</v>
      </c>
      <c r="K757" s="50">
        <v>0.0</v>
      </c>
      <c r="L757" s="50">
        <v>0.0</v>
      </c>
      <c r="M757" s="50">
        <v>0.0</v>
      </c>
      <c r="N757" s="50">
        <v>0.0</v>
      </c>
      <c r="O757" s="50">
        <v>7.425000000000001</v>
      </c>
      <c r="P757" s="50">
        <v>0.0</v>
      </c>
      <c r="Q757" s="50">
        <v>0.0</v>
      </c>
      <c r="R757" s="50">
        <v>0.0</v>
      </c>
      <c r="S757" s="50">
        <v>0.0</v>
      </c>
      <c r="T757" s="50">
        <v>2.8125</v>
      </c>
      <c r="U757" s="50">
        <v>0.0</v>
      </c>
      <c r="V757" s="50">
        <v>0.0</v>
      </c>
      <c r="W757" s="50">
        <v>0.0</v>
      </c>
      <c r="X757" s="50">
        <v>2.8125</v>
      </c>
      <c r="Y757" s="50">
        <v>13.05</v>
      </c>
    </row>
    <row r="758">
      <c r="A758" s="26">
        <v>752.0</v>
      </c>
      <c r="B758" s="65">
        <v>0.4479633512717049</v>
      </c>
      <c r="C758" s="65">
        <v>-0.17493548770749662</v>
      </c>
      <c r="D758" s="65">
        <v>1.2876679766079226</v>
      </c>
      <c r="E758" s="65">
        <v>0.5570612353858782</v>
      </c>
      <c r="F758" s="65">
        <v>9.552918851223534</v>
      </c>
      <c r="G758" s="50">
        <v>0.0</v>
      </c>
      <c r="H758" s="50">
        <v>0.0</v>
      </c>
      <c r="I758" s="50">
        <v>0.0</v>
      </c>
      <c r="J758" s="50">
        <v>0.0</v>
      </c>
      <c r="K758" s="50">
        <v>0.0</v>
      </c>
      <c r="L758" s="50">
        <v>0.0</v>
      </c>
      <c r="M758" s="50">
        <v>0.0</v>
      </c>
      <c r="N758" s="50">
        <v>0.0</v>
      </c>
      <c r="O758" s="50">
        <v>0.0</v>
      </c>
      <c r="P758" s="50">
        <v>0.0</v>
      </c>
      <c r="Q758" s="50">
        <v>0.0</v>
      </c>
      <c r="R758" s="50">
        <v>0.0</v>
      </c>
      <c r="S758" s="50">
        <v>0.0</v>
      </c>
      <c r="T758" s="50">
        <v>2.8125</v>
      </c>
      <c r="U758" s="50">
        <v>0.0</v>
      </c>
      <c r="V758" s="50">
        <v>0.0</v>
      </c>
      <c r="W758" s="50">
        <v>0.0</v>
      </c>
      <c r="X758" s="50">
        <v>2.8125</v>
      </c>
      <c r="Y758" s="50">
        <v>5.625</v>
      </c>
    </row>
    <row r="759">
      <c r="A759" s="26">
        <v>753.0</v>
      </c>
      <c r="B759" s="65">
        <v>-0.9195140170016822</v>
      </c>
      <c r="C759" s="65">
        <v>-0.042819822124794606</v>
      </c>
      <c r="D759" s="65">
        <v>0.7442447661464885</v>
      </c>
      <c r="E759" s="65">
        <v>-0.3400090787816673</v>
      </c>
      <c r="F759" s="65">
        <v>7.895353841647659</v>
      </c>
      <c r="G759" s="50">
        <v>0.0</v>
      </c>
      <c r="H759" s="50">
        <v>0.0</v>
      </c>
      <c r="I759" s="50">
        <v>0.0</v>
      </c>
      <c r="J759" s="50">
        <v>0.0</v>
      </c>
      <c r="K759" s="50">
        <v>0.0</v>
      </c>
      <c r="L759" s="50">
        <v>0.0</v>
      </c>
      <c r="M759" s="50">
        <v>0.0</v>
      </c>
      <c r="N759" s="50">
        <v>0.0</v>
      </c>
      <c r="O759" s="50">
        <v>0.0</v>
      </c>
      <c r="P759" s="50">
        <v>0.0</v>
      </c>
      <c r="Q759" s="50">
        <v>0.0</v>
      </c>
      <c r="R759" s="50">
        <v>0.0</v>
      </c>
      <c r="S759" s="50">
        <v>0.0</v>
      </c>
      <c r="T759" s="50">
        <v>2.8125</v>
      </c>
      <c r="U759" s="50">
        <v>0.0</v>
      </c>
      <c r="V759" s="50">
        <v>0.0</v>
      </c>
      <c r="W759" s="50">
        <v>0.0</v>
      </c>
      <c r="X759" s="50">
        <v>2.8125</v>
      </c>
      <c r="Y759" s="50">
        <v>5.625</v>
      </c>
    </row>
    <row r="760">
      <c r="A760" s="26">
        <v>754.0</v>
      </c>
      <c r="B760" s="65">
        <v>0.08049134828862183</v>
      </c>
      <c r="C760" s="65">
        <v>-1.4498403096195929</v>
      </c>
      <c r="D760" s="65">
        <v>-0.49443954496465453</v>
      </c>
      <c r="E760" s="65">
        <v>-0.2135485184450661</v>
      </c>
      <c r="F760" s="65">
        <v>1.482887736793429</v>
      </c>
      <c r="G760" s="50">
        <v>0.0</v>
      </c>
      <c r="H760" s="50">
        <v>0.0</v>
      </c>
      <c r="I760" s="50">
        <v>0.0</v>
      </c>
      <c r="J760" s="50">
        <v>0.0</v>
      </c>
      <c r="K760" s="50">
        <v>0.0</v>
      </c>
      <c r="L760" s="50">
        <v>0.0</v>
      </c>
      <c r="M760" s="50">
        <v>0.0</v>
      </c>
      <c r="N760" s="50">
        <v>0.0</v>
      </c>
      <c r="O760" s="50">
        <v>0.0</v>
      </c>
      <c r="P760" s="50">
        <v>0.0</v>
      </c>
      <c r="Q760" s="50">
        <v>0.0</v>
      </c>
      <c r="R760" s="50">
        <v>0.0</v>
      </c>
      <c r="S760" s="50">
        <v>0.0</v>
      </c>
      <c r="T760" s="50">
        <v>2.8125</v>
      </c>
      <c r="U760" s="50">
        <v>0.0</v>
      </c>
      <c r="V760" s="50">
        <v>0.0</v>
      </c>
      <c r="W760" s="50">
        <v>0.0</v>
      </c>
      <c r="X760" s="50">
        <v>0.0</v>
      </c>
      <c r="Y760" s="50">
        <v>2.8125</v>
      </c>
    </row>
    <row r="761">
      <c r="A761" s="26">
        <v>755.0</v>
      </c>
      <c r="B761" s="65">
        <v>0.7592694213410809</v>
      </c>
      <c r="C761" s="65">
        <v>2.4410273577417305</v>
      </c>
      <c r="D761" s="65">
        <v>-1.3036903693141724</v>
      </c>
      <c r="E761" s="65">
        <v>-0.04209947681365884</v>
      </c>
      <c r="F761" s="65">
        <v>8.461193815335072</v>
      </c>
      <c r="G761" s="50">
        <v>0.0</v>
      </c>
      <c r="H761" s="50">
        <v>0.0</v>
      </c>
      <c r="I761" s="50">
        <v>0.0</v>
      </c>
      <c r="J761" s="50">
        <v>0.0</v>
      </c>
      <c r="K761" s="50">
        <v>0.0</v>
      </c>
      <c r="L761" s="50">
        <v>0.0</v>
      </c>
      <c r="M761" s="50">
        <v>0.0</v>
      </c>
      <c r="N761" s="50">
        <v>0.0</v>
      </c>
      <c r="O761" s="50">
        <v>0.0</v>
      </c>
      <c r="P761" s="50">
        <v>0.0</v>
      </c>
      <c r="Q761" s="50">
        <v>0.0</v>
      </c>
      <c r="R761" s="50">
        <v>0.0</v>
      </c>
      <c r="S761" s="50">
        <v>0.0</v>
      </c>
      <c r="T761" s="50">
        <v>2.8125</v>
      </c>
      <c r="U761" s="50">
        <v>0.0</v>
      </c>
      <c r="V761" s="50">
        <v>5.625</v>
      </c>
      <c r="W761" s="50">
        <v>0.0</v>
      </c>
      <c r="X761" s="50">
        <v>2.8125</v>
      </c>
      <c r="Y761" s="50">
        <v>11.25</v>
      </c>
    </row>
    <row r="762">
      <c r="A762" s="26">
        <v>756.0</v>
      </c>
      <c r="B762" s="65">
        <v>0.23701200858193977</v>
      </c>
      <c r="C762" s="65">
        <v>0.8113890990302501</v>
      </c>
      <c r="D762" s="65">
        <v>-0.16352194906890868</v>
      </c>
      <c r="E762" s="65">
        <v>-0.17201803249039718</v>
      </c>
      <c r="F762" s="65">
        <v>3.2559867869236965</v>
      </c>
      <c r="G762" s="50">
        <v>0.0</v>
      </c>
      <c r="H762" s="50">
        <v>0.0</v>
      </c>
      <c r="I762" s="50">
        <v>0.0</v>
      </c>
      <c r="J762" s="50">
        <v>0.0</v>
      </c>
      <c r="K762" s="50">
        <v>0.0</v>
      </c>
      <c r="L762" s="50">
        <v>0.0</v>
      </c>
      <c r="M762" s="50">
        <v>0.0</v>
      </c>
      <c r="N762" s="50">
        <v>0.0</v>
      </c>
      <c r="O762" s="50">
        <v>0.0</v>
      </c>
      <c r="P762" s="50">
        <v>0.0</v>
      </c>
      <c r="Q762" s="50">
        <v>0.0</v>
      </c>
      <c r="R762" s="50">
        <v>0.0</v>
      </c>
      <c r="S762" s="50">
        <v>0.0</v>
      </c>
      <c r="T762" s="50">
        <v>2.8125</v>
      </c>
      <c r="U762" s="50">
        <v>0.0</v>
      </c>
      <c r="V762" s="50">
        <v>0.0</v>
      </c>
      <c r="W762" s="50">
        <v>0.0</v>
      </c>
      <c r="X762" s="50">
        <v>2.8125</v>
      </c>
      <c r="Y762" s="50">
        <v>5.625</v>
      </c>
    </row>
    <row r="763">
      <c r="A763" s="26">
        <v>757.0</v>
      </c>
      <c r="B763" s="65">
        <v>-0.8684698168284055</v>
      </c>
      <c r="C763" s="65">
        <v>-0.6375826690333207</v>
      </c>
      <c r="D763" s="65">
        <v>0.8031816455524619</v>
      </c>
      <c r="E763" s="65">
        <v>1.1599414727931685</v>
      </c>
      <c r="F763" s="65">
        <v>1.5098014183135655</v>
      </c>
      <c r="G763" s="50">
        <v>0.0</v>
      </c>
      <c r="H763" s="50">
        <v>0.0</v>
      </c>
      <c r="I763" s="50">
        <v>0.0</v>
      </c>
      <c r="J763" s="50">
        <v>0.0</v>
      </c>
      <c r="K763" s="50">
        <v>0.0</v>
      </c>
      <c r="L763" s="50">
        <v>0.0</v>
      </c>
      <c r="M763" s="50">
        <v>0.0</v>
      </c>
      <c r="N763" s="50">
        <v>0.0</v>
      </c>
      <c r="O763" s="50">
        <v>0.0</v>
      </c>
      <c r="P763" s="50">
        <v>0.0</v>
      </c>
      <c r="Q763" s="50">
        <v>0.0</v>
      </c>
      <c r="R763" s="50">
        <v>0.0</v>
      </c>
      <c r="S763" s="50">
        <v>0.0</v>
      </c>
      <c r="T763" s="50">
        <v>2.8125</v>
      </c>
      <c r="U763" s="50">
        <v>0.0</v>
      </c>
      <c r="V763" s="50">
        <v>0.0</v>
      </c>
      <c r="W763" s="50">
        <v>4.95</v>
      </c>
      <c r="X763" s="50">
        <v>2.8125</v>
      </c>
      <c r="Y763" s="50">
        <v>10.575</v>
      </c>
    </row>
    <row r="764">
      <c r="A764" s="26">
        <v>758.0</v>
      </c>
      <c r="B764" s="65">
        <v>0.9410372961941567</v>
      </c>
      <c r="C764" s="65">
        <v>0.10295915845468577</v>
      </c>
      <c r="D764" s="65">
        <v>0.9705232592605588</v>
      </c>
      <c r="E764" s="65">
        <v>-0.29107792404846966</v>
      </c>
      <c r="F764" s="65">
        <v>10.719331808608768</v>
      </c>
      <c r="G764" s="50">
        <v>0.0</v>
      </c>
      <c r="H764" s="50">
        <v>0.0</v>
      </c>
      <c r="I764" s="50">
        <v>0.0</v>
      </c>
      <c r="J764" s="50">
        <v>0.0</v>
      </c>
      <c r="K764" s="50">
        <v>0.0</v>
      </c>
      <c r="L764" s="50">
        <v>0.0</v>
      </c>
      <c r="M764" s="50">
        <v>0.0</v>
      </c>
      <c r="N764" s="50">
        <v>0.0</v>
      </c>
      <c r="O764" s="50">
        <v>0.0</v>
      </c>
      <c r="P764" s="50">
        <v>0.0</v>
      </c>
      <c r="Q764" s="50">
        <v>0.0</v>
      </c>
      <c r="R764" s="50">
        <v>0.0</v>
      </c>
      <c r="S764" s="50">
        <v>0.0</v>
      </c>
      <c r="T764" s="50">
        <v>2.8125</v>
      </c>
      <c r="U764" s="50">
        <v>0.0</v>
      </c>
      <c r="V764" s="50">
        <v>0.0</v>
      </c>
      <c r="W764" s="50">
        <v>0.0</v>
      </c>
      <c r="X764" s="50">
        <v>2.8125</v>
      </c>
      <c r="Y764" s="50">
        <v>5.625</v>
      </c>
    </row>
    <row r="765">
      <c r="A765" s="26">
        <v>759.0</v>
      </c>
      <c r="B765" s="65">
        <v>-1.7488706469424289</v>
      </c>
      <c r="C765" s="65">
        <v>-0.7354029514353301</v>
      </c>
      <c r="D765" s="65">
        <v>1.1668953544668421</v>
      </c>
      <c r="E765" s="65">
        <v>-0.7063729548768398</v>
      </c>
      <c r="F765" s="65">
        <v>2.63433106913588</v>
      </c>
      <c r="G765" s="50">
        <v>0.0</v>
      </c>
      <c r="H765" s="50">
        <v>0.0</v>
      </c>
      <c r="I765" s="50">
        <v>0.0</v>
      </c>
      <c r="J765" s="50">
        <v>0.0</v>
      </c>
      <c r="K765" s="50">
        <v>0.0</v>
      </c>
      <c r="L765" s="50">
        <v>0.0</v>
      </c>
      <c r="M765" s="50">
        <v>0.0</v>
      </c>
      <c r="N765" s="50">
        <v>0.0</v>
      </c>
      <c r="O765" s="50">
        <v>0.0</v>
      </c>
      <c r="P765" s="50">
        <v>0.0</v>
      </c>
      <c r="Q765" s="50">
        <v>0.0</v>
      </c>
      <c r="R765" s="50">
        <v>9.9</v>
      </c>
      <c r="S765" s="50">
        <v>0.0</v>
      </c>
      <c r="T765" s="50">
        <v>2.8125</v>
      </c>
      <c r="U765" s="50">
        <v>9.9</v>
      </c>
      <c r="V765" s="50">
        <v>5.625</v>
      </c>
      <c r="W765" s="50">
        <v>0.0</v>
      </c>
      <c r="X765" s="50">
        <v>2.8125</v>
      </c>
      <c r="Y765" s="50">
        <v>31.05</v>
      </c>
    </row>
    <row r="766">
      <c r="A766" s="26">
        <v>760.0</v>
      </c>
      <c r="B766" s="65">
        <v>-0.6841501436181515</v>
      </c>
      <c r="C766" s="65">
        <v>0.37337270460058297</v>
      </c>
      <c r="D766" s="65">
        <v>1.67191622571477</v>
      </c>
      <c r="E766" s="65">
        <v>-0.9903806232322484</v>
      </c>
      <c r="F766" s="65">
        <v>4.168695651692545</v>
      </c>
      <c r="G766" s="50">
        <v>0.0</v>
      </c>
      <c r="H766" s="50">
        <v>0.0</v>
      </c>
      <c r="I766" s="50">
        <v>0.0</v>
      </c>
      <c r="J766" s="50">
        <v>0.0</v>
      </c>
      <c r="K766" s="50">
        <v>0.0</v>
      </c>
      <c r="L766" s="50">
        <v>0.0</v>
      </c>
      <c r="M766" s="50">
        <v>0.0</v>
      </c>
      <c r="N766" s="50">
        <v>0.0</v>
      </c>
      <c r="O766" s="50">
        <v>7.425000000000001</v>
      </c>
      <c r="P766" s="50">
        <v>0.0</v>
      </c>
      <c r="Q766" s="50">
        <v>0.0</v>
      </c>
      <c r="R766" s="50">
        <v>0.0</v>
      </c>
      <c r="S766" s="50">
        <v>0.0</v>
      </c>
      <c r="T766" s="50">
        <v>2.8125</v>
      </c>
      <c r="U766" s="50">
        <v>0.0</v>
      </c>
      <c r="V766" s="50">
        <v>0.0</v>
      </c>
      <c r="W766" s="50">
        <v>0.0</v>
      </c>
      <c r="X766" s="50">
        <v>2.8125</v>
      </c>
      <c r="Y766" s="50">
        <v>13.05</v>
      </c>
    </row>
    <row r="767">
      <c r="A767" s="26">
        <v>761.0</v>
      </c>
      <c r="B767" s="65">
        <v>2.3689870292408632</v>
      </c>
      <c r="C767" s="65">
        <v>0.30716993404305704</v>
      </c>
      <c r="D767" s="65">
        <v>-1.1636554529933787</v>
      </c>
      <c r="E767" s="65">
        <v>0.30831268312021576</v>
      </c>
      <c r="F767" s="65">
        <v>2.216409062153324</v>
      </c>
      <c r="G767" s="50">
        <v>0.0</v>
      </c>
      <c r="H767" s="50">
        <v>0.0</v>
      </c>
      <c r="I767" s="50">
        <v>0.0</v>
      </c>
      <c r="J767" s="50">
        <v>0.0</v>
      </c>
      <c r="K767" s="50">
        <v>0.0</v>
      </c>
      <c r="L767" s="50">
        <v>0.0</v>
      </c>
      <c r="M767" s="50">
        <v>0.0</v>
      </c>
      <c r="N767" s="50">
        <v>0.0</v>
      </c>
      <c r="O767" s="50">
        <v>0.0</v>
      </c>
      <c r="P767" s="50">
        <v>0.0</v>
      </c>
      <c r="Q767" s="50">
        <v>0.0</v>
      </c>
      <c r="R767" s="50">
        <v>0.0</v>
      </c>
      <c r="S767" s="50">
        <v>0.0</v>
      </c>
      <c r="T767" s="50">
        <v>2.8125</v>
      </c>
      <c r="U767" s="50">
        <v>0.0</v>
      </c>
      <c r="V767" s="50">
        <v>0.0</v>
      </c>
      <c r="W767" s="50">
        <v>0.0</v>
      </c>
      <c r="X767" s="50">
        <v>2.8125</v>
      </c>
      <c r="Y767" s="50">
        <v>5.625</v>
      </c>
    </row>
    <row r="768">
      <c r="A768" s="26">
        <v>762.0</v>
      </c>
      <c r="B768" s="65">
        <v>-0.8862045640076983</v>
      </c>
      <c r="C768" s="65">
        <v>-1.0798809763771982</v>
      </c>
      <c r="D768" s="65">
        <v>-1.1988874283138067</v>
      </c>
      <c r="E768" s="65">
        <v>1.0637531526611137</v>
      </c>
      <c r="F768" s="65">
        <v>3.532857358397669</v>
      </c>
      <c r="G768" s="50">
        <v>0.0</v>
      </c>
      <c r="H768" s="50">
        <v>0.0</v>
      </c>
      <c r="I768" s="50">
        <v>0.0</v>
      </c>
      <c r="J768" s="50">
        <v>0.0</v>
      </c>
      <c r="K768" s="50">
        <v>0.0</v>
      </c>
      <c r="L768" s="50">
        <v>0.0</v>
      </c>
      <c r="M768" s="50">
        <v>0.0</v>
      </c>
      <c r="N768" s="50">
        <v>0.0</v>
      </c>
      <c r="O768" s="50">
        <v>0.0</v>
      </c>
      <c r="P768" s="50">
        <v>0.0</v>
      </c>
      <c r="Q768" s="50">
        <v>0.0</v>
      </c>
      <c r="R768" s="50">
        <v>9.9</v>
      </c>
      <c r="S768" s="50">
        <v>0.0</v>
      </c>
      <c r="T768" s="50">
        <v>2.8125</v>
      </c>
      <c r="U768" s="50">
        <v>0.0</v>
      </c>
      <c r="V768" s="50">
        <v>5.625</v>
      </c>
      <c r="W768" s="50">
        <v>0.0</v>
      </c>
      <c r="X768" s="50">
        <v>2.8125</v>
      </c>
      <c r="Y768" s="50">
        <v>21.15</v>
      </c>
    </row>
    <row r="769">
      <c r="A769" s="26">
        <v>763.0</v>
      </c>
      <c r="B769" s="65">
        <v>-0.5340645709981239</v>
      </c>
      <c r="C769" s="65">
        <v>0.6539135665083005</v>
      </c>
      <c r="D769" s="65">
        <v>-1.1858232301725218</v>
      </c>
      <c r="E769" s="65">
        <v>-0.2588064886003558</v>
      </c>
      <c r="F769" s="65">
        <v>11.280967155945005</v>
      </c>
      <c r="G769" s="50">
        <v>0.0</v>
      </c>
      <c r="H769" s="50">
        <v>0.0</v>
      </c>
      <c r="I769" s="50">
        <v>0.0</v>
      </c>
      <c r="J769" s="50">
        <v>0.0</v>
      </c>
      <c r="K769" s="50">
        <v>0.0</v>
      </c>
      <c r="L769" s="50">
        <v>0.0</v>
      </c>
      <c r="M769" s="50">
        <v>0.0</v>
      </c>
      <c r="N769" s="50">
        <v>0.0</v>
      </c>
      <c r="O769" s="50">
        <v>0.0</v>
      </c>
      <c r="P769" s="50">
        <v>0.0</v>
      </c>
      <c r="Q769" s="50">
        <v>0.0</v>
      </c>
      <c r="R769" s="50">
        <v>0.0</v>
      </c>
      <c r="S769" s="50">
        <v>0.0</v>
      </c>
      <c r="T769" s="50">
        <v>2.8125</v>
      </c>
      <c r="U769" s="50">
        <v>0.0</v>
      </c>
      <c r="V769" s="50">
        <v>0.0</v>
      </c>
      <c r="W769" s="50">
        <v>0.0</v>
      </c>
      <c r="X769" s="50">
        <v>2.8125</v>
      </c>
      <c r="Y769" s="50">
        <v>5.625</v>
      </c>
    </row>
    <row r="770">
      <c r="A770" s="26">
        <v>764.0</v>
      </c>
      <c r="B770" s="65">
        <v>0.4172970828647312</v>
      </c>
      <c r="C770" s="65">
        <v>-0.7125797960827257</v>
      </c>
      <c r="D770" s="65">
        <v>-0.5394227532642457</v>
      </c>
      <c r="E770" s="65">
        <v>-1.3081035783629675</v>
      </c>
      <c r="F770" s="65">
        <v>8.712454123979432</v>
      </c>
      <c r="G770" s="50">
        <v>0.0</v>
      </c>
      <c r="H770" s="50">
        <v>0.0</v>
      </c>
      <c r="I770" s="50">
        <v>0.0</v>
      </c>
      <c r="J770" s="50">
        <v>0.0</v>
      </c>
      <c r="K770" s="50">
        <v>0.0</v>
      </c>
      <c r="L770" s="50">
        <v>0.0</v>
      </c>
      <c r="M770" s="50">
        <v>0.0</v>
      </c>
      <c r="N770" s="50">
        <v>0.0</v>
      </c>
      <c r="O770" s="50">
        <v>0.0</v>
      </c>
      <c r="P770" s="50">
        <v>0.0</v>
      </c>
      <c r="Q770" s="50">
        <v>0.0</v>
      </c>
      <c r="R770" s="50">
        <v>0.0</v>
      </c>
      <c r="S770" s="50">
        <v>0.0</v>
      </c>
      <c r="T770" s="50">
        <v>2.8125</v>
      </c>
      <c r="U770" s="50">
        <v>0.0</v>
      </c>
      <c r="V770" s="50">
        <v>0.0</v>
      </c>
      <c r="W770" s="50">
        <v>0.0</v>
      </c>
      <c r="X770" s="50">
        <v>2.8125</v>
      </c>
      <c r="Y770" s="50">
        <v>5.625</v>
      </c>
    </row>
    <row r="771">
      <c r="A771" s="26">
        <v>765.0</v>
      </c>
      <c r="B771" s="65">
        <v>0.6636527744111759</v>
      </c>
      <c r="C771" s="65">
        <v>1.211751890852303</v>
      </c>
      <c r="D771" s="65">
        <v>1.8081627505848743</v>
      </c>
      <c r="E771" s="65">
        <v>-0.8460474825057012</v>
      </c>
      <c r="F771" s="65">
        <v>2.6932027636994595</v>
      </c>
      <c r="G771" s="50">
        <v>0.0</v>
      </c>
      <c r="H771" s="50">
        <v>0.0</v>
      </c>
      <c r="I771" s="50">
        <v>0.0</v>
      </c>
      <c r="J771" s="50">
        <v>0.0</v>
      </c>
      <c r="K771" s="50">
        <v>0.0</v>
      </c>
      <c r="L771" s="50">
        <v>0.0</v>
      </c>
      <c r="M771" s="50">
        <v>0.0</v>
      </c>
      <c r="N771" s="50">
        <v>0.0</v>
      </c>
      <c r="O771" s="50">
        <v>0.0</v>
      </c>
      <c r="P771" s="50">
        <v>0.0</v>
      </c>
      <c r="Q771" s="50">
        <v>0.0</v>
      </c>
      <c r="R771" s="50">
        <v>0.0</v>
      </c>
      <c r="S771" s="50">
        <v>0.0</v>
      </c>
      <c r="T771" s="50">
        <v>2.8125</v>
      </c>
      <c r="U771" s="50">
        <v>0.0</v>
      </c>
      <c r="V771" s="50">
        <v>5.625</v>
      </c>
      <c r="W771" s="50">
        <v>0.0</v>
      </c>
      <c r="X771" s="50">
        <v>2.8125</v>
      </c>
      <c r="Y771" s="50">
        <v>11.25</v>
      </c>
    </row>
    <row r="772">
      <c r="A772" s="26">
        <v>766.0</v>
      </c>
      <c r="B772" s="65">
        <v>-0.5008750550673193</v>
      </c>
      <c r="C772" s="65">
        <v>1.2435732142859792</v>
      </c>
      <c r="D772" s="65">
        <v>-0.3930806160243353</v>
      </c>
      <c r="E772" s="65">
        <v>1.27671764968231</v>
      </c>
      <c r="F772" s="65">
        <v>8.089773362651293</v>
      </c>
      <c r="G772" s="50">
        <v>0.0</v>
      </c>
      <c r="H772" s="50">
        <v>0.0</v>
      </c>
      <c r="I772" s="50">
        <v>0.0</v>
      </c>
      <c r="J772" s="50">
        <v>0.0</v>
      </c>
      <c r="K772" s="50">
        <v>0.0</v>
      </c>
      <c r="L772" s="50">
        <v>0.0</v>
      </c>
      <c r="M772" s="50">
        <v>0.0</v>
      </c>
      <c r="N772" s="50">
        <v>0.0</v>
      </c>
      <c r="O772" s="50">
        <v>0.0</v>
      </c>
      <c r="P772" s="50">
        <v>0.0</v>
      </c>
      <c r="Q772" s="50">
        <v>0.0</v>
      </c>
      <c r="R772" s="50">
        <v>0.0</v>
      </c>
      <c r="S772" s="50">
        <v>0.0</v>
      </c>
      <c r="T772" s="50">
        <v>2.8125</v>
      </c>
      <c r="U772" s="50">
        <v>0.0</v>
      </c>
      <c r="V772" s="50">
        <v>0.0</v>
      </c>
      <c r="W772" s="50">
        <v>0.0</v>
      </c>
      <c r="X772" s="50">
        <v>2.8125</v>
      </c>
      <c r="Y772" s="50">
        <v>5.625</v>
      </c>
    </row>
    <row r="773">
      <c r="A773" s="26">
        <v>767.0</v>
      </c>
      <c r="B773" s="65">
        <v>1.7776118566595576</v>
      </c>
      <c r="C773" s="65">
        <v>-1.3340552715366043</v>
      </c>
      <c r="D773" s="65">
        <v>-0.5600778337008725</v>
      </c>
      <c r="E773" s="65">
        <v>-0.5953546285224711</v>
      </c>
      <c r="F773" s="65">
        <v>1.6786520118419987</v>
      </c>
      <c r="G773" s="50">
        <v>0.0</v>
      </c>
      <c r="H773" s="50">
        <v>0.0</v>
      </c>
      <c r="I773" s="50">
        <v>0.0</v>
      </c>
      <c r="J773" s="50">
        <v>0.0</v>
      </c>
      <c r="K773" s="50">
        <v>0.0</v>
      </c>
      <c r="L773" s="50">
        <v>0.0</v>
      </c>
      <c r="M773" s="50">
        <v>0.0</v>
      </c>
      <c r="N773" s="50">
        <v>0.0</v>
      </c>
      <c r="O773" s="50">
        <v>0.0</v>
      </c>
      <c r="P773" s="50">
        <v>0.0</v>
      </c>
      <c r="Q773" s="50">
        <v>0.0</v>
      </c>
      <c r="R773" s="50">
        <v>0.0</v>
      </c>
      <c r="S773" s="50">
        <v>0.0</v>
      </c>
      <c r="T773" s="50">
        <v>2.8125</v>
      </c>
      <c r="U773" s="50">
        <v>0.0</v>
      </c>
      <c r="V773" s="50">
        <v>0.0</v>
      </c>
      <c r="W773" s="50">
        <v>0.0</v>
      </c>
      <c r="X773" s="50">
        <v>2.8125</v>
      </c>
      <c r="Y773" s="50">
        <v>5.625</v>
      </c>
    </row>
    <row r="774">
      <c r="A774" s="26">
        <v>768.0</v>
      </c>
      <c r="B774" s="65">
        <v>0.838198657843821</v>
      </c>
      <c r="C774" s="65">
        <v>0.21514349825532933</v>
      </c>
      <c r="D774" s="65">
        <v>-0.43254482181894954</v>
      </c>
      <c r="E774" s="65">
        <v>-0.9820881683198744</v>
      </c>
      <c r="F774" s="65">
        <v>7.435298836105755</v>
      </c>
      <c r="G774" s="50">
        <v>0.0</v>
      </c>
      <c r="H774" s="50">
        <v>0.0</v>
      </c>
      <c r="I774" s="50">
        <v>0.0</v>
      </c>
      <c r="J774" s="50">
        <v>0.0</v>
      </c>
      <c r="K774" s="50">
        <v>0.0</v>
      </c>
      <c r="L774" s="50">
        <v>0.0</v>
      </c>
      <c r="M774" s="50">
        <v>0.0</v>
      </c>
      <c r="N774" s="50">
        <v>0.0</v>
      </c>
      <c r="O774" s="50">
        <v>0.0</v>
      </c>
      <c r="P774" s="50">
        <v>0.0</v>
      </c>
      <c r="Q774" s="50">
        <v>0.0</v>
      </c>
      <c r="R774" s="50">
        <v>0.0</v>
      </c>
      <c r="S774" s="50">
        <v>0.0</v>
      </c>
      <c r="T774" s="50">
        <v>2.8125</v>
      </c>
      <c r="U774" s="50">
        <v>0.0</v>
      </c>
      <c r="V774" s="50">
        <v>0.0</v>
      </c>
      <c r="W774" s="50">
        <v>0.0</v>
      </c>
      <c r="X774" s="50">
        <v>2.8125</v>
      </c>
      <c r="Y774" s="50">
        <v>5.625</v>
      </c>
    </row>
    <row r="775">
      <c r="A775" s="26">
        <v>769.0</v>
      </c>
      <c r="B775" s="65">
        <v>-1.2755210997788256</v>
      </c>
      <c r="C775" s="65">
        <v>2.67859961757218</v>
      </c>
      <c r="D775" s="65">
        <v>-0.07178903693328911</v>
      </c>
      <c r="E775" s="65">
        <v>0.594001694692925</v>
      </c>
      <c r="F775" s="65">
        <v>8.507027217262602</v>
      </c>
      <c r="G775" s="50">
        <v>0.0</v>
      </c>
      <c r="H775" s="50">
        <v>0.0</v>
      </c>
      <c r="I775" s="50">
        <v>0.0</v>
      </c>
      <c r="J775" s="50">
        <v>0.0</v>
      </c>
      <c r="K775" s="50">
        <v>0.0</v>
      </c>
      <c r="L775" s="50">
        <v>0.0</v>
      </c>
      <c r="M775" s="50">
        <v>0.0</v>
      </c>
      <c r="N775" s="50">
        <v>0.0</v>
      </c>
      <c r="O775" s="50">
        <v>0.0</v>
      </c>
      <c r="P775" s="50">
        <v>0.0</v>
      </c>
      <c r="Q775" s="50">
        <v>0.0</v>
      </c>
      <c r="R775" s="50">
        <v>0.0</v>
      </c>
      <c r="S775" s="50">
        <v>0.0</v>
      </c>
      <c r="T775" s="50">
        <v>2.8125</v>
      </c>
      <c r="U775" s="50">
        <v>0.0</v>
      </c>
      <c r="V775" s="50">
        <v>5.625</v>
      </c>
      <c r="W775" s="50">
        <v>0.0</v>
      </c>
      <c r="X775" s="50">
        <v>2.8125</v>
      </c>
      <c r="Y775" s="50">
        <v>11.25</v>
      </c>
    </row>
    <row r="776">
      <c r="A776" s="26">
        <v>770.0</v>
      </c>
      <c r="B776" s="65">
        <v>0.5645847307766545</v>
      </c>
      <c r="C776" s="65">
        <v>-0.5949819085190798</v>
      </c>
      <c r="D776" s="65">
        <v>1.339600444951735</v>
      </c>
      <c r="E776" s="65">
        <v>0.26587234375510727</v>
      </c>
      <c r="F776" s="65">
        <v>1.2556800935376842</v>
      </c>
      <c r="G776" s="50">
        <v>0.0</v>
      </c>
      <c r="H776" s="50">
        <v>0.0</v>
      </c>
      <c r="I776" s="50">
        <v>0.0</v>
      </c>
      <c r="J776" s="50">
        <v>0.0</v>
      </c>
      <c r="K776" s="50">
        <v>0.0</v>
      </c>
      <c r="L776" s="50">
        <v>0.0</v>
      </c>
      <c r="M776" s="50">
        <v>0.0</v>
      </c>
      <c r="N776" s="50">
        <v>0.0</v>
      </c>
      <c r="O776" s="50">
        <v>7.425000000000001</v>
      </c>
      <c r="P776" s="50">
        <v>0.0</v>
      </c>
      <c r="Q776" s="50">
        <v>0.0</v>
      </c>
      <c r="R776" s="50">
        <v>0.0</v>
      </c>
      <c r="S776" s="50">
        <v>0.0</v>
      </c>
      <c r="T776" s="50">
        <v>2.8125</v>
      </c>
      <c r="U776" s="50">
        <v>0.0</v>
      </c>
      <c r="V776" s="50">
        <v>0.0</v>
      </c>
      <c r="W776" s="50">
        <v>0.0</v>
      </c>
      <c r="X776" s="50">
        <v>2.8125</v>
      </c>
      <c r="Y776" s="50">
        <v>13.05</v>
      </c>
    </row>
    <row r="777">
      <c r="A777" s="26">
        <v>771.0</v>
      </c>
      <c r="B777" s="65">
        <v>-1.336581150162383</v>
      </c>
      <c r="C777" s="65">
        <v>-0.5032795257490867</v>
      </c>
      <c r="D777" s="65">
        <v>0.6279139803160124</v>
      </c>
      <c r="E777" s="65">
        <v>-1.6083681043638143</v>
      </c>
      <c r="F777" s="65">
        <v>4.236652950443144</v>
      </c>
      <c r="G777" s="50">
        <v>0.0</v>
      </c>
      <c r="H777" s="50">
        <v>0.0</v>
      </c>
      <c r="I777" s="50">
        <v>0.0</v>
      </c>
      <c r="J777" s="50">
        <v>0.0</v>
      </c>
      <c r="K777" s="50">
        <v>0.0</v>
      </c>
      <c r="L777" s="50">
        <v>0.0</v>
      </c>
      <c r="M777" s="50">
        <v>0.0</v>
      </c>
      <c r="N777" s="50">
        <v>0.0</v>
      </c>
      <c r="O777" s="50">
        <v>0.0</v>
      </c>
      <c r="P777" s="50">
        <v>0.0</v>
      </c>
      <c r="Q777" s="50">
        <v>0.0</v>
      </c>
      <c r="R777" s="50">
        <v>0.0</v>
      </c>
      <c r="S777" s="50">
        <v>0.0</v>
      </c>
      <c r="T777" s="50">
        <v>2.8125</v>
      </c>
      <c r="U777" s="50">
        <v>0.0</v>
      </c>
      <c r="V777" s="50">
        <v>5.625</v>
      </c>
      <c r="W777" s="50">
        <v>4.95</v>
      </c>
      <c r="X777" s="50">
        <v>2.8125</v>
      </c>
      <c r="Y777" s="50">
        <v>16.2</v>
      </c>
    </row>
    <row r="778">
      <c r="A778" s="26">
        <v>772.0</v>
      </c>
      <c r="B778" s="65">
        <v>-1.1370837968135663</v>
      </c>
      <c r="C778" s="65">
        <v>0.16655530907415325</v>
      </c>
      <c r="D778" s="65">
        <v>1.0327213256080852</v>
      </c>
      <c r="E778" s="65">
        <v>1.3423539768176347</v>
      </c>
      <c r="F778" s="65">
        <v>1.8732961725679045</v>
      </c>
      <c r="G778" s="50">
        <v>0.0</v>
      </c>
      <c r="H778" s="50">
        <v>0.0</v>
      </c>
      <c r="I778" s="50">
        <v>0.0</v>
      </c>
      <c r="J778" s="50">
        <v>0.0</v>
      </c>
      <c r="K778" s="50">
        <v>0.0</v>
      </c>
      <c r="L778" s="50">
        <v>0.0</v>
      </c>
      <c r="M778" s="50">
        <v>0.0</v>
      </c>
      <c r="N778" s="50">
        <v>0.0</v>
      </c>
      <c r="O778" s="50">
        <v>7.425000000000001</v>
      </c>
      <c r="P778" s="50">
        <v>0.0</v>
      </c>
      <c r="Q778" s="50">
        <v>0.0</v>
      </c>
      <c r="R778" s="50">
        <v>0.0</v>
      </c>
      <c r="S778" s="50">
        <v>0.0</v>
      </c>
      <c r="T778" s="50">
        <v>2.8125</v>
      </c>
      <c r="U778" s="50">
        <v>0.0</v>
      </c>
      <c r="V778" s="50">
        <v>5.625</v>
      </c>
      <c r="W778" s="50">
        <v>0.0</v>
      </c>
      <c r="X778" s="50">
        <v>2.8125</v>
      </c>
      <c r="Y778" s="50">
        <v>18.675</v>
      </c>
    </row>
    <row r="779">
      <c r="A779" s="26">
        <v>773.0</v>
      </c>
      <c r="B779" s="65">
        <v>0.536949674306547</v>
      </c>
      <c r="C779" s="65">
        <v>1.655464577681238</v>
      </c>
      <c r="D779" s="65">
        <v>0.20425946604204673</v>
      </c>
      <c r="E779" s="65">
        <v>0.4539403961172388</v>
      </c>
      <c r="F779" s="65">
        <v>0.48424818550673104</v>
      </c>
      <c r="G779" s="50">
        <v>0.0</v>
      </c>
      <c r="H779" s="50">
        <v>0.0</v>
      </c>
      <c r="I779" s="50">
        <v>0.0</v>
      </c>
      <c r="J779" s="50">
        <v>0.0</v>
      </c>
      <c r="K779" s="50">
        <v>0.0</v>
      </c>
      <c r="L779" s="50">
        <v>0.0</v>
      </c>
      <c r="M779" s="50">
        <v>0.0</v>
      </c>
      <c r="N779" s="50">
        <v>0.0</v>
      </c>
      <c r="O779" s="50">
        <v>0.0</v>
      </c>
      <c r="P779" s="50">
        <v>0.0</v>
      </c>
      <c r="Q779" s="50">
        <v>0.0</v>
      </c>
      <c r="R779" s="50">
        <v>0.0</v>
      </c>
      <c r="S779" s="50">
        <v>11.25</v>
      </c>
      <c r="T779" s="50">
        <v>0.0</v>
      </c>
      <c r="U779" s="50">
        <v>0.0</v>
      </c>
      <c r="V779" s="50">
        <v>5.625</v>
      </c>
      <c r="W779" s="50">
        <v>4.95</v>
      </c>
      <c r="X779" s="50">
        <v>2.8125</v>
      </c>
      <c r="Y779" s="50">
        <v>24.6375</v>
      </c>
    </row>
    <row r="780">
      <c r="A780" s="26">
        <v>774.0</v>
      </c>
      <c r="B780" s="65">
        <v>-1.3053092735896326</v>
      </c>
      <c r="C780" s="65">
        <v>0.3009432555836028</v>
      </c>
      <c r="D780" s="65">
        <v>-1.127246821394111</v>
      </c>
      <c r="E780" s="65">
        <v>-0.6562573014808679</v>
      </c>
      <c r="F780" s="65">
        <v>1.6449102336636345</v>
      </c>
      <c r="G780" s="50">
        <v>0.0</v>
      </c>
      <c r="H780" s="50">
        <v>0.0</v>
      </c>
      <c r="I780" s="50">
        <v>0.0</v>
      </c>
      <c r="J780" s="50">
        <v>0.0</v>
      </c>
      <c r="K780" s="50">
        <v>0.0</v>
      </c>
      <c r="L780" s="50">
        <v>0.0</v>
      </c>
      <c r="M780" s="50">
        <v>0.0</v>
      </c>
      <c r="N780" s="50">
        <v>0.0</v>
      </c>
      <c r="O780" s="50">
        <v>0.0</v>
      </c>
      <c r="P780" s="50">
        <v>0.0</v>
      </c>
      <c r="Q780" s="50">
        <v>0.0</v>
      </c>
      <c r="R780" s="50">
        <v>0.0</v>
      </c>
      <c r="S780" s="50">
        <v>0.0</v>
      </c>
      <c r="T780" s="50">
        <v>2.8125</v>
      </c>
      <c r="U780" s="50">
        <v>0.0</v>
      </c>
      <c r="V780" s="50">
        <v>5.625</v>
      </c>
      <c r="W780" s="50">
        <v>4.95</v>
      </c>
      <c r="X780" s="50">
        <v>2.8125</v>
      </c>
      <c r="Y780" s="50">
        <v>16.2</v>
      </c>
    </row>
    <row r="781">
      <c r="A781" s="26">
        <v>775.0</v>
      </c>
      <c r="B781" s="65">
        <v>1.7141797150122449</v>
      </c>
      <c r="C781" s="65">
        <v>0.2585500993222903</v>
      </c>
      <c r="D781" s="65">
        <v>0.21088280606716087</v>
      </c>
      <c r="E781" s="65">
        <v>0.10751127585278047</v>
      </c>
      <c r="F781" s="65">
        <v>4.309874110801668</v>
      </c>
      <c r="G781" s="50">
        <v>0.0</v>
      </c>
      <c r="H781" s="50">
        <v>0.0</v>
      </c>
      <c r="I781" s="50">
        <v>0.0</v>
      </c>
      <c r="J781" s="50">
        <v>0.0</v>
      </c>
      <c r="K781" s="50">
        <v>0.0</v>
      </c>
      <c r="L781" s="50">
        <v>0.0</v>
      </c>
      <c r="M781" s="50">
        <v>0.0</v>
      </c>
      <c r="N781" s="50">
        <v>0.0</v>
      </c>
      <c r="O781" s="50">
        <v>0.0</v>
      </c>
      <c r="P781" s="50">
        <v>0.0</v>
      </c>
      <c r="Q781" s="50">
        <v>0.0</v>
      </c>
      <c r="R781" s="50">
        <v>0.0</v>
      </c>
      <c r="S781" s="50">
        <v>0.0</v>
      </c>
      <c r="T781" s="50">
        <v>2.8125</v>
      </c>
      <c r="U781" s="50">
        <v>0.0</v>
      </c>
      <c r="V781" s="50">
        <v>0.0</v>
      </c>
      <c r="W781" s="50">
        <v>0.0</v>
      </c>
      <c r="X781" s="50">
        <v>2.8125</v>
      </c>
      <c r="Y781" s="50">
        <v>5.625</v>
      </c>
    </row>
    <row r="782">
      <c r="A782" s="26">
        <v>776.0</v>
      </c>
      <c r="B782" s="65">
        <v>0.2532163039981226</v>
      </c>
      <c r="C782" s="65">
        <v>-0.25762089088751455</v>
      </c>
      <c r="D782" s="65">
        <v>0.3560781361223305</v>
      </c>
      <c r="E782" s="65">
        <v>-0.3394883050446011</v>
      </c>
      <c r="F782" s="65">
        <v>4.017482335222034</v>
      </c>
      <c r="G782" s="50">
        <v>0.0</v>
      </c>
      <c r="H782" s="50">
        <v>0.0</v>
      </c>
      <c r="I782" s="50">
        <v>0.0</v>
      </c>
      <c r="J782" s="50">
        <v>0.0</v>
      </c>
      <c r="K782" s="50">
        <v>0.0</v>
      </c>
      <c r="L782" s="50">
        <v>0.0</v>
      </c>
      <c r="M782" s="50">
        <v>0.0</v>
      </c>
      <c r="N782" s="50">
        <v>0.0</v>
      </c>
      <c r="O782" s="50">
        <v>7.425000000000001</v>
      </c>
      <c r="P782" s="50">
        <v>0.0</v>
      </c>
      <c r="Q782" s="50">
        <v>0.0</v>
      </c>
      <c r="R782" s="50">
        <v>0.0</v>
      </c>
      <c r="S782" s="50">
        <v>0.0</v>
      </c>
      <c r="T782" s="50">
        <v>2.8125</v>
      </c>
      <c r="U782" s="50">
        <v>0.0</v>
      </c>
      <c r="V782" s="50">
        <v>0.0</v>
      </c>
      <c r="W782" s="50">
        <v>0.0</v>
      </c>
      <c r="X782" s="50">
        <v>2.8125</v>
      </c>
      <c r="Y782" s="50">
        <v>13.05</v>
      </c>
    </row>
    <row r="783">
      <c r="A783" s="26">
        <v>777.0</v>
      </c>
      <c r="B783" s="65">
        <v>0.027558259272760045</v>
      </c>
      <c r="C783" s="65">
        <v>1.0068304816958134</v>
      </c>
      <c r="D783" s="65">
        <v>-0.5651110962780684</v>
      </c>
      <c r="E783" s="65">
        <v>0.05419064043982813</v>
      </c>
      <c r="F783" s="65">
        <v>1.172084038145755</v>
      </c>
      <c r="G783" s="50">
        <v>0.0</v>
      </c>
      <c r="H783" s="50">
        <v>0.0</v>
      </c>
      <c r="I783" s="50">
        <v>0.0</v>
      </c>
      <c r="J783" s="50">
        <v>0.0</v>
      </c>
      <c r="K783" s="50">
        <v>0.0</v>
      </c>
      <c r="L783" s="50">
        <v>0.0</v>
      </c>
      <c r="M783" s="50">
        <v>0.0</v>
      </c>
      <c r="N783" s="50">
        <v>0.0</v>
      </c>
      <c r="O783" s="50">
        <v>0.0</v>
      </c>
      <c r="P783" s="50">
        <v>0.0</v>
      </c>
      <c r="Q783" s="50">
        <v>0.0</v>
      </c>
      <c r="R783" s="50">
        <v>0.0</v>
      </c>
      <c r="S783" s="50">
        <v>0.0</v>
      </c>
      <c r="T783" s="50">
        <v>2.8125</v>
      </c>
      <c r="U783" s="50">
        <v>9.9</v>
      </c>
      <c r="V783" s="50">
        <v>5.625</v>
      </c>
      <c r="W783" s="50">
        <v>0.0</v>
      </c>
      <c r="X783" s="50">
        <v>2.8125</v>
      </c>
      <c r="Y783" s="50">
        <v>21.15</v>
      </c>
    </row>
    <row r="784">
      <c r="A784" s="26">
        <v>778.0</v>
      </c>
      <c r="B784" s="65">
        <v>1.7827029300001977</v>
      </c>
      <c r="C784" s="65">
        <v>0.653683711214131</v>
      </c>
      <c r="D784" s="65">
        <v>1.6411066639994365</v>
      </c>
      <c r="E784" s="65">
        <v>1.8935681734935226</v>
      </c>
      <c r="F784" s="65">
        <v>6.498727807160776</v>
      </c>
      <c r="G784" s="50">
        <v>0.0</v>
      </c>
      <c r="H784" s="50">
        <v>0.0</v>
      </c>
      <c r="I784" s="50">
        <v>0.0</v>
      </c>
      <c r="J784" s="50">
        <v>0.0</v>
      </c>
      <c r="K784" s="50">
        <v>0.0</v>
      </c>
      <c r="L784" s="50">
        <v>0.0</v>
      </c>
      <c r="M784" s="50">
        <v>0.0</v>
      </c>
      <c r="N784" s="50">
        <v>0.0</v>
      </c>
      <c r="O784" s="50">
        <v>0.0</v>
      </c>
      <c r="P784" s="50">
        <v>0.0</v>
      </c>
      <c r="Q784" s="50">
        <v>0.0</v>
      </c>
      <c r="R784" s="50">
        <v>0.0</v>
      </c>
      <c r="S784" s="50">
        <v>0.0</v>
      </c>
      <c r="T784" s="50">
        <v>2.8125</v>
      </c>
      <c r="U784" s="50">
        <v>0.0</v>
      </c>
      <c r="V784" s="50">
        <v>0.0</v>
      </c>
      <c r="W784" s="50">
        <v>0.0</v>
      </c>
      <c r="X784" s="50">
        <v>2.8125</v>
      </c>
      <c r="Y784" s="50">
        <v>5.625</v>
      </c>
    </row>
    <row r="785">
      <c r="A785" s="26">
        <v>779.0</v>
      </c>
      <c r="B785" s="65">
        <v>-0.8341802988887376</v>
      </c>
      <c r="C785" s="65">
        <v>1.4141556612270132</v>
      </c>
      <c r="D785" s="65">
        <v>0.7464949568965793</v>
      </c>
      <c r="E785" s="65">
        <v>-1.0941437966600336</v>
      </c>
      <c r="F785" s="65">
        <v>13.654558842477343</v>
      </c>
      <c r="G785" s="50">
        <v>0.0</v>
      </c>
      <c r="H785" s="50">
        <v>0.0</v>
      </c>
      <c r="I785" s="50">
        <v>0.0</v>
      </c>
      <c r="J785" s="50">
        <v>0.0</v>
      </c>
      <c r="K785" s="50">
        <v>0.0</v>
      </c>
      <c r="L785" s="50">
        <v>0.0</v>
      </c>
      <c r="M785" s="50">
        <v>0.0</v>
      </c>
      <c r="N785" s="50">
        <v>0.0</v>
      </c>
      <c r="O785" s="50">
        <v>0.0</v>
      </c>
      <c r="P785" s="50">
        <v>0.0</v>
      </c>
      <c r="Q785" s="50">
        <v>0.0</v>
      </c>
      <c r="R785" s="50">
        <v>9.9</v>
      </c>
      <c r="S785" s="50">
        <v>0.0</v>
      </c>
      <c r="T785" s="50">
        <v>2.8125</v>
      </c>
      <c r="U785" s="50">
        <v>0.0</v>
      </c>
      <c r="V785" s="50">
        <v>0.0</v>
      </c>
      <c r="W785" s="50">
        <v>0.0</v>
      </c>
      <c r="X785" s="50">
        <v>2.8125</v>
      </c>
      <c r="Y785" s="50">
        <v>15.525</v>
      </c>
    </row>
    <row r="786">
      <c r="A786" s="26">
        <v>780.0</v>
      </c>
      <c r="B786" s="65">
        <v>0.4334290388068098</v>
      </c>
      <c r="C786" s="65">
        <v>-0.8793318626446711</v>
      </c>
      <c r="D786" s="65">
        <v>0.009503761036367535</v>
      </c>
      <c r="E786" s="65">
        <v>0.38013831077825694</v>
      </c>
      <c r="F786" s="65">
        <v>8.928337195840458</v>
      </c>
      <c r="G786" s="50">
        <v>0.0</v>
      </c>
      <c r="H786" s="50">
        <v>0.0</v>
      </c>
      <c r="I786" s="50">
        <v>0.0</v>
      </c>
      <c r="J786" s="50">
        <v>0.0</v>
      </c>
      <c r="K786" s="50">
        <v>0.0</v>
      </c>
      <c r="L786" s="50">
        <v>0.0</v>
      </c>
      <c r="M786" s="50">
        <v>0.0</v>
      </c>
      <c r="N786" s="50">
        <v>0.0</v>
      </c>
      <c r="O786" s="50">
        <v>0.0</v>
      </c>
      <c r="P786" s="50">
        <v>0.0</v>
      </c>
      <c r="Q786" s="50">
        <v>0.0</v>
      </c>
      <c r="R786" s="50">
        <v>0.0</v>
      </c>
      <c r="S786" s="50">
        <v>0.0</v>
      </c>
      <c r="T786" s="50">
        <v>2.8125</v>
      </c>
      <c r="U786" s="50">
        <v>0.0</v>
      </c>
      <c r="V786" s="50">
        <v>0.0</v>
      </c>
      <c r="W786" s="50">
        <v>0.0</v>
      </c>
      <c r="X786" s="50">
        <v>2.8125</v>
      </c>
      <c r="Y786" s="50">
        <v>5.625</v>
      </c>
    </row>
    <row r="787">
      <c r="A787" s="26">
        <v>781.0</v>
      </c>
      <c r="B787" s="65">
        <v>-0.6669695019996524</v>
      </c>
      <c r="C787" s="65">
        <v>0.5320770571448586</v>
      </c>
      <c r="D787" s="65">
        <v>0.12574364970096116</v>
      </c>
      <c r="E787" s="65">
        <v>0.3695556210951746</v>
      </c>
      <c r="F787" s="65">
        <v>4.288262003750225</v>
      </c>
      <c r="G787" s="50">
        <v>0.0</v>
      </c>
      <c r="H787" s="50">
        <v>0.0</v>
      </c>
      <c r="I787" s="50">
        <v>0.0</v>
      </c>
      <c r="J787" s="50">
        <v>0.0</v>
      </c>
      <c r="K787" s="50">
        <v>0.0</v>
      </c>
      <c r="L787" s="50">
        <v>0.0</v>
      </c>
      <c r="M787" s="50">
        <v>0.0</v>
      </c>
      <c r="N787" s="50">
        <v>0.0</v>
      </c>
      <c r="O787" s="50">
        <v>7.425000000000001</v>
      </c>
      <c r="P787" s="50">
        <v>0.0</v>
      </c>
      <c r="Q787" s="50">
        <v>0.0</v>
      </c>
      <c r="R787" s="50">
        <v>0.0</v>
      </c>
      <c r="S787" s="50">
        <v>0.0</v>
      </c>
      <c r="T787" s="50">
        <v>2.8125</v>
      </c>
      <c r="U787" s="50">
        <v>0.0</v>
      </c>
      <c r="V787" s="50">
        <v>0.0</v>
      </c>
      <c r="W787" s="50">
        <v>0.0</v>
      </c>
      <c r="X787" s="50">
        <v>2.8125</v>
      </c>
      <c r="Y787" s="50">
        <v>13.05</v>
      </c>
    </row>
    <row r="788">
      <c r="A788" s="26">
        <v>782.0</v>
      </c>
      <c r="B788" s="65">
        <v>-0.4099311552212274</v>
      </c>
      <c r="C788" s="65">
        <v>0.024367900017756752</v>
      </c>
      <c r="D788" s="65">
        <v>2.135951737485138</v>
      </c>
      <c r="E788" s="65">
        <v>-1.6393354445428368</v>
      </c>
      <c r="F788" s="65">
        <v>6.3471223498655895</v>
      </c>
      <c r="G788" s="50">
        <v>0.0</v>
      </c>
      <c r="H788" s="50">
        <v>0.0</v>
      </c>
      <c r="I788" s="50">
        <v>0.0</v>
      </c>
      <c r="J788" s="50">
        <v>0.0</v>
      </c>
      <c r="K788" s="50">
        <v>0.0</v>
      </c>
      <c r="L788" s="50">
        <v>0.0</v>
      </c>
      <c r="M788" s="50">
        <v>0.0</v>
      </c>
      <c r="N788" s="50">
        <v>0.0</v>
      </c>
      <c r="O788" s="50">
        <v>0.0</v>
      </c>
      <c r="P788" s="50">
        <v>0.0</v>
      </c>
      <c r="Q788" s="50">
        <v>0.0</v>
      </c>
      <c r="R788" s="50">
        <v>0.0</v>
      </c>
      <c r="S788" s="50">
        <v>0.0</v>
      </c>
      <c r="T788" s="50">
        <v>2.8125</v>
      </c>
      <c r="U788" s="50">
        <v>0.0</v>
      </c>
      <c r="V788" s="50">
        <v>0.0</v>
      </c>
      <c r="W788" s="50">
        <v>0.0</v>
      </c>
      <c r="X788" s="50">
        <v>2.8125</v>
      </c>
      <c r="Y788" s="50">
        <v>5.625</v>
      </c>
    </row>
    <row r="789">
      <c r="A789" s="26">
        <v>783.0</v>
      </c>
      <c r="B789" s="65">
        <v>0.30779022623894237</v>
      </c>
      <c r="C789" s="65">
        <v>1.4181015452681578</v>
      </c>
      <c r="D789" s="65">
        <v>1.5562016968473602</v>
      </c>
      <c r="E789" s="65">
        <v>0.4505663595266562</v>
      </c>
      <c r="F789" s="65">
        <v>12.487962382679719</v>
      </c>
      <c r="G789" s="50">
        <v>0.0</v>
      </c>
      <c r="H789" s="50">
        <v>0.0</v>
      </c>
      <c r="I789" s="50">
        <v>0.0</v>
      </c>
      <c r="J789" s="50">
        <v>0.0</v>
      </c>
      <c r="K789" s="50">
        <v>0.0</v>
      </c>
      <c r="L789" s="50">
        <v>0.0</v>
      </c>
      <c r="M789" s="50">
        <v>0.0</v>
      </c>
      <c r="N789" s="50">
        <v>0.0</v>
      </c>
      <c r="O789" s="50">
        <v>0.0</v>
      </c>
      <c r="P789" s="50">
        <v>0.0</v>
      </c>
      <c r="Q789" s="50">
        <v>0.0</v>
      </c>
      <c r="R789" s="50">
        <v>0.0</v>
      </c>
      <c r="S789" s="50">
        <v>0.0</v>
      </c>
      <c r="T789" s="50">
        <v>2.8125</v>
      </c>
      <c r="U789" s="50">
        <v>0.0</v>
      </c>
      <c r="V789" s="50">
        <v>0.0</v>
      </c>
      <c r="W789" s="50">
        <v>0.0</v>
      </c>
      <c r="X789" s="50">
        <v>2.8125</v>
      </c>
      <c r="Y789" s="50">
        <v>5.625</v>
      </c>
    </row>
    <row r="790">
      <c r="A790" s="26">
        <v>784.0</v>
      </c>
      <c r="B790" s="65">
        <v>-0.006651012138368912</v>
      </c>
      <c r="C790" s="65">
        <v>1.5457152006525863</v>
      </c>
      <c r="D790" s="65">
        <v>1.3973767803465078</v>
      </c>
      <c r="E790" s="65">
        <v>1.1319905593337896</v>
      </c>
      <c r="F790" s="65">
        <v>4.641848413902331</v>
      </c>
      <c r="G790" s="50">
        <v>0.0</v>
      </c>
      <c r="H790" s="50">
        <v>0.0</v>
      </c>
      <c r="I790" s="50">
        <v>0.0</v>
      </c>
      <c r="J790" s="50">
        <v>0.0</v>
      </c>
      <c r="K790" s="50">
        <v>0.0</v>
      </c>
      <c r="L790" s="50">
        <v>0.0</v>
      </c>
      <c r="M790" s="50">
        <v>0.0</v>
      </c>
      <c r="N790" s="50">
        <v>0.0</v>
      </c>
      <c r="O790" s="50">
        <v>0.0</v>
      </c>
      <c r="P790" s="50">
        <v>0.0</v>
      </c>
      <c r="Q790" s="50">
        <v>0.0</v>
      </c>
      <c r="R790" s="50">
        <v>0.0</v>
      </c>
      <c r="S790" s="50">
        <v>0.0</v>
      </c>
      <c r="T790" s="50">
        <v>2.8125</v>
      </c>
      <c r="U790" s="50">
        <v>0.0</v>
      </c>
      <c r="V790" s="50">
        <v>0.0</v>
      </c>
      <c r="W790" s="50">
        <v>0.0</v>
      </c>
      <c r="X790" s="50">
        <v>2.8125</v>
      </c>
      <c r="Y790" s="50">
        <v>5.625</v>
      </c>
    </row>
    <row r="791">
      <c r="A791" s="26">
        <v>785.0</v>
      </c>
      <c r="B791" s="65">
        <v>0.1889805036193215</v>
      </c>
      <c r="C791" s="65">
        <v>-1.34674201729488</v>
      </c>
      <c r="D791" s="65">
        <v>-0.09328716842847279</v>
      </c>
      <c r="E791" s="65">
        <v>-0.6124396686661572</v>
      </c>
      <c r="F791" s="65">
        <v>7.675076168332925</v>
      </c>
      <c r="G791" s="50">
        <v>0.0</v>
      </c>
      <c r="H791" s="50">
        <v>0.0</v>
      </c>
      <c r="I791" s="50">
        <v>0.0</v>
      </c>
      <c r="J791" s="50">
        <v>0.0</v>
      </c>
      <c r="K791" s="50">
        <v>0.0</v>
      </c>
      <c r="L791" s="50">
        <v>0.0</v>
      </c>
      <c r="M791" s="50">
        <v>0.0</v>
      </c>
      <c r="N791" s="50">
        <v>0.0</v>
      </c>
      <c r="O791" s="50">
        <v>0.0</v>
      </c>
      <c r="P791" s="50">
        <v>0.0</v>
      </c>
      <c r="Q791" s="50">
        <v>0.0</v>
      </c>
      <c r="R791" s="50">
        <v>0.0</v>
      </c>
      <c r="S791" s="50">
        <v>0.0</v>
      </c>
      <c r="T791" s="50">
        <v>2.8125</v>
      </c>
      <c r="U791" s="50">
        <v>0.0</v>
      </c>
      <c r="V791" s="50">
        <v>5.625</v>
      </c>
      <c r="W791" s="50">
        <v>0.0</v>
      </c>
      <c r="X791" s="50">
        <v>2.8125</v>
      </c>
      <c r="Y791" s="50">
        <v>11.25</v>
      </c>
    </row>
    <row r="792">
      <c r="A792" s="26">
        <v>786.0</v>
      </c>
      <c r="B792" s="65">
        <v>-0.058629070226384396</v>
      </c>
      <c r="C792" s="65">
        <v>-1.0253800619821223</v>
      </c>
      <c r="D792" s="65">
        <v>0.9436337876210057</v>
      </c>
      <c r="E792" s="65">
        <v>-0.6511674789257828</v>
      </c>
      <c r="F792" s="65">
        <v>9.718209493115578</v>
      </c>
      <c r="G792" s="50">
        <v>0.0</v>
      </c>
      <c r="H792" s="50">
        <v>0.0</v>
      </c>
      <c r="I792" s="50">
        <v>0.0</v>
      </c>
      <c r="J792" s="50">
        <v>0.0</v>
      </c>
      <c r="K792" s="50">
        <v>0.0</v>
      </c>
      <c r="L792" s="50">
        <v>0.0</v>
      </c>
      <c r="M792" s="50">
        <v>0.0</v>
      </c>
      <c r="N792" s="50">
        <v>0.0</v>
      </c>
      <c r="O792" s="50">
        <v>0.0</v>
      </c>
      <c r="P792" s="50">
        <v>0.0</v>
      </c>
      <c r="Q792" s="50">
        <v>0.0</v>
      </c>
      <c r="R792" s="50">
        <v>0.0</v>
      </c>
      <c r="S792" s="50">
        <v>0.0</v>
      </c>
      <c r="T792" s="50">
        <v>2.8125</v>
      </c>
      <c r="U792" s="50">
        <v>0.0</v>
      </c>
      <c r="V792" s="50">
        <v>0.0</v>
      </c>
      <c r="W792" s="50">
        <v>0.0</v>
      </c>
      <c r="X792" s="50">
        <v>2.8125</v>
      </c>
      <c r="Y792" s="50">
        <v>5.625</v>
      </c>
    </row>
    <row r="793">
      <c r="A793" s="26">
        <v>787.0</v>
      </c>
      <c r="B793" s="65">
        <v>1.0358193697003797</v>
      </c>
      <c r="C793" s="65">
        <v>1.9323252084535962</v>
      </c>
      <c r="D793" s="65">
        <v>-0.22561480883161703</v>
      </c>
      <c r="E793" s="65">
        <v>0.42258078837262014</v>
      </c>
      <c r="F793" s="65">
        <v>9.753343905654727</v>
      </c>
      <c r="G793" s="50">
        <v>0.0</v>
      </c>
      <c r="H793" s="50">
        <v>0.0</v>
      </c>
      <c r="I793" s="50">
        <v>0.0</v>
      </c>
      <c r="J793" s="50">
        <v>0.0</v>
      </c>
      <c r="K793" s="50">
        <v>0.0</v>
      </c>
      <c r="L793" s="50">
        <v>0.0</v>
      </c>
      <c r="M793" s="50">
        <v>0.0</v>
      </c>
      <c r="N793" s="50">
        <v>0.0</v>
      </c>
      <c r="O793" s="50">
        <v>0.0</v>
      </c>
      <c r="P793" s="50">
        <v>0.0</v>
      </c>
      <c r="Q793" s="50">
        <v>0.0</v>
      </c>
      <c r="R793" s="50">
        <v>0.0</v>
      </c>
      <c r="S793" s="50">
        <v>0.0</v>
      </c>
      <c r="T793" s="50">
        <v>2.8125</v>
      </c>
      <c r="U793" s="50">
        <v>0.0</v>
      </c>
      <c r="V793" s="50">
        <v>0.0</v>
      </c>
      <c r="W793" s="50">
        <v>0.0</v>
      </c>
      <c r="X793" s="50">
        <v>2.8125</v>
      </c>
      <c r="Y793" s="50">
        <v>5.625</v>
      </c>
    </row>
    <row r="794">
      <c r="A794" s="26">
        <v>788.0</v>
      </c>
      <c r="B794" s="65">
        <v>-0.6154483883129102</v>
      </c>
      <c r="C794" s="65">
        <v>0.10752518230272513</v>
      </c>
      <c r="D794" s="65">
        <v>-1.131156312190129</v>
      </c>
      <c r="E794" s="65">
        <v>-0.3173925609960633</v>
      </c>
      <c r="F794" s="65">
        <v>4.021934922841381</v>
      </c>
      <c r="G794" s="50">
        <v>0.0</v>
      </c>
      <c r="H794" s="50">
        <v>0.0</v>
      </c>
      <c r="I794" s="50">
        <v>0.0</v>
      </c>
      <c r="J794" s="50">
        <v>0.0</v>
      </c>
      <c r="K794" s="50">
        <v>0.0</v>
      </c>
      <c r="L794" s="50">
        <v>0.0</v>
      </c>
      <c r="M794" s="50">
        <v>0.0</v>
      </c>
      <c r="N794" s="50">
        <v>0.0</v>
      </c>
      <c r="O794" s="50">
        <v>0.0</v>
      </c>
      <c r="P794" s="50">
        <v>0.0</v>
      </c>
      <c r="Q794" s="50">
        <v>0.0</v>
      </c>
      <c r="R794" s="50">
        <v>0.0</v>
      </c>
      <c r="S794" s="50">
        <v>0.0</v>
      </c>
      <c r="T794" s="50">
        <v>2.8125</v>
      </c>
      <c r="U794" s="50">
        <v>0.0</v>
      </c>
      <c r="V794" s="50">
        <v>5.625</v>
      </c>
      <c r="W794" s="50">
        <v>0.0</v>
      </c>
      <c r="X794" s="50">
        <v>2.8125</v>
      </c>
      <c r="Y794" s="50">
        <v>11.25</v>
      </c>
    </row>
    <row r="795">
      <c r="A795" s="26">
        <v>789.0</v>
      </c>
      <c r="B795" s="65">
        <v>-0.971817786026875</v>
      </c>
      <c r="C795" s="65">
        <v>-0.8573801214983885</v>
      </c>
      <c r="D795" s="65">
        <v>0.5857665724371106</v>
      </c>
      <c r="E795" s="65">
        <v>-1.300707490888635</v>
      </c>
      <c r="F795" s="65">
        <v>11.345257575465538</v>
      </c>
      <c r="G795" s="50">
        <v>0.0</v>
      </c>
      <c r="H795" s="50">
        <v>0.0</v>
      </c>
      <c r="I795" s="50">
        <v>0.0</v>
      </c>
      <c r="J795" s="50">
        <v>0.0</v>
      </c>
      <c r="K795" s="50">
        <v>0.0</v>
      </c>
      <c r="L795" s="50">
        <v>0.0</v>
      </c>
      <c r="M795" s="50">
        <v>0.0</v>
      </c>
      <c r="N795" s="50">
        <v>0.0</v>
      </c>
      <c r="O795" s="50">
        <v>7.425000000000001</v>
      </c>
      <c r="P795" s="50">
        <v>0.0</v>
      </c>
      <c r="Q795" s="50">
        <v>0.0</v>
      </c>
      <c r="R795" s="50">
        <v>0.0</v>
      </c>
      <c r="S795" s="50">
        <v>0.0</v>
      </c>
      <c r="T795" s="50">
        <v>2.8125</v>
      </c>
      <c r="U795" s="50">
        <v>0.0</v>
      </c>
      <c r="V795" s="50">
        <v>5.625</v>
      </c>
      <c r="W795" s="50">
        <v>0.0</v>
      </c>
      <c r="X795" s="50">
        <v>2.8125</v>
      </c>
      <c r="Y795" s="50">
        <v>18.675</v>
      </c>
    </row>
    <row r="796">
      <c r="A796" s="26">
        <v>790.0</v>
      </c>
      <c r="B796" s="65">
        <v>0.3736452948965931</v>
      </c>
      <c r="C796" s="65">
        <v>1.060047634843081</v>
      </c>
      <c r="D796" s="65">
        <v>0.35407233584488</v>
      </c>
      <c r="E796" s="65">
        <v>1.4433246379105555</v>
      </c>
      <c r="F796" s="65">
        <v>4.334282154239692</v>
      </c>
      <c r="G796" s="50">
        <v>0.0</v>
      </c>
      <c r="H796" s="50">
        <v>0.0</v>
      </c>
      <c r="I796" s="50">
        <v>0.0</v>
      </c>
      <c r="J796" s="50">
        <v>0.0</v>
      </c>
      <c r="K796" s="50">
        <v>0.0</v>
      </c>
      <c r="L796" s="50">
        <v>0.0</v>
      </c>
      <c r="M796" s="50">
        <v>0.0</v>
      </c>
      <c r="N796" s="50">
        <v>0.0</v>
      </c>
      <c r="O796" s="50">
        <v>0.0</v>
      </c>
      <c r="P796" s="50">
        <v>0.0</v>
      </c>
      <c r="Q796" s="50">
        <v>0.0</v>
      </c>
      <c r="R796" s="50">
        <v>0.0</v>
      </c>
      <c r="S796" s="50">
        <v>0.0</v>
      </c>
      <c r="T796" s="50">
        <v>2.8125</v>
      </c>
      <c r="U796" s="50">
        <v>0.0</v>
      </c>
      <c r="V796" s="50">
        <v>0.0</v>
      </c>
      <c r="W796" s="50">
        <v>0.0</v>
      </c>
      <c r="X796" s="50">
        <v>2.8125</v>
      </c>
      <c r="Y796" s="50">
        <v>5.625</v>
      </c>
    </row>
    <row r="797">
      <c r="A797" s="26">
        <v>791.0</v>
      </c>
      <c r="B797" s="65">
        <v>-0.4947781670730988</v>
      </c>
      <c r="C797" s="65">
        <v>0.15056346324743644</v>
      </c>
      <c r="D797" s="65">
        <v>-0.6842492203352073</v>
      </c>
      <c r="E797" s="65">
        <v>0.8908948297828013</v>
      </c>
      <c r="F797" s="65">
        <v>5.210289886041111</v>
      </c>
      <c r="G797" s="50">
        <v>0.0</v>
      </c>
      <c r="H797" s="50">
        <v>0.0</v>
      </c>
      <c r="I797" s="50">
        <v>0.0</v>
      </c>
      <c r="J797" s="50">
        <v>0.0</v>
      </c>
      <c r="K797" s="50">
        <v>0.0</v>
      </c>
      <c r="L797" s="50">
        <v>0.0</v>
      </c>
      <c r="M797" s="50">
        <v>0.0</v>
      </c>
      <c r="N797" s="50">
        <v>0.0</v>
      </c>
      <c r="O797" s="50">
        <v>0.0</v>
      </c>
      <c r="P797" s="50">
        <v>2.475</v>
      </c>
      <c r="Q797" s="50">
        <v>0.0</v>
      </c>
      <c r="R797" s="50">
        <v>0.0</v>
      </c>
      <c r="S797" s="50">
        <v>0.0</v>
      </c>
      <c r="T797" s="50">
        <v>2.8125</v>
      </c>
      <c r="U797" s="50">
        <v>0.0</v>
      </c>
      <c r="V797" s="50">
        <v>0.0</v>
      </c>
      <c r="W797" s="50">
        <v>0.0</v>
      </c>
      <c r="X797" s="50">
        <v>2.8125</v>
      </c>
      <c r="Y797" s="50">
        <v>8.1</v>
      </c>
    </row>
    <row r="798">
      <c r="A798" s="26">
        <v>792.0</v>
      </c>
      <c r="B798" s="65">
        <v>1.6237771062929856</v>
      </c>
      <c r="C798" s="65">
        <v>0.6164281469052558</v>
      </c>
      <c r="D798" s="65">
        <v>0.7104348507866306</v>
      </c>
      <c r="E798" s="65">
        <v>0.906776267202017</v>
      </c>
      <c r="F798" s="65">
        <v>9.423729157444477</v>
      </c>
      <c r="G798" s="50">
        <v>0.0</v>
      </c>
      <c r="H798" s="50">
        <v>0.0</v>
      </c>
      <c r="I798" s="50">
        <v>0.0</v>
      </c>
      <c r="J798" s="50">
        <v>0.0</v>
      </c>
      <c r="K798" s="50">
        <v>0.0</v>
      </c>
      <c r="L798" s="50">
        <v>0.0</v>
      </c>
      <c r="M798" s="50">
        <v>0.0</v>
      </c>
      <c r="N798" s="50">
        <v>0.0</v>
      </c>
      <c r="O798" s="50">
        <v>0.0</v>
      </c>
      <c r="P798" s="50">
        <v>0.0</v>
      </c>
      <c r="Q798" s="50">
        <v>0.0</v>
      </c>
      <c r="R798" s="50">
        <v>0.0</v>
      </c>
      <c r="S798" s="50">
        <v>0.0</v>
      </c>
      <c r="T798" s="50">
        <v>2.8125</v>
      </c>
      <c r="U798" s="50">
        <v>0.0</v>
      </c>
      <c r="V798" s="50">
        <v>0.0</v>
      </c>
      <c r="W798" s="50">
        <v>0.0</v>
      </c>
      <c r="X798" s="50">
        <v>2.8125</v>
      </c>
      <c r="Y798" s="50">
        <v>5.625</v>
      </c>
    </row>
    <row r="799">
      <c r="A799" s="26">
        <v>793.0</v>
      </c>
      <c r="B799" s="65">
        <v>0.07587368897088223</v>
      </c>
      <c r="C799" s="65">
        <v>-1.4209977301732064</v>
      </c>
      <c r="D799" s="65">
        <v>-0.2943988379061122</v>
      </c>
      <c r="E799" s="65">
        <v>0.11163805271488955</v>
      </c>
      <c r="F799" s="65">
        <v>6.581150153489164</v>
      </c>
      <c r="G799" s="50">
        <v>0.0</v>
      </c>
      <c r="H799" s="50">
        <v>0.0</v>
      </c>
      <c r="I799" s="50">
        <v>0.0</v>
      </c>
      <c r="J799" s="50">
        <v>0.0</v>
      </c>
      <c r="K799" s="50">
        <v>0.0</v>
      </c>
      <c r="L799" s="50">
        <v>0.0</v>
      </c>
      <c r="M799" s="50">
        <v>0.0</v>
      </c>
      <c r="N799" s="50">
        <v>0.0</v>
      </c>
      <c r="O799" s="50">
        <v>0.0</v>
      </c>
      <c r="P799" s="50">
        <v>0.0</v>
      </c>
      <c r="Q799" s="50">
        <v>0.0</v>
      </c>
      <c r="R799" s="50">
        <v>0.0</v>
      </c>
      <c r="S799" s="50">
        <v>0.0</v>
      </c>
      <c r="T799" s="50">
        <v>2.8125</v>
      </c>
      <c r="U799" s="50">
        <v>0.0</v>
      </c>
      <c r="V799" s="50">
        <v>0.0</v>
      </c>
      <c r="W799" s="50">
        <v>0.0</v>
      </c>
      <c r="X799" s="50">
        <v>2.8125</v>
      </c>
      <c r="Y799" s="50">
        <v>5.625</v>
      </c>
    </row>
    <row r="800">
      <c r="A800" s="26">
        <v>794.0</v>
      </c>
      <c r="B800" s="65">
        <v>1.6629746933403504</v>
      </c>
      <c r="C800" s="65">
        <v>0.5481854100131475</v>
      </c>
      <c r="D800" s="65">
        <v>0.11133030700859793</v>
      </c>
      <c r="E800" s="65">
        <v>0.4957961172872944</v>
      </c>
      <c r="F800" s="65">
        <v>7.176418544335312</v>
      </c>
      <c r="G800" s="50">
        <v>0.0</v>
      </c>
      <c r="H800" s="50">
        <v>0.0</v>
      </c>
      <c r="I800" s="50">
        <v>0.0</v>
      </c>
      <c r="J800" s="50">
        <v>0.0</v>
      </c>
      <c r="K800" s="50">
        <v>0.0</v>
      </c>
      <c r="L800" s="50">
        <v>0.0</v>
      </c>
      <c r="M800" s="50">
        <v>0.0</v>
      </c>
      <c r="N800" s="50">
        <v>0.0</v>
      </c>
      <c r="O800" s="50">
        <v>0.0</v>
      </c>
      <c r="P800" s="50">
        <v>0.0</v>
      </c>
      <c r="Q800" s="50">
        <v>0.0</v>
      </c>
      <c r="R800" s="50">
        <v>0.0</v>
      </c>
      <c r="S800" s="50">
        <v>0.0</v>
      </c>
      <c r="T800" s="50">
        <v>2.8125</v>
      </c>
      <c r="U800" s="50">
        <v>0.0</v>
      </c>
      <c r="V800" s="50">
        <v>0.0</v>
      </c>
      <c r="W800" s="50">
        <v>0.0</v>
      </c>
      <c r="X800" s="50">
        <v>2.8125</v>
      </c>
      <c r="Y800" s="50">
        <v>5.625</v>
      </c>
    </row>
    <row r="801">
      <c r="A801" s="26">
        <v>795.0</v>
      </c>
      <c r="B801" s="65">
        <v>-1.3039189459581066</v>
      </c>
      <c r="C801" s="65">
        <v>1.8238262844849322</v>
      </c>
      <c r="D801" s="65">
        <v>-2.34853646016975</v>
      </c>
      <c r="E801" s="65">
        <v>-1.1802328055963538</v>
      </c>
      <c r="F801" s="65">
        <v>4.790507979980507</v>
      </c>
      <c r="G801" s="50">
        <v>0.0</v>
      </c>
      <c r="H801" s="50">
        <v>0.0</v>
      </c>
      <c r="I801" s="50">
        <v>0.0</v>
      </c>
      <c r="J801" s="50">
        <v>0.0</v>
      </c>
      <c r="K801" s="50">
        <v>0.0</v>
      </c>
      <c r="L801" s="50">
        <v>0.0</v>
      </c>
      <c r="M801" s="50">
        <v>0.0</v>
      </c>
      <c r="N801" s="50">
        <v>0.0</v>
      </c>
      <c r="O801" s="50">
        <v>0.0</v>
      </c>
      <c r="P801" s="50">
        <v>0.0</v>
      </c>
      <c r="Q801" s="50">
        <v>0.0</v>
      </c>
      <c r="R801" s="50">
        <v>9.9</v>
      </c>
      <c r="S801" s="50">
        <v>0.0</v>
      </c>
      <c r="T801" s="50">
        <v>2.8125</v>
      </c>
      <c r="U801" s="50">
        <v>0.0</v>
      </c>
      <c r="V801" s="50">
        <v>0.0</v>
      </c>
      <c r="W801" s="50">
        <v>0.0</v>
      </c>
      <c r="X801" s="50">
        <v>2.8125</v>
      </c>
      <c r="Y801" s="50">
        <v>15.525</v>
      </c>
    </row>
    <row r="802">
      <c r="A802" s="26">
        <v>796.0</v>
      </c>
      <c r="B802" s="65">
        <v>-0.974544946131049</v>
      </c>
      <c r="C802" s="65">
        <v>0.941806186039983</v>
      </c>
      <c r="D802" s="65">
        <v>0.26324146049685304</v>
      </c>
      <c r="E802" s="65">
        <v>0.7479240982587696</v>
      </c>
      <c r="F802" s="65">
        <v>5.4783923939685355</v>
      </c>
      <c r="G802" s="50">
        <v>0.0</v>
      </c>
      <c r="H802" s="50">
        <v>0.0</v>
      </c>
      <c r="I802" s="50">
        <v>0.0</v>
      </c>
      <c r="J802" s="50">
        <v>0.0</v>
      </c>
      <c r="K802" s="50">
        <v>0.0</v>
      </c>
      <c r="L802" s="50">
        <v>0.0</v>
      </c>
      <c r="M802" s="50">
        <v>0.0</v>
      </c>
      <c r="N802" s="50">
        <v>0.0</v>
      </c>
      <c r="O802" s="50">
        <v>0.0</v>
      </c>
      <c r="P802" s="50">
        <v>0.0</v>
      </c>
      <c r="Q802" s="50">
        <v>0.0</v>
      </c>
      <c r="R802" s="50">
        <v>0.0</v>
      </c>
      <c r="S802" s="50">
        <v>0.0</v>
      </c>
      <c r="T802" s="50">
        <v>2.8125</v>
      </c>
      <c r="U802" s="50">
        <v>0.0</v>
      </c>
      <c r="V802" s="50">
        <v>5.625</v>
      </c>
      <c r="W802" s="50">
        <v>4.95</v>
      </c>
      <c r="X802" s="50">
        <v>2.8125</v>
      </c>
      <c r="Y802" s="50">
        <v>16.2</v>
      </c>
    </row>
    <row r="803">
      <c r="A803" s="26">
        <v>797.0</v>
      </c>
      <c r="B803" s="65">
        <v>-0.41496506513182035</v>
      </c>
      <c r="C803" s="65">
        <v>-0.1806466991191247</v>
      </c>
      <c r="D803" s="65">
        <v>2.4406513975390425</v>
      </c>
      <c r="E803" s="65">
        <v>1.5831794073791123</v>
      </c>
      <c r="F803" s="65">
        <v>4.78295852708059</v>
      </c>
      <c r="G803" s="50">
        <v>0.0</v>
      </c>
      <c r="H803" s="50">
        <v>0.0</v>
      </c>
      <c r="I803" s="50">
        <v>0.0</v>
      </c>
      <c r="J803" s="50">
        <v>0.0</v>
      </c>
      <c r="K803" s="50">
        <v>0.0</v>
      </c>
      <c r="L803" s="50">
        <v>0.0</v>
      </c>
      <c r="M803" s="50">
        <v>0.0</v>
      </c>
      <c r="N803" s="50">
        <v>0.0</v>
      </c>
      <c r="O803" s="50">
        <v>0.0</v>
      </c>
      <c r="P803" s="50">
        <v>0.0</v>
      </c>
      <c r="Q803" s="50">
        <v>0.0</v>
      </c>
      <c r="R803" s="50">
        <v>0.0</v>
      </c>
      <c r="S803" s="50">
        <v>0.0</v>
      </c>
      <c r="T803" s="50">
        <v>2.8125</v>
      </c>
      <c r="U803" s="50">
        <v>0.0</v>
      </c>
      <c r="V803" s="50">
        <v>5.625</v>
      </c>
      <c r="W803" s="50">
        <v>0.0</v>
      </c>
      <c r="X803" s="50">
        <v>2.8125</v>
      </c>
      <c r="Y803" s="50">
        <v>11.25</v>
      </c>
    </row>
    <row r="804">
      <c r="A804" s="26">
        <v>798.0</v>
      </c>
      <c r="B804" s="65">
        <v>0.7896393345103964</v>
      </c>
      <c r="C804" s="65">
        <v>0.04309969017624374</v>
      </c>
      <c r="D804" s="65">
        <v>-0.9535274069328799</v>
      </c>
      <c r="E804" s="65">
        <v>-0.28364243330754235</v>
      </c>
      <c r="F804" s="65">
        <v>2.064768643879506</v>
      </c>
      <c r="G804" s="50">
        <v>0.0</v>
      </c>
      <c r="H804" s="50">
        <v>0.0</v>
      </c>
      <c r="I804" s="50">
        <v>0.0</v>
      </c>
      <c r="J804" s="50">
        <v>0.0</v>
      </c>
      <c r="K804" s="50">
        <v>0.0</v>
      </c>
      <c r="L804" s="50">
        <v>0.0</v>
      </c>
      <c r="M804" s="50">
        <v>0.0</v>
      </c>
      <c r="N804" s="50">
        <v>0.0</v>
      </c>
      <c r="O804" s="50">
        <v>0.0</v>
      </c>
      <c r="P804" s="50">
        <v>0.0</v>
      </c>
      <c r="Q804" s="50">
        <v>0.0</v>
      </c>
      <c r="R804" s="50">
        <v>0.0</v>
      </c>
      <c r="S804" s="50">
        <v>0.0</v>
      </c>
      <c r="T804" s="50">
        <v>2.8125</v>
      </c>
      <c r="U804" s="50">
        <v>0.0</v>
      </c>
      <c r="V804" s="50">
        <v>0.0</v>
      </c>
      <c r="W804" s="50">
        <v>0.0</v>
      </c>
      <c r="X804" s="50">
        <v>2.8125</v>
      </c>
      <c r="Y804" s="50">
        <v>5.625</v>
      </c>
    </row>
    <row r="805">
      <c r="A805" s="26">
        <v>799.0</v>
      </c>
      <c r="B805" s="65">
        <v>-0.2787494368733227</v>
      </c>
      <c r="C805" s="65">
        <v>-1.142603133667134</v>
      </c>
      <c r="D805" s="65">
        <v>-0.3934046921811294</v>
      </c>
      <c r="E805" s="65">
        <v>-0.9535975343741371</v>
      </c>
      <c r="F805" s="65">
        <v>8.824898323658731</v>
      </c>
      <c r="G805" s="50">
        <v>0.0</v>
      </c>
      <c r="H805" s="50">
        <v>0.0</v>
      </c>
      <c r="I805" s="50">
        <v>0.0</v>
      </c>
      <c r="J805" s="50">
        <v>0.0</v>
      </c>
      <c r="K805" s="50">
        <v>0.0</v>
      </c>
      <c r="L805" s="50">
        <v>0.0</v>
      </c>
      <c r="M805" s="50">
        <v>0.0</v>
      </c>
      <c r="N805" s="50">
        <v>0.0</v>
      </c>
      <c r="O805" s="50">
        <v>0.0</v>
      </c>
      <c r="P805" s="50">
        <v>0.0</v>
      </c>
      <c r="Q805" s="50">
        <v>0.0</v>
      </c>
      <c r="R805" s="50">
        <v>0.0</v>
      </c>
      <c r="S805" s="50">
        <v>0.0</v>
      </c>
      <c r="T805" s="50">
        <v>2.8125</v>
      </c>
      <c r="U805" s="50">
        <v>0.0</v>
      </c>
      <c r="V805" s="50">
        <v>5.625</v>
      </c>
      <c r="W805" s="50">
        <v>0.0</v>
      </c>
      <c r="X805" s="50">
        <v>2.8125</v>
      </c>
      <c r="Y805" s="50">
        <v>11.25</v>
      </c>
    </row>
    <row r="806">
      <c r="A806" s="26">
        <v>800.0</v>
      </c>
      <c r="B806" s="65">
        <v>0.45541324943325145</v>
      </c>
      <c r="C806" s="65">
        <v>0.21449742942998065</v>
      </c>
      <c r="D806" s="65">
        <v>-0.8496568384584423</v>
      </c>
      <c r="E806" s="65">
        <v>-2.309796422381748</v>
      </c>
      <c r="F806" s="65">
        <v>8.150251941766204</v>
      </c>
      <c r="G806" s="50">
        <v>0.0</v>
      </c>
      <c r="H806" s="50">
        <v>0.0</v>
      </c>
      <c r="I806" s="50">
        <v>0.0</v>
      </c>
      <c r="J806" s="50">
        <v>0.0</v>
      </c>
      <c r="K806" s="50">
        <v>0.0</v>
      </c>
      <c r="L806" s="50">
        <v>0.0</v>
      </c>
      <c r="M806" s="50">
        <v>0.0</v>
      </c>
      <c r="N806" s="50">
        <v>0.0</v>
      </c>
      <c r="O806" s="50">
        <v>0.0</v>
      </c>
      <c r="P806" s="50">
        <v>0.0</v>
      </c>
      <c r="Q806" s="50">
        <v>0.0</v>
      </c>
      <c r="R806" s="50">
        <v>0.0</v>
      </c>
      <c r="S806" s="50">
        <v>0.0</v>
      </c>
      <c r="T806" s="50">
        <v>2.8125</v>
      </c>
      <c r="U806" s="50">
        <v>0.0</v>
      </c>
      <c r="V806" s="50">
        <v>0.0</v>
      </c>
      <c r="W806" s="50">
        <v>0.0</v>
      </c>
      <c r="X806" s="50">
        <v>2.8125</v>
      </c>
      <c r="Y806" s="50">
        <v>5.625</v>
      </c>
    </row>
    <row r="807">
      <c r="A807" s="26">
        <v>801.0</v>
      </c>
      <c r="B807" s="65">
        <v>0.9747467820255783</v>
      </c>
      <c r="C807" s="65">
        <v>-0.631578162455889</v>
      </c>
      <c r="D807" s="65">
        <v>-0.21592878510311705</v>
      </c>
      <c r="E807" s="65">
        <v>0.9097754709668047</v>
      </c>
      <c r="F807" s="65">
        <v>2.0694210879372683</v>
      </c>
      <c r="G807" s="50">
        <v>0.0</v>
      </c>
      <c r="H807" s="50">
        <v>0.0</v>
      </c>
      <c r="I807" s="50">
        <v>0.0</v>
      </c>
      <c r="J807" s="50">
        <v>0.0</v>
      </c>
      <c r="K807" s="50">
        <v>0.0</v>
      </c>
      <c r="L807" s="50">
        <v>0.0</v>
      </c>
      <c r="M807" s="50">
        <v>0.0</v>
      </c>
      <c r="N807" s="50">
        <v>0.0</v>
      </c>
      <c r="O807" s="50">
        <v>0.0</v>
      </c>
      <c r="P807" s="50">
        <v>0.0</v>
      </c>
      <c r="Q807" s="50">
        <v>0.0</v>
      </c>
      <c r="R807" s="50">
        <v>0.0</v>
      </c>
      <c r="S807" s="50">
        <v>0.0</v>
      </c>
      <c r="T807" s="50">
        <v>2.8125</v>
      </c>
      <c r="U807" s="50">
        <v>0.0</v>
      </c>
      <c r="V807" s="50">
        <v>0.0</v>
      </c>
      <c r="W807" s="50">
        <v>0.0</v>
      </c>
      <c r="X807" s="50">
        <v>2.8125</v>
      </c>
      <c r="Y807" s="50">
        <v>5.625</v>
      </c>
    </row>
    <row r="808">
      <c r="A808" s="26">
        <v>802.0</v>
      </c>
      <c r="B808" s="65">
        <v>-0.4896495057762208</v>
      </c>
      <c r="C808" s="65">
        <v>-1.7667423542463685</v>
      </c>
      <c r="D808" s="65">
        <v>-2.081749870732435</v>
      </c>
      <c r="E808" s="65">
        <v>-0.16627711562736375</v>
      </c>
      <c r="F808" s="65">
        <v>5.54822530815786</v>
      </c>
      <c r="G808" s="50">
        <v>0.0</v>
      </c>
      <c r="H808" s="50">
        <v>0.0</v>
      </c>
      <c r="I808" s="50">
        <v>0.0</v>
      </c>
      <c r="J808" s="50">
        <v>0.0</v>
      </c>
      <c r="K808" s="50">
        <v>0.0</v>
      </c>
      <c r="L808" s="50">
        <v>0.0</v>
      </c>
      <c r="M808" s="50">
        <v>0.0</v>
      </c>
      <c r="N808" s="50">
        <v>0.0</v>
      </c>
      <c r="O808" s="50">
        <v>7.425000000000001</v>
      </c>
      <c r="P808" s="50">
        <v>0.0</v>
      </c>
      <c r="Q808" s="50">
        <v>0.0</v>
      </c>
      <c r="R808" s="50">
        <v>0.0</v>
      </c>
      <c r="S808" s="50">
        <v>0.0</v>
      </c>
      <c r="T808" s="50">
        <v>2.8125</v>
      </c>
      <c r="U808" s="50">
        <v>0.0</v>
      </c>
      <c r="V808" s="50">
        <v>0.0</v>
      </c>
      <c r="W808" s="50">
        <v>0.0</v>
      </c>
      <c r="X808" s="50">
        <v>2.8125</v>
      </c>
      <c r="Y808" s="50">
        <v>13.05</v>
      </c>
    </row>
    <row r="809">
      <c r="A809" s="26">
        <v>803.0</v>
      </c>
      <c r="B809" s="65">
        <v>0.21705034488772643</v>
      </c>
      <c r="C809" s="65">
        <v>-0.43467345286664755</v>
      </c>
      <c r="D809" s="65">
        <v>-0.21225804411321403</v>
      </c>
      <c r="E809" s="65">
        <v>0.2660686785109305</v>
      </c>
      <c r="F809" s="65">
        <v>2.3163454033600868</v>
      </c>
      <c r="G809" s="50">
        <v>0.0</v>
      </c>
      <c r="H809" s="50">
        <v>0.0</v>
      </c>
      <c r="I809" s="50">
        <v>0.0</v>
      </c>
      <c r="J809" s="50">
        <v>0.0</v>
      </c>
      <c r="K809" s="50">
        <v>0.0</v>
      </c>
      <c r="L809" s="50">
        <v>0.0</v>
      </c>
      <c r="M809" s="50">
        <v>0.0</v>
      </c>
      <c r="N809" s="50">
        <v>0.0</v>
      </c>
      <c r="O809" s="50">
        <v>7.425000000000001</v>
      </c>
      <c r="P809" s="50">
        <v>0.0</v>
      </c>
      <c r="Q809" s="50">
        <v>0.0</v>
      </c>
      <c r="R809" s="50">
        <v>0.0</v>
      </c>
      <c r="S809" s="50">
        <v>0.0</v>
      </c>
      <c r="T809" s="50">
        <v>2.8125</v>
      </c>
      <c r="U809" s="50">
        <v>0.0</v>
      </c>
      <c r="V809" s="50">
        <v>0.0</v>
      </c>
      <c r="W809" s="50">
        <v>0.0</v>
      </c>
      <c r="X809" s="50">
        <v>2.8125</v>
      </c>
      <c r="Y809" s="50">
        <v>13.05</v>
      </c>
    </row>
    <row r="810">
      <c r="A810" s="26">
        <v>804.0</v>
      </c>
      <c r="B810" s="65">
        <v>-0.5244059726072421</v>
      </c>
      <c r="C810" s="65">
        <v>-0.01593196003745647</v>
      </c>
      <c r="D810" s="65">
        <v>0.20279738439347977</v>
      </c>
      <c r="E810" s="65">
        <v>1.9568720038248353</v>
      </c>
      <c r="F810" s="65">
        <v>3.8717594558564503</v>
      </c>
      <c r="G810" s="50">
        <v>0.0</v>
      </c>
      <c r="H810" s="50">
        <v>0.0</v>
      </c>
      <c r="I810" s="50">
        <v>0.0</v>
      </c>
      <c r="J810" s="50">
        <v>0.0</v>
      </c>
      <c r="K810" s="50">
        <v>0.0</v>
      </c>
      <c r="L810" s="50">
        <v>0.0</v>
      </c>
      <c r="M810" s="50">
        <v>0.0</v>
      </c>
      <c r="N810" s="50">
        <v>0.0</v>
      </c>
      <c r="O810" s="50">
        <v>0.0</v>
      </c>
      <c r="P810" s="50">
        <v>0.0</v>
      </c>
      <c r="Q810" s="50">
        <v>0.0</v>
      </c>
      <c r="R810" s="50">
        <v>0.0</v>
      </c>
      <c r="S810" s="50">
        <v>0.0</v>
      </c>
      <c r="T810" s="50">
        <v>2.8125</v>
      </c>
      <c r="U810" s="50">
        <v>0.0</v>
      </c>
      <c r="V810" s="50">
        <v>0.0</v>
      </c>
      <c r="W810" s="50">
        <v>0.0</v>
      </c>
      <c r="X810" s="50">
        <v>2.8125</v>
      </c>
      <c r="Y810" s="50">
        <v>5.625</v>
      </c>
    </row>
    <row r="811">
      <c r="A811" s="26">
        <v>805.0</v>
      </c>
      <c r="B811" s="65">
        <v>-1.337679284359037</v>
      </c>
      <c r="C811" s="65">
        <v>0.6755734174477251</v>
      </c>
      <c r="D811" s="65">
        <v>1.47343032312157</v>
      </c>
      <c r="E811" s="65">
        <v>2.270422649606807</v>
      </c>
      <c r="F811" s="65">
        <v>8.05003822834793</v>
      </c>
      <c r="G811" s="50">
        <v>0.0</v>
      </c>
      <c r="H811" s="50">
        <v>0.0</v>
      </c>
      <c r="I811" s="50">
        <v>0.0</v>
      </c>
      <c r="J811" s="50">
        <v>0.0</v>
      </c>
      <c r="K811" s="50">
        <v>0.0</v>
      </c>
      <c r="L811" s="50">
        <v>0.0</v>
      </c>
      <c r="M811" s="50">
        <v>0.0</v>
      </c>
      <c r="N811" s="50">
        <v>0.0</v>
      </c>
      <c r="O811" s="50">
        <v>0.0</v>
      </c>
      <c r="P811" s="50">
        <v>0.0</v>
      </c>
      <c r="Q811" s="50">
        <v>0.0</v>
      </c>
      <c r="R811" s="50">
        <v>0.0</v>
      </c>
      <c r="S811" s="50">
        <v>0.0</v>
      </c>
      <c r="T811" s="50">
        <v>2.8125</v>
      </c>
      <c r="U811" s="50">
        <v>0.0</v>
      </c>
      <c r="V811" s="50">
        <v>0.0</v>
      </c>
      <c r="W811" s="50">
        <v>0.0</v>
      </c>
      <c r="X811" s="50">
        <v>2.8125</v>
      </c>
      <c r="Y811" s="50">
        <v>5.625</v>
      </c>
    </row>
    <row r="812">
      <c r="A812" s="26">
        <v>806.0</v>
      </c>
      <c r="B812" s="65">
        <v>0.5355279164699992</v>
      </c>
      <c r="C812" s="65">
        <v>0.6329603058825781</v>
      </c>
      <c r="D812" s="65">
        <v>0.49308590100840166</v>
      </c>
      <c r="E812" s="65">
        <v>-2.1928747743010577</v>
      </c>
      <c r="F812" s="65">
        <v>9.453758875747608</v>
      </c>
      <c r="G812" s="50">
        <v>0.0</v>
      </c>
      <c r="H812" s="50">
        <v>0.0</v>
      </c>
      <c r="I812" s="50">
        <v>0.0</v>
      </c>
      <c r="J812" s="50">
        <v>0.0</v>
      </c>
      <c r="K812" s="50">
        <v>0.0</v>
      </c>
      <c r="L812" s="50">
        <v>0.0</v>
      </c>
      <c r="M812" s="50">
        <v>0.0</v>
      </c>
      <c r="N812" s="50">
        <v>0.0</v>
      </c>
      <c r="O812" s="50">
        <v>0.0</v>
      </c>
      <c r="P812" s="50">
        <v>0.0</v>
      </c>
      <c r="Q812" s="50">
        <v>0.0</v>
      </c>
      <c r="R812" s="50">
        <v>0.0</v>
      </c>
      <c r="S812" s="50">
        <v>0.0</v>
      </c>
      <c r="T812" s="50">
        <v>2.8125</v>
      </c>
      <c r="U812" s="50">
        <v>0.0</v>
      </c>
      <c r="V812" s="50">
        <v>0.0</v>
      </c>
      <c r="W812" s="50">
        <v>0.0</v>
      </c>
      <c r="X812" s="50">
        <v>2.8125</v>
      </c>
      <c r="Y812" s="50">
        <v>5.625</v>
      </c>
    </row>
    <row r="813">
      <c r="A813" s="26">
        <v>807.0</v>
      </c>
      <c r="B813" s="65">
        <v>-0.32852348515393714</v>
      </c>
      <c r="C813" s="65">
        <v>0.6165644435046569</v>
      </c>
      <c r="D813" s="65">
        <v>-0.9087104291295264</v>
      </c>
      <c r="E813" s="65">
        <v>-1.4990592001816425</v>
      </c>
      <c r="F813" s="65">
        <v>1.8629878249874456</v>
      </c>
      <c r="G813" s="50">
        <v>0.0</v>
      </c>
      <c r="H813" s="50">
        <v>0.0</v>
      </c>
      <c r="I813" s="50">
        <v>0.0</v>
      </c>
      <c r="J813" s="50">
        <v>0.0</v>
      </c>
      <c r="K813" s="50">
        <v>0.0</v>
      </c>
      <c r="L813" s="50">
        <v>0.0</v>
      </c>
      <c r="M813" s="50">
        <v>0.0</v>
      </c>
      <c r="N813" s="50">
        <v>0.0</v>
      </c>
      <c r="O813" s="50">
        <v>0.0</v>
      </c>
      <c r="P813" s="50">
        <v>2.475</v>
      </c>
      <c r="Q813" s="50">
        <v>0.0</v>
      </c>
      <c r="R813" s="50">
        <v>0.0</v>
      </c>
      <c r="S813" s="50">
        <v>0.0</v>
      </c>
      <c r="T813" s="50">
        <v>2.8125</v>
      </c>
      <c r="U813" s="50">
        <v>0.0</v>
      </c>
      <c r="V813" s="50">
        <v>5.625</v>
      </c>
      <c r="W813" s="50">
        <v>4.95</v>
      </c>
      <c r="X813" s="50">
        <v>2.8125</v>
      </c>
      <c r="Y813" s="50">
        <v>18.675</v>
      </c>
    </row>
    <row r="814">
      <c r="A814" s="26">
        <v>808.0</v>
      </c>
      <c r="B814" s="65">
        <v>0.5720825527264936</v>
      </c>
      <c r="C814" s="65">
        <v>-0.7813025364610179</v>
      </c>
      <c r="D814" s="65">
        <v>0.8041664079416552</v>
      </c>
      <c r="E814" s="65">
        <v>1.3351508563811572</v>
      </c>
      <c r="F814" s="65">
        <v>1.1257738081342201</v>
      </c>
      <c r="G814" s="50">
        <v>0.0</v>
      </c>
      <c r="H814" s="50">
        <v>0.0</v>
      </c>
      <c r="I814" s="50">
        <v>0.0</v>
      </c>
      <c r="J814" s="50">
        <v>0.0</v>
      </c>
      <c r="K814" s="50">
        <v>0.0</v>
      </c>
      <c r="L814" s="50">
        <v>0.0</v>
      </c>
      <c r="M814" s="50">
        <v>0.0</v>
      </c>
      <c r="N814" s="50">
        <v>0.0</v>
      </c>
      <c r="O814" s="50">
        <v>7.425000000000001</v>
      </c>
      <c r="P814" s="50">
        <v>0.0</v>
      </c>
      <c r="Q814" s="50">
        <v>0.0</v>
      </c>
      <c r="R814" s="50">
        <v>9.9</v>
      </c>
      <c r="S814" s="50">
        <v>0.0</v>
      </c>
      <c r="T814" s="50">
        <v>2.8125</v>
      </c>
      <c r="U814" s="50">
        <v>0.0</v>
      </c>
      <c r="V814" s="50">
        <v>0.0</v>
      </c>
      <c r="W814" s="50">
        <v>0.0</v>
      </c>
      <c r="X814" s="50">
        <v>2.8125</v>
      </c>
      <c r="Y814" s="50">
        <v>22.950000000000003</v>
      </c>
    </row>
    <row r="815">
      <c r="A815" s="26">
        <v>809.0</v>
      </c>
      <c r="B815" s="65">
        <v>2.4129305065252837</v>
      </c>
      <c r="C815" s="65">
        <v>1.195809077221361</v>
      </c>
      <c r="D815" s="65">
        <v>0.5254461765304967</v>
      </c>
      <c r="E815" s="65">
        <v>0.3579663940033485</v>
      </c>
      <c r="F815" s="65">
        <v>3.486654111505617</v>
      </c>
      <c r="G815" s="50">
        <v>0.0</v>
      </c>
      <c r="H815" s="50">
        <v>0.0</v>
      </c>
      <c r="I815" s="50">
        <v>0.0</v>
      </c>
      <c r="J815" s="50">
        <v>0.0</v>
      </c>
      <c r="K815" s="50">
        <v>0.0</v>
      </c>
      <c r="L815" s="50">
        <v>0.0</v>
      </c>
      <c r="M815" s="50">
        <v>0.0</v>
      </c>
      <c r="N815" s="50">
        <v>0.0</v>
      </c>
      <c r="O815" s="50">
        <v>0.0</v>
      </c>
      <c r="P815" s="50">
        <v>0.0</v>
      </c>
      <c r="Q815" s="50">
        <v>0.0</v>
      </c>
      <c r="R815" s="50">
        <v>0.0</v>
      </c>
      <c r="S815" s="50">
        <v>0.0</v>
      </c>
      <c r="T815" s="50">
        <v>2.8125</v>
      </c>
      <c r="U815" s="50">
        <v>0.0</v>
      </c>
      <c r="V815" s="50">
        <v>0.0</v>
      </c>
      <c r="W815" s="50">
        <v>0.0</v>
      </c>
      <c r="X815" s="50">
        <v>2.8125</v>
      </c>
      <c r="Y815" s="50">
        <v>5.625</v>
      </c>
    </row>
    <row r="816">
      <c r="A816" s="26">
        <v>810.0</v>
      </c>
      <c r="B816" s="65">
        <v>-1.6476089451657416</v>
      </c>
      <c r="C816" s="65">
        <v>0.1486477175047046</v>
      </c>
      <c r="D816" s="65">
        <v>-0.5911236145197017</v>
      </c>
      <c r="E816" s="65">
        <v>-0.47241442409422363</v>
      </c>
      <c r="F816" s="65">
        <v>6.296719924300989</v>
      </c>
      <c r="G816" s="50">
        <v>0.0</v>
      </c>
      <c r="H816" s="50">
        <v>0.0</v>
      </c>
      <c r="I816" s="50">
        <v>0.0</v>
      </c>
      <c r="J816" s="50">
        <v>0.0</v>
      </c>
      <c r="K816" s="50">
        <v>0.0</v>
      </c>
      <c r="L816" s="50">
        <v>0.0</v>
      </c>
      <c r="M816" s="50">
        <v>0.0</v>
      </c>
      <c r="N816" s="50">
        <v>0.0</v>
      </c>
      <c r="O816" s="50">
        <v>0.0</v>
      </c>
      <c r="P816" s="50">
        <v>2.475</v>
      </c>
      <c r="Q816" s="50">
        <v>0.0</v>
      </c>
      <c r="R816" s="50">
        <v>0.0</v>
      </c>
      <c r="S816" s="50">
        <v>0.0</v>
      </c>
      <c r="T816" s="50">
        <v>2.8125</v>
      </c>
      <c r="U816" s="50">
        <v>0.0</v>
      </c>
      <c r="V816" s="50">
        <v>5.625</v>
      </c>
      <c r="W816" s="50">
        <v>0.0</v>
      </c>
      <c r="X816" s="50">
        <v>2.8125</v>
      </c>
      <c r="Y816" s="50">
        <v>13.725</v>
      </c>
    </row>
    <row r="817">
      <c r="A817" s="26">
        <v>811.0</v>
      </c>
      <c r="B817" s="65">
        <v>1.1622051084739047</v>
      </c>
      <c r="C817" s="65">
        <v>-2.1435300751875923</v>
      </c>
      <c r="D817" s="65">
        <v>2.2112008936065957</v>
      </c>
      <c r="E817" s="65">
        <v>0.03015527104735652</v>
      </c>
      <c r="F817" s="65">
        <v>5.0892195358384225</v>
      </c>
      <c r="G817" s="50">
        <v>0.0</v>
      </c>
      <c r="H817" s="50">
        <v>0.0</v>
      </c>
      <c r="I817" s="50">
        <v>0.0</v>
      </c>
      <c r="J817" s="50">
        <v>0.0</v>
      </c>
      <c r="K817" s="50">
        <v>0.0</v>
      </c>
      <c r="L817" s="50">
        <v>0.0</v>
      </c>
      <c r="M817" s="50">
        <v>0.0</v>
      </c>
      <c r="N817" s="50">
        <v>0.0</v>
      </c>
      <c r="O817" s="50">
        <v>0.0</v>
      </c>
      <c r="P817" s="50">
        <v>0.0</v>
      </c>
      <c r="Q817" s="50">
        <v>0.0</v>
      </c>
      <c r="R817" s="50">
        <v>0.0</v>
      </c>
      <c r="S817" s="50">
        <v>0.0</v>
      </c>
      <c r="T817" s="50">
        <v>2.8125</v>
      </c>
      <c r="U817" s="50">
        <v>0.0</v>
      </c>
      <c r="V817" s="50">
        <v>5.625</v>
      </c>
      <c r="W817" s="50">
        <v>0.0</v>
      </c>
      <c r="X817" s="50">
        <v>2.8125</v>
      </c>
      <c r="Y817" s="50">
        <v>11.25</v>
      </c>
    </row>
    <row r="818">
      <c r="A818" s="26">
        <v>812.0</v>
      </c>
      <c r="B818" s="65">
        <v>0.687579841682584</v>
      </c>
      <c r="C818" s="65">
        <v>0.9059430158459721</v>
      </c>
      <c r="D818" s="65">
        <v>0.31709988318475474</v>
      </c>
      <c r="E818" s="65">
        <v>-0.1898531292929278</v>
      </c>
      <c r="F818" s="65">
        <v>2.0772207570414274</v>
      </c>
      <c r="G818" s="50">
        <v>0.0</v>
      </c>
      <c r="H818" s="50">
        <v>0.0</v>
      </c>
      <c r="I818" s="50">
        <v>0.0</v>
      </c>
      <c r="J818" s="50">
        <v>0.0</v>
      </c>
      <c r="K818" s="50">
        <v>0.0</v>
      </c>
      <c r="L818" s="50">
        <v>0.0</v>
      </c>
      <c r="M818" s="50">
        <v>0.0</v>
      </c>
      <c r="N818" s="50">
        <v>0.0</v>
      </c>
      <c r="O818" s="50">
        <v>0.0</v>
      </c>
      <c r="P818" s="50">
        <v>0.0</v>
      </c>
      <c r="Q818" s="50">
        <v>0.0</v>
      </c>
      <c r="R818" s="50">
        <v>0.0</v>
      </c>
      <c r="S818" s="50">
        <v>0.0</v>
      </c>
      <c r="T818" s="50">
        <v>2.8125</v>
      </c>
      <c r="U818" s="50">
        <v>9.9</v>
      </c>
      <c r="V818" s="50">
        <v>0.0</v>
      </c>
      <c r="W818" s="50">
        <v>0.0</v>
      </c>
      <c r="X818" s="50">
        <v>2.8125</v>
      </c>
      <c r="Y818" s="50">
        <v>15.525</v>
      </c>
    </row>
    <row r="819">
      <c r="A819" s="26">
        <v>813.0</v>
      </c>
      <c r="B819" s="65">
        <v>-1.6421081915639457</v>
      </c>
      <c r="C819" s="65">
        <v>0.7269175028246397</v>
      </c>
      <c r="D819" s="65">
        <v>-0.7316410226746491</v>
      </c>
      <c r="E819" s="65">
        <v>2.559972107901162</v>
      </c>
      <c r="F819" s="65">
        <v>5.891239040333828</v>
      </c>
      <c r="G819" s="50">
        <v>0.0</v>
      </c>
      <c r="H819" s="50">
        <v>0.0</v>
      </c>
      <c r="I819" s="50">
        <v>0.0</v>
      </c>
      <c r="J819" s="50">
        <v>0.0</v>
      </c>
      <c r="K819" s="50">
        <v>0.0</v>
      </c>
      <c r="L819" s="50">
        <v>0.0</v>
      </c>
      <c r="M819" s="50">
        <v>0.0</v>
      </c>
      <c r="N819" s="50">
        <v>0.0</v>
      </c>
      <c r="O819" s="50">
        <v>0.0</v>
      </c>
      <c r="P819" s="50">
        <v>0.0</v>
      </c>
      <c r="Q819" s="50">
        <v>0.0</v>
      </c>
      <c r="R819" s="50">
        <v>0.0</v>
      </c>
      <c r="S819" s="50">
        <v>0.0</v>
      </c>
      <c r="T819" s="50">
        <v>2.8125</v>
      </c>
      <c r="U819" s="50">
        <v>0.0</v>
      </c>
      <c r="V819" s="50">
        <v>0.0</v>
      </c>
      <c r="W819" s="50">
        <v>4.95</v>
      </c>
      <c r="X819" s="50">
        <v>2.8125</v>
      </c>
      <c r="Y819" s="50">
        <v>10.575</v>
      </c>
    </row>
    <row r="820">
      <c r="A820" s="26">
        <v>814.0</v>
      </c>
      <c r="B820" s="65">
        <v>-0.5009590368326026</v>
      </c>
      <c r="C820" s="65">
        <v>-0.04513939828292526</v>
      </c>
      <c r="D820" s="65">
        <v>1.4079753047563843</v>
      </c>
      <c r="E820" s="65">
        <v>-1.114353310469875</v>
      </c>
      <c r="F820" s="65">
        <v>2.442511045965813</v>
      </c>
      <c r="G820" s="50">
        <v>0.0</v>
      </c>
      <c r="H820" s="50">
        <v>0.0</v>
      </c>
      <c r="I820" s="50">
        <v>0.0</v>
      </c>
      <c r="J820" s="50">
        <v>0.0</v>
      </c>
      <c r="K820" s="50">
        <v>0.0</v>
      </c>
      <c r="L820" s="50">
        <v>0.0</v>
      </c>
      <c r="M820" s="50">
        <v>0.0</v>
      </c>
      <c r="N820" s="50">
        <v>0.0</v>
      </c>
      <c r="O820" s="50">
        <v>0.0</v>
      </c>
      <c r="P820" s="50">
        <v>0.0</v>
      </c>
      <c r="Q820" s="50">
        <v>0.0</v>
      </c>
      <c r="R820" s="50">
        <v>0.0</v>
      </c>
      <c r="S820" s="50">
        <v>0.0</v>
      </c>
      <c r="T820" s="50">
        <v>2.8125</v>
      </c>
      <c r="U820" s="50">
        <v>9.9</v>
      </c>
      <c r="V820" s="50">
        <v>5.625</v>
      </c>
      <c r="W820" s="50">
        <v>4.95</v>
      </c>
      <c r="X820" s="50">
        <v>2.8125</v>
      </c>
      <c r="Y820" s="50">
        <v>26.099999999999998</v>
      </c>
    </row>
    <row r="821">
      <c r="A821" s="26">
        <v>815.0</v>
      </c>
      <c r="B821" s="65">
        <v>-0.5806254630672659</v>
      </c>
      <c r="C821" s="65">
        <v>0.9032529470450675</v>
      </c>
      <c r="D821" s="65">
        <v>-0.45475268290756526</v>
      </c>
      <c r="E821" s="65">
        <v>1.4072352389323908</v>
      </c>
      <c r="F821" s="65">
        <v>1.9125024091494665</v>
      </c>
      <c r="G821" s="50">
        <v>0.0</v>
      </c>
      <c r="H821" s="50">
        <v>0.0</v>
      </c>
      <c r="I821" s="50">
        <v>0.0</v>
      </c>
      <c r="J821" s="50">
        <v>0.0</v>
      </c>
      <c r="K821" s="50">
        <v>0.0</v>
      </c>
      <c r="L821" s="50">
        <v>0.0</v>
      </c>
      <c r="M821" s="50">
        <v>0.0</v>
      </c>
      <c r="N821" s="50">
        <v>0.0</v>
      </c>
      <c r="O821" s="50">
        <v>0.0</v>
      </c>
      <c r="P821" s="50">
        <v>0.0</v>
      </c>
      <c r="Q821" s="50">
        <v>0.0</v>
      </c>
      <c r="R821" s="50">
        <v>9.9</v>
      </c>
      <c r="S821" s="50">
        <v>0.0</v>
      </c>
      <c r="T821" s="50">
        <v>2.8125</v>
      </c>
      <c r="U821" s="50">
        <v>0.0</v>
      </c>
      <c r="V821" s="50">
        <v>5.625</v>
      </c>
      <c r="W821" s="50">
        <v>4.95</v>
      </c>
      <c r="X821" s="50">
        <v>2.8125</v>
      </c>
      <c r="Y821" s="50">
        <v>26.099999999999998</v>
      </c>
    </row>
    <row r="822">
      <c r="A822" s="26">
        <v>816.0</v>
      </c>
      <c r="B822" s="65">
        <v>-1.1704240305287397</v>
      </c>
      <c r="C822" s="65">
        <v>0.05520537410856994</v>
      </c>
      <c r="D822" s="65">
        <v>-1.1355214302200862</v>
      </c>
      <c r="E822" s="65">
        <v>-0.411420925676483</v>
      </c>
      <c r="F822" s="65">
        <v>3.583568288938763</v>
      </c>
      <c r="G822" s="50">
        <v>0.0</v>
      </c>
      <c r="H822" s="50">
        <v>0.0</v>
      </c>
      <c r="I822" s="50">
        <v>0.0</v>
      </c>
      <c r="J822" s="50">
        <v>0.0</v>
      </c>
      <c r="K822" s="50">
        <v>0.0</v>
      </c>
      <c r="L822" s="50">
        <v>0.0</v>
      </c>
      <c r="M822" s="50">
        <v>0.0</v>
      </c>
      <c r="N822" s="50">
        <v>0.0</v>
      </c>
      <c r="O822" s="50">
        <v>7.425000000000001</v>
      </c>
      <c r="P822" s="50">
        <v>0.0</v>
      </c>
      <c r="Q822" s="50">
        <v>0.0</v>
      </c>
      <c r="R822" s="50">
        <v>0.0</v>
      </c>
      <c r="S822" s="50">
        <v>0.0</v>
      </c>
      <c r="T822" s="50">
        <v>2.8125</v>
      </c>
      <c r="U822" s="50">
        <v>0.0</v>
      </c>
      <c r="V822" s="50">
        <v>5.625</v>
      </c>
      <c r="W822" s="50">
        <v>0.0</v>
      </c>
      <c r="X822" s="50">
        <v>2.8125</v>
      </c>
      <c r="Y822" s="50">
        <v>18.675</v>
      </c>
    </row>
    <row r="823">
      <c r="A823" s="26">
        <v>817.0</v>
      </c>
      <c r="B823" s="65">
        <v>-1.2411232833133496</v>
      </c>
      <c r="C823" s="65">
        <v>-1.087477614517451</v>
      </c>
      <c r="D823" s="65">
        <v>-1.061543597587456</v>
      </c>
      <c r="E823" s="65">
        <v>-0.09275784686955814</v>
      </c>
      <c r="F823" s="65">
        <v>3.699892639639344</v>
      </c>
      <c r="G823" s="50">
        <v>0.0</v>
      </c>
      <c r="H823" s="50">
        <v>0.0</v>
      </c>
      <c r="I823" s="50">
        <v>0.0</v>
      </c>
      <c r="J823" s="50">
        <v>0.0</v>
      </c>
      <c r="K823" s="50">
        <v>0.0</v>
      </c>
      <c r="L823" s="50">
        <v>0.0</v>
      </c>
      <c r="M823" s="50">
        <v>0.0</v>
      </c>
      <c r="N823" s="50">
        <v>0.0</v>
      </c>
      <c r="O823" s="50">
        <v>7.425000000000001</v>
      </c>
      <c r="P823" s="50">
        <v>0.0</v>
      </c>
      <c r="Q823" s="50">
        <v>0.0</v>
      </c>
      <c r="R823" s="50">
        <v>0.0</v>
      </c>
      <c r="S823" s="50">
        <v>0.0</v>
      </c>
      <c r="T823" s="50">
        <v>2.8125</v>
      </c>
      <c r="U823" s="50">
        <v>0.0</v>
      </c>
      <c r="V823" s="50">
        <v>5.625</v>
      </c>
      <c r="W823" s="50">
        <v>4.95</v>
      </c>
      <c r="X823" s="50">
        <v>2.8125</v>
      </c>
      <c r="Y823" s="50">
        <v>23.625</v>
      </c>
    </row>
    <row r="824">
      <c r="A824" s="26">
        <v>818.0</v>
      </c>
      <c r="B824" s="65">
        <v>-2.192547820274929</v>
      </c>
      <c r="C824" s="65">
        <v>1.2123835738580004</v>
      </c>
      <c r="D824" s="65">
        <v>-1.0814783190056507</v>
      </c>
      <c r="E824" s="65">
        <v>-0.311031155676996</v>
      </c>
      <c r="F824" s="65">
        <v>1.5875834937266697</v>
      </c>
      <c r="G824" s="50">
        <v>0.0</v>
      </c>
      <c r="H824" s="50">
        <v>0.0</v>
      </c>
      <c r="I824" s="50">
        <v>0.0</v>
      </c>
      <c r="J824" s="50">
        <v>0.0</v>
      </c>
      <c r="K824" s="50">
        <v>0.0</v>
      </c>
      <c r="L824" s="50">
        <v>0.0</v>
      </c>
      <c r="M824" s="50">
        <v>0.0</v>
      </c>
      <c r="N824" s="50">
        <v>0.0</v>
      </c>
      <c r="O824" s="50">
        <v>0.0</v>
      </c>
      <c r="P824" s="50">
        <v>2.475</v>
      </c>
      <c r="Q824" s="50">
        <v>0.0</v>
      </c>
      <c r="R824" s="50">
        <v>9.9</v>
      </c>
      <c r="S824" s="50">
        <v>0.0</v>
      </c>
      <c r="T824" s="50">
        <v>2.8125</v>
      </c>
      <c r="U824" s="50">
        <v>0.0</v>
      </c>
      <c r="V824" s="50">
        <v>5.625</v>
      </c>
      <c r="W824" s="50">
        <v>0.0</v>
      </c>
      <c r="X824" s="50">
        <v>2.8125</v>
      </c>
      <c r="Y824" s="50">
        <v>23.625</v>
      </c>
    </row>
    <row r="825">
      <c r="A825" s="26">
        <v>819.0</v>
      </c>
      <c r="B825" s="65">
        <v>0.6202483502327043</v>
      </c>
      <c r="C825" s="65">
        <v>-0.7372297324012603</v>
      </c>
      <c r="D825" s="65">
        <v>-1.3034691470107338</v>
      </c>
      <c r="E825" s="65">
        <v>0.8119889088050825</v>
      </c>
      <c r="F825" s="65">
        <v>0.8259093331240808</v>
      </c>
      <c r="G825" s="50">
        <v>0.0</v>
      </c>
      <c r="H825" s="50">
        <v>0.0</v>
      </c>
      <c r="I825" s="50">
        <v>0.0</v>
      </c>
      <c r="J825" s="50">
        <v>0.0</v>
      </c>
      <c r="K825" s="50">
        <v>0.0</v>
      </c>
      <c r="L825" s="50">
        <v>0.0</v>
      </c>
      <c r="M825" s="50">
        <v>0.0</v>
      </c>
      <c r="N825" s="50">
        <v>0.0</v>
      </c>
      <c r="O825" s="50">
        <v>0.0</v>
      </c>
      <c r="P825" s="50">
        <v>0.0</v>
      </c>
      <c r="Q825" s="50">
        <v>0.0</v>
      </c>
      <c r="R825" s="50">
        <v>0.0</v>
      </c>
      <c r="S825" s="50">
        <v>0.0</v>
      </c>
      <c r="T825" s="50">
        <v>2.8125</v>
      </c>
      <c r="U825" s="50">
        <v>0.0</v>
      </c>
      <c r="V825" s="50">
        <v>0.0</v>
      </c>
      <c r="W825" s="50">
        <v>0.0</v>
      </c>
      <c r="X825" s="50">
        <v>2.8125</v>
      </c>
      <c r="Y825" s="50">
        <v>5.625</v>
      </c>
    </row>
    <row r="826">
      <c r="A826" s="26">
        <v>820.0</v>
      </c>
      <c r="B826" s="65">
        <v>0.12283957404629565</v>
      </c>
      <c r="C826" s="65">
        <v>1.00458328666863</v>
      </c>
      <c r="D826" s="65">
        <v>0.39082127625725976</v>
      </c>
      <c r="E826" s="65">
        <v>0.7412897203125982</v>
      </c>
      <c r="F826" s="65">
        <v>4.43318639406501</v>
      </c>
      <c r="G826" s="50">
        <v>0.0</v>
      </c>
      <c r="H826" s="50">
        <v>0.0</v>
      </c>
      <c r="I826" s="50">
        <v>0.0</v>
      </c>
      <c r="J826" s="50">
        <v>0.0</v>
      </c>
      <c r="K826" s="50">
        <v>0.0</v>
      </c>
      <c r="L826" s="50">
        <v>0.0</v>
      </c>
      <c r="M826" s="50">
        <v>0.0</v>
      </c>
      <c r="N826" s="50">
        <v>0.0</v>
      </c>
      <c r="O826" s="50">
        <v>0.0</v>
      </c>
      <c r="P826" s="50">
        <v>0.0</v>
      </c>
      <c r="Q826" s="50">
        <v>0.0</v>
      </c>
      <c r="R826" s="50">
        <v>0.0</v>
      </c>
      <c r="S826" s="50">
        <v>0.0</v>
      </c>
      <c r="T826" s="50">
        <v>2.8125</v>
      </c>
      <c r="U826" s="50">
        <v>0.0</v>
      </c>
      <c r="V826" s="50">
        <v>0.0</v>
      </c>
      <c r="W826" s="50">
        <v>0.0</v>
      </c>
      <c r="X826" s="50">
        <v>2.8125</v>
      </c>
      <c r="Y826" s="50">
        <v>5.625</v>
      </c>
    </row>
    <row r="827">
      <c r="A827" s="26">
        <v>821.0</v>
      </c>
      <c r="B827" s="65">
        <v>-1.0965697412310755</v>
      </c>
      <c r="C827" s="65">
        <v>-1.1126138209908794</v>
      </c>
      <c r="D827" s="65">
        <v>-1.9391001020226184</v>
      </c>
      <c r="E827" s="65">
        <v>-0.35661684069498983</v>
      </c>
      <c r="F827" s="65">
        <v>8.344819188265028</v>
      </c>
      <c r="G827" s="50">
        <v>0.0</v>
      </c>
      <c r="H827" s="50">
        <v>0.0</v>
      </c>
      <c r="I827" s="50">
        <v>0.0</v>
      </c>
      <c r="J827" s="50">
        <v>0.0</v>
      </c>
      <c r="K827" s="50">
        <v>0.0</v>
      </c>
      <c r="L827" s="50">
        <v>0.0</v>
      </c>
      <c r="M827" s="50">
        <v>0.0</v>
      </c>
      <c r="N827" s="50">
        <v>0.0</v>
      </c>
      <c r="O827" s="50">
        <v>0.0</v>
      </c>
      <c r="P827" s="50">
        <v>0.0</v>
      </c>
      <c r="Q827" s="50">
        <v>0.0</v>
      </c>
      <c r="R827" s="50">
        <v>9.9</v>
      </c>
      <c r="S827" s="50">
        <v>0.0</v>
      </c>
      <c r="T827" s="50">
        <v>2.8125</v>
      </c>
      <c r="U827" s="50">
        <v>0.0</v>
      </c>
      <c r="V827" s="50">
        <v>0.0</v>
      </c>
      <c r="W827" s="50">
        <v>0.0</v>
      </c>
      <c r="X827" s="50">
        <v>2.8125</v>
      </c>
      <c r="Y827" s="50">
        <v>15.525</v>
      </c>
    </row>
    <row r="828">
      <c r="A828" s="26">
        <v>822.0</v>
      </c>
      <c r="B828" s="65">
        <v>0.21722043804837987</v>
      </c>
      <c r="C828" s="65">
        <v>0.2604563661853077</v>
      </c>
      <c r="D828" s="65">
        <v>1.0148546896891837</v>
      </c>
      <c r="E828" s="65">
        <v>-2.2975337576481696</v>
      </c>
      <c r="F828" s="65">
        <v>1.2476423221245403</v>
      </c>
      <c r="G828" s="50">
        <v>0.0</v>
      </c>
      <c r="H828" s="50">
        <v>0.0</v>
      </c>
      <c r="I828" s="50">
        <v>0.0</v>
      </c>
      <c r="J828" s="50">
        <v>0.0</v>
      </c>
      <c r="K828" s="50">
        <v>0.0</v>
      </c>
      <c r="L828" s="50">
        <v>0.0</v>
      </c>
      <c r="M828" s="50">
        <v>0.0</v>
      </c>
      <c r="N828" s="50">
        <v>0.0</v>
      </c>
      <c r="O828" s="50">
        <v>7.425000000000001</v>
      </c>
      <c r="P828" s="50">
        <v>0.0</v>
      </c>
      <c r="Q828" s="50">
        <v>0.0</v>
      </c>
      <c r="R828" s="50">
        <v>0.0</v>
      </c>
      <c r="S828" s="50">
        <v>0.0</v>
      </c>
      <c r="T828" s="50">
        <v>2.8125</v>
      </c>
      <c r="U828" s="50">
        <v>9.9</v>
      </c>
      <c r="V828" s="50">
        <v>5.625</v>
      </c>
      <c r="W828" s="50">
        <v>0.0</v>
      </c>
      <c r="X828" s="50">
        <v>2.8125</v>
      </c>
      <c r="Y828" s="50">
        <v>28.575000000000003</v>
      </c>
    </row>
    <row r="829">
      <c r="A829" s="26">
        <v>823.0</v>
      </c>
      <c r="B829" s="65">
        <v>-0.9863872247433543</v>
      </c>
      <c r="C829" s="65">
        <v>0.2006844734991802</v>
      </c>
      <c r="D829" s="65">
        <v>-0.21995563832381793</v>
      </c>
      <c r="E829" s="65">
        <v>0.22071441507889092</v>
      </c>
      <c r="F829" s="65">
        <v>2.5693322081903855</v>
      </c>
      <c r="G829" s="50">
        <v>0.0</v>
      </c>
      <c r="H829" s="50">
        <v>0.0</v>
      </c>
      <c r="I829" s="50">
        <v>0.0</v>
      </c>
      <c r="J829" s="50">
        <v>0.0</v>
      </c>
      <c r="K829" s="50">
        <v>0.0</v>
      </c>
      <c r="L829" s="50">
        <v>0.0</v>
      </c>
      <c r="M829" s="50">
        <v>0.0</v>
      </c>
      <c r="N829" s="50">
        <v>0.0</v>
      </c>
      <c r="O829" s="50">
        <v>0.0</v>
      </c>
      <c r="P829" s="50">
        <v>2.475</v>
      </c>
      <c r="Q829" s="50">
        <v>0.0</v>
      </c>
      <c r="R829" s="50">
        <v>0.0</v>
      </c>
      <c r="S829" s="50">
        <v>0.0</v>
      </c>
      <c r="T829" s="50">
        <v>2.8125</v>
      </c>
      <c r="U829" s="50">
        <v>0.0</v>
      </c>
      <c r="V829" s="50">
        <v>5.625</v>
      </c>
      <c r="W829" s="50">
        <v>0.0</v>
      </c>
      <c r="X829" s="50">
        <v>2.8125</v>
      </c>
      <c r="Y829" s="50">
        <v>13.725</v>
      </c>
    </row>
    <row r="830">
      <c r="A830" s="26">
        <v>824.0</v>
      </c>
      <c r="B830" s="65">
        <v>-1.0069740427006653</v>
      </c>
      <c r="C830" s="65">
        <v>0.3233872463386837</v>
      </c>
      <c r="D830" s="65">
        <v>-0.5881300009229298</v>
      </c>
      <c r="E830" s="65">
        <v>0.797170746846549</v>
      </c>
      <c r="F830" s="65">
        <v>5.065978769118907</v>
      </c>
      <c r="G830" s="50">
        <v>0.0</v>
      </c>
      <c r="H830" s="50">
        <v>0.0</v>
      </c>
      <c r="I830" s="50">
        <v>0.0</v>
      </c>
      <c r="J830" s="50">
        <v>0.0</v>
      </c>
      <c r="K830" s="50">
        <v>0.0</v>
      </c>
      <c r="L830" s="50">
        <v>0.0</v>
      </c>
      <c r="M830" s="50">
        <v>0.0</v>
      </c>
      <c r="N830" s="50">
        <v>0.0</v>
      </c>
      <c r="O830" s="50">
        <v>7.425000000000001</v>
      </c>
      <c r="P830" s="50">
        <v>2.475</v>
      </c>
      <c r="Q830" s="50">
        <v>0.0</v>
      </c>
      <c r="R830" s="50">
        <v>9.9</v>
      </c>
      <c r="S830" s="50">
        <v>0.0</v>
      </c>
      <c r="T830" s="50">
        <v>2.8125</v>
      </c>
      <c r="U830" s="50">
        <v>0.0</v>
      </c>
      <c r="V830" s="50">
        <v>5.625</v>
      </c>
      <c r="W830" s="50">
        <v>0.0</v>
      </c>
      <c r="X830" s="50">
        <v>2.8125</v>
      </c>
      <c r="Y830" s="50">
        <v>31.05</v>
      </c>
    </row>
    <row r="831">
      <c r="A831" s="26">
        <v>825.0</v>
      </c>
      <c r="B831" s="65">
        <v>2.6057143974203893</v>
      </c>
      <c r="C831" s="65">
        <v>2.4518150764592432</v>
      </c>
      <c r="D831" s="65">
        <v>1.6592882242109606</v>
      </c>
      <c r="E831" s="65">
        <v>1.228723539380042</v>
      </c>
      <c r="F831" s="65">
        <v>6.95489719244015</v>
      </c>
      <c r="G831" s="50">
        <v>0.0</v>
      </c>
      <c r="H831" s="50">
        <v>0.0</v>
      </c>
      <c r="I831" s="50">
        <v>0.0</v>
      </c>
      <c r="J831" s="50">
        <v>0.0</v>
      </c>
      <c r="K831" s="50">
        <v>0.0</v>
      </c>
      <c r="L831" s="50">
        <v>0.0</v>
      </c>
      <c r="M831" s="50">
        <v>0.0</v>
      </c>
      <c r="N831" s="50">
        <v>0.0</v>
      </c>
      <c r="O831" s="50">
        <v>0.0</v>
      </c>
      <c r="P831" s="50">
        <v>0.0</v>
      </c>
      <c r="Q831" s="50">
        <v>0.0</v>
      </c>
      <c r="R831" s="50">
        <v>0.0</v>
      </c>
      <c r="S831" s="50">
        <v>0.0</v>
      </c>
      <c r="T831" s="50">
        <v>2.8125</v>
      </c>
      <c r="U831" s="50">
        <v>0.0</v>
      </c>
      <c r="V831" s="50">
        <v>0.0</v>
      </c>
      <c r="W831" s="50">
        <v>0.0</v>
      </c>
      <c r="X831" s="50">
        <v>2.8125</v>
      </c>
      <c r="Y831" s="50">
        <v>5.625</v>
      </c>
    </row>
    <row r="832">
      <c r="A832" s="26">
        <v>826.0</v>
      </c>
      <c r="B832" s="65">
        <v>0.5597630220063198</v>
      </c>
      <c r="C832" s="65">
        <v>-0.3332512820108646</v>
      </c>
      <c r="D832" s="65">
        <v>0.7563206325658173</v>
      </c>
      <c r="E832" s="65">
        <v>1.1878740631582299</v>
      </c>
      <c r="F832" s="65">
        <v>4.899953836178769</v>
      </c>
      <c r="G832" s="50">
        <v>0.0</v>
      </c>
      <c r="H832" s="50">
        <v>0.0</v>
      </c>
      <c r="I832" s="50">
        <v>0.0</v>
      </c>
      <c r="J832" s="50">
        <v>0.0</v>
      </c>
      <c r="K832" s="50">
        <v>0.0</v>
      </c>
      <c r="L832" s="50">
        <v>0.0</v>
      </c>
      <c r="M832" s="50">
        <v>0.0</v>
      </c>
      <c r="N832" s="50">
        <v>0.0</v>
      </c>
      <c r="O832" s="50">
        <v>0.0</v>
      </c>
      <c r="P832" s="50">
        <v>0.0</v>
      </c>
      <c r="Q832" s="50">
        <v>0.0</v>
      </c>
      <c r="R832" s="50">
        <v>0.0</v>
      </c>
      <c r="S832" s="50">
        <v>0.0</v>
      </c>
      <c r="T832" s="50">
        <v>2.8125</v>
      </c>
      <c r="U832" s="50">
        <v>0.0</v>
      </c>
      <c r="V832" s="50">
        <v>0.0</v>
      </c>
      <c r="W832" s="50">
        <v>0.0</v>
      </c>
      <c r="X832" s="50">
        <v>2.8125</v>
      </c>
      <c r="Y832" s="50">
        <v>5.625</v>
      </c>
    </row>
    <row r="833">
      <c r="A833" s="26">
        <v>827.0</v>
      </c>
      <c r="B833" s="65">
        <v>0.5598674714561779</v>
      </c>
      <c r="C833" s="65">
        <v>0.8302931036058554</v>
      </c>
      <c r="D833" s="65">
        <v>-0.1700436198389412</v>
      </c>
      <c r="E833" s="65">
        <v>-0.06270031308524002</v>
      </c>
      <c r="F833" s="65">
        <v>7.721704513132053</v>
      </c>
      <c r="G833" s="50">
        <v>0.0</v>
      </c>
      <c r="H833" s="50">
        <v>0.0</v>
      </c>
      <c r="I833" s="50">
        <v>0.0</v>
      </c>
      <c r="J833" s="50">
        <v>0.0</v>
      </c>
      <c r="K833" s="50">
        <v>0.0</v>
      </c>
      <c r="L833" s="50">
        <v>0.0</v>
      </c>
      <c r="M833" s="50">
        <v>0.0</v>
      </c>
      <c r="N833" s="50">
        <v>0.0</v>
      </c>
      <c r="O833" s="50">
        <v>0.0</v>
      </c>
      <c r="P833" s="50">
        <v>0.0</v>
      </c>
      <c r="Q833" s="50">
        <v>0.0</v>
      </c>
      <c r="R833" s="50">
        <v>0.0</v>
      </c>
      <c r="S833" s="50">
        <v>0.0</v>
      </c>
      <c r="T833" s="50">
        <v>2.8125</v>
      </c>
      <c r="U833" s="50">
        <v>0.0</v>
      </c>
      <c r="V833" s="50">
        <v>5.625</v>
      </c>
      <c r="W833" s="50">
        <v>0.0</v>
      </c>
      <c r="X833" s="50">
        <v>2.8125</v>
      </c>
      <c r="Y833" s="50">
        <v>11.25</v>
      </c>
    </row>
    <row r="834">
      <c r="A834" s="26">
        <v>828.0</v>
      </c>
      <c r="B834" s="65">
        <v>0.9957230722500301</v>
      </c>
      <c r="C834" s="65">
        <v>-0.012847215047232229</v>
      </c>
      <c r="D834" s="65">
        <v>-0.024374064694288964</v>
      </c>
      <c r="E834" s="65">
        <v>-0.4762888656579233</v>
      </c>
      <c r="F834" s="65">
        <v>2.7485162808905557</v>
      </c>
      <c r="G834" s="50">
        <v>0.0</v>
      </c>
      <c r="H834" s="50">
        <v>0.0</v>
      </c>
      <c r="I834" s="50">
        <v>0.0</v>
      </c>
      <c r="J834" s="50">
        <v>0.0</v>
      </c>
      <c r="K834" s="50">
        <v>0.0</v>
      </c>
      <c r="L834" s="50">
        <v>0.0</v>
      </c>
      <c r="M834" s="50">
        <v>0.0</v>
      </c>
      <c r="N834" s="50">
        <v>0.0</v>
      </c>
      <c r="O834" s="50">
        <v>0.0</v>
      </c>
      <c r="P834" s="50">
        <v>0.0</v>
      </c>
      <c r="Q834" s="50">
        <v>0.0</v>
      </c>
      <c r="R834" s="50">
        <v>0.0</v>
      </c>
      <c r="S834" s="50">
        <v>0.0</v>
      </c>
      <c r="T834" s="50">
        <v>2.8125</v>
      </c>
      <c r="U834" s="50">
        <v>0.0</v>
      </c>
      <c r="V834" s="50">
        <v>0.0</v>
      </c>
      <c r="W834" s="50">
        <v>0.0</v>
      </c>
      <c r="X834" s="50">
        <v>2.8125</v>
      </c>
      <c r="Y834" s="50">
        <v>5.625</v>
      </c>
    </row>
    <row r="835">
      <c r="A835" s="26">
        <v>829.0</v>
      </c>
      <c r="B835" s="65">
        <v>0.4248476058899099</v>
      </c>
      <c r="C835" s="65">
        <v>0.43278429253013934</v>
      </c>
      <c r="D835" s="65">
        <v>-0.4420109272432789</v>
      </c>
      <c r="E835" s="65">
        <v>0.08213706165666207</v>
      </c>
      <c r="F835" s="65">
        <v>8.128727062089192</v>
      </c>
      <c r="G835" s="50">
        <v>0.0</v>
      </c>
      <c r="H835" s="50">
        <v>0.0</v>
      </c>
      <c r="I835" s="50">
        <v>0.0</v>
      </c>
      <c r="J835" s="50">
        <v>0.0</v>
      </c>
      <c r="K835" s="50">
        <v>0.0</v>
      </c>
      <c r="L835" s="50">
        <v>0.0</v>
      </c>
      <c r="M835" s="50">
        <v>0.0</v>
      </c>
      <c r="N835" s="50">
        <v>0.0</v>
      </c>
      <c r="O835" s="50">
        <v>0.0</v>
      </c>
      <c r="P835" s="50">
        <v>0.0</v>
      </c>
      <c r="Q835" s="50">
        <v>0.0</v>
      </c>
      <c r="R835" s="50">
        <v>0.0</v>
      </c>
      <c r="S835" s="50">
        <v>0.0</v>
      </c>
      <c r="T835" s="50">
        <v>2.8125</v>
      </c>
      <c r="U835" s="50">
        <v>0.0</v>
      </c>
      <c r="V835" s="50">
        <v>0.0</v>
      </c>
      <c r="W835" s="50">
        <v>0.0</v>
      </c>
      <c r="X835" s="50">
        <v>2.8125</v>
      </c>
      <c r="Y835" s="50">
        <v>5.625</v>
      </c>
    </row>
    <row r="836">
      <c r="A836" s="26">
        <v>830.0</v>
      </c>
      <c r="B836" s="65">
        <v>0.2612820906545537</v>
      </c>
      <c r="C836" s="65">
        <v>0.6952539147844254</v>
      </c>
      <c r="D836" s="65">
        <v>1.0687156600157515</v>
      </c>
      <c r="E836" s="65">
        <v>0.548086397159327</v>
      </c>
      <c r="F836" s="65">
        <v>1.1480742189829505</v>
      </c>
      <c r="G836" s="50">
        <v>0.0</v>
      </c>
      <c r="H836" s="50">
        <v>0.0</v>
      </c>
      <c r="I836" s="50">
        <v>0.0</v>
      </c>
      <c r="J836" s="50">
        <v>0.0</v>
      </c>
      <c r="K836" s="50">
        <v>0.0</v>
      </c>
      <c r="L836" s="50">
        <v>0.0</v>
      </c>
      <c r="M836" s="50">
        <v>0.0</v>
      </c>
      <c r="N836" s="50">
        <v>0.0</v>
      </c>
      <c r="O836" s="50">
        <v>0.0</v>
      </c>
      <c r="P836" s="50">
        <v>0.0</v>
      </c>
      <c r="Q836" s="50">
        <v>0.0</v>
      </c>
      <c r="R836" s="50">
        <v>0.0</v>
      </c>
      <c r="S836" s="50">
        <v>0.0</v>
      </c>
      <c r="T836" s="50">
        <v>2.8125</v>
      </c>
      <c r="U836" s="50">
        <v>0.0</v>
      </c>
      <c r="V836" s="50">
        <v>0.0</v>
      </c>
      <c r="W836" s="50">
        <v>0.0</v>
      </c>
      <c r="X836" s="50">
        <v>2.8125</v>
      </c>
      <c r="Y836" s="50">
        <v>5.625</v>
      </c>
    </row>
    <row r="837">
      <c r="A837" s="26">
        <v>831.0</v>
      </c>
      <c r="B837" s="65">
        <v>-1.1179698631009851</v>
      </c>
      <c r="C837" s="65">
        <v>0.6539237917734247</v>
      </c>
      <c r="D837" s="65">
        <v>0.09949281223794233</v>
      </c>
      <c r="E837" s="65">
        <v>-0.5727082531897022</v>
      </c>
      <c r="F837" s="65">
        <v>4.128682619303684</v>
      </c>
      <c r="G837" s="50">
        <v>0.0</v>
      </c>
      <c r="H837" s="50">
        <v>0.0</v>
      </c>
      <c r="I837" s="50">
        <v>0.0</v>
      </c>
      <c r="J837" s="50">
        <v>0.0</v>
      </c>
      <c r="K837" s="50">
        <v>0.0</v>
      </c>
      <c r="L837" s="50">
        <v>0.0</v>
      </c>
      <c r="M837" s="50">
        <v>0.0</v>
      </c>
      <c r="N837" s="50">
        <v>0.0</v>
      </c>
      <c r="O837" s="50">
        <v>7.425000000000001</v>
      </c>
      <c r="P837" s="50">
        <v>2.475</v>
      </c>
      <c r="Q837" s="50">
        <v>0.0</v>
      </c>
      <c r="R837" s="50">
        <v>9.9</v>
      </c>
      <c r="S837" s="50">
        <v>0.0</v>
      </c>
      <c r="T837" s="50">
        <v>2.8125</v>
      </c>
      <c r="U837" s="50">
        <v>0.0</v>
      </c>
      <c r="V837" s="50">
        <v>5.625</v>
      </c>
      <c r="W837" s="50">
        <v>0.0</v>
      </c>
      <c r="X837" s="50">
        <v>2.8125</v>
      </c>
      <c r="Y837" s="50">
        <v>31.05</v>
      </c>
    </row>
    <row r="838">
      <c r="A838" s="26">
        <v>832.0</v>
      </c>
      <c r="B838" s="65">
        <v>-0.20819151182595472</v>
      </c>
      <c r="C838" s="65">
        <v>-0.16129291331690143</v>
      </c>
      <c r="D838" s="65">
        <v>-0.958041342859802</v>
      </c>
      <c r="E838" s="65">
        <v>1.5695207787574403</v>
      </c>
      <c r="F838" s="65">
        <v>2.1885740973947616</v>
      </c>
      <c r="G838" s="50">
        <v>0.0</v>
      </c>
      <c r="H838" s="50">
        <v>0.0</v>
      </c>
      <c r="I838" s="50">
        <v>0.0</v>
      </c>
      <c r="J838" s="50">
        <v>0.0</v>
      </c>
      <c r="K838" s="50">
        <v>0.0</v>
      </c>
      <c r="L838" s="50">
        <v>0.0</v>
      </c>
      <c r="M838" s="50">
        <v>0.0</v>
      </c>
      <c r="N838" s="50">
        <v>0.0</v>
      </c>
      <c r="O838" s="50">
        <v>0.0</v>
      </c>
      <c r="P838" s="50">
        <v>0.0</v>
      </c>
      <c r="Q838" s="50">
        <v>0.0</v>
      </c>
      <c r="R838" s="50">
        <v>9.9</v>
      </c>
      <c r="S838" s="50">
        <v>0.0</v>
      </c>
      <c r="T838" s="50">
        <v>2.8125</v>
      </c>
      <c r="U838" s="50">
        <v>0.0</v>
      </c>
      <c r="V838" s="50">
        <v>0.0</v>
      </c>
      <c r="W838" s="50">
        <v>0.0</v>
      </c>
      <c r="X838" s="50">
        <v>2.8125</v>
      </c>
      <c r="Y838" s="50">
        <v>15.525</v>
      </c>
    </row>
    <row r="839">
      <c r="A839" s="26">
        <v>833.0</v>
      </c>
      <c r="B839" s="65">
        <v>-1.0551137299297126</v>
      </c>
      <c r="C839" s="65">
        <v>-0.5904986975638367</v>
      </c>
      <c r="D839" s="65">
        <v>0.5772256993772193</v>
      </c>
      <c r="E839" s="65">
        <v>0.2068210127127719</v>
      </c>
      <c r="F839" s="65">
        <v>11.94596616217544</v>
      </c>
      <c r="G839" s="50">
        <v>0.0</v>
      </c>
      <c r="H839" s="50">
        <v>0.0</v>
      </c>
      <c r="I839" s="50">
        <v>0.0</v>
      </c>
      <c r="J839" s="50">
        <v>0.0</v>
      </c>
      <c r="K839" s="50">
        <v>0.0</v>
      </c>
      <c r="L839" s="50">
        <v>0.0</v>
      </c>
      <c r="M839" s="50">
        <v>0.0</v>
      </c>
      <c r="N839" s="50">
        <v>0.0</v>
      </c>
      <c r="O839" s="50">
        <v>0.0</v>
      </c>
      <c r="P839" s="50">
        <v>0.0</v>
      </c>
      <c r="Q839" s="50">
        <v>0.0</v>
      </c>
      <c r="R839" s="50">
        <v>0.0</v>
      </c>
      <c r="S839" s="50">
        <v>0.0</v>
      </c>
      <c r="T839" s="50">
        <v>2.8125</v>
      </c>
      <c r="U839" s="50">
        <v>0.0</v>
      </c>
      <c r="V839" s="50">
        <v>0.0</v>
      </c>
      <c r="W839" s="50">
        <v>0.0</v>
      </c>
      <c r="X839" s="50">
        <v>2.8125</v>
      </c>
      <c r="Y839" s="50">
        <v>5.625</v>
      </c>
    </row>
    <row r="840">
      <c r="A840" s="26">
        <v>834.0</v>
      </c>
      <c r="B840" s="65">
        <v>1.0915104049546809</v>
      </c>
      <c r="C840" s="65">
        <v>0.6808187778662583</v>
      </c>
      <c r="D840" s="65">
        <v>-1.5638420398593673</v>
      </c>
      <c r="E840" s="65">
        <v>-1.332601632789496</v>
      </c>
      <c r="F840" s="65">
        <v>1.1063204178225279</v>
      </c>
      <c r="G840" s="50">
        <v>0.0</v>
      </c>
      <c r="H840" s="50">
        <v>0.0</v>
      </c>
      <c r="I840" s="50">
        <v>0.0</v>
      </c>
      <c r="J840" s="50">
        <v>0.0</v>
      </c>
      <c r="K840" s="50">
        <v>0.0</v>
      </c>
      <c r="L840" s="50">
        <v>0.0</v>
      </c>
      <c r="M840" s="50">
        <v>0.0</v>
      </c>
      <c r="N840" s="50">
        <v>0.0</v>
      </c>
      <c r="O840" s="50">
        <v>0.0</v>
      </c>
      <c r="P840" s="50">
        <v>2.475</v>
      </c>
      <c r="Q840" s="50">
        <v>0.0</v>
      </c>
      <c r="R840" s="50">
        <v>0.0</v>
      </c>
      <c r="S840" s="50">
        <v>0.0</v>
      </c>
      <c r="T840" s="50">
        <v>2.8125</v>
      </c>
      <c r="U840" s="50">
        <v>9.9</v>
      </c>
      <c r="V840" s="50">
        <v>0.0</v>
      </c>
      <c r="W840" s="50">
        <v>4.95</v>
      </c>
      <c r="X840" s="50">
        <v>2.8125</v>
      </c>
      <c r="Y840" s="50">
        <v>22.95</v>
      </c>
    </row>
    <row r="841">
      <c r="A841" s="26">
        <v>835.0</v>
      </c>
      <c r="B841" s="65">
        <v>0.8924802843308253</v>
      </c>
      <c r="C841" s="65">
        <v>1.7663275831751661</v>
      </c>
      <c r="D841" s="65">
        <v>-0.8311784619308431</v>
      </c>
      <c r="E841" s="65">
        <v>0.2824440230246225</v>
      </c>
      <c r="F841" s="65">
        <v>0.7377173703923569</v>
      </c>
      <c r="G841" s="50">
        <v>0.0</v>
      </c>
      <c r="H841" s="50">
        <v>0.0</v>
      </c>
      <c r="I841" s="50">
        <v>0.0</v>
      </c>
      <c r="J841" s="50">
        <v>0.0</v>
      </c>
      <c r="K841" s="50">
        <v>0.0</v>
      </c>
      <c r="L841" s="50">
        <v>0.0</v>
      </c>
      <c r="M841" s="50">
        <v>0.0</v>
      </c>
      <c r="N841" s="50">
        <v>0.0</v>
      </c>
      <c r="O841" s="50">
        <v>0.0</v>
      </c>
      <c r="P841" s="50">
        <v>0.0</v>
      </c>
      <c r="Q841" s="50">
        <v>0.0</v>
      </c>
      <c r="R841" s="50">
        <v>9.9</v>
      </c>
      <c r="S841" s="50">
        <v>0.0</v>
      </c>
      <c r="T841" s="50">
        <v>0.0</v>
      </c>
      <c r="U841" s="50">
        <v>0.0</v>
      </c>
      <c r="V841" s="50">
        <v>0.0</v>
      </c>
      <c r="W841" s="50">
        <v>0.0</v>
      </c>
      <c r="X841" s="50">
        <v>2.8125</v>
      </c>
      <c r="Y841" s="50">
        <v>12.7125</v>
      </c>
    </row>
    <row r="842">
      <c r="A842" s="26">
        <v>836.0</v>
      </c>
      <c r="B842" s="65">
        <v>0.7527966628156278</v>
      </c>
      <c r="C842" s="65">
        <v>0.1918070456619868</v>
      </c>
      <c r="D842" s="65">
        <v>0.5159814668870942</v>
      </c>
      <c r="E842" s="65">
        <v>-1.4319739121556783</v>
      </c>
      <c r="F842" s="65">
        <v>2.186105866791867</v>
      </c>
      <c r="G842" s="50">
        <v>0.0</v>
      </c>
      <c r="H842" s="50">
        <v>0.0</v>
      </c>
      <c r="I842" s="50">
        <v>0.0</v>
      </c>
      <c r="J842" s="50">
        <v>0.0</v>
      </c>
      <c r="K842" s="50">
        <v>0.0</v>
      </c>
      <c r="L842" s="50">
        <v>0.0</v>
      </c>
      <c r="M842" s="50">
        <v>0.0</v>
      </c>
      <c r="N842" s="50">
        <v>0.0</v>
      </c>
      <c r="O842" s="50">
        <v>0.0</v>
      </c>
      <c r="P842" s="50">
        <v>0.0</v>
      </c>
      <c r="Q842" s="50">
        <v>0.0</v>
      </c>
      <c r="R842" s="50">
        <v>0.0</v>
      </c>
      <c r="S842" s="50">
        <v>0.0</v>
      </c>
      <c r="T842" s="50">
        <v>2.8125</v>
      </c>
      <c r="U842" s="50">
        <v>0.0</v>
      </c>
      <c r="V842" s="50">
        <v>5.625</v>
      </c>
      <c r="W842" s="50">
        <v>4.95</v>
      </c>
      <c r="X842" s="50">
        <v>2.8125</v>
      </c>
      <c r="Y842" s="50">
        <v>16.2</v>
      </c>
    </row>
    <row r="843">
      <c r="A843" s="26">
        <v>837.0</v>
      </c>
      <c r="B843" s="65">
        <v>-0.4173089952490023</v>
      </c>
      <c r="C843" s="65">
        <v>1.844857023545041</v>
      </c>
      <c r="D843" s="65">
        <v>0.6755912126194878</v>
      </c>
      <c r="E843" s="65">
        <v>1.1140892356942467</v>
      </c>
      <c r="F843" s="65">
        <v>2.5181229563910192</v>
      </c>
      <c r="G843" s="50">
        <v>0.0</v>
      </c>
      <c r="H843" s="50">
        <v>0.0</v>
      </c>
      <c r="I843" s="50">
        <v>0.0</v>
      </c>
      <c r="J843" s="50">
        <v>0.0</v>
      </c>
      <c r="K843" s="50">
        <v>0.0</v>
      </c>
      <c r="L843" s="50">
        <v>0.0</v>
      </c>
      <c r="M843" s="50">
        <v>0.0</v>
      </c>
      <c r="N843" s="50">
        <v>0.0</v>
      </c>
      <c r="O843" s="50">
        <v>0.0</v>
      </c>
      <c r="P843" s="50">
        <v>0.0</v>
      </c>
      <c r="Q843" s="50">
        <v>0.0</v>
      </c>
      <c r="R843" s="50">
        <v>0.0</v>
      </c>
      <c r="S843" s="50">
        <v>0.0</v>
      </c>
      <c r="T843" s="50">
        <v>2.8125</v>
      </c>
      <c r="U843" s="50">
        <v>0.0</v>
      </c>
      <c r="V843" s="50">
        <v>0.0</v>
      </c>
      <c r="W843" s="50">
        <v>0.0</v>
      </c>
      <c r="X843" s="50">
        <v>2.8125</v>
      </c>
      <c r="Y843" s="50">
        <v>5.625</v>
      </c>
    </row>
    <row r="844">
      <c r="A844" s="26">
        <v>838.0</v>
      </c>
      <c r="B844" s="65">
        <v>-0.21503625591856051</v>
      </c>
      <c r="C844" s="65">
        <v>0.0765775610348259</v>
      </c>
      <c r="D844" s="65">
        <v>-0.23926806747968735</v>
      </c>
      <c r="E844" s="65">
        <v>1.142483682370777</v>
      </c>
      <c r="F844" s="65">
        <v>4.074562142292512</v>
      </c>
      <c r="G844" s="50">
        <v>0.0</v>
      </c>
      <c r="H844" s="50">
        <v>0.0</v>
      </c>
      <c r="I844" s="50">
        <v>0.0</v>
      </c>
      <c r="J844" s="50">
        <v>0.0</v>
      </c>
      <c r="K844" s="50">
        <v>0.0</v>
      </c>
      <c r="L844" s="50">
        <v>0.0</v>
      </c>
      <c r="M844" s="50">
        <v>0.0</v>
      </c>
      <c r="N844" s="50">
        <v>0.0</v>
      </c>
      <c r="O844" s="50">
        <v>0.0</v>
      </c>
      <c r="P844" s="50">
        <v>0.0</v>
      </c>
      <c r="Q844" s="50">
        <v>0.0</v>
      </c>
      <c r="R844" s="50">
        <v>0.0</v>
      </c>
      <c r="S844" s="50">
        <v>0.0</v>
      </c>
      <c r="T844" s="50">
        <v>2.8125</v>
      </c>
      <c r="U844" s="50">
        <v>0.0</v>
      </c>
      <c r="V844" s="50">
        <v>0.0</v>
      </c>
      <c r="W844" s="50">
        <v>0.0</v>
      </c>
      <c r="X844" s="50">
        <v>2.8125</v>
      </c>
      <c r="Y844" s="50">
        <v>5.625</v>
      </c>
    </row>
    <row r="845">
      <c r="A845" s="26">
        <v>839.0</v>
      </c>
      <c r="B845" s="65">
        <v>2.4365077047010706</v>
      </c>
      <c r="C845" s="65">
        <v>2.1027893055152616</v>
      </c>
      <c r="D845" s="65">
        <v>-0.6461485423139107</v>
      </c>
      <c r="E845" s="65">
        <v>1.0978222785714382</v>
      </c>
      <c r="F845" s="65">
        <v>1.9069827087994635</v>
      </c>
      <c r="G845" s="50">
        <v>0.0</v>
      </c>
      <c r="H845" s="50">
        <v>0.0</v>
      </c>
      <c r="I845" s="50">
        <v>0.0</v>
      </c>
      <c r="J845" s="50">
        <v>0.0</v>
      </c>
      <c r="K845" s="50">
        <v>0.0</v>
      </c>
      <c r="L845" s="50">
        <v>0.0</v>
      </c>
      <c r="M845" s="50">
        <v>0.0</v>
      </c>
      <c r="N845" s="50">
        <v>0.0</v>
      </c>
      <c r="O845" s="50">
        <v>0.0</v>
      </c>
      <c r="P845" s="50">
        <v>0.0</v>
      </c>
      <c r="Q845" s="50">
        <v>0.0</v>
      </c>
      <c r="R845" s="50">
        <v>0.0</v>
      </c>
      <c r="S845" s="50">
        <v>0.0</v>
      </c>
      <c r="T845" s="50">
        <v>2.8125</v>
      </c>
      <c r="U845" s="50">
        <v>0.0</v>
      </c>
      <c r="V845" s="50">
        <v>0.0</v>
      </c>
      <c r="W845" s="50">
        <v>0.0</v>
      </c>
      <c r="X845" s="50">
        <v>2.8125</v>
      </c>
      <c r="Y845" s="50">
        <v>5.625</v>
      </c>
    </row>
    <row r="846">
      <c r="A846" s="26">
        <v>840.0</v>
      </c>
      <c r="B846" s="65">
        <v>0.8115098514787424</v>
      </c>
      <c r="C846" s="65">
        <v>1.440906212504613</v>
      </c>
      <c r="D846" s="65">
        <v>-0.014502522862026015</v>
      </c>
      <c r="E846" s="65">
        <v>-0.24171581233535502</v>
      </c>
      <c r="F846" s="65">
        <v>1.2925738389120376</v>
      </c>
      <c r="G846" s="50">
        <v>0.0</v>
      </c>
      <c r="H846" s="50">
        <v>0.0</v>
      </c>
      <c r="I846" s="50">
        <v>0.0</v>
      </c>
      <c r="J846" s="50">
        <v>0.0</v>
      </c>
      <c r="K846" s="50">
        <v>0.0</v>
      </c>
      <c r="L846" s="50">
        <v>0.0</v>
      </c>
      <c r="M846" s="50">
        <v>0.0</v>
      </c>
      <c r="N846" s="50">
        <v>0.0</v>
      </c>
      <c r="O846" s="50">
        <v>0.0</v>
      </c>
      <c r="P846" s="50">
        <v>0.0</v>
      </c>
      <c r="Q846" s="50">
        <v>0.0</v>
      </c>
      <c r="R846" s="50">
        <v>0.0</v>
      </c>
      <c r="S846" s="50">
        <v>0.0</v>
      </c>
      <c r="T846" s="50">
        <v>2.8125</v>
      </c>
      <c r="U846" s="50">
        <v>0.0</v>
      </c>
      <c r="V846" s="50">
        <v>5.625</v>
      </c>
      <c r="W846" s="50">
        <v>0.0</v>
      </c>
      <c r="X846" s="50">
        <v>2.8125</v>
      </c>
      <c r="Y846" s="50">
        <v>11.25</v>
      </c>
    </row>
    <row r="847">
      <c r="A847" s="26">
        <v>841.0</v>
      </c>
      <c r="B847" s="65">
        <v>0.5379031407567832</v>
      </c>
      <c r="C847" s="65">
        <v>-0.5995614463102367</v>
      </c>
      <c r="D847" s="65">
        <v>0.24049116733106216</v>
      </c>
      <c r="E847" s="65">
        <v>0.41535805453349267</v>
      </c>
      <c r="F847" s="65">
        <v>5.852369256820419</v>
      </c>
      <c r="G847" s="50">
        <v>0.0</v>
      </c>
      <c r="H847" s="50">
        <v>0.0</v>
      </c>
      <c r="I847" s="50">
        <v>0.0</v>
      </c>
      <c r="J847" s="50">
        <v>0.0</v>
      </c>
      <c r="K847" s="50">
        <v>0.0</v>
      </c>
      <c r="L847" s="50">
        <v>0.0</v>
      </c>
      <c r="M847" s="50">
        <v>0.0</v>
      </c>
      <c r="N847" s="50">
        <v>0.0</v>
      </c>
      <c r="O847" s="50">
        <v>0.0</v>
      </c>
      <c r="P847" s="50">
        <v>0.0</v>
      </c>
      <c r="Q847" s="50">
        <v>0.0</v>
      </c>
      <c r="R847" s="50">
        <v>0.0</v>
      </c>
      <c r="S847" s="50">
        <v>0.0</v>
      </c>
      <c r="T847" s="50">
        <v>2.8125</v>
      </c>
      <c r="U847" s="50">
        <v>0.0</v>
      </c>
      <c r="V847" s="50">
        <v>0.0</v>
      </c>
      <c r="W847" s="50">
        <v>0.0</v>
      </c>
      <c r="X847" s="50">
        <v>2.8125</v>
      </c>
      <c r="Y847" s="50">
        <v>5.625</v>
      </c>
    </row>
    <row r="848">
      <c r="A848" s="26">
        <v>842.0</v>
      </c>
      <c r="B848" s="65">
        <v>0.6070124065923685</v>
      </c>
      <c r="C848" s="65">
        <v>0.29023588011130996</v>
      </c>
      <c r="D848" s="65">
        <v>-1.0309718014222151</v>
      </c>
      <c r="E848" s="65">
        <v>0.07059901274437272</v>
      </c>
      <c r="F848" s="65">
        <v>4.555998980679698</v>
      </c>
      <c r="G848" s="50">
        <v>0.0</v>
      </c>
      <c r="H848" s="50">
        <v>0.0</v>
      </c>
      <c r="I848" s="50">
        <v>0.0</v>
      </c>
      <c r="J848" s="50">
        <v>0.0</v>
      </c>
      <c r="K848" s="50">
        <v>0.0</v>
      </c>
      <c r="L848" s="50">
        <v>0.0</v>
      </c>
      <c r="M848" s="50">
        <v>0.0</v>
      </c>
      <c r="N848" s="50">
        <v>0.0</v>
      </c>
      <c r="O848" s="50">
        <v>0.0</v>
      </c>
      <c r="P848" s="50">
        <v>0.0</v>
      </c>
      <c r="Q848" s="50">
        <v>0.0</v>
      </c>
      <c r="R848" s="50">
        <v>0.0</v>
      </c>
      <c r="S848" s="50">
        <v>0.0</v>
      </c>
      <c r="T848" s="50">
        <v>2.8125</v>
      </c>
      <c r="U848" s="50">
        <v>0.0</v>
      </c>
      <c r="V848" s="50">
        <v>0.0</v>
      </c>
      <c r="W848" s="50">
        <v>0.0</v>
      </c>
      <c r="X848" s="50">
        <v>2.8125</v>
      </c>
      <c r="Y848" s="50">
        <v>5.625</v>
      </c>
    </row>
    <row r="849">
      <c r="A849" s="26">
        <v>843.0</v>
      </c>
      <c r="B849" s="65">
        <v>-0.555580533924554</v>
      </c>
      <c r="C849" s="65">
        <v>-2.172257869351712</v>
      </c>
      <c r="D849" s="65">
        <v>0.06619135879447596</v>
      </c>
      <c r="E849" s="65">
        <v>0.6749929128485324</v>
      </c>
      <c r="F849" s="65">
        <v>12.277901388099167</v>
      </c>
      <c r="G849" s="50">
        <v>0.0</v>
      </c>
      <c r="H849" s="50">
        <v>0.0</v>
      </c>
      <c r="I849" s="50">
        <v>0.0</v>
      </c>
      <c r="J849" s="50">
        <v>0.0</v>
      </c>
      <c r="K849" s="50">
        <v>0.0</v>
      </c>
      <c r="L849" s="50">
        <v>0.0</v>
      </c>
      <c r="M849" s="50">
        <v>0.0</v>
      </c>
      <c r="N849" s="50">
        <v>0.0</v>
      </c>
      <c r="O849" s="50">
        <v>0.0</v>
      </c>
      <c r="P849" s="50">
        <v>0.0</v>
      </c>
      <c r="Q849" s="50">
        <v>0.0</v>
      </c>
      <c r="R849" s="50">
        <v>0.0</v>
      </c>
      <c r="S849" s="50">
        <v>0.0</v>
      </c>
      <c r="T849" s="50">
        <v>2.8125</v>
      </c>
      <c r="U849" s="50">
        <v>0.0</v>
      </c>
      <c r="V849" s="50">
        <v>0.0</v>
      </c>
      <c r="W849" s="50">
        <v>0.0</v>
      </c>
      <c r="X849" s="50">
        <v>2.8125</v>
      </c>
      <c r="Y849" s="50">
        <v>5.625</v>
      </c>
    </row>
    <row r="850">
      <c r="A850" s="26">
        <v>844.0</v>
      </c>
      <c r="B850" s="65">
        <v>0.7671578457038776</v>
      </c>
      <c r="C850" s="65">
        <v>-1.1568206655461473</v>
      </c>
      <c r="D850" s="65">
        <v>1.001899431657058</v>
      </c>
      <c r="E850" s="65">
        <v>-0.07806753449605822</v>
      </c>
      <c r="F850" s="65">
        <v>2.0436977284923046</v>
      </c>
      <c r="G850" s="50">
        <v>0.0</v>
      </c>
      <c r="H850" s="50">
        <v>0.0</v>
      </c>
      <c r="I850" s="50">
        <v>0.0</v>
      </c>
      <c r="J850" s="50">
        <v>0.0</v>
      </c>
      <c r="K850" s="50">
        <v>0.0</v>
      </c>
      <c r="L850" s="50">
        <v>0.0</v>
      </c>
      <c r="M850" s="50">
        <v>0.0</v>
      </c>
      <c r="N850" s="50">
        <v>0.0</v>
      </c>
      <c r="O850" s="50">
        <v>0.0</v>
      </c>
      <c r="P850" s="50">
        <v>0.0</v>
      </c>
      <c r="Q850" s="50">
        <v>0.0</v>
      </c>
      <c r="R850" s="50">
        <v>0.0</v>
      </c>
      <c r="S850" s="50">
        <v>0.0</v>
      </c>
      <c r="T850" s="50">
        <v>2.8125</v>
      </c>
      <c r="U850" s="50">
        <v>0.0</v>
      </c>
      <c r="V850" s="50">
        <v>0.0</v>
      </c>
      <c r="W850" s="50">
        <v>0.0</v>
      </c>
      <c r="X850" s="50">
        <v>2.8125</v>
      </c>
      <c r="Y850" s="50">
        <v>5.625</v>
      </c>
    </row>
    <row r="851">
      <c r="A851" s="26">
        <v>845.0</v>
      </c>
      <c r="B851" s="65">
        <v>0.8317785011351108</v>
      </c>
      <c r="C851" s="65">
        <v>-0.4992733948329483</v>
      </c>
      <c r="D851" s="65">
        <v>0.37536909524204726</v>
      </c>
      <c r="E851" s="65">
        <v>0.656800700787985</v>
      </c>
      <c r="F851" s="65">
        <v>3.493763803232094</v>
      </c>
      <c r="G851" s="50">
        <v>0.0</v>
      </c>
      <c r="H851" s="50">
        <v>0.0</v>
      </c>
      <c r="I851" s="50">
        <v>0.0</v>
      </c>
      <c r="J851" s="50">
        <v>0.0</v>
      </c>
      <c r="K851" s="50">
        <v>0.0</v>
      </c>
      <c r="L851" s="50">
        <v>0.0</v>
      </c>
      <c r="M851" s="50">
        <v>0.0</v>
      </c>
      <c r="N851" s="50">
        <v>0.0</v>
      </c>
      <c r="O851" s="50">
        <v>0.0</v>
      </c>
      <c r="P851" s="50">
        <v>0.0</v>
      </c>
      <c r="Q851" s="50">
        <v>0.0</v>
      </c>
      <c r="R851" s="50">
        <v>0.0</v>
      </c>
      <c r="S851" s="50">
        <v>0.0</v>
      </c>
      <c r="T851" s="50">
        <v>2.8125</v>
      </c>
      <c r="U851" s="50">
        <v>0.0</v>
      </c>
      <c r="V851" s="50">
        <v>0.0</v>
      </c>
      <c r="W851" s="50">
        <v>0.0</v>
      </c>
      <c r="X851" s="50">
        <v>2.8125</v>
      </c>
      <c r="Y851" s="50">
        <v>5.625</v>
      </c>
    </row>
    <row r="852">
      <c r="A852" s="26">
        <v>846.0</v>
      </c>
      <c r="B852" s="65">
        <v>-0.05700262367051781</v>
      </c>
      <c r="C852" s="65">
        <v>0.43052614363643715</v>
      </c>
      <c r="D852" s="65">
        <v>-0.963780419633239</v>
      </c>
      <c r="E852" s="65">
        <v>2.3619532870677755</v>
      </c>
      <c r="F852" s="65">
        <v>0.32326895034992337</v>
      </c>
      <c r="G852" s="50">
        <v>0.0</v>
      </c>
      <c r="H852" s="50">
        <v>0.0</v>
      </c>
      <c r="I852" s="50">
        <v>0.0</v>
      </c>
      <c r="J852" s="50">
        <v>0.0</v>
      </c>
      <c r="K852" s="50">
        <v>0.0</v>
      </c>
      <c r="L852" s="50">
        <v>0.0</v>
      </c>
      <c r="M852" s="50">
        <v>0.0</v>
      </c>
      <c r="N852" s="50">
        <v>0.0</v>
      </c>
      <c r="O852" s="50">
        <v>0.0</v>
      </c>
      <c r="P852" s="50">
        <v>0.0</v>
      </c>
      <c r="Q852" s="50">
        <v>0.0</v>
      </c>
      <c r="R852" s="50">
        <v>9.9</v>
      </c>
      <c r="S852" s="50">
        <v>11.25</v>
      </c>
      <c r="T852" s="50">
        <v>2.8125</v>
      </c>
      <c r="U852" s="50">
        <v>0.0</v>
      </c>
      <c r="V852" s="50">
        <v>0.0</v>
      </c>
      <c r="W852" s="50">
        <v>0.0</v>
      </c>
      <c r="X852" s="50">
        <v>0.0</v>
      </c>
      <c r="Y852" s="50">
        <v>23.9625</v>
      </c>
    </row>
    <row r="853">
      <c r="A853" s="26">
        <v>847.0</v>
      </c>
      <c r="B853" s="65">
        <v>1.7890719787642104</v>
      </c>
      <c r="C853" s="65">
        <v>1.0081422690672632</v>
      </c>
      <c r="D853" s="65">
        <v>-0.3459460075476422</v>
      </c>
      <c r="E853" s="65">
        <v>-2.3751148757533653</v>
      </c>
      <c r="F853" s="65">
        <v>8.299233522814744</v>
      </c>
      <c r="G853" s="50">
        <v>0.0</v>
      </c>
      <c r="H853" s="50">
        <v>0.0</v>
      </c>
      <c r="I853" s="50">
        <v>0.0</v>
      </c>
      <c r="J853" s="50">
        <v>0.0</v>
      </c>
      <c r="K853" s="50">
        <v>0.0</v>
      </c>
      <c r="L853" s="50">
        <v>0.0</v>
      </c>
      <c r="M853" s="50">
        <v>0.0</v>
      </c>
      <c r="N853" s="50">
        <v>0.0</v>
      </c>
      <c r="O853" s="50">
        <v>0.0</v>
      </c>
      <c r="P853" s="50">
        <v>0.0</v>
      </c>
      <c r="Q853" s="50">
        <v>0.0</v>
      </c>
      <c r="R853" s="50">
        <v>0.0</v>
      </c>
      <c r="S853" s="50">
        <v>0.0</v>
      </c>
      <c r="T853" s="50">
        <v>2.8125</v>
      </c>
      <c r="U853" s="50">
        <v>0.0</v>
      </c>
      <c r="V853" s="50">
        <v>0.0</v>
      </c>
      <c r="W853" s="50">
        <v>0.0</v>
      </c>
      <c r="X853" s="50">
        <v>2.8125</v>
      </c>
      <c r="Y853" s="50">
        <v>5.625</v>
      </c>
    </row>
    <row r="854">
      <c r="A854" s="26">
        <v>848.0</v>
      </c>
      <c r="B854" s="65">
        <v>0.6473379342132831</v>
      </c>
      <c r="C854" s="65">
        <v>-2.2034987814127187</v>
      </c>
      <c r="D854" s="65">
        <v>-0.6911607115035645</v>
      </c>
      <c r="E854" s="65">
        <v>1.6457405628151593</v>
      </c>
      <c r="F854" s="65">
        <v>4.6609823684697576</v>
      </c>
      <c r="G854" s="50">
        <v>0.0</v>
      </c>
      <c r="H854" s="50">
        <v>0.0</v>
      </c>
      <c r="I854" s="50">
        <v>0.0</v>
      </c>
      <c r="J854" s="50">
        <v>0.0</v>
      </c>
      <c r="K854" s="50">
        <v>0.0</v>
      </c>
      <c r="L854" s="50">
        <v>0.0</v>
      </c>
      <c r="M854" s="50">
        <v>0.0</v>
      </c>
      <c r="N854" s="50">
        <v>0.0</v>
      </c>
      <c r="O854" s="50">
        <v>0.0</v>
      </c>
      <c r="P854" s="50">
        <v>0.0</v>
      </c>
      <c r="Q854" s="50">
        <v>0.0</v>
      </c>
      <c r="R854" s="50">
        <v>0.0</v>
      </c>
      <c r="S854" s="50">
        <v>0.0</v>
      </c>
      <c r="T854" s="50">
        <v>2.8125</v>
      </c>
      <c r="U854" s="50">
        <v>0.0</v>
      </c>
      <c r="V854" s="50">
        <v>0.0</v>
      </c>
      <c r="W854" s="50">
        <v>0.0</v>
      </c>
      <c r="X854" s="50">
        <v>2.8125</v>
      </c>
      <c r="Y854" s="50">
        <v>5.625</v>
      </c>
    </row>
    <row r="855">
      <c r="A855" s="26">
        <v>849.0</v>
      </c>
      <c r="B855" s="65">
        <v>-0.46991070966408816</v>
      </c>
      <c r="C855" s="65">
        <v>0.13269225329318088</v>
      </c>
      <c r="D855" s="65">
        <v>0.25705526650937144</v>
      </c>
      <c r="E855" s="65">
        <v>-2.2519733415767473</v>
      </c>
      <c r="F855" s="65">
        <v>5.135944885576405</v>
      </c>
      <c r="G855" s="50">
        <v>0.0</v>
      </c>
      <c r="H855" s="50">
        <v>0.0</v>
      </c>
      <c r="I855" s="50">
        <v>0.0</v>
      </c>
      <c r="J855" s="50">
        <v>0.0</v>
      </c>
      <c r="K855" s="50">
        <v>0.0</v>
      </c>
      <c r="L855" s="50">
        <v>0.0</v>
      </c>
      <c r="M855" s="50">
        <v>0.0</v>
      </c>
      <c r="N855" s="50">
        <v>0.0</v>
      </c>
      <c r="O855" s="50">
        <v>0.0</v>
      </c>
      <c r="P855" s="50">
        <v>0.0</v>
      </c>
      <c r="Q855" s="50">
        <v>0.0</v>
      </c>
      <c r="R855" s="50">
        <v>0.0</v>
      </c>
      <c r="S855" s="50">
        <v>0.0</v>
      </c>
      <c r="T855" s="50">
        <v>2.8125</v>
      </c>
      <c r="U855" s="50">
        <v>0.0</v>
      </c>
      <c r="V855" s="50">
        <v>5.625</v>
      </c>
      <c r="W855" s="50">
        <v>4.95</v>
      </c>
      <c r="X855" s="50">
        <v>2.8125</v>
      </c>
      <c r="Y855" s="50">
        <v>16.2</v>
      </c>
    </row>
    <row r="856">
      <c r="A856" s="26">
        <v>850.0</v>
      </c>
      <c r="B856" s="65">
        <v>-0.6235852469377343</v>
      </c>
      <c r="C856" s="65">
        <v>-0.6075930568483868</v>
      </c>
      <c r="D856" s="65">
        <v>1.128909319222541</v>
      </c>
      <c r="E856" s="65">
        <v>-1.3678196201832866</v>
      </c>
      <c r="F856" s="65">
        <v>3.668490875851283</v>
      </c>
      <c r="G856" s="50">
        <v>0.0</v>
      </c>
      <c r="H856" s="50">
        <v>0.0</v>
      </c>
      <c r="I856" s="50">
        <v>0.0</v>
      </c>
      <c r="J856" s="50">
        <v>0.0</v>
      </c>
      <c r="K856" s="50">
        <v>0.0</v>
      </c>
      <c r="L856" s="50">
        <v>0.0</v>
      </c>
      <c r="M856" s="50">
        <v>0.0</v>
      </c>
      <c r="N856" s="50">
        <v>0.0</v>
      </c>
      <c r="O856" s="50">
        <v>0.0</v>
      </c>
      <c r="P856" s="50">
        <v>0.0</v>
      </c>
      <c r="Q856" s="50">
        <v>0.0</v>
      </c>
      <c r="R856" s="50">
        <v>0.0</v>
      </c>
      <c r="S856" s="50">
        <v>0.0</v>
      </c>
      <c r="T856" s="50">
        <v>2.8125</v>
      </c>
      <c r="U856" s="50">
        <v>0.0</v>
      </c>
      <c r="V856" s="50">
        <v>5.625</v>
      </c>
      <c r="W856" s="50">
        <v>0.0</v>
      </c>
      <c r="X856" s="50">
        <v>2.8125</v>
      </c>
      <c r="Y856" s="50">
        <v>11.25</v>
      </c>
    </row>
    <row r="857">
      <c r="A857" s="26">
        <v>851.0</v>
      </c>
      <c r="B857" s="65">
        <v>0.31964307659057273</v>
      </c>
      <c r="C857" s="65">
        <v>0.16015723528057488</v>
      </c>
      <c r="D857" s="65">
        <v>0.1921548142347193</v>
      </c>
      <c r="E857" s="65">
        <v>0.11195193930434139</v>
      </c>
      <c r="F857" s="65">
        <v>3.075356671391414</v>
      </c>
      <c r="G857" s="50">
        <v>0.0</v>
      </c>
      <c r="H857" s="50">
        <v>0.0</v>
      </c>
      <c r="I857" s="50">
        <v>0.0</v>
      </c>
      <c r="J857" s="50">
        <v>0.0</v>
      </c>
      <c r="K857" s="50">
        <v>0.0</v>
      </c>
      <c r="L857" s="50">
        <v>0.0</v>
      </c>
      <c r="M857" s="50">
        <v>0.0</v>
      </c>
      <c r="N857" s="50">
        <v>0.0</v>
      </c>
      <c r="O857" s="50">
        <v>0.0</v>
      </c>
      <c r="P857" s="50">
        <v>0.0</v>
      </c>
      <c r="Q857" s="50">
        <v>0.0</v>
      </c>
      <c r="R857" s="50">
        <v>9.9</v>
      </c>
      <c r="S857" s="50">
        <v>0.0</v>
      </c>
      <c r="T857" s="50">
        <v>2.8125</v>
      </c>
      <c r="U857" s="50">
        <v>0.0</v>
      </c>
      <c r="V857" s="50">
        <v>0.0</v>
      </c>
      <c r="W857" s="50">
        <v>0.0</v>
      </c>
      <c r="X857" s="50">
        <v>2.8125</v>
      </c>
      <c r="Y857" s="50">
        <v>15.525</v>
      </c>
    </row>
    <row r="858">
      <c r="A858" s="26">
        <v>852.0</v>
      </c>
      <c r="B858" s="65">
        <v>-0.46271850291891214</v>
      </c>
      <c r="C858" s="65">
        <v>-0.4278755173706459</v>
      </c>
      <c r="D858" s="65">
        <v>0.36284604551617045</v>
      </c>
      <c r="E858" s="65">
        <v>-0.2896634195683282</v>
      </c>
      <c r="F858" s="65">
        <v>3.9100827666901403</v>
      </c>
      <c r="G858" s="50">
        <v>0.0</v>
      </c>
      <c r="H858" s="50">
        <v>0.0</v>
      </c>
      <c r="I858" s="50">
        <v>0.0</v>
      </c>
      <c r="J858" s="50">
        <v>0.0</v>
      </c>
      <c r="K858" s="50">
        <v>0.0</v>
      </c>
      <c r="L858" s="50">
        <v>0.0</v>
      </c>
      <c r="M858" s="50">
        <v>0.0</v>
      </c>
      <c r="N858" s="50">
        <v>0.0</v>
      </c>
      <c r="O858" s="50">
        <v>0.0</v>
      </c>
      <c r="P858" s="50">
        <v>0.0</v>
      </c>
      <c r="Q858" s="50">
        <v>0.0</v>
      </c>
      <c r="R858" s="50">
        <v>9.9</v>
      </c>
      <c r="S858" s="50">
        <v>0.0</v>
      </c>
      <c r="T858" s="50">
        <v>2.8125</v>
      </c>
      <c r="U858" s="50">
        <v>0.0</v>
      </c>
      <c r="V858" s="50">
        <v>0.0</v>
      </c>
      <c r="W858" s="50">
        <v>4.95</v>
      </c>
      <c r="X858" s="50">
        <v>2.8125</v>
      </c>
      <c r="Y858" s="50">
        <v>20.475</v>
      </c>
    </row>
    <row r="859">
      <c r="A859" s="26">
        <v>853.0</v>
      </c>
      <c r="B859" s="65">
        <v>1.3322086038211483</v>
      </c>
      <c r="C859" s="65">
        <v>-0.29553253507297733</v>
      </c>
      <c r="D859" s="65">
        <v>0.9847168999916946</v>
      </c>
      <c r="E859" s="65">
        <v>1.1208658454532279</v>
      </c>
      <c r="F859" s="65">
        <v>4.401926703045603</v>
      </c>
      <c r="G859" s="50">
        <v>0.0</v>
      </c>
      <c r="H859" s="50">
        <v>0.0</v>
      </c>
      <c r="I859" s="50">
        <v>0.0</v>
      </c>
      <c r="J859" s="50">
        <v>0.0</v>
      </c>
      <c r="K859" s="50">
        <v>0.0</v>
      </c>
      <c r="L859" s="50">
        <v>0.0</v>
      </c>
      <c r="M859" s="50">
        <v>0.0</v>
      </c>
      <c r="N859" s="50">
        <v>0.0</v>
      </c>
      <c r="O859" s="50">
        <v>0.0</v>
      </c>
      <c r="P859" s="50">
        <v>0.0</v>
      </c>
      <c r="Q859" s="50">
        <v>0.0</v>
      </c>
      <c r="R859" s="50">
        <v>0.0</v>
      </c>
      <c r="S859" s="50">
        <v>0.0</v>
      </c>
      <c r="T859" s="50">
        <v>2.8125</v>
      </c>
      <c r="U859" s="50">
        <v>0.0</v>
      </c>
      <c r="V859" s="50">
        <v>0.0</v>
      </c>
      <c r="W859" s="50">
        <v>0.0</v>
      </c>
      <c r="X859" s="50">
        <v>2.8125</v>
      </c>
      <c r="Y859" s="50">
        <v>5.625</v>
      </c>
    </row>
    <row r="860">
      <c r="A860" s="26">
        <v>854.0</v>
      </c>
      <c r="B860" s="65">
        <v>0.5606809938777206</v>
      </c>
      <c r="C860" s="65">
        <v>0.9803425978359774</v>
      </c>
      <c r="D860" s="65">
        <v>0.1467691684031907</v>
      </c>
      <c r="E860" s="65">
        <v>0.10501609617543975</v>
      </c>
      <c r="F860" s="65">
        <v>4.854271557498266</v>
      </c>
      <c r="G860" s="50">
        <v>0.0</v>
      </c>
      <c r="H860" s="50">
        <v>0.0</v>
      </c>
      <c r="I860" s="50">
        <v>0.0</v>
      </c>
      <c r="J860" s="50">
        <v>0.0</v>
      </c>
      <c r="K860" s="50">
        <v>0.0</v>
      </c>
      <c r="L860" s="50">
        <v>0.0</v>
      </c>
      <c r="M860" s="50">
        <v>0.0</v>
      </c>
      <c r="N860" s="50">
        <v>0.0</v>
      </c>
      <c r="O860" s="50">
        <v>0.0</v>
      </c>
      <c r="P860" s="50">
        <v>0.0</v>
      </c>
      <c r="Q860" s="50">
        <v>0.0</v>
      </c>
      <c r="R860" s="50">
        <v>0.0</v>
      </c>
      <c r="S860" s="50">
        <v>0.0</v>
      </c>
      <c r="T860" s="50">
        <v>2.8125</v>
      </c>
      <c r="U860" s="50">
        <v>0.0</v>
      </c>
      <c r="V860" s="50">
        <v>0.0</v>
      </c>
      <c r="W860" s="50">
        <v>0.0</v>
      </c>
      <c r="X860" s="50">
        <v>2.8125</v>
      </c>
      <c r="Y860" s="50">
        <v>5.625</v>
      </c>
    </row>
    <row r="861">
      <c r="A861" s="26">
        <v>855.0</v>
      </c>
      <c r="B861" s="65">
        <v>0.3250762513132956</v>
      </c>
      <c r="C861" s="65">
        <v>0.24896383172816486</v>
      </c>
      <c r="D861" s="65">
        <v>-1.034412983856244</v>
      </c>
      <c r="E861" s="65">
        <v>-0.41732355562871887</v>
      </c>
      <c r="F861" s="65">
        <v>8.705745119190608</v>
      </c>
      <c r="G861" s="50">
        <v>0.0</v>
      </c>
      <c r="H861" s="50">
        <v>0.0</v>
      </c>
      <c r="I861" s="50">
        <v>0.0</v>
      </c>
      <c r="J861" s="50">
        <v>0.0</v>
      </c>
      <c r="K861" s="50">
        <v>0.0</v>
      </c>
      <c r="L861" s="50">
        <v>0.0</v>
      </c>
      <c r="M861" s="50">
        <v>0.0</v>
      </c>
      <c r="N861" s="50">
        <v>0.0</v>
      </c>
      <c r="O861" s="50">
        <v>0.0</v>
      </c>
      <c r="P861" s="50">
        <v>0.0</v>
      </c>
      <c r="Q861" s="50">
        <v>0.0</v>
      </c>
      <c r="R861" s="50">
        <v>9.9</v>
      </c>
      <c r="S861" s="50">
        <v>0.0</v>
      </c>
      <c r="T861" s="50">
        <v>2.8125</v>
      </c>
      <c r="U861" s="50">
        <v>0.0</v>
      </c>
      <c r="V861" s="50">
        <v>5.625</v>
      </c>
      <c r="W861" s="50">
        <v>0.0</v>
      </c>
      <c r="X861" s="50">
        <v>2.8125</v>
      </c>
      <c r="Y861" s="50">
        <v>21.15</v>
      </c>
    </row>
    <row r="862">
      <c r="A862" s="26">
        <v>856.0</v>
      </c>
      <c r="B862" s="65">
        <v>-0.6305894299126398</v>
      </c>
      <c r="C862" s="65">
        <v>-0.4024535928494761</v>
      </c>
      <c r="D862" s="65">
        <v>0.16139349963254154</v>
      </c>
      <c r="E862" s="65">
        <v>-0.4137343080560681</v>
      </c>
      <c r="F862" s="65">
        <v>9.131982750074888</v>
      </c>
      <c r="G862" s="50">
        <v>0.0</v>
      </c>
      <c r="H862" s="50">
        <v>0.0</v>
      </c>
      <c r="I862" s="50">
        <v>0.0</v>
      </c>
      <c r="J862" s="50">
        <v>0.0</v>
      </c>
      <c r="K862" s="50">
        <v>0.0</v>
      </c>
      <c r="L862" s="50">
        <v>0.0</v>
      </c>
      <c r="M862" s="50">
        <v>0.0</v>
      </c>
      <c r="N862" s="50">
        <v>0.0</v>
      </c>
      <c r="O862" s="50">
        <v>0.0</v>
      </c>
      <c r="P862" s="50">
        <v>0.0</v>
      </c>
      <c r="Q862" s="50">
        <v>0.0</v>
      </c>
      <c r="R862" s="50">
        <v>0.0</v>
      </c>
      <c r="S862" s="50">
        <v>0.0</v>
      </c>
      <c r="T862" s="50">
        <v>2.8125</v>
      </c>
      <c r="U862" s="50">
        <v>0.0</v>
      </c>
      <c r="V862" s="50">
        <v>0.0</v>
      </c>
      <c r="W862" s="50">
        <v>0.0</v>
      </c>
      <c r="X862" s="50">
        <v>2.8125</v>
      </c>
      <c r="Y862" s="50">
        <v>5.625</v>
      </c>
    </row>
    <row r="863">
      <c r="A863" s="26">
        <v>857.0</v>
      </c>
      <c r="B863" s="65">
        <v>0.7169853857099837</v>
      </c>
      <c r="C863" s="65">
        <v>0.4977110305060519</v>
      </c>
      <c r="D863" s="65">
        <v>-0.3371986853984472</v>
      </c>
      <c r="E863" s="65">
        <v>-0.21746856263563907</v>
      </c>
      <c r="F863" s="65">
        <v>8.541146365851468</v>
      </c>
      <c r="G863" s="50">
        <v>0.0</v>
      </c>
      <c r="H863" s="50">
        <v>0.0</v>
      </c>
      <c r="I863" s="50">
        <v>0.0</v>
      </c>
      <c r="J863" s="50">
        <v>0.0</v>
      </c>
      <c r="K863" s="50">
        <v>0.0</v>
      </c>
      <c r="L863" s="50">
        <v>0.0</v>
      </c>
      <c r="M863" s="50">
        <v>0.0</v>
      </c>
      <c r="N863" s="50">
        <v>0.0</v>
      </c>
      <c r="O863" s="50">
        <v>0.0</v>
      </c>
      <c r="P863" s="50">
        <v>0.0</v>
      </c>
      <c r="Q863" s="50">
        <v>0.0</v>
      </c>
      <c r="R863" s="50">
        <v>0.0</v>
      </c>
      <c r="S863" s="50">
        <v>0.0</v>
      </c>
      <c r="T863" s="50">
        <v>2.8125</v>
      </c>
      <c r="U863" s="50">
        <v>0.0</v>
      </c>
      <c r="V863" s="50">
        <v>0.0</v>
      </c>
      <c r="W863" s="50">
        <v>0.0</v>
      </c>
      <c r="X863" s="50">
        <v>2.8125</v>
      </c>
      <c r="Y863" s="50">
        <v>5.625</v>
      </c>
    </row>
    <row r="864">
      <c r="A864" s="26">
        <v>858.0</v>
      </c>
      <c r="B864" s="65">
        <v>-0.5753730134099301</v>
      </c>
      <c r="C864" s="65">
        <v>-0.9158817192102867</v>
      </c>
      <c r="D864" s="65">
        <v>-0.8311157471908736</v>
      </c>
      <c r="E864" s="65">
        <v>-0.5099199344455257</v>
      </c>
      <c r="F864" s="65">
        <v>2.1540897376738184</v>
      </c>
      <c r="G864" s="50">
        <v>0.0</v>
      </c>
      <c r="H864" s="50">
        <v>0.0</v>
      </c>
      <c r="I864" s="50">
        <v>0.0</v>
      </c>
      <c r="J864" s="50">
        <v>0.0</v>
      </c>
      <c r="K864" s="50">
        <v>0.0</v>
      </c>
      <c r="L864" s="50">
        <v>0.0</v>
      </c>
      <c r="M864" s="50">
        <v>0.0</v>
      </c>
      <c r="N864" s="50">
        <v>0.0</v>
      </c>
      <c r="O864" s="50">
        <v>7.425000000000001</v>
      </c>
      <c r="P864" s="50">
        <v>0.0</v>
      </c>
      <c r="Q864" s="50">
        <v>13.5</v>
      </c>
      <c r="R864" s="50">
        <v>0.0</v>
      </c>
      <c r="S864" s="50">
        <v>0.0</v>
      </c>
      <c r="T864" s="50">
        <v>2.8125</v>
      </c>
      <c r="U864" s="50">
        <v>0.0</v>
      </c>
      <c r="V864" s="50">
        <v>0.0</v>
      </c>
      <c r="W864" s="50">
        <v>0.0</v>
      </c>
      <c r="X864" s="50">
        <v>2.8125</v>
      </c>
      <c r="Y864" s="50">
        <v>26.55</v>
      </c>
    </row>
    <row r="865">
      <c r="A865" s="26">
        <v>859.0</v>
      </c>
      <c r="B865" s="65">
        <v>1.240822145427601</v>
      </c>
      <c r="C865" s="65">
        <v>-1.2518601061804397</v>
      </c>
      <c r="D865" s="65">
        <v>-0.37267073593880323</v>
      </c>
      <c r="E865" s="65">
        <v>-0.1934367597281272</v>
      </c>
      <c r="F865" s="65">
        <v>3.4606861999732508</v>
      </c>
      <c r="G865" s="50">
        <v>0.0</v>
      </c>
      <c r="H865" s="50">
        <v>0.0</v>
      </c>
      <c r="I865" s="50">
        <v>0.0</v>
      </c>
      <c r="J865" s="50">
        <v>0.0</v>
      </c>
      <c r="K865" s="50">
        <v>0.0</v>
      </c>
      <c r="L865" s="50">
        <v>0.0</v>
      </c>
      <c r="M865" s="50">
        <v>0.0</v>
      </c>
      <c r="N865" s="50">
        <v>0.0</v>
      </c>
      <c r="O865" s="50">
        <v>7.425000000000001</v>
      </c>
      <c r="P865" s="50">
        <v>2.475</v>
      </c>
      <c r="Q865" s="50">
        <v>0.0</v>
      </c>
      <c r="R865" s="50">
        <v>0.0</v>
      </c>
      <c r="S865" s="50">
        <v>0.0</v>
      </c>
      <c r="T865" s="50">
        <v>2.8125</v>
      </c>
      <c r="U865" s="50">
        <v>0.0</v>
      </c>
      <c r="V865" s="50">
        <v>0.0</v>
      </c>
      <c r="W865" s="50">
        <v>0.0</v>
      </c>
      <c r="X865" s="50">
        <v>2.8125</v>
      </c>
      <c r="Y865" s="50">
        <v>15.525</v>
      </c>
    </row>
    <row r="866">
      <c r="A866" s="26">
        <v>860.0</v>
      </c>
      <c r="B866" s="65">
        <v>1.644328908624583</v>
      </c>
      <c r="C866" s="65">
        <v>-0.4658053035874685</v>
      </c>
      <c r="D866" s="65">
        <v>-0.23617762054251482</v>
      </c>
      <c r="E866" s="65">
        <v>-1.249053811141919</v>
      </c>
      <c r="F866" s="65">
        <v>3.571002223051896</v>
      </c>
      <c r="G866" s="50">
        <v>0.0</v>
      </c>
      <c r="H866" s="50">
        <v>0.0</v>
      </c>
      <c r="I866" s="50">
        <v>0.0</v>
      </c>
      <c r="J866" s="50">
        <v>0.0</v>
      </c>
      <c r="K866" s="50">
        <v>0.0</v>
      </c>
      <c r="L866" s="50">
        <v>0.0</v>
      </c>
      <c r="M866" s="50">
        <v>0.0</v>
      </c>
      <c r="N866" s="50">
        <v>0.0</v>
      </c>
      <c r="O866" s="50">
        <v>0.0</v>
      </c>
      <c r="P866" s="50">
        <v>0.0</v>
      </c>
      <c r="Q866" s="50">
        <v>0.0</v>
      </c>
      <c r="R866" s="50">
        <v>0.0</v>
      </c>
      <c r="S866" s="50">
        <v>0.0</v>
      </c>
      <c r="T866" s="50">
        <v>2.8125</v>
      </c>
      <c r="U866" s="50">
        <v>0.0</v>
      </c>
      <c r="V866" s="50">
        <v>0.0</v>
      </c>
      <c r="W866" s="50">
        <v>0.0</v>
      </c>
      <c r="X866" s="50">
        <v>2.8125</v>
      </c>
      <c r="Y866" s="50">
        <v>5.625</v>
      </c>
    </row>
    <row r="867">
      <c r="A867" s="26">
        <v>861.0</v>
      </c>
      <c r="B867" s="65">
        <v>0.10802312578099503</v>
      </c>
      <c r="C867" s="65">
        <v>1.5134952651120042</v>
      </c>
      <c r="D867" s="65">
        <v>-0.05174537180687511</v>
      </c>
      <c r="E867" s="65">
        <v>0.5553401198771</v>
      </c>
      <c r="F867" s="65">
        <v>3.452772081345416</v>
      </c>
      <c r="G867" s="50">
        <v>0.0</v>
      </c>
      <c r="H867" s="50">
        <v>0.0</v>
      </c>
      <c r="I867" s="50">
        <v>0.0</v>
      </c>
      <c r="J867" s="50">
        <v>0.0</v>
      </c>
      <c r="K867" s="50">
        <v>0.0</v>
      </c>
      <c r="L867" s="50">
        <v>0.0</v>
      </c>
      <c r="M867" s="50">
        <v>0.0</v>
      </c>
      <c r="N867" s="50">
        <v>0.0</v>
      </c>
      <c r="O867" s="50">
        <v>0.0</v>
      </c>
      <c r="P867" s="50">
        <v>0.0</v>
      </c>
      <c r="Q867" s="50">
        <v>0.0</v>
      </c>
      <c r="R867" s="50">
        <v>0.0</v>
      </c>
      <c r="S867" s="50">
        <v>0.0</v>
      </c>
      <c r="T867" s="50">
        <v>2.8125</v>
      </c>
      <c r="U867" s="50">
        <v>0.0</v>
      </c>
      <c r="V867" s="50">
        <v>0.0</v>
      </c>
      <c r="W867" s="50">
        <v>0.0</v>
      </c>
      <c r="X867" s="50">
        <v>2.8125</v>
      </c>
      <c r="Y867" s="50">
        <v>5.625</v>
      </c>
    </row>
    <row r="868">
      <c r="A868" s="26">
        <v>862.0</v>
      </c>
      <c r="B868" s="65">
        <v>1.6231059610272522</v>
      </c>
      <c r="C868" s="65">
        <v>2.0539161097077527</v>
      </c>
      <c r="D868" s="65">
        <v>1.1181598276974172</v>
      </c>
      <c r="E868" s="65">
        <v>0.6604603596045908</v>
      </c>
      <c r="F868" s="65">
        <v>2.895457553867566</v>
      </c>
      <c r="G868" s="50">
        <v>0.0</v>
      </c>
      <c r="H868" s="50">
        <v>0.0</v>
      </c>
      <c r="I868" s="50">
        <v>0.0</v>
      </c>
      <c r="J868" s="50">
        <v>0.0</v>
      </c>
      <c r="K868" s="50">
        <v>0.0</v>
      </c>
      <c r="L868" s="50">
        <v>0.0</v>
      </c>
      <c r="M868" s="50">
        <v>0.0</v>
      </c>
      <c r="N868" s="50">
        <v>0.0</v>
      </c>
      <c r="O868" s="50">
        <v>0.0</v>
      </c>
      <c r="P868" s="50">
        <v>0.0</v>
      </c>
      <c r="Q868" s="50">
        <v>0.0</v>
      </c>
      <c r="R868" s="50">
        <v>0.0</v>
      </c>
      <c r="S868" s="50">
        <v>0.0</v>
      </c>
      <c r="T868" s="50">
        <v>2.8125</v>
      </c>
      <c r="U868" s="50">
        <v>0.0</v>
      </c>
      <c r="V868" s="50">
        <v>0.0</v>
      </c>
      <c r="W868" s="50">
        <v>0.0</v>
      </c>
      <c r="X868" s="50">
        <v>2.8125</v>
      </c>
      <c r="Y868" s="50">
        <v>5.625</v>
      </c>
    </row>
    <row r="869">
      <c r="A869" s="26">
        <v>863.0</v>
      </c>
      <c r="B869" s="65">
        <v>-0.43100487474889243</v>
      </c>
      <c r="C869" s="65">
        <v>2.449020349912414</v>
      </c>
      <c r="D869" s="65">
        <v>-0.14528722508800895</v>
      </c>
      <c r="E869" s="65">
        <v>-1.8856295777173813</v>
      </c>
      <c r="F869" s="65">
        <v>4.314919313105537</v>
      </c>
      <c r="G869" s="50">
        <v>0.0</v>
      </c>
      <c r="H869" s="50">
        <v>0.0</v>
      </c>
      <c r="I869" s="50">
        <v>0.0</v>
      </c>
      <c r="J869" s="50">
        <v>0.0</v>
      </c>
      <c r="K869" s="50">
        <v>0.0</v>
      </c>
      <c r="L869" s="50">
        <v>0.0</v>
      </c>
      <c r="M869" s="50">
        <v>0.0</v>
      </c>
      <c r="N869" s="50">
        <v>0.0</v>
      </c>
      <c r="O869" s="50">
        <v>0.0</v>
      </c>
      <c r="P869" s="50">
        <v>0.0</v>
      </c>
      <c r="Q869" s="50">
        <v>0.0</v>
      </c>
      <c r="R869" s="50">
        <v>0.0</v>
      </c>
      <c r="S869" s="50">
        <v>0.0</v>
      </c>
      <c r="T869" s="50">
        <v>2.8125</v>
      </c>
      <c r="U869" s="50">
        <v>0.0</v>
      </c>
      <c r="V869" s="50">
        <v>5.625</v>
      </c>
      <c r="W869" s="50">
        <v>0.0</v>
      </c>
      <c r="X869" s="50">
        <v>2.8125</v>
      </c>
      <c r="Y869" s="50">
        <v>11.25</v>
      </c>
    </row>
    <row r="870">
      <c r="A870" s="26">
        <v>864.0</v>
      </c>
      <c r="B870" s="65">
        <v>-1.9833240128162788</v>
      </c>
      <c r="C870" s="65">
        <v>-0.59396645209781</v>
      </c>
      <c r="D870" s="65">
        <v>-1.0892727566728202</v>
      </c>
      <c r="E870" s="65">
        <v>-0.7250123803032869</v>
      </c>
      <c r="F870" s="65">
        <v>4.664089924694116</v>
      </c>
      <c r="G870" s="50">
        <v>0.0</v>
      </c>
      <c r="H870" s="50">
        <v>0.0</v>
      </c>
      <c r="I870" s="50">
        <v>0.0</v>
      </c>
      <c r="J870" s="50">
        <v>0.0</v>
      </c>
      <c r="K870" s="50">
        <v>0.0</v>
      </c>
      <c r="L870" s="50">
        <v>0.0</v>
      </c>
      <c r="M870" s="50">
        <v>0.0</v>
      </c>
      <c r="N870" s="50">
        <v>0.0</v>
      </c>
      <c r="O870" s="50">
        <v>7.425000000000001</v>
      </c>
      <c r="P870" s="50">
        <v>2.475</v>
      </c>
      <c r="Q870" s="50">
        <v>0.0</v>
      </c>
      <c r="R870" s="50">
        <v>9.9</v>
      </c>
      <c r="S870" s="50">
        <v>0.0</v>
      </c>
      <c r="T870" s="50">
        <v>2.8125</v>
      </c>
      <c r="U870" s="50">
        <v>9.9</v>
      </c>
      <c r="V870" s="50">
        <v>5.625</v>
      </c>
      <c r="W870" s="50">
        <v>0.0</v>
      </c>
      <c r="X870" s="50">
        <v>2.8125</v>
      </c>
      <c r="Y870" s="50">
        <v>40.95</v>
      </c>
    </row>
    <row r="871">
      <c r="A871" s="26">
        <v>865.0</v>
      </c>
      <c r="B871" s="65">
        <v>1.4351238600713239</v>
      </c>
      <c r="C871" s="65">
        <v>-0.4306775100088547</v>
      </c>
      <c r="D871" s="65">
        <v>1.3931629967242434</v>
      </c>
      <c r="E871" s="65">
        <v>1.590288127533454</v>
      </c>
      <c r="F871" s="65">
        <v>1.9091643249823174</v>
      </c>
      <c r="G871" s="50">
        <v>0.0</v>
      </c>
      <c r="H871" s="50">
        <v>0.0</v>
      </c>
      <c r="I871" s="50">
        <v>0.0</v>
      </c>
      <c r="J871" s="50">
        <v>0.0</v>
      </c>
      <c r="K871" s="50">
        <v>0.0</v>
      </c>
      <c r="L871" s="50">
        <v>0.0</v>
      </c>
      <c r="M871" s="50">
        <v>0.0</v>
      </c>
      <c r="N871" s="50">
        <v>0.0</v>
      </c>
      <c r="O871" s="50">
        <v>0.0</v>
      </c>
      <c r="P871" s="50">
        <v>0.0</v>
      </c>
      <c r="Q871" s="50">
        <v>0.0</v>
      </c>
      <c r="R871" s="50">
        <v>0.0</v>
      </c>
      <c r="S871" s="50">
        <v>0.0</v>
      </c>
      <c r="T871" s="50">
        <v>2.8125</v>
      </c>
      <c r="U871" s="50">
        <v>0.0</v>
      </c>
      <c r="V871" s="50">
        <v>0.0</v>
      </c>
      <c r="W871" s="50">
        <v>0.0</v>
      </c>
      <c r="X871" s="50">
        <v>2.8125</v>
      </c>
      <c r="Y871" s="50">
        <v>5.625</v>
      </c>
    </row>
    <row r="872">
      <c r="A872" s="26">
        <v>866.0</v>
      </c>
      <c r="B872" s="65">
        <v>0.17104487921135114</v>
      </c>
      <c r="C872" s="65">
        <v>-0.5017065594454923</v>
      </c>
      <c r="D872" s="65">
        <v>-1.8664850435381048</v>
      </c>
      <c r="E872" s="65">
        <v>-0.318353659296909</v>
      </c>
      <c r="F872" s="65">
        <v>6.125799157062122</v>
      </c>
      <c r="G872" s="50">
        <v>0.0</v>
      </c>
      <c r="H872" s="50">
        <v>0.0</v>
      </c>
      <c r="I872" s="50">
        <v>0.0</v>
      </c>
      <c r="J872" s="50">
        <v>0.0</v>
      </c>
      <c r="K872" s="50">
        <v>0.0</v>
      </c>
      <c r="L872" s="50">
        <v>0.0</v>
      </c>
      <c r="M872" s="50">
        <v>0.0</v>
      </c>
      <c r="N872" s="50">
        <v>0.0</v>
      </c>
      <c r="O872" s="50">
        <v>0.0</v>
      </c>
      <c r="P872" s="50">
        <v>0.0</v>
      </c>
      <c r="Q872" s="50">
        <v>0.0</v>
      </c>
      <c r="R872" s="50">
        <v>0.0</v>
      </c>
      <c r="S872" s="50">
        <v>0.0</v>
      </c>
      <c r="T872" s="50">
        <v>2.8125</v>
      </c>
      <c r="U872" s="50">
        <v>0.0</v>
      </c>
      <c r="V872" s="50">
        <v>0.0</v>
      </c>
      <c r="W872" s="50">
        <v>0.0</v>
      </c>
      <c r="X872" s="50">
        <v>2.8125</v>
      </c>
      <c r="Y872" s="50">
        <v>5.625</v>
      </c>
    </row>
    <row r="873">
      <c r="A873" s="26">
        <v>867.0</v>
      </c>
      <c r="B873" s="65">
        <v>-0.9176725643926701</v>
      </c>
      <c r="C873" s="65">
        <v>-1.1724847872616606</v>
      </c>
      <c r="D873" s="65">
        <v>-1.6974970603304493</v>
      </c>
      <c r="E873" s="65">
        <v>1.2805078154945517</v>
      </c>
      <c r="F873" s="65">
        <v>7.7618391622886245</v>
      </c>
      <c r="G873" s="50">
        <v>0.0</v>
      </c>
      <c r="H873" s="50">
        <v>0.0</v>
      </c>
      <c r="I873" s="50">
        <v>0.0</v>
      </c>
      <c r="J873" s="50">
        <v>0.0</v>
      </c>
      <c r="K873" s="50">
        <v>0.0</v>
      </c>
      <c r="L873" s="50">
        <v>0.0</v>
      </c>
      <c r="M873" s="50">
        <v>0.0</v>
      </c>
      <c r="N873" s="50">
        <v>0.0</v>
      </c>
      <c r="O873" s="50">
        <v>0.0</v>
      </c>
      <c r="P873" s="50">
        <v>0.0</v>
      </c>
      <c r="Q873" s="50">
        <v>0.0</v>
      </c>
      <c r="R873" s="50">
        <v>0.0</v>
      </c>
      <c r="S873" s="50">
        <v>0.0</v>
      </c>
      <c r="T873" s="50">
        <v>2.8125</v>
      </c>
      <c r="U873" s="50">
        <v>0.0</v>
      </c>
      <c r="V873" s="50">
        <v>5.625</v>
      </c>
      <c r="W873" s="50">
        <v>0.0</v>
      </c>
      <c r="X873" s="50">
        <v>2.8125</v>
      </c>
      <c r="Y873" s="50">
        <v>11.25</v>
      </c>
    </row>
    <row r="874">
      <c r="A874" s="26">
        <v>868.0</v>
      </c>
      <c r="B874" s="65">
        <v>1.531220462732116</v>
      </c>
      <c r="C874" s="65">
        <v>-0.26885778862102855</v>
      </c>
      <c r="D874" s="65">
        <v>0.5658501433428703</v>
      </c>
      <c r="E874" s="65">
        <v>0.037524434342627214</v>
      </c>
      <c r="F874" s="65">
        <v>7.5076481150790695</v>
      </c>
      <c r="G874" s="50">
        <v>0.0</v>
      </c>
      <c r="H874" s="50">
        <v>0.0</v>
      </c>
      <c r="I874" s="50">
        <v>0.0</v>
      </c>
      <c r="J874" s="50">
        <v>0.0</v>
      </c>
      <c r="K874" s="50">
        <v>0.0</v>
      </c>
      <c r="L874" s="50">
        <v>0.0</v>
      </c>
      <c r="M874" s="50">
        <v>0.0</v>
      </c>
      <c r="N874" s="50">
        <v>0.0</v>
      </c>
      <c r="O874" s="50">
        <v>0.0</v>
      </c>
      <c r="P874" s="50">
        <v>0.0</v>
      </c>
      <c r="Q874" s="50">
        <v>0.0</v>
      </c>
      <c r="R874" s="50">
        <v>0.0</v>
      </c>
      <c r="S874" s="50">
        <v>0.0</v>
      </c>
      <c r="T874" s="50">
        <v>2.8125</v>
      </c>
      <c r="U874" s="50">
        <v>0.0</v>
      </c>
      <c r="V874" s="50">
        <v>0.0</v>
      </c>
      <c r="W874" s="50">
        <v>0.0</v>
      </c>
      <c r="X874" s="50">
        <v>2.8125</v>
      </c>
      <c r="Y874" s="50">
        <v>5.625</v>
      </c>
    </row>
    <row r="875">
      <c r="A875" s="26">
        <v>869.0</v>
      </c>
      <c r="B875" s="65">
        <v>-1.0356346114041028</v>
      </c>
      <c r="C875" s="65">
        <v>1.1936637217663457</v>
      </c>
      <c r="D875" s="65">
        <v>-2.2586598129838023</v>
      </c>
      <c r="E875" s="65">
        <v>-0.14886958771576098</v>
      </c>
      <c r="F875" s="65">
        <v>3.095490170161497</v>
      </c>
      <c r="G875" s="50">
        <v>0.0</v>
      </c>
      <c r="H875" s="50">
        <v>0.0</v>
      </c>
      <c r="I875" s="50">
        <v>0.0</v>
      </c>
      <c r="J875" s="50">
        <v>0.0</v>
      </c>
      <c r="K875" s="50">
        <v>0.0</v>
      </c>
      <c r="L875" s="50">
        <v>0.0</v>
      </c>
      <c r="M875" s="50">
        <v>0.0</v>
      </c>
      <c r="N875" s="50">
        <v>0.0</v>
      </c>
      <c r="O875" s="50">
        <v>0.0</v>
      </c>
      <c r="P875" s="50">
        <v>2.475</v>
      </c>
      <c r="Q875" s="50">
        <v>0.0</v>
      </c>
      <c r="R875" s="50">
        <v>0.0</v>
      </c>
      <c r="S875" s="50">
        <v>0.0</v>
      </c>
      <c r="T875" s="50">
        <v>2.8125</v>
      </c>
      <c r="U875" s="50">
        <v>0.0</v>
      </c>
      <c r="V875" s="50">
        <v>5.625</v>
      </c>
      <c r="W875" s="50">
        <v>0.0</v>
      </c>
      <c r="X875" s="50">
        <v>2.8125</v>
      </c>
      <c r="Y875" s="50">
        <v>13.725</v>
      </c>
    </row>
    <row r="876">
      <c r="A876" s="26">
        <v>870.0</v>
      </c>
      <c r="B876" s="65">
        <v>1.7846285095246792</v>
      </c>
      <c r="C876" s="65">
        <v>0.7948497563249225</v>
      </c>
      <c r="D876" s="65">
        <v>1.33987171821611</v>
      </c>
      <c r="E876" s="65">
        <v>-1.5826639271887661</v>
      </c>
      <c r="F876" s="65">
        <v>4.055281707002154</v>
      </c>
      <c r="G876" s="50">
        <v>0.0</v>
      </c>
      <c r="H876" s="50">
        <v>0.0</v>
      </c>
      <c r="I876" s="50">
        <v>0.0</v>
      </c>
      <c r="J876" s="50">
        <v>0.0</v>
      </c>
      <c r="K876" s="50">
        <v>0.0</v>
      </c>
      <c r="L876" s="50">
        <v>0.0</v>
      </c>
      <c r="M876" s="50">
        <v>0.0</v>
      </c>
      <c r="N876" s="50">
        <v>0.0</v>
      </c>
      <c r="O876" s="50">
        <v>0.0</v>
      </c>
      <c r="P876" s="50">
        <v>0.0</v>
      </c>
      <c r="Q876" s="50">
        <v>0.0</v>
      </c>
      <c r="R876" s="50">
        <v>0.0</v>
      </c>
      <c r="S876" s="50">
        <v>0.0</v>
      </c>
      <c r="T876" s="50">
        <v>2.8125</v>
      </c>
      <c r="U876" s="50">
        <v>0.0</v>
      </c>
      <c r="V876" s="50">
        <v>0.0</v>
      </c>
      <c r="W876" s="50">
        <v>0.0</v>
      </c>
      <c r="X876" s="50">
        <v>2.8125</v>
      </c>
      <c r="Y876" s="50">
        <v>5.625</v>
      </c>
    </row>
    <row r="877">
      <c r="A877" s="26">
        <v>871.0</v>
      </c>
      <c r="B877" s="65">
        <v>0.47455311880821555</v>
      </c>
      <c r="C877" s="65">
        <v>-0.3788802988432489</v>
      </c>
      <c r="D877" s="65">
        <v>-0.7129407024754195</v>
      </c>
      <c r="E877" s="65">
        <v>-1.3980009429400067</v>
      </c>
      <c r="F877" s="65">
        <v>1.0794486405824175</v>
      </c>
      <c r="G877" s="50">
        <v>0.0</v>
      </c>
      <c r="H877" s="50">
        <v>0.0</v>
      </c>
      <c r="I877" s="50">
        <v>0.0</v>
      </c>
      <c r="J877" s="50">
        <v>0.0</v>
      </c>
      <c r="K877" s="50">
        <v>0.0</v>
      </c>
      <c r="L877" s="50">
        <v>0.0</v>
      </c>
      <c r="M877" s="50">
        <v>0.0</v>
      </c>
      <c r="N877" s="50">
        <v>0.0</v>
      </c>
      <c r="O877" s="50">
        <v>7.425000000000001</v>
      </c>
      <c r="P877" s="50">
        <v>0.0</v>
      </c>
      <c r="Q877" s="50">
        <v>0.0</v>
      </c>
      <c r="R877" s="50">
        <v>0.0</v>
      </c>
      <c r="S877" s="50">
        <v>0.0</v>
      </c>
      <c r="T877" s="50">
        <v>2.8125</v>
      </c>
      <c r="U877" s="50">
        <v>0.0</v>
      </c>
      <c r="V877" s="50">
        <v>0.0</v>
      </c>
      <c r="W877" s="50">
        <v>0.0</v>
      </c>
      <c r="X877" s="50">
        <v>2.8125</v>
      </c>
      <c r="Y877" s="50">
        <v>13.05</v>
      </c>
    </row>
    <row r="878">
      <c r="A878" s="26">
        <v>872.0</v>
      </c>
      <c r="B878" s="65">
        <v>-0.5758832572321657</v>
      </c>
      <c r="C878" s="65">
        <v>0.47770358955076636</v>
      </c>
      <c r="D878" s="65">
        <v>-0.7663789161526108</v>
      </c>
      <c r="E878" s="65">
        <v>-0.5295309761330154</v>
      </c>
      <c r="F878" s="65">
        <v>1.219770863521381</v>
      </c>
      <c r="G878" s="50">
        <v>0.0</v>
      </c>
      <c r="H878" s="50">
        <v>0.0</v>
      </c>
      <c r="I878" s="50">
        <v>0.0</v>
      </c>
      <c r="J878" s="50">
        <v>0.0</v>
      </c>
      <c r="K878" s="50">
        <v>0.0</v>
      </c>
      <c r="L878" s="50">
        <v>0.0</v>
      </c>
      <c r="M878" s="50">
        <v>0.0</v>
      </c>
      <c r="N878" s="50">
        <v>0.0</v>
      </c>
      <c r="O878" s="50">
        <v>0.0</v>
      </c>
      <c r="P878" s="50">
        <v>2.475</v>
      </c>
      <c r="Q878" s="50">
        <v>0.0</v>
      </c>
      <c r="R878" s="50">
        <v>9.9</v>
      </c>
      <c r="S878" s="50">
        <v>0.0</v>
      </c>
      <c r="T878" s="50">
        <v>2.8125</v>
      </c>
      <c r="U878" s="50">
        <v>0.0</v>
      </c>
      <c r="V878" s="50">
        <v>0.0</v>
      </c>
      <c r="W878" s="50">
        <v>4.95</v>
      </c>
      <c r="X878" s="50">
        <v>2.8125</v>
      </c>
      <c r="Y878" s="50">
        <v>22.95</v>
      </c>
    </row>
    <row r="879">
      <c r="A879" s="26">
        <v>873.0</v>
      </c>
      <c r="B879" s="65">
        <v>-0.013317336814106543</v>
      </c>
      <c r="C879" s="65">
        <v>-0.16066214682444457</v>
      </c>
      <c r="D879" s="65">
        <v>0.5948946726309647</v>
      </c>
      <c r="E879" s="65">
        <v>0.011415512091212433</v>
      </c>
      <c r="F879" s="65">
        <v>4.136090569836637</v>
      </c>
      <c r="G879" s="50">
        <v>0.0</v>
      </c>
      <c r="H879" s="50">
        <v>0.0</v>
      </c>
      <c r="I879" s="50">
        <v>0.0</v>
      </c>
      <c r="J879" s="50">
        <v>0.0</v>
      </c>
      <c r="K879" s="50">
        <v>0.0</v>
      </c>
      <c r="L879" s="50">
        <v>0.0</v>
      </c>
      <c r="M879" s="50">
        <v>0.0</v>
      </c>
      <c r="N879" s="50">
        <v>0.0</v>
      </c>
      <c r="O879" s="50">
        <v>0.0</v>
      </c>
      <c r="P879" s="50">
        <v>0.0</v>
      </c>
      <c r="Q879" s="50">
        <v>0.0</v>
      </c>
      <c r="R879" s="50">
        <v>0.0</v>
      </c>
      <c r="S879" s="50">
        <v>0.0</v>
      </c>
      <c r="T879" s="50">
        <v>2.8125</v>
      </c>
      <c r="U879" s="50">
        <v>0.0</v>
      </c>
      <c r="V879" s="50">
        <v>0.0</v>
      </c>
      <c r="W879" s="50">
        <v>0.0</v>
      </c>
      <c r="X879" s="50">
        <v>2.8125</v>
      </c>
      <c r="Y879" s="50">
        <v>5.625</v>
      </c>
    </row>
    <row r="880">
      <c r="A880" s="26">
        <v>874.0</v>
      </c>
      <c r="B880" s="65">
        <v>-0.8942984624717525</v>
      </c>
      <c r="C880" s="65">
        <v>0.5592116630767309</v>
      </c>
      <c r="D880" s="65">
        <v>-0.15158001178891314</v>
      </c>
      <c r="E880" s="65">
        <v>-0.46601671911020714</v>
      </c>
      <c r="F880" s="65">
        <v>9.158657791595486</v>
      </c>
      <c r="G880" s="50">
        <v>0.0</v>
      </c>
      <c r="H880" s="50">
        <v>0.0</v>
      </c>
      <c r="I880" s="50">
        <v>0.0</v>
      </c>
      <c r="J880" s="50">
        <v>0.0</v>
      </c>
      <c r="K880" s="50">
        <v>0.0</v>
      </c>
      <c r="L880" s="50">
        <v>0.0</v>
      </c>
      <c r="M880" s="50">
        <v>0.0</v>
      </c>
      <c r="N880" s="50">
        <v>0.0</v>
      </c>
      <c r="O880" s="50">
        <v>0.0</v>
      </c>
      <c r="P880" s="50">
        <v>0.0</v>
      </c>
      <c r="Q880" s="50">
        <v>0.0</v>
      </c>
      <c r="R880" s="50">
        <v>0.0</v>
      </c>
      <c r="S880" s="50">
        <v>0.0</v>
      </c>
      <c r="T880" s="50">
        <v>2.8125</v>
      </c>
      <c r="U880" s="50">
        <v>0.0</v>
      </c>
      <c r="V880" s="50">
        <v>0.0</v>
      </c>
      <c r="W880" s="50">
        <v>0.0</v>
      </c>
      <c r="X880" s="50">
        <v>2.8125</v>
      </c>
      <c r="Y880" s="50">
        <v>5.625</v>
      </c>
    </row>
    <row r="881">
      <c r="A881" s="26">
        <v>875.0</v>
      </c>
      <c r="B881" s="65">
        <v>-1.5100808268018473</v>
      </c>
      <c r="C881" s="65">
        <v>0.22045243233036177</v>
      </c>
      <c r="D881" s="65">
        <v>0.6536420028012271</v>
      </c>
      <c r="E881" s="65">
        <v>0.29995405764039246</v>
      </c>
      <c r="F881" s="65">
        <v>9.087793692472736</v>
      </c>
      <c r="G881" s="50">
        <v>0.0</v>
      </c>
      <c r="H881" s="50">
        <v>0.0</v>
      </c>
      <c r="I881" s="50">
        <v>0.0</v>
      </c>
      <c r="J881" s="50">
        <v>0.0</v>
      </c>
      <c r="K881" s="50">
        <v>0.0</v>
      </c>
      <c r="L881" s="50">
        <v>0.0</v>
      </c>
      <c r="M881" s="50">
        <v>0.0</v>
      </c>
      <c r="N881" s="50">
        <v>0.0</v>
      </c>
      <c r="O881" s="50">
        <v>0.0</v>
      </c>
      <c r="P881" s="50">
        <v>0.0</v>
      </c>
      <c r="Q881" s="50">
        <v>0.0</v>
      </c>
      <c r="R881" s="50">
        <v>0.0</v>
      </c>
      <c r="S881" s="50">
        <v>0.0</v>
      </c>
      <c r="T881" s="50">
        <v>2.8125</v>
      </c>
      <c r="U881" s="50">
        <v>0.0</v>
      </c>
      <c r="V881" s="50">
        <v>5.625</v>
      </c>
      <c r="W881" s="50">
        <v>0.0</v>
      </c>
      <c r="X881" s="50">
        <v>2.8125</v>
      </c>
      <c r="Y881" s="50">
        <v>11.25</v>
      </c>
    </row>
    <row r="882">
      <c r="A882" s="26">
        <v>876.0</v>
      </c>
      <c r="B882" s="65">
        <v>-0.12119176789516181</v>
      </c>
      <c r="C882" s="65">
        <v>-1.4393929269690662</v>
      </c>
      <c r="D882" s="65">
        <v>1.2226359325391594</v>
      </c>
      <c r="E882" s="65">
        <v>0.2859569907174975</v>
      </c>
      <c r="F882" s="65">
        <v>6.731648401458164</v>
      </c>
      <c r="G882" s="50">
        <v>0.0</v>
      </c>
      <c r="H882" s="50">
        <v>0.0</v>
      </c>
      <c r="I882" s="50">
        <v>0.0</v>
      </c>
      <c r="J882" s="50">
        <v>0.0</v>
      </c>
      <c r="K882" s="50">
        <v>0.0</v>
      </c>
      <c r="L882" s="50">
        <v>0.0</v>
      </c>
      <c r="M882" s="50">
        <v>0.0</v>
      </c>
      <c r="N882" s="50">
        <v>0.0</v>
      </c>
      <c r="O882" s="50">
        <v>0.0</v>
      </c>
      <c r="P882" s="50">
        <v>0.0</v>
      </c>
      <c r="Q882" s="50">
        <v>0.0</v>
      </c>
      <c r="R882" s="50">
        <v>0.0</v>
      </c>
      <c r="S882" s="50">
        <v>0.0</v>
      </c>
      <c r="T882" s="50">
        <v>2.8125</v>
      </c>
      <c r="U882" s="50">
        <v>0.0</v>
      </c>
      <c r="V882" s="50">
        <v>0.0</v>
      </c>
      <c r="W882" s="50">
        <v>0.0</v>
      </c>
      <c r="X882" s="50">
        <v>2.8125</v>
      </c>
      <c r="Y882" s="50">
        <v>5.625</v>
      </c>
    </row>
    <row r="883">
      <c r="A883" s="26">
        <v>877.0</v>
      </c>
      <c r="B883" s="65">
        <v>-3.103804281687565</v>
      </c>
      <c r="C883" s="65">
        <v>-1.1356185728805348</v>
      </c>
      <c r="D883" s="65">
        <v>0.39489942252739263</v>
      </c>
      <c r="E883" s="65">
        <v>-0.968930822893538</v>
      </c>
      <c r="F883" s="65">
        <v>2.5028959798562247</v>
      </c>
      <c r="G883" s="50">
        <v>0.0</v>
      </c>
      <c r="H883" s="50">
        <v>0.0</v>
      </c>
      <c r="I883" s="50">
        <v>0.0</v>
      </c>
      <c r="J883" s="50">
        <v>0.0</v>
      </c>
      <c r="K883" s="50">
        <v>0.0</v>
      </c>
      <c r="L883" s="50">
        <v>0.0</v>
      </c>
      <c r="M883" s="50">
        <v>0.0</v>
      </c>
      <c r="N883" s="50">
        <v>0.0</v>
      </c>
      <c r="O883" s="50">
        <v>7.425000000000001</v>
      </c>
      <c r="P883" s="50">
        <v>2.475</v>
      </c>
      <c r="Q883" s="50">
        <v>0.0</v>
      </c>
      <c r="R883" s="50">
        <v>9.9</v>
      </c>
      <c r="S883" s="50">
        <v>0.0</v>
      </c>
      <c r="T883" s="50">
        <v>2.8125</v>
      </c>
      <c r="U883" s="50">
        <v>9.9</v>
      </c>
      <c r="V883" s="50">
        <v>5.625</v>
      </c>
      <c r="W883" s="50">
        <v>4.95</v>
      </c>
      <c r="X883" s="50">
        <v>2.8125</v>
      </c>
      <c r="Y883" s="50">
        <v>45.900000000000006</v>
      </c>
    </row>
    <row r="884">
      <c r="A884" s="26">
        <v>878.0</v>
      </c>
      <c r="B884" s="65">
        <v>-0.9473259977843881</v>
      </c>
      <c r="C884" s="65">
        <v>-0.16130266425804485</v>
      </c>
      <c r="D884" s="65">
        <v>0.28521247979207454</v>
      </c>
      <c r="E884" s="65">
        <v>-1.049313866959031</v>
      </c>
      <c r="F884" s="65">
        <v>3.646830311513157</v>
      </c>
      <c r="G884" s="50">
        <v>0.0</v>
      </c>
      <c r="H884" s="50">
        <v>0.0</v>
      </c>
      <c r="I884" s="50">
        <v>0.0</v>
      </c>
      <c r="J884" s="50">
        <v>0.0</v>
      </c>
      <c r="K884" s="50">
        <v>0.0</v>
      </c>
      <c r="L884" s="50">
        <v>0.0</v>
      </c>
      <c r="M884" s="50">
        <v>0.0</v>
      </c>
      <c r="N884" s="50">
        <v>0.0</v>
      </c>
      <c r="O884" s="50">
        <v>0.0</v>
      </c>
      <c r="P884" s="50">
        <v>0.0</v>
      </c>
      <c r="Q884" s="50">
        <v>0.0</v>
      </c>
      <c r="R884" s="50">
        <v>0.0</v>
      </c>
      <c r="S884" s="50">
        <v>0.0</v>
      </c>
      <c r="T884" s="50">
        <v>2.8125</v>
      </c>
      <c r="U884" s="50">
        <v>0.0</v>
      </c>
      <c r="V884" s="50">
        <v>0.0</v>
      </c>
      <c r="W884" s="50">
        <v>4.95</v>
      </c>
      <c r="X884" s="50">
        <v>2.8125</v>
      </c>
      <c r="Y884" s="50">
        <v>10.575</v>
      </c>
    </row>
    <row r="885">
      <c r="A885" s="26">
        <v>879.0</v>
      </c>
      <c r="B885" s="65">
        <v>-0.6756388519354106</v>
      </c>
      <c r="C885" s="65">
        <v>-1.2981763667309003</v>
      </c>
      <c r="D885" s="65">
        <v>-0.5189888968836321</v>
      </c>
      <c r="E885" s="65">
        <v>1.4411121202992307</v>
      </c>
      <c r="F885" s="65">
        <v>3.899734950079675</v>
      </c>
      <c r="G885" s="50">
        <v>0.0</v>
      </c>
      <c r="H885" s="50">
        <v>0.0</v>
      </c>
      <c r="I885" s="50">
        <v>0.0</v>
      </c>
      <c r="J885" s="50">
        <v>0.0</v>
      </c>
      <c r="K885" s="50">
        <v>0.0</v>
      </c>
      <c r="L885" s="50">
        <v>0.0</v>
      </c>
      <c r="M885" s="50">
        <v>0.0</v>
      </c>
      <c r="N885" s="50">
        <v>0.0</v>
      </c>
      <c r="O885" s="50">
        <v>0.0</v>
      </c>
      <c r="P885" s="50">
        <v>0.0</v>
      </c>
      <c r="Q885" s="50">
        <v>0.0</v>
      </c>
      <c r="R885" s="50">
        <v>0.0</v>
      </c>
      <c r="S885" s="50">
        <v>0.0</v>
      </c>
      <c r="T885" s="50">
        <v>2.8125</v>
      </c>
      <c r="U885" s="50">
        <v>0.0</v>
      </c>
      <c r="V885" s="50">
        <v>0.0</v>
      </c>
      <c r="W885" s="50">
        <v>0.0</v>
      </c>
      <c r="X885" s="50">
        <v>2.8125</v>
      </c>
      <c r="Y885" s="50">
        <v>5.625</v>
      </c>
    </row>
    <row r="886">
      <c r="A886" s="26">
        <v>880.0</v>
      </c>
      <c r="B886" s="65">
        <v>-0.02691173120573105</v>
      </c>
      <c r="C886" s="65">
        <v>-0.9994504124959322</v>
      </c>
      <c r="D886" s="65">
        <v>0.8037546051053305</v>
      </c>
      <c r="E886" s="65">
        <v>1.6809396281961262</v>
      </c>
      <c r="F886" s="65">
        <v>1.5868976143914517</v>
      </c>
      <c r="G886" s="50">
        <v>0.0</v>
      </c>
      <c r="H886" s="50">
        <v>0.0</v>
      </c>
      <c r="I886" s="50">
        <v>0.0</v>
      </c>
      <c r="J886" s="50">
        <v>0.0</v>
      </c>
      <c r="K886" s="50">
        <v>0.0</v>
      </c>
      <c r="L886" s="50">
        <v>0.0</v>
      </c>
      <c r="M886" s="50">
        <v>0.0</v>
      </c>
      <c r="N886" s="50">
        <v>0.0</v>
      </c>
      <c r="O886" s="50">
        <v>7.425000000000001</v>
      </c>
      <c r="P886" s="50">
        <v>0.0</v>
      </c>
      <c r="Q886" s="50">
        <v>0.0</v>
      </c>
      <c r="R886" s="50">
        <v>0.0</v>
      </c>
      <c r="S886" s="50">
        <v>0.0</v>
      </c>
      <c r="T886" s="50">
        <v>2.8125</v>
      </c>
      <c r="U886" s="50">
        <v>0.0</v>
      </c>
      <c r="V886" s="50">
        <v>0.0</v>
      </c>
      <c r="W886" s="50">
        <v>4.95</v>
      </c>
      <c r="X886" s="50">
        <v>0.0</v>
      </c>
      <c r="Y886" s="50">
        <v>15.1875</v>
      </c>
    </row>
    <row r="887">
      <c r="A887" s="26">
        <v>881.0</v>
      </c>
      <c r="B887" s="65">
        <v>-0.32259852911514675</v>
      </c>
      <c r="C887" s="65">
        <v>0.7616406286494352</v>
      </c>
      <c r="D887" s="65">
        <v>1.971660756947976</v>
      </c>
      <c r="E887" s="65">
        <v>-0.09116903698141261</v>
      </c>
      <c r="F887" s="65">
        <v>1.6681226308146724</v>
      </c>
      <c r="G887" s="50">
        <v>0.0</v>
      </c>
      <c r="H887" s="50">
        <v>0.0</v>
      </c>
      <c r="I887" s="50">
        <v>0.0</v>
      </c>
      <c r="J887" s="50">
        <v>0.0</v>
      </c>
      <c r="K887" s="50">
        <v>0.0</v>
      </c>
      <c r="L887" s="50">
        <v>0.0</v>
      </c>
      <c r="M887" s="50">
        <v>0.0</v>
      </c>
      <c r="N887" s="50">
        <v>0.0</v>
      </c>
      <c r="O887" s="50">
        <v>7.425000000000001</v>
      </c>
      <c r="P887" s="50">
        <v>0.0</v>
      </c>
      <c r="Q887" s="50">
        <v>0.0</v>
      </c>
      <c r="R887" s="50">
        <v>0.0</v>
      </c>
      <c r="S887" s="50">
        <v>0.0</v>
      </c>
      <c r="T887" s="50">
        <v>2.8125</v>
      </c>
      <c r="U887" s="50">
        <v>0.0</v>
      </c>
      <c r="V887" s="50">
        <v>0.0</v>
      </c>
      <c r="W887" s="50">
        <v>4.95</v>
      </c>
      <c r="X887" s="50">
        <v>2.8125</v>
      </c>
      <c r="Y887" s="50">
        <v>18.0</v>
      </c>
    </row>
    <row r="888">
      <c r="A888" s="26">
        <v>882.0</v>
      </c>
      <c r="B888" s="65">
        <v>-5.936914200670884E-4</v>
      </c>
      <c r="C888" s="65">
        <v>0.433598245697194</v>
      </c>
      <c r="D888" s="65">
        <v>-0.5155030656482963</v>
      </c>
      <c r="E888" s="65">
        <v>-0.3182581933543324</v>
      </c>
      <c r="F888" s="65">
        <v>10.216849932083097</v>
      </c>
      <c r="G888" s="50">
        <v>0.0</v>
      </c>
      <c r="H888" s="50">
        <v>0.0</v>
      </c>
      <c r="I888" s="50">
        <v>0.0</v>
      </c>
      <c r="J888" s="50">
        <v>0.0</v>
      </c>
      <c r="K888" s="50">
        <v>0.0</v>
      </c>
      <c r="L888" s="50">
        <v>0.0</v>
      </c>
      <c r="M888" s="50">
        <v>0.0</v>
      </c>
      <c r="N888" s="50">
        <v>0.0</v>
      </c>
      <c r="O888" s="50">
        <v>0.0</v>
      </c>
      <c r="P888" s="50">
        <v>0.0</v>
      </c>
      <c r="Q888" s="50">
        <v>0.0</v>
      </c>
      <c r="R888" s="50">
        <v>0.0</v>
      </c>
      <c r="S888" s="50">
        <v>0.0</v>
      </c>
      <c r="T888" s="50">
        <v>2.8125</v>
      </c>
      <c r="U888" s="50">
        <v>0.0</v>
      </c>
      <c r="V888" s="50">
        <v>0.0</v>
      </c>
      <c r="W888" s="50">
        <v>0.0</v>
      </c>
      <c r="X888" s="50">
        <v>2.8125</v>
      </c>
      <c r="Y888" s="50">
        <v>5.625</v>
      </c>
    </row>
    <row r="889">
      <c r="A889" s="26">
        <v>883.0</v>
      </c>
      <c r="B889" s="65">
        <v>0.320128437249819</v>
      </c>
      <c r="C889" s="65">
        <v>0.6636406976162835</v>
      </c>
      <c r="D889" s="65">
        <v>2.1306791050579155</v>
      </c>
      <c r="E889" s="65">
        <v>0.30779688549341494</v>
      </c>
      <c r="F889" s="65">
        <v>4.6421441759918824</v>
      </c>
      <c r="G889" s="50">
        <v>0.0</v>
      </c>
      <c r="H889" s="50">
        <v>0.0</v>
      </c>
      <c r="I889" s="50">
        <v>0.0</v>
      </c>
      <c r="J889" s="50">
        <v>0.0</v>
      </c>
      <c r="K889" s="50">
        <v>0.0</v>
      </c>
      <c r="L889" s="50">
        <v>0.0</v>
      </c>
      <c r="M889" s="50">
        <v>0.0</v>
      </c>
      <c r="N889" s="50">
        <v>0.0</v>
      </c>
      <c r="O889" s="50">
        <v>0.0</v>
      </c>
      <c r="P889" s="50">
        <v>0.0</v>
      </c>
      <c r="Q889" s="50">
        <v>0.0</v>
      </c>
      <c r="R889" s="50">
        <v>0.0</v>
      </c>
      <c r="S889" s="50">
        <v>0.0</v>
      </c>
      <c r="T889" s="50">
        <v>2.8125</v>
      </c>
      <c r="U889" s="50">
        <v>0.0</v>
      </c>
      <c r="V889" s="50">
        <v>0.0</v>
      </c>
      <c r="W889" s="50">
        <v>0.0</v>
      </c>
      <c r="X889" s="50">
        <v>2.8125</v>
      </c>
      <c r="Y889" s="50">
        <v>5.625</v>
      </c>
    </row>
    <row r="890">
      <c r="A890" s="26">
        <v>884.0</v>
      </c>
      <c r="B890" s="65">
        <v>0.5493739258199777</v>
      </c>
      <c r="C890" s="65">
        <v>0.22736176602327693</v>
      </c>
      <c r="D890" s="65">
        <v>-0.36210954224795594</v>
      </c>
      <c r="E890" s="65">
        <v>-1.128696987379403</v>
      </c>
      <c r="F890" s="65">
        <v>6.385795072257056</v>
      </c>
      <c r="G890" s="50">
        <v>0.0</v>
      </c>
      <c r="H890" s="50">
        <v>0.0</v>
      </c>
      <c r="I890" s="50">
        <v>0.0</v>
      </c>
      <c r="J890" s="50">
        <v>0.0</v>
      </c>
      <c r="K890" s="50">
        <v>0.0</v>
      </c>
      <c r="L890" s="50">
        <v>0.0</v>
      </c>
      <c r="M890" s="50">
        <v>0.0</v>
      </c>
      <c r="N890" s="50">
        <v>0.0</v>
      </c>
      <c r="O890" s="50">
        <v>7.425000000000001</v>
      </c>
      <c r="P890" s="50">
        <v>0.0</v>
      </c>
      <c r="Q890" s="50">
        <v>0.0</v>
      </c>
      <c r="R890" s="50">
        <v>0.0</v>
      </c>
      <c r="S890" s="50">
        <v>0.0</v>
      </c>
      <c r="T890" s="50">
        <v>2.8125</v>
      </c>
      <c r="U890" s="50">
        <v>0.0</v>
      </c>
      <c r="V890" s="50">
        <v>0.0</v>
      </c>
      <c r="W890" s="50">
        <v>0.0</v>
      </c>
      <c r="X890" s="50">
        <v>2.8125</v>
      </c>
      <c r="Y890" s="50">
        <v>13.05</v>
      </c>
    </row>
    <row r="891">
      <c r="A891" s="26">
        <v>885.0</v>
      </c>
      <c r="B891" s="65">
        <v>-0.08934360925364773</v>
      </c>
      <c r="C891" s="65">
        <v>0.6492782645894403</v>
      </c>
      <c r="D891" s="65">
        <v>-0.08857339530669255</v>
      </c>
      <c r="E891" s="65">
        <v>0.798834660397356</v>
      </c>
      <c r="F891" s="65">
        <v>14.174695957446199</v>
      </c>
      <c r="G891" s="50">
        <v>0.0</v>
      </c>
      <c r="H891" s="50">
        <v>0.0</v>
      </c>
      <c r="I891" s="50">
        <v>0.0</v>
      </c>
      <c r="J891" s="50">
        <v>0.0</v>
      </c>
      <c r="K891" s="50">
        <v>0.0</v>
      </c>
      <c r="L891" s="50">
        <v>0.0</v>
      </c>
      <c r="M891" s="50">
        <v>0.0</v>
      </c>
      <c r="N891" s="50">
        <v>0.0</v>
      </c>
      <c r="O891" s="50">
        <v>0.0</v>
      </c>
      <c r="P891" s="50">
        <v>0.0</v>
      </c>
      <c r="Q891" s="50">
        <v>0.0</v>
      </c>
      <c r="R891" s="50">
        <v>0.0</v>
      </c>
      <c r="S891" s="50">
        <v>0.0</v>
      </c>
      <c r="T891" s="50">
        <v>2.8125</v>
      </c>
      <c r="U891" s="50">
        <v>0.0</v>
      </c>
      <c r="V891" s="50">
        <v>0.0</v>
      </c>
      <c r="W891" s="50">
        <v>0.0</v>
      </c>
      <c r="X891" s="50">
        <v>2.8125</v>
      </c>
      <c r="Y891" s="50">
        <v>5.625</v>
      </c>
    </row>
    <row r="892">
      <c r="A892" s="26">
        <v>886.0</v>
      </c>
      <c r="B892" s="65">
        <v>-0.14339543346151276</v>
      </c>
      <c r="C892" s="65">
        <v>0.9396174536665195</v>
      </c>
      <c r="D892" s="65">
        <v>0.12701863991039578</v>
      </c>
      <c r="E892" s="65">
        <v>0.44667790698389737</v>
      </c>
      <c r="F892" s="65">
        <v>6.690546672040275</v>
      </c>
      <c r="G892" s="50">
        <v>0.0</v>
      </c>
      <c r="H892" s="50">
        <v>0.0</v>
      </c>
      <c r="I892" s="50">
        <v>0.0</v>
      </c>
      <c r="J892" s="50">
        <v>0.0</v>
      </c>
      <c r="K892" s="50">
        <v>0.0</v>
      </c>
      <c r="L892" s="50">
        <v>0.0</v>
      </c>
      <c r="M892" s="50">
        <v>0.0</v>
      </c>
      <c r="N892" s="50">
        <v>0.0</v>
      </c>
      <c r="O892" s="50">
        <v>0.0</v>
      </c>
      <c r="P892" s="50">
        <v>0.0</v>
      </c>
      <c r="Q892" s="50">
        <v>0.0</v>
      </c>
      <c r="R892" s="50">
        <v>0.0</v>
      </c>
      <c r="S892" s="50">
        <v>0.0</v>
      </c>
      <c r="T892" s="50">
        <v>2.8125</v>
      </c>
      <c r="U892" s="50">
        <v>0.0</v>
      </c>
      <c r="V892" s="50">
        <v>0.0</v>
      </c>
      <c r="W892" s="50">
        <v>0.0</v>
      </c>
      <c r="X892" s="50">
        <v>2.8125</v>
      </c>
      <c r="Y892" s="50">
        <v>5.625</v>
      </c>
    </row>
    <row r="893">
      <c r="A893" s="26">
        <v>887.0</v>
      </c>
      <c r="B893" s="65">
        <v>-0.5065818200550625</v>
      </c>
      <c r="C893" s="65">
        <v>0.12235980007135489</v>
      </c>
      <c r="D893" s="65">
        <v>0.04712560031722846</v>
      </c>
      <c r="E893" s="65">
        <v>0.3098919295046441</v>
      </c>
      <c r="F893" s="65">
        <v>7.594136544224068</v>
      </c>
      <c r="G893" s="50">
        <v>0.0</v>
      </c>
      <c r="H893" s="50">
        <v>0.0</v>
      </c>
      <c r="I893" s="50">
        <v>0.0</v>
      </c>
      <c r="J893" s="50">
        <v>0.0</v>
      </c>
      <c r="K893" s="50">
        <v>0.0</v>
      </c>
      <c r="L893" s="50">
        <v>0.0</v>
      </c>
      <c r="M893" s="50">
        <v>0.0</v>
      </c>
      <c r="N893" s="50">
        <v>0.0</v>
      </c>
      <c r="O893" s="50">
        <v>0.0</v>
      </c>
      <c r="P893" s="50">
        <v>0.0</v>
      </c>
      <c r="Q893" s="50">
        <v>0.0</v>
      </c>
      <c r="R893" s="50">
        <v>0.0</v>
      </c>
      <c r="S893" s="50">
        <v>0.0</v>
      </c>
      <c r="T893" s="50">
        <v>2.8125</v>
      </c>
      <c r="U893" s="50">
        <v>0.0</v>
      </c>
      <c r="V893" s="50">
        <v>0.0</v>
      </c>
      <c r="W893" s="50">
        <v>0.0</v>
      </c>
      <c r="X893" s="50">
        <v>2.8125</v>
      </c>
      <c r="Y893" s="50">
        <v>5.625</v>
      </c>
    </row>
    <row r="894">
      <c r="A894" s="26">
        <v>888.0</v>
      </c>
      <c r="B894" s="65">
        <v>-0.19271872144139032</v>
      </c>
      <c r="C894" s="65">
        <v>1.1386265849099066</v>
      </c>
      <c r="D894" s="65">
        <v>0.5099183081929529</v>
      </c>
      <c r="E894" s="65">
        <v>0.32710122193286323</v>
      </c>
      <c r="F894" s="65">
        <v>5.354865044399314</v>
      </c>
      <c r="G894" s="50">
        <v>0.0</v>
      </c>
      <c r="H894" s="50">
        <v>0.0</v>
      </c>
      <c r="I894" s="50">
        <v>0.0</v>
      </c>
      <c r="J894" s="50">
        <v>0.0</v>
      </c>
      <c r="K894" s="50">
        <v>0.0</v>
      </c>
      <c r="L894" s="50">
        <v>0.0</v>
      </c>
      <c r="M894" s="50">
        <v>0.0</v>
      </c>
      <c r="N894" s="50">
        <v>0.0</v>
      </c>
      <c r="O894" s="50">
        <v>0.0</v>
      </c>
      <c r="P894" s="50">
        <v>0.0</v>
      </c>
      <c r="Q894" s="50">
        <v>0.0</v>
      </c>
      <c r="R894" s="50">
        <v>0.0</v>
      </c>
      <c r="S894" s="50">
        <v>0.0</v>
      </c>
      <c r="T894" s="50">
        <v>2.8125</v>
      </c>
      <c r="U894" s="50">
        <v>0.0</v>
      </c>
      <c r="V894" s="50">
        <v>0.0</v>
      </c>
      <c r="W894" s="50">
        <v>0.0</v>
      </c>
      <c r="X894" s="50">
        <v>2.8125</v>
      </c>
      <c r="Y894" s="50">
        <v>5.625</v>
      </c>
    </row>
    <row r="895">
      <c r="A895" s="26">
        <v>889.0</v>
      </c>
      <c r="B895" s="65">
        <v>0.7734644725243719</v>
      </c>
      <c r="C895" s="65">
        <v>1.3785638066521448</v>
      </c>
      <c r="D895" s="65">
        <v>-0.2845319147989689</v>
      </c>
      <c r="E895" s="65">
        <v>0.2119804144480672</v>
      </c>
      <c r="F895" s="65">
        <v>3.4753229484257546</v>
      </c>
      <c r="G895" s="50">
        <v>0.0</v>
      </c>
      <c r="H895" s="50">
        <v>0.0</v>
      </c>
      <c r="I895" s="50">
        <v>0.0</v>
      </c>
      <c r="J895" s="50">
        <v>0.0</v>
      </c>
      <c r="K895" s="50">
        <v>0.0</v>
      </c>
      <c r="L895" s="50">
        <v>0.0</v>
      </c>
      <c r="M895" s="50">
        <v>0.0</v>
      </c>
      <c r="N895" s="50">
        <v>0.0</v>
      </c>
      <c r="O895" s="50">
        <v>0.0</v>
      </c>
      <c r="P895" s="50">
        <v>0.0</v>
      </c>
      <c r="Q895" s="50">
        <v>0.0</v>
      </c>
      <c r="R895" s="50">
        <v>0.0</v>
      </c>
      <c r="S895" s="50">
        <v>0.0</v>
      </c>
      <c r="T895" s="50">
        <v>2.8125</v>
      </c>
      <c r="U895" s="50">
        <v>0.0</v>
      </c>
      <c r="V895" s="50">
        <v>0.0</v>
      </c>
      <c r="W895" s="50">
        <v>0.0</v>
      </c>
      <c r="X895" s="50">
        <v>2.8125</v>
      </c>
      <c r="Y895" s="50">
        <v>5.625</v>
      </c>
    </row>
    <row r="896">
      <c r="A896" s="26">
        <v>890.0</v>
      </c>
      <c r="B896" s="65">
        <v>-1.6724855338468723</v>
      </c>
      <c r="C896" s="65">
        <v>1.0466165697802678</v>
      </c>
      <c r="D896" s="65">
        <v>-0.9488605328756661</v>
      </c>
      <c r="E896" s="65">
        <v>1.2381487789007621</v>
      </c>
      <c r="F896" s="65">
        <v>2.9684421450513447</v>
      </c>
      <c r="G896" s="50">
        <v>0.0</v>
      </c>
      <c r="H896" s="50">
        <v>0.0</v>
      </c>
      <c r="I896" s="50">
        <v>0.0</v>
      </c>
      <c r="J896" s="50">
        <v>0.0</v>
      </c>
      <c r="K896" s="50">
        <v>0.0</v>
      </c>
      <c r="L896" s="50">
        <v>0.0</v>
      </c>
      <c r="M896" s="50">
        <v>0.0</v>
      </c>
      <c r="N896" s="50">
        <v>0.0</v>
      </c>
      <c r="O896" s="50">
        <v>0.0</v>
      </c>
      <c r="P896" s="50">
        <v>2.475</v>
      </c>
      <c r="Q896" s="50">
        <v>0.0</v>
      </c>
      <c r="R896" s="50">
        <v>0.0</v>
      </c>
      <c r="S896" s="50">
        <v>0.0</v>
      </c>
      <c r="T896" s="50">
        <v>2.8125</v>
      </c>
      <c r="U896" s="50">
        <v>0.0</v>
      </c>
      <c r="V896" s="50">
        <v>5.625</v>
      </c>
      <c r="W896" s="50">
        <v>0.0</v>
      </c>
      <c r="X896" s="50">
        <v>2.8125</v>
      </c>
      <c r="Y896" s="50">
        <v>13.725</v>
      </c>
    </row>
    <row r="897">
      <c r="A897" s="26">
        <v>891.0</v>
      </c>
      <c r="B897" s="65">
        <v>-2.0348906732869763</v>
      </c>
      <c r="C897" s="65">
        <v>-0.07280607644191121</v>
      </c>
      <c r="D897" s="65">
        <v>0.6802084949295623</v>
      </c>
      <c r="E897" s="65">
        <v>0.8473294713182677</v>
      </c>
      <c r="F897" s="65">
        <v>2.362112708081583</v>
      </c>
      <c r="G897" s="50">
        <v>0.0</v>
      </c>
      <c r="H897" s="50">
        <v>0.0</v>
      </c>
      <c r="I897" s="50">
        <v>0.0</v>
      </c>
      <c r="J897" s="50">
        <v>0.0</v>
      </c>
      <c r="K897" s="50">
        <v>0.0</v>
      </c>
      <c r="L897" s="50">
        <v>0.0</v>
      </c>
      <c r="M897" s="50">
        <v>0.0</v>
      </c>
      <c r="N897" s="50">
        <v>0.0</v>
      </c>
      <c r="O897" s="50">
        <v>7.425000000000001</v>
      </c>
      <c r="P897" s="50">
        <v>2.475</v>
      </c>
      <c r="Q897" s="50">
        <v>0.0</v>
      </c>
      <c r="R897" s="50">
        <v>9.9</v>
      </c>
      <c r="S897" s="50">
        <v>0.0</v>
      </c>
      <c r="T897" s="50">
        <v>2.8125</v>
      </c>
      <c r="U897" s="50">
        <v>0.0</v>
      </c>
      <c r="V897" s="50">
        <v>0.0</v>
      </c>
      <c r="W897" s="50">
        <v>0.0</v>
      </c>
      <c r="X897" s="50">
        <v>2.8125</v>
      </c>
      <c r="Y897" s="50">
        <v>25.425</v>
      </c>
    </row>
    <row r="898">
      <c r="A898" s="26">
        <v>892.0</v>
      </c>
      <c r="B898" s="65">
        <v>-1.173196913190359</v>
      </c>
      <c r="C898" s="65">
        <v>-0.8996555904950855</v>
      </c>
      <c r="D898" s="65">
        <v>-0.0031156762321029345</v>
      </c>
      <c r="E898" s="65">
        <v>-0.8264092251314636</v>
      </c>
      <c r="F898" s="65">
        <v>3.6587332685657894</v>
      </c>
      <c r="G898" s="50">
        <v>0.0</v>
      </c>
      <c r="H898" s="50">
        <v>0.0</v>
      </c>
      <c r="I898" s="50">
        <v>0.0</v>
      </c>
      <c r="J898" s="50">
        <v>0.0</v>
      </c>
      <c r="K898" s="50">
        <v>0.0</v>
      </c>
      <c r="L898" s="50">
        <v>0.0</v>
      </c>
      <c r="M898" s="50">
        <v>0.0</v>
      </c>
      <c r="N898" s="50">
        <v>0.0</v>
      </c>
      <c r="O898" s="50">
        <v>7.425000000000001</v>
      </c>
      <c r="P898" s="50">
        <v>0.0</v>
      </c>
      <c r="Q898" s="50">
        <v>0.0</v>
      </c>
      <c r="R898" s="50">
        <v>0.0</v>
      </c>
      <c r="S898" s="50">
        <v>0.0</v>
      </c>
      <c r="T898" s="50">
        <v>2.8125</v>
      </c>
      <c r="U898" s="50">
        <v>0.0</v>
      </c>
      <c r="V898" s="50">
        <v>5.625</v>
      </c>
      <c r="W898" s="50">
        <v>4.95</v>
      </c>
      <c r="X898" s="50">
        <v>2.8125</v>
      </c>
      <c r="Y898" s="50">
        <v>23.625</v>
      </c>
    </row>
    <row r="899">
      <c r="A899" s="26">
        <v>893.0</v>
      </c>
      <c r="B899" s="65">
        <v>1.2396536033145789</v>
      </c>
      <c r="C899" s="65">
        <v>0.9449696170149305</v>
      </c>
      <c r="D899" s="65">
        <v>0.20900238804889917</v>
      </c>
      <c r="E899" s="65">
        <v>-0.33513777218542096</v>
      </c>
      <c r="F899" s="65">
        <v>6.180966776662001</v>
      </c>
      <c r="G899" s="50">
        <v>0.0</v>
      </c>
      <c r="H899" s="50">
        <v>0.0</v>
      </c>
      <c r="I899" s="50">
        <v>0.0</v>
      </c>
      <c r="J899" s="50">
        <v>0.0</v>
      </c>
      <c r="K899" s="50">
        <v>0.0</v>
      </c>
      <c r="L899" s="50">
        <v>0.0</v>
      </c>
      <c r="M899" s="50">
        <v>0.0</v>
      </c>
      <c r="N899" s="50">
        <v>0.0</v>
      </c>
      <c r="O899" s="50">
        <v>0.0</v>
      </c>
      <c r="P899" s="50">
        <v>0.0</v>
      </c>
      <c r="Q899" s="50">
        <v>0.0</v>
      </c>
      <c r="R899" s="50">
        <v>0.0</v>
      </c>
      <c r="S899" s="50">
        <v>0.0</v>
      </c>
      <c r="T899" s="50">
        <v>2.8125</v>
      </c>
      <c r="U899" s="50">
        <v>0.0</v>
      </c>
      <c r="V899" s="50">
        <v>5.625</v>
      </c>
      <c r="W899" s="50">
        <v>0.0</v>
      </c>
      <c r="X899" s="50">
        <v>2.8125</v>
      </c>
      <c r="Y899" s="50">
        <v>11.25</v>
      </c>
    </row>
    <row r="900">
      <c r="A900" s="26">
        <v>894.0</v>
      </c>
      <c r="B900" s="65">
        <v>0.47597094860289335</v>
      </c>
      <c r="C900" s="65">
        <v>-0.4549600061978999</v>
      </c>
      <c r="D900" s="65">
        <v>1.1832923590974798</v>
      </c>
      <c r="E900" s="65">
        <v>0.4783364137495979</v>
      </c>
      <c r="F900" s="65">
        <v>4.464023067350608</v>
      </c>
      <c r="G900" s="50">
        <v>0.0</v>
      </c>
      <c r="H900" s="50">
        <v>0.0</v>
      </c>
      <c r="I900" s="50">
        <v>0.0</v>
      </c>
      <c r="J900" s="50">
        <v>0.0</v>
      </c>
      <c r="K900" s="50">
        <v>0.0</v>
      </c>
      <c r="L900" s="50">
        <v>0.0</v>
      </c>
      <c r="M900" s="50">
        <v>0.0</v>
      </c>
      <c r="N900" s="50">
        <v>0.0</v>
      </c>
      <c r="O900" s="50">
        <v>0.0</v>
      </c>
      <c r="P900" s="50">
        <v>0.0</v>
      </c>
      <c r="Q900" s="50">
        <v>0.0</v>
      </c>
      <c r="R900" s="50">
        <v>0.0</v>
      </c>
      <c r="S900" s="50">
        <v>0.0</v>
      </c>
      <c r="T900" s="50">
        <v>2.8125</v>
      </c>
      <c r="U900" s="50">
        <v>0.0</v>
      </c>
      <c r="V900" s="50">
        <v>0.0</v>
      </c>
      <c r="W900" s="50">
        <v>0.0</v>
      </c>
      <c r="X900" s="50">
        <v>2.8125</v>
      </c>
      <c r="Y900" s="50">
        <v>5.625</v>
      </c>
    </row>
    <row r="901">
      <c r="A901" s="26">
        <v>895.0</v>
      </c>
      <c r="B901" s="65">
        <v>-0.28033862429250894</v>
      </c>
      <c r="C901" s="65">
        <v>-0.6148022516568037</v>
      </c>
      <c r="D901" s="65">
        <v>-0.9549079962055275</v>
      </c>
      <c r="E901" s="65">
        <v>0.5306455581098155</v>
      </c>
      <c r="F901" s="65">
        <v>4.180620089009882</v>
      </c>
      <c r="G901" s="50">
        <v>0.0</v>
      </c>
      <c r="H901" s="50">
        <v>0.0</v>
      </c>
      <c r="I901" s="50">
        <v>0.0</v>
      </c>
      <c r="J901" s="50">
        <v>0.0</v>
      </c>
      <c r="K901" s="50">
        <v>0.0</v>
      </c>
      <c r="L901" s="50">
        <v>0.0</v>
      </c>
      <c r="M901" s="50">
        <v>0.0</v>
      </c>
      <c r="N901" s="50">
        <v>0.0</v>
      </c>
      <c r="O901" s="50">
        <v>0.0</v>
      </c>
      <c r="P901" s="50">
        <v>0.0</v>
      </c>
      <c r="Q901" s="50">
        <v>0.0</v>
      </c>
      <c r="R901" s="50">
        <v>0.0</v>
      </c>
      <c r="S901" s="50">
        <v>0.0</v>
      </c>
      <c r="T901" s="50">
        <v>2.8125</v>
      </c>
      <c r="U901" s="50">
        <v>0.0</v>
      </c>
      <c r="V901" s="50">
        <v>0.0</v>
      </c>
      <c r="W901" s="50">
        <v>0.0</v>
      </c>
      <c r="X901" s="50">
        <v>2.8125</v>
      </c>
      <c r="Y901" s="50">
        <v>5.625</v>
      </c>
    </row>
    <row r="902">
      <c r="A902" s="26">
        <v>896.0</v>
      </c>
      <c r="B902" s="65">
        <v>0.6046141775978429</v>
      </c>
      <c r="C902" s="65">
        <v>0.6165498184264152</v>
      </c>
      <c r="D902" s="65">
        <v>1.4251723358023336</v>
      </c>
      <c r="E902" s="65">
        <v>-1.6041426511593457</v>
      </c>
      <c r="F902" s="65">
        <v>5.883738650866206</v>
      </c>
      <c r="G902" s="50">
        <v>0.0</v>
      </c>
      <c r="H902" s="50">
        <v>0.0</v>
      </c>
      <c r="I902" s="50">
        <v>0.0</v>
      </c>
      <c r="J902" s="50">
        <v>0.0</v>
      </c>
      <c r="K902" s="50">
        <v>0.0</v>
      </c>
      <c r="L902" s="50">
        <v>0.0</v>
      </c>
      <c r="M902" s="50">
        <v>0.0</v>
      </c>
      <c r="N902" s="50">
        <v>0.0</v>
      </c>
      <c r="O902" s="50">
        <v>0.0</v>
      </c>
      <c r="P902" s="50">
        <v>0.0</v>
      </c>
      <c r="Q902" s="50">
        <v>0.0</v>
      </c>
      <c r="R902" s="50">
        <v>0.0</v>
      </c>
      <c r="S902" s="50">
        <v>0.0</v>
      </c>
      <c r="T902" s="50">
        <v>2.8125</v>
      </c>
      <c r="U902" s="50">
        <v>0.0</v>
      </c>
      <c r="V902" s="50">
        <v>0.0</v>
      </c>
      <c r="W902" s="50">
        <v>0.0</v>
      </c>
      <c r="X902" s="50">
        <v>2.8125</v>
      </c>
      <c r="Y902" s="50">
        <v>5.625</v>
      </c>
    </row>
    <row r="903">
      <c r="A903" s="26">
        <v>897.0</v>
      </c>
      <c r="B903" s="65">
        <v>0.8784383710461525</v>
      </c>
      <c r="C903" s="65">
        <v>-0.6587914684757441</v>
      </c>
      <c r="D903" s="65">
        <v>0.27425104136395245</v>
      </c>
      <c r="E903" s="65">
        <v>-0.10409431981460693</v>
      </c>
      <c r="F903" s="65">
        <v>6.21713493937108</v>
      </c>
      <c r="G903" s="50">
        <v>0.0</v>
      </c>
      <c r="H903" s="50">
        <v>0.0</v>
      </c>
      <c r="I903" s="50">
        <v>0.0</v>
      </c>
      <c r="J903" s="50">
        <v>0.0</v>
      </c>
      <c r="K903" s="50">
        <v>0.0</v>
      </c>
      <c r="L903" s="50">
        <v>0.0</v>
      </c>
      <c r="M903" s="50">
        <v>0.0</v>
      </c>
      <c r="N903" s="50">
        <v>0.0</v>
      </c>
      <c r="O903" s="50">
        <v>0.0</v>
      </c>
      <c r="P903" s="50">
        <v>0.0</v>
      </c>
      <c r="Q903" s="50">
        <v>0.0</v>
      </c>
      <c r="R903" s="50">
        <v>0.0</v>
      </c>
      <c r="S903" s="50">
        <v>0.0</v>
      </c>
      <c r="T903" s="50">
        <v>2.8125</v>
      </c>
      <c r="U903" s="50">
        <v>0.0</v>
      </c>
      <c r="V903" s="50">
        <v>0.0</v>
      </c>
      <c r="W903" s="50">
        <v>0.0</v>
      </c>
      <c r="X903" s="50">
        <v>2.8125</v>
      </c>
      <c r="Y903" s="50">
        <v>5.625</v>
      </c>
    </row>
    <row r="904">
      <c r="A904" s="26">
        <v>898.0</v>
      </c>
      <c r="B904" s="65">
        <v>1.2639782756077658</v>
      </c>
      <c r="C904" s="65">
        <v>0.10681284665834044</v>
      </c>
      <c r="D904" s="65">
        <v>0.10416521324996188</v>
      </c>
      <c r="E904" s="65">
        <v>1.2142120268647956</v>
      </c>
      <c r="F904" s="65">
        <v>5.028933159320056</v>
      </c>
      <c r="G904" s="50">
        <v>0.0</v>
      </c>
      <c r="H904" s="50">
        <v>0.0</v>
      </c>
      <c r="I904" s="50">
        <v>0.0</v>
      </c>
      <c r="J904" s="50">
        <v>0.0</v>
      </c>
      <c r="K904" s="50">
        <v>0.0</v>
      </c>
      <c r="L904" s="50">
        <v>0.0</v>
      </c>
      <c r="M904" s="50">
        <v>0.0</v>
      </c>
      <c r="N904" s="50">
        <v>0.0</v>
      </c>
      <c r="O904" s="50">
        <v>0.0</v>
      </c>
      <c r="P904" s="50">
        <v>0.0</v>
      </c>
      <c r="Q904" s="50">
        <v>0.0</v>
      </c>
      <c r="R904" s="50">
        <v>0.0</v>
      </c>
      <c r="S904" s="50">
        <v>0.0</v>
      </c>
      <c r="T904" s="50">
        <v>2.8125</v>
      </c>
      <c r="U904" s="50">
        <v>0.0</v>
      </c>
      <c r="V904" s="50">
        <v>0.0</v>
      </c>
      <c r="W904" s="50">
        <v>0.0</v>
      </c>
      <c r="X904" s="50">
        <v>2.8125</v>
      </c>
      <c r="Y904" s="50">
        <v>5.625</v>
      </c>
    </row>
    <row r="905">
      <c r="A905" s="26">
        <v>899.0</v>
      </c>
      <c r="B905" s="65">
        <v>-0.5039902546023877</v>
      </c>
      <c r="C905" s="65">
        <v>-1.0186327115526035</v>
      </c>
      <c r="D905" s="65">
        <v>-0.7797196558954188</v>
      </c>
      <c r="E905" s="65">
        <v>-1.160869110297068</v>
      </c>
      <c r="F905" s="65">
        <v>1.4348739742576302</v>
      </c>
      <c r="G905" s="50">
        <v>0.0</v>
      </c>
      <c r="H905" s="50">
        <v>0.0</v>
      </c>
      <c r="I905" s="50">
        <v>0.0</v>
      </c>
      <c r="J905" s="50">
        <v>0.0</v>
      </c>
      <c r="K905" s="50">
        <v>0.0</v>
      </c>
      <c r="L905" s="50">
        <v>0.0</v>
      </c>
      <c r="M905" s="50">
        <v>0.0</v>
      </c>
      <c r="N905" s="50">
        <v>0.0</v>
      </c>
      <c r="O905" s="50">
        <v>0.0</v>
      </c>
      <c r="P905" s="50">
        <v>2.475</v>
      </c>
      <c r="Q905" s="50">
        <v>0.0</v>
      </c>
      <c r="R905" s="50">
        <v>9.9</v>
      </c>
      <c r="S905" s="50">
        <v>11.25</v>
      </c>
      <c r="T905" s="50">
        <v>2.8125</v>
      </c>
      <c r="U905" s="50">
        <v>0.0</v>
      </c>
      <c r="V905" s="50">
        <v>5.625</v>
      </c>
      <c r="W905" s="50">
        <v>4.95</v>
      </c>
      <c r="X905" s="50">
        <v>2.8125</v>
      </c>
      <c r="Y905" s="50">
        <v>39.825</v>
      </c>
    </row>
    <row r="906">
      <c r="A906" s="26">
        <v>900.0</v>
      </c>
      <c r="B906" s="65">
        <v>1.5758119758247133</v>
      </c>
      <c r="C906" s="65">
        <v>-1.0983341697681264</v>
      </c>
      <c r="D906" s="65">
        <v>-0.9742566588272478</v>
      </c>
      <c r="E906" s="65">
        <v>0.2343966470331754</v>
      </c>
      <c r="F906" s="65">
        <v>4.905918953415182</v>
      </c>
      <c r="G906" s="50">
        <v>0.0</v>
      </c>
      <c r="H906" s="50">
        <v>0.0</v>
      </c>
      <c r="I906" s="50">
        <v>0.0</v>
      </c>
      <c r="J906" s="50">
        <v>0.0</v>
      </c>
      <c r="K906" s="50">
        <v>0.0</v>
      </c>
      <c r="L906" s="50">
        <v>0.0</v>
      </c>
      <c r="M906" s="50">
        <v>0.0</v>
      </c>
      <c r="N906" s="50">
        <v>0.0</v>
      </c>
      <c r="O906" s="50">
        <v>0.0</v>
      </c>
      <c r="P906" s="50">
        <v>0.0</v>
      </c>
      <c r="Q906" s="50">
        <v>0.0</v>
      </c>
      <c r="R906" s="50">
        <v>0.0</v>
      </c>
      <c r="S906" s="50">
        <v>0.0</v>
      </c>
      <c r="T906" s="50">
        <v>2.8125</v>
      </c>
      <c r="U906" s="50">
        <v>0.0</v>
      </c>
      <c r="V906" s="50">
        <v>0.0</v>
      </c>
      <c r="W906" s="50">
        <v>0.0</v>
      </c>
      <c r="X906" s="50">
        <v>2.8125</v>
      </c>
      <c r="Y906" s="50">
        <v>5.625</v>
      </c>
    </row>
    <row r="907">
      <c r="A907" s="26">
        <v>901.0</v>
      </c>
      <c r="B907" s="65">
        <v>-0.5717259538118156</v>
      </c>
      <c r="C907" s="65">
        <v>-0.5659027250513069</v>
      </c>
      <c r="D907" s="65">
        <v>0.687980024643309</v>
      </c>
      <c r="E907" s="65">
        <v>-0.06513344208683287</v>
      </c>
      <c r="F907" s="65">
        <v>3.9059624637010777</v>
      </c>
      <c r="G907" s="50">
        <v>0.0</v>
      </c>
      <c r="H907" s="50">
        <v>0.0</v>
      </c>
      <c r="I907" s="50">
        <v>0.0</v>
      </c>
      <c r="J907" s="50">
        <v>0.0</v>
      </c>
      <c r="K907" s="50">
        <v>0.0</v>
      </c>
      <c r="L907" s="50">
        <v>0.0</v>
      </c>
      <c r="M907" s="50">
        <v>0.0</v>
      </c>
      <c r="N907" s="50">
        <v>0.0</v>
      </c>
      <c r="O907" s="50">
        <v>0.0</v>
      </c>
      <c r="P907" s="50">
        <v>0.0</v>
      </c>
      <c r="Q907" s="50">
        <v>0.0</v>
      </c>
      <c r="R907" s="50">
        <v>0.0</v>
      </c>
      <c r="S907" s="50">
        <v>0.0</v>
      </c>
      <c r="T907" s="50">
        <v>2.8125</v>
      </c>
      <c r="U907" s="50">
        <v>0.0</v>
      </c>
      <c r="V907" s="50">
        <v>0.0</v>
      </c>
      <c r="W907" s="50">
        <v>4.95</v>
      </c>
      <c r="X907" s="50">
        <v>2.8125</v>
      </c>
      <c r="Y907" s="50">
        <v>10.575</v>
      </c>
    </row>
    <row r="908">
      <c r="A908" s="26">
        <v>902.0</v>
      </c>
      <c r="B908" s="65">
        <v>-0.09115286396230989</v>
      </c>
      <c r="C908" s="65">
        <v>0.2558899746010115</v>
      </c>
      <c r="D908" s="65">
        <v>-0.13795784136686517</v>
      </c>
      <c r="E908" s="65">
        <v>-1.7850822573256786</v>
      </c>
      <c r="F908" s="65">
        <v>3.497869991448705</v>
      </c>
      <c r="G908" s="50">
        <v>0.0</v>
      </c>
      <c r="H908" s="50">
        <v>0.0</v>
      </c>
      <c r="I908" s="50">
        <v>0.0</v>
      </c>
      <c r="J908" s="50">
        <v>0.0</v>
      </c>
      <c r="K908" s="50">
        <v>0.0</v>
      </c>
      <c r="L908" s="50">
        <v>0.0</v>
      </c>
      <c r="M908" s="50">
        <v>0.0</v>
      </c>
      <c r="N908" s="50">
        <v>0.0</v>
      </c>
      <c r="O908" s="50">
        <v>0.0</v>
      </c>
      <c r="P908" s="50">
        <v>0.0</v>
      </c>
      <c r="Q908" s="50">
        <v>0.0</v>
      </c>
      <c r="R908" s="50">
        <v>0.0</v>
      </c>
      <c r="S908" s="50">
        <v>0.0</v>
      </c>
      <c r="T908" s="50">
        <v>2.8125</v>
      </c>
      <c r="U908" s="50">
        <v>0.0</v>
      </c>
      <c r="V908" s="50">
        <v>0.0</v>
      </c>
      <c r="W908" s="50">
        <v>0.0</v>
      </c>
      <c r="X908" s="50">
        <v>2.8125</v>
      </c>
      <c r="Y908" s="50">
        <v>5.625</v>
      </c>
    </row>
    <row r="909">
      <c r="A909" s="26">
        <v>903.0</v>
      </c>
      <c r="B909" s="65">
        <v>-0.20032176599544305</v>
      </c>
      <c r="C909" s="65">
        <v>-0.6245260769315923</v>
      </c>
      <c r="D909" s="65">
        <v>-0.9157388985005943</v>
      </c>
      <c r="E909" s="65">
        <v>-1.0705683477305659</v>
      </c>
      <c r="F909" s="65">
        <v>4.29335938911408</v>
      </c>
      <c r="G909" s="50">
        <v>0.0</v>
      </c>
      <c r="H909" s="50">
        <v>0.0</v>
      </c>
      <c r="I909" s="50">
        <v>0.0</v>
      </c>
      <c r="J909" s="50">
        <v>0.0</v>
      </c>
      <c r="K909" s="50">
        <v>0.0</v>
      </c>
      <c r="L909" s="50">
        <v>0.0</v>
      </c>
      <c r="M909" s="50">
        <v>0.0</v>
      </c>
      <c r="N909" s="50">
        <v>0.0</v>
      </c>
      <c r="O909" s="50">
        <v>0.0</v>
      </c>
      <c r="P909" s="50">
        <v>0.0</v>
      </c>
      <c r="Q909" s="50">
        <v>0.0</v>
      </c>
      <c r="R909" s="50">
        <v>0.0</v>
      </c>
      <c r="S909" s="50">
        <v>0.0</v>
      </c>
      <c r="T909" s="50">
        <v>2.8125</v>
      </c>
      <c r="U909" s="50">
        <v>0.0</v>
      </c>
      <c r="V909" s="50">
        <v>0.0</v>
      </c>
      <c r="W909" s="50">
        <v>0.0</v>
      </c>
      <c r="X909" s="50">
        <v>2.8125</v>
      </c>
      <c r="Y909" s="50">
        <v>5.625</v>
      </c>
    </row>
    <row r="910">
      <c r="A910" s="26">
        <v>904.0</v>
      </c>
      <c r="B910" s="65">
        <v>0.6706922282233702</v>
      </c>
      <c r="C910" s="65">
        <v>0.21619434733783321</v>
      </c>
      <c r="D910" s="65">
        <v>-0.6739778618549158</v>
      </c>
      <c r="E910" s="65">
        <v>-0.8816974954328792</v>
      </c>
      <c r="F910" s="65">
        <v>6.370936888277212</v>
      </c>
      <c r="G910" s="50">
        <v>0.0</v>
      </c>
      <c r="H910" s="50">
        <v>0.0</v>
      </c>
      <c r="I910" s="50">
        <v>0.0</v>
      </c>
      <c r="J910" s="50">
        <v>0.0</v>
      </c>
      <c r="K910" s="50">
        <v>0.0</v>
      </c>
      <c r="L910" s="50">
        <v>0.0</v>
      </c>
      <c r="M910" s="50">
        <v>0.0</v>
      </c>
      <c r="N910" s="50">
        <v>0.0</v>
      </c>
      <c r="O910" s="50">
        <v>0.0</v>
      </c>
      <c r="P910" s="50">
        <v>0.0</v>
      </c>
      <c r="Q910" s="50">
        <v>0.0</v>
      </c>
      <c r="R910" s="50">
        <v>0.0</v>
      </c>
      <c r="S910" s="50">
        <v>0.0</v>
      </c>
      <c r="T910" s="50">
        <v>2.8125</v>
      </c>
      <c r="U910" s="50">
        <v>0.0</v>
      </c>
      <c r="V910" s="50">
        <v>5.625</v>
      </c>
      <c r="W910" s="50">
        <v>0.0</v>
      </c>
      <c r="X910" s="50">
        <v>2.8125</v>
      </c>
      <c r="Y910" s="50">
        <v>11.25</v>
      </c>
    </row>
    <row r="911">
      <c r="A911" s="26">
        <v>905.0</v>
      </c>
      <c r="B911" s="65">
        <v>0.4523150760710691</v>
      </c>
      <c r="C911" s="65">
        <v>0.8606985104062673</v>
      </c>
      <c r="D911" s="65">
        <v>-1.1169342754912845</v>
      </c>
      <c r="E911" s="65">
        <v>-0.35578752300575517</v>
      </c>
      <c r="F911" s="65">
        <v>5.3596623615613375</v>
      </c>
      <c r="G911" s="50">
        <v>0.0</v>
      </c>
      <c r="H911" s="50">
        <v>0.0</v>
      </c>
      <c r="I911" s="50">
        <v>0.0</v>
      </c>
      <c r="J911" s="50">
        <v>0.0</v>
      </c>
      <c r="K911" s="50">
        <v>0.0</v>
      </c>
      <c r="L911" s="50">
        <v>0.0</v>
      </c>
      <c r="M911" s="50">
        <v>0.0</v>
      </c>
      <c r="N911" s="50">
        <v>0.0</v>
      </c>
      <c r="O911" s="50">
        <v>0.0</v>
      </c>
      <c r="P911" s="50">
        <v>0.0</v>
      </c>
      <c r="Q911" s="50">
        <v>0.0</v>
      </c>
      <c r="R911" s="50">
        <v>0.0</v>
      </c>
      <c r="S911" s="50">
        <v>0.0</v>
      </c>
      <c r="T911" s="50">
        <v>2.8125</v>
      </c>
      <c r="U911" s="50">
        <v>0.0</v>
      </c>
      <c r="V911" s="50">
        <v>5.625</v>
      </c>
      <c r="W911" s="50">
        <v>0.0</v>
      </c>
      <c r="X911" s="50">
        <v>2.8125</v>
      </c>
      <c r="Y911" s="50">
        <v>11.25</v>
      </c>
    </row>
    <row r="912">
      <c r="A912" s="26">
        <v>906.0</v>
      </c>
      <c r="B912" s="65">
        <v>0.5733163822733517</v>
      </c>
      <c r="C912" s="65">
        <v>-0.4270908838798742</v>
      </c>
      <c r="D912" s="65">
        <v>-0.3830690005820196</v>
      </c>
      <c r="E912" s="65">
        <v>-0.4484629816186344</v>
      </c>
      <c r="F912" s="65">
        <v>5.177902124578283</v>
      </c>
      <c r="G912" s="50">
        <v>0.0</v>
      </c>
      <c r="H912" s="50">
        <v>0.0</v>
      </c>
      <c r="I912" s="50">
        <v>0.0</v>
      </c>
      <c r="J912" s="50">
        <v>0.0</v>
      </c>
      <c r="K912" s="50">
        <v>0.0</v>
      </c>
      <c r="L912" s="50">
        <v>0.0</v>
      </c>
      <c r="M912" s="50">
        <v>0.0</v>
      </c>
      <c r="N912" s="50">
        <v>0.0</v>
      </c>
      <c r="O912" s="50">
        <v>0.0</v>
      </c>
      <c r="P912" s="50">
        <v>0.0</v>
      </c>
      <c r="Q912" s="50">
        <v>0.0</v>
      </c>
      <c r="R912" s="50">
        <v>0.0</v>
      </c>
      <c r="S912" s="50">
        <v>0.0</v>
      </c>
      <c r="T912" s="50">
        <v>2.8125</v>
      </c>
      <c r="U912" s="50">
        <v>0.0</v>
      </c>
      <c r="V912" s="50">
        <v>0.0</v>
      </c>
      <c r="W912" s="50">
        <v>0.0</v>
      </c>
      <c r="X912" s="50">
        <v>2.8125</v>
      </c>
      <c r="Y912" s="50">
        <v>5.625</v>
      </c>
    </row>
    <row r="913">
      <c r="A913" s="26">
        <v>907.0</v>
      </c>
      <c r="B913" s="65">
        <v>0.28042449600786096</v>
      </c>
      <c r="C913" s="65">
        <v>0.27647705580021975</v>
      </c>
      <c r="D913" s="65">
        <v>1.6469557059469309</v>
      </c>
      <c r="E913" s="65">
        <v>0.5052263709101156</v>
      </c>
      <c r="F913" s="65">
        <v>4.230801372894829</v>
      </c>
      <c r="G913" s="50">
        <v>0.0</v>
      </c>
      <c r="H913" s="50">
        <v>0.0</v>
      </c>
      <c r="I913" s="50">
        <v>0.0</v>
      </c>
      <c r="J913" s="50">
        <v>0.0</v>
      </c>
      <c r="K913" s="50">
        <v>0.0</v>
      </c>
      <c r="L913" s="50">
        <v>0.0</v>
      </c>
      <c r="M913" s="50">
        <v>0.0</v>
      </c>
      <c r="N913" s="50">
        <v>0.0</v>
      </c>
      <c r="O913" s="50">
        <v>0.0</v>
      </c>
      <c r="P913" s="50">
        <v>0.0</v>
      </c>
      <c r="Q913" s="50">
        <v>0.0</v>
      </c>
      <c r="R913" s="50">
        <v>0.0</v>
      </c>
      <c r="S913" s="50">
        <v>0.0</v>
      </c>
      <c r="T913" s="50">
        <v>2.8125</v>
      </c>
      <c r="U913" s="50">
        <v>0.0</v>
      </c>
      <c r="V913" s="50">
        <v>0.0</v>
      </c>
      <c r="W913" s="50">
        <v>0.0</v>
      </c>
      <c r="X913" s="50">
        <v>2.8125</v>
      </c>
      <c r="Y913" s="50">
        <v>5.625</v>
      </c>
    </row>
    <row r="914">
      <c r="A914" s="26">
        <v>908.0</v>
      </c>
      <c r="B914" s="65">
        <v>0.5319782348436018</v>
      </c>
      <c r="C914" s="65">
        <v>1.0500285491183519</v>
      </c>
      <c r="D914" s="65">
        <v>0.3936316794416665</v>
      </c>
      <c r="E914" s="65">
        <v>-0.10143214962371397</v>
      </c>
      <c r="F914" s="65">
        <v>6.625007779573455</v>
      </c>
      <c r="G914" s="50">
        <v>0.0</v>
      </c>
      <c r="H914" s="50">
        <v>0.0</v>
      </c>
      <c r="I914" s="50">
        <v>0.0</v>
      </c>
      <c r="J914" s="50">
        <v>0.0</v>
      </c>
      <c r="K914" s="50">
        <v>0.0</v>
      </c>
      <c r="L914" s="50">
        <v>0.0</v>
      </c>
      <c r="M914" s="50">
        <v>0.0</v>
      </c>
      <c r="N914" s="50">
        <v>0.0</v>
      </c>
      <c r="O914" s="50">
        <v>0.0</v>
      </c>
      <c r="P914" s="50">
        <v>0.0</v>
      </c>
      <c r="Q914" s="50">
        <v>0.0</v>
      </c>
      <c r="R914" s="50">
        <v>0.0</v>
      </c>
      <c r="S914" s="50">
        <v>0.0</v>
      </c>
      <c r="T914" s="50">
        <v>2.8125</v>
      </c>
      <c r="U914" s="50">
        <v>0.0</v>
      </c>
      <c r="V914" s="50">
        <v>5.625</v>
      </c>
      <c r="W914" s="50">
        <v>0.0</v>
      </c>
      <c r="X914" s="50">
        <v>2.8125</v>
      </c>
      <c r="Y914" s="50">
        <v>11.25</v>
      </c>
    </row>
    <row r="915">
      <c r="A915" s="26">
        <v>909.0</v>
      </c>
      <c r="B915" s="65">
        <v>-0.0530534536426698</v>
      </c>
      <c r="C915" s="65">
        <v>-0.0847228338119391</v>
      </c>
      <c r="D915" s="65">
        <v>-0.6971525967930974</v>
      </c>
      <c r="E915" s="65">
        <v>-0.048121392651691026</v>
      </c>
      <c r="F915" s="65">
        <v>5.390505682789083</v>
      </c>
      <c r="G915" s="50">
        <v>0.0</v>
      </c>
      <c r="H915" s="50">
        <v>0.0</v>
      </c>
      <c r="I915" s="50">
        <v>0.0</v>
      </c>
      <c r="J915" s="50">
        <v>0.0</v>
      </c>
      <c r="K915" s="50">
        <v>0.0</v>
      </c>
      <c r="L915" s="50">
        <v>0.0</v>
      </c>
      <c r="M915" s="50">
        <v>0.0</v>
      </c>
      <c r="N915" s="50">
        <v>0.0</v>
      </c>
      <c r="O915" s="50">
        <v>0.0</v>
      </c>
      <c r="P915" s="50">
        <v>0.0</v>
      </c>
      <c r="Q915" s="50">
        <v>0.0</v>
      </c>
      <c r="R915" s="50">
        <v>0.0</v>
      </c>
      <c r="S915" s="50">
        <v>0.0</v>
      </c>
      <c r="T915" s="50">
        <v>2.8125</v>
      </c>
      <c r="U915" s="50">
        <v>9.9</v>
      </c>
      <c r="V915" s="50">
        <v>0.0</v>
      </c>
      <c r="W915" s="50">
        <v>0.0</v>
      </c>
      <c r="X915" s="50">
        <v>2.8125</v>
      </c>
      <c r="Y915" s="50">
        <v>15.525</v>
      </c>
    </row>
    <row r="916">
      <c r="A916" s="26">
        <v>910.0</v>
      </c>
      <c r="B916" s="65">
        <v>0.9181684340547123</v>
      </c>
      <c r="C916" s="65">
        <v>0.6697382249797195</v>
      </c>
      <c r="D916" s="65">
        <v>-1.633509771985218</v>
      </c>
      <c r="E916" s="65">
        <v>-0.21331138435266153</v>
      </c>
      <c r="F916" s="65">
        <v>6.530773310669126</v>
      </c>
      <c r="G916" s="50">
        <v>0.0</v>
      </c>
      <c r="H916" s="50">
        <v>0.0</v>
      </c>
      <c r="I916" s="50">
        <v>0.0</v>
      </c>
      <c r="J916" s="50">
        <v>0.0</v>
      </c>
      <c r="K916" s="50">
        <v>0.0</v>
      </c>
      <c r="L916" s="50">
        <v>0.0</v>
      </c>
      <c r="M916" s="50">
        <v>0.0</v>
      </c>
      <c r="N916" s="50">
        <v>0.0</v>
      </c>
      <c r="O916" s="50">
        <v>0.0</v>
      </c>
      <c r="P916" s="50">
        <v>0.0</v>
      </c>
      <c r="Q916" s="50">
        <v>0.0</v>
      </c>
      <c r="R916" s="50">
        <v>0.0</v>
      </c>
      <c r="S916" s="50">
        <v>0.0</v>
      </c>
      <c r="T916" s="50">
        <v>2.8125</v>
      </c>
      <c r="U916" s="50">
        <v>0.0</v>
      </c>
      <c r="V916" s="50">
        <v>0.0</v>
      </c>
      <c r="W916" s="50">
        <v>0.0</v>
      </c>
      <c r="X916" s="50">
        <v>2.8125</v>
      </c>
      <c r="Y916" s="50">
        <v>5.625</v>
      </c>
    </row>
    <row r="917">
      <c r="A917" s="26">
        <v>911.0</v>
      </c>
      <c r="B917" s="65">
        <v>-0.6959781711287437</v>
      </c>
      <c r="C917" s="65">
        <v>0.701717279328829</v>
      </c>
      <c r="D917" s="65">
        <v>-1.8411605304448098</v>
      </c>
      <c r="E917" s="65">
        <v>0.8367464014793594</v>
      </c>
      <c r="F917" s="65">
        <v>6.3665860312288975</v>
      </c>
      <c r="G917" s="50">
        <v>0.0</v>
      </c>
      <c r="H917" s="50">
        <v>0.0</v>
      </c>
      <c r="I917" s="50">
        <v>0.0</v>
      </c>
      <c r="J917" s="50">
        <v>0.0</v>
      </c>
      <c r="K917" s="50">
        <v>0.0</v>
      </c>
      <c r="L917" s="50">
        <v>0.0</v>
      </c>
      <c r="M917" s="50">
        <v>0.0</v>
      </c>
      <c r="N917" s="50">
        <v>0.0</v>
      </c>
      <c r="O917" s="50">
        <v>0.0</v>
      </c>
      <c r="P917" s="50">
        <v>0.0</v>
      </c>
      <c r="Q917" s="50">
        <v>0.0</v>
      </c>
      <c r="R917" s="50">
        <v>9.9</v>
      </c>
      <c r="S917" s="50">
        <v>0.0</v>
      </c>
      <c r="T917" s="50">
        <v>2.8125</v>
      </c>
      <c r="U917" s="50">
        <v>0.0</v>
      </c>
      <c r="V917" s="50">
        <v>0.0</v>
      </c>
      <c r="W917" s="50">
        <v>0.0</v>
      </c>
      <c r="X917" s="50">
        <v>2.8125</v>
      </c>
      <c r="Y917" s="50">
        <v>15.525</v>
      </c>
    </row>
    <row r="918">
      <c r="A918" s="26">
        <v>912.0</v>
      </c>
      <c r="B918" s="65">
        <v>0.1626340924312511</v>
      </c>
      <c r="C918" s="65">
        <v>-1.244712612887323</v>
      </c>
      <c r="D918" s="65">
        <v>-1.9353041976410847</v>
      </c>
      <c r="E918" s="65">
        <v>0.050686074757979</v>
      </c>
      <c r="F918" s="65">
        <v>5.6734762428279595</v>
      </c>
      <c r="G918" s="50">
        <v>0.0</v>
      </c>
      <c r="H918" s="50">
        <v>0.0</v>
      </c>
      <c r="I918" s="50">
        <v>0.0</v>
      </c>
      <c r="J918" s="50">
        <v>0.0</v>
      </c>
      <c r="K918" s="50">
        <v>0.0</v>
      </c>
      <c r="L918" s="50">
        <v>0.0</v>
      </c>
      <c r="M918" s="50">
        <v>0.0</v>
      </c>
      <c r="N918" s="50">
        <v>0.0</v>
      </c>
      <c r="O918" s="50">
        <v>0.0</v>
      </c>
      <c r="P918" s="50">
        <v>0.0</v>
      </c>
      <c r="Q918" s="50">
        <v>0.0</v>
      </c>
      <c r="R918" s="50">
        <v>0.0</v>
      </c>
      <c r="S918" s="50">
        <v>0.0</v>
      </c>
      <c r="T918" s="50">
        <v>2.8125</v>
      </c>
      <c r="U918" s="50">
        <v>0.0</v>
      </c>
      <c r="V918" s="50">
        <v>0.0</v>
      </c>
      <c r="W918" s="50">
        <v>0.0</v>
      </c>
      <c r="X918" s="50">
        <v>2.8125</v>
      </c>
      <c r="Y918" s="50">
        <v>5.625</v>
      </c>
    </row>
    <row r="919">
      <c r="A919" s="26">
        <v>913.0</v>
      </c>
      <c r="B919" s="65">
        <v>-0.16331035363920962</v>
      </c>
      <c r="C919" s="65">
        <v>0.7718784870021388</v>
      </c>
      <c r="D919" s="65">
        <v>-0.7278793292221802</v>
      </c>
      <c r="E919" s="65">
        <v>1.4642637360734856</v>
      </c>
      <c r="F919" s="65">
        <v>5.650325125946376</v>
      </c>
      <c r="G919" s="50">
        <v>0.0</v>
      </c>
      <c r="H919" s="50">
        <v>0.0</v>
      </c>
      <c r="I919" s="50">
        <v>0.0</v>
      </c>
      <c r="J919" s="50">
        <v>0.0</v>
      </c>
      <c r="K919" s="50">
        <v>0.0</v>
      </c>
      <c r="L919" s="50">
        <v>0.0</v>
      </c>
      <c r="M919" s="50">
        <v>0.0</v>
      </c>
      <c r="N919" s="50">
        <v>0.0</v>
      </c>
      <c r="O919" s="50">
        <v>0.0</v>
      </c>
      <c r="P919" s="50">
        <v>0.0</v>
      </c>
      <c r="Q919" s="50">
        <v>0.0</v>
      </c>
      <c r="R919" s="50">
        <v>0.0</v>
      </c>
      <c r="S919" s="50">
        <v>0.0</v>
      </c>
      <c r="T919" s="50">
        <v>2.8125</v>
      </c>
      <c r="U919" s="50">
        <v>0.0</v>
      </c>
      <c r="V919" s="50">
        <v>0.0</v>
      </c>
      <c r="W919" s="50">
        <v>0.0</v>
      </c>
      <c r="X919" s="50">
        <v>2.8125</v>
      </c>
      <c r="Y919" s="50">
        <v>5.625</v>
      </c>
    </row>
    <row r="920">
      <c r="A920" s="26">
        <v>914.0</v>
      </c>
      <c r="B920" s="65">
        <v>-0.45128408076072646</v>
      </c>
      <c r="C920" s="65">
        <v>-0.08704226296298649</v>
      </c>
      <c r="D920" s="65">
        <v>-1.527894957470894</v>
      </c>
      <c r="E920" s="65">
        <v>1.150851924757346</v>
      </c>
      <c r="F920" s="65">
        <v>4.887038714092971</v>
      </c>
      <c r="G920" s="50">
        <v>0.0</v>
      </c>
      <c r="H920" s="50">
        <v>0.0</v>
      </c>
      <c r="I920" s="50">
        <v>0.0</v>
      </c>
      <c r="J920" s="50">
        <v>0.0</v>
      </c>
      <c r="K920" s="50">
        <v>0.0</v>
      </c>
      <c r="L920" s="50">
        <v>0.0</v>
      </c>
      <c r="M920" s="50">
        <v>0.0</v>
      </c>
      <c r="N920" s="50">
        <v>0.0</v>
      </c>
      <c r="O920" s="50">
        <v>7.425000000000001</v>
      </c>
      <c r="P920" s="50">
        <v>0.0</v>
      </c>
      <c r="Q920" s="50">
        <v>0.0</v>
      </c>
      <c r="R920" s="50">
        <v>0.0</v>
      </c>
      <c r="S920" s="50">
        <v>0.0</v>
      </c>
      <c r="T920" s="50">
        <v>2.8125</v>
      </c>
      <c r="U920" s="50">
        <v>0.0</v>
      </c>
      <c r="V920" s="50">
        <v>5.625</v>
      </c>
      <c r="W920" s="50">
        <v>0.0</v>
      </c>
      <c r="X920" s="50">
        <v>2.8125</v>
      </c>
      <c r="Y920" s="50">
        <v>18.675</v>
      </c>
    </row>
    <row r="921">
      <c r="A921" s="26">
        <v>915.0</v>
      </c>
      <c r="B921" s="65">
        <v>0.5632506557065302</v>
      </c>
      <c r="C921" s="65">
        <v>-2.864588422070683</v>
      </c>
      <c r="D921" s="65">
        <v>1.8799087099894751</v>
      </c>
      <c r="E921" s="65">
        <v>-0.4309823151990003</v>
      </c>
      <c r="F921" s="65">
        <v>2.674255991188692</v>
      </c>
      <c r="G921" s="50">
        <v>0.0</v>
      </c>
      <c r="H921" s="50">
        <v>0.0</v>
      </c>
      <c r="I921" s="50">
        <v>0.0</v>
      </c>
      <c r="J921" s="50">
        <v>0.0</v>
      </c>
      <c r="K921" s="50">
        <v>0.0</v>
      </c>
      <c r="L921" s="50">
        <v>0.0</v>
      </c>
      <c r="M921" s="50">
        <v>0.0</v>
      </c>
      <c r="N921" s="50">
        <v>0.0</v>
      </c>
      <c r="O921" s="50">
        <v>7.425000000000001</v>
      </c>
      <c r="P921" s="50">
        <v>0.0</v>
      </c>
      <c r="Q921" s="50">
        <v>0.0</v>
      </c>
      <c r="R921" s="50">
        <v>0.0</v>
      </c>
      <c r="S921" s="50">
        <v>0.0</v>
      </c>
      <c r="T921" s="50">
        <v>2.8125</v>
      </c>
      <c r="U921" s="50">
        <v>0.0</v>
      </c>
      <c r="V921" s="50">
        <v>5.625</v>
      </c>
      <c r="W921" s="50">
        <v>0.0</v>
      </c>
      <c r="X921" s="50">
        <v>2.8125</v>
      </c>
      <c r="Y921" s="50">
        <v>18.675</v>
      </c>
    </row>
    <row r="922">
      <c r="A922" s="26">
        <v>916.0</v>
      </c>
      <c r="B922" s="65">
        <v>-0.6463742386142679</v>
      </c>
      <c r="C922" s="65">
        <v>-1.0339732136789745</v>
      </c>
      <c r="D922" s="65">
        <v>-0.3634215065877399</v>
      </c>
      <c r="E922" s="65">
        <v>-0.3404601829480247</v>
      </c>
      <c r="F922" s="65">
        <v>2.557859730604175</v>
      </c>
      <c r="G922" s="50">
        <v>0.0</v>
      </c>
      <c r="H922" s="50">
        <v>0.0</v>
      </c>
      <c r="I922" s="50">
        <v>0.0</v>
      </c>
      <c r="J922" s="50">
        <v>0.0</v>
      </c>
      <c r="K922" s="50">
        <v>0.0</v>
      </c>
      <c r="L922" s="50">
        <v>0.0</v>
      </c>
      <c r="M922" s="50">
        <v>0.0</v>
      </c>
      <c r="N922" s="50">
        <v>0.0</v>
      </c>
      <c r="O922" s="50">
        <v>0.0</v>
      </c>
      <c r="P922" s="50">
        <v>0.0</v>
      </c>
      <c r="Q922" s="50">
        <v>0.0</v>
      </c>
      <c r="R922" s="50">
        <v>0.0</v>
      </c>
      <c r="S922" s="50">
        <v>0.0</v>
      </c>
      <c r="T922" s="50">
        <v>2.8125</v>
      </c>
      <c r="U922" s="50">
        <v>0.0</v>
      </c>
      <c r="V922" s="50">
        <v>0.0</v>
      </c>
      <c r="W922" s="50">
        <v>4.95</v>
      </c>
      <c r="X922" s="50">
        <v>2.8125</v>
      </c>
      <c r="Y922" s="50">
        <v>10.575</v>
      </c>
    </row>
    <row r="923">
      <c r="A923" s="26">
        <v>917.0</v>
      </c>
      <c r="B923" s="65">
        <v>-1.7566077539256018</v>
      </c>
      <c r="C923" s="65">
        <v>0.1856761843948414</v>
      </c>
      <c r="D923" s="65">
        <v>-0.44505073034397796</v>
      </c>
      <c r="E923" s="65">
        <v>-0.39621348092853315</v>
      </c>
      <c r="F923" s="65">
        <v>3.4384254393695377</v>
      </c>
      <c r="G923" s="50">
        <v>0.0</v>
      </c>
      <c r="H923" s="50">
        <v>0.0</v>
      </c>
      <c r="I923" s="50">
        <v>0.0</v>
      </c>
      <c r="J923" s="50">
        <v>0.0</v>
      </c>
      <c r="K923" s="50">
        <v>0.0</v>
      </c>
      <c r="L923" s="50">
        <v>0.0</v>
      </c>
      <c r="M923" s="50">
        <v>0.0</v>
      </c>
      <c r="N923" s="50">
        <v>0.0</v>
      </c>
      <c r="O923" s="50">
        <v>0.0</v>
      </c>
      <c r="P923" s="50">
        <v>0.0</v>
      </c>
      <c r="Q923" s="50">
        <v>0.0</v>
      </c>
      <c r="R923" s="50">
        <v>0.0</v>
      </c>
      <c r="S923" s="50">
        <v>0.0</v>
      </c>
      <c r="T923" s="50">
        <v>2.8125</v>
      </c>
      <c r="U923" s="50">
        <v>0.0</v>
      </c>
      <c r="V923" s="50">
        <v>5.625</v>
      </c>
      <c r="W923" s="50">
        <v>0.0</v>
      </c>
      <c r="X923" s="50">
        <v>2.8125</v>
      </c>
      <c r="Y923" s="50">
        <v>11.25</v>
      </c>
    </row>
    <row r="924">
      <c r="A924" s="26">
        <v>918.0</v>
      </c>
      <c r="B924" s="65">
        <v>0.5739696069018229</v>
      </c>
      <c r="C924" s="65">
        <v>-1.148678939240369</v>
      </c>
      <c r="D924" s="65">
        <v>0.6988751618816466</v>
      </c>
      <c r="E924" s="65">
        <v>0.7137967632392316</v>
      </c>
      <c r="F924" s="65">
        <v>13.070768495781396</v>
      </c>
      <c r="G924" s="50">
        <v>0.0</v>
      </c>
      <c r="H924" s="50">
        <v>0.0</v>
      </c>
      <c r="I924" s="50">
        <v>0.0</v>
      </c>
      <c r="J924" s="50">
        <v>0.0</v>
      </c>
      <c r="K924" s="50">
        <v>0.0</v>
      </c>
      <c r="L924" s="50">
        <v>0.0</v>
      </c>
      <c r="M924" s="50">
        <v>0.0</v>
      </c>
      <c r="N924" s="50">
        <v>0.0</v>
      </c>
      <c r="O924" s="50">
        <v>0.0</v>
      </c>
      <c r="P924" s="50">
        <v>0.0</v>
      </c>
      <c r="Q924" s="50">
        <v>0.0</v>
      </c>
      <c r="R924" s="50">
        <v>0.0</v>
      </c>
      <c r="S924" s="50">
        <v>0.0</v>
      </c>
      <c r="T924" s="50">
        <v>2.8125</v>
      </c>
      <c r="U924" s="50">
        <v>0.0</v>
      </c>
      <c r="V924" s="50">
        <v>0.0</v>
      </c>
      <c r="W924" s="50">
        <v>0.0</v>
      </c>
      <c r="X924" s="50">
        <v>2.8125</v>
      </c>
      <c r="Y924" s="50">
        <v>5.625</v>
      </c>
    </row>
    <row r="925">
      <c r="A925" s="26">
        <v>919.0</v>
      </c>
      <c r="B925" s="65">
        <v>-1.2219779361470726</v>
      </c>
      <c r="C925" s="65">
        <v>0.010857329741131629</v>
      </c>
      <c r="D925" s="65">
        <v>1.1442026983655933</v>
      </c>
      <c r="E925" s="65">
        <v>0.5685383607342155</v>
      </c>
      <c r="F925" s="65">
        <v>2.66062356529602</v>
      </c>
      <c r="G925" s="50">
        <v>0.0</v>
      </c>
      <c r="H925" s="50">
        <v>0.0</v>
      </c>
      <c r="I925" s="50">
        <v>0.0</v>
      </c>
      <c r="J925" s="50">
        <v>0.0</v>
      </c>
      <c r="K925" s="50">
        <v>0.0</v>
      </c>
      <c r="L925" s="50">
        <v>0.0</v>
      </c>
      <c r="M925" s="50">
        <v>0.0</v>
      </c>
      <c r="N925" s="50">
        <v>0.0</v>
      </c>
      <c r="O925" s="50">
        <v>0.0</v>
      </c>
      <c r="P925" s="50">
        <v>0.0</v>
      </c>
      <c r="Q925" s="50">
        <v>0.0</v>
      </c>
      <c r="R925" s="50">
        <v>0.0</v>
      </c>
      <c r="S925" s="50">
        <v>0.0</v>
      </c>
      <c r="T925" s="50">
        <v>2.8125</v>
      </c>
      <c r="U925" s="50">
        <v>0.0</v>
      </c>
      <c r="V925" s="50">
        <v>5.625</v>
      </c>
      <c r="W925" s="50">
        <v>4.95</v>
      </c>
      <c r="X925" s="50">
        <v>2.8125</v>
      </c>
      <c r="Y925" s="50">
        <v>16.2</v>
      </c>
    </row>
    <row r="926">
      <c r="A926" s="26">
        <v>920.0</v>
      </c>
      <c r="B926" s="65">
        <v>0.19155549847981937</v>
      </c>
      <c r="C926" s="65">
        <v>-1.455125333449953</v>
      </c>
      <c r="D926" s="65">
        <v>-2.584809273581269</v>
      </c>
      <c r="E926" s="65">
        <v>-0.5013560772694352</v>
      </c>
      <c r="F926" s="65">
        <v>5.216026180119624</v>
      </c>
      <c r="G926" s="50">
        <v>0.0</v>
      </c>
      <c r="H926" s="50">
        <v>0.0</v>
      </c>
      <c r="I926" s="50">
        <v>0.0</v>
      </c>
      <c r="J926" s="50">
        <v>0.0</v>
      </c>
      <c r="K926" s="50">
        <v>0.0</v>
      </c>
      <c r="L926" s="50">
        <v>0.0</v>
      </c>
      <c r="M926" s="50">
        <v>0.0</v>
      </c>
      <c r="N926" s="50">
        <v>0.0</v>
      </c>
      <c r="O926" s="50">
        <v>0.0</v>
      </c>
      <c r="P926" s="50">
        <v>0.0</v>
      </c>
      <c r="Q926" s="50">
        <v>0.0</v>
      </c>
      <c r="R926" s="50">
        <v>0.0</v>
      </c>
      <c r="S926" s="50">
        <v>0.0</v>
      </c>
      <c r="T926" s="50">
        <v>2.8125</v>
      </c>
      <c r="U926" s="50">
        <v>0.0</v>
      </c>
      <c r="V926" s="50">
        <v>5.625</v>
      </c>
      <c r="W926" s="50">
        <v>0.0</v>
      </c>
      <c r="X926" s="50">
        <v>2.8125</v>
      </c>
      <c r="Y926" s="50">
        <v>11.25</v>
      </c>
    </row>
    <row r="927">
      <c r="A927" s="26">
        <v>921.0</v>
      </c>
      <c r="B927" s="65">
        <v>0.26834667930554046</v>
      </c>
      <c r="C927" s="65">
        <v>0.4456353239442323</v>
      </c>
      <c r="D927" s="65">
        <v>1.1960115550215011</v>
      </c>
      <c r="E927" s="65">
        <v>-0.892569142556044</v>
      </c>
      <c r="F927" s="65">
        <v>6.7963914324536185</v>
      </c>
      <c r="G927" s="50">
        <v>0.0</v>
      </c>
      <c r="H927" s="50">
        <v>0.0</v>
      </c>
      <c r="I927" s="50">
        <v>0.0</v>
      </c>
      <c r="J927" s="50">
        <v>0.0</v>
      </c>
      <c r="K927" s="50">
        <v>0.0</v>
      </c>
      <c r="L927" s="50">
        <v>0.0</v>
      </c>
      <c r="M927" s="50">
        <v>0.0</v>
      </c>
      <c r="N927" s="50">
        <v>0.0</v>
      </c>
      <c r="O927" s="50">
        <v>0.0</v>
      </c>
      <c r="P927" s="50">
        <v>0.0</v>
      </c>
      <c r="Q927" s="50">
        <v>0.0</v>
      </c>
      <c r="R927" s="50">
        <v>0.0</v>
      </c>
      <c r="S927" s="50">
        <v>0.0</v>
      </c>
      <c r="T927" s="50">
        <v>2.8125</v>
      </c>
      <c r="U927" s="50">
        <v>0.0</v>
      </c>
      <c r="V927" s="50">
        <v>5.625</v>
      </c>
      <c r="W927" s="50">
        <v>0.0</v>
      </c>
      <c r="X927" s="50">
        <v>2.8125</v>
      </c>
      <c r="Y927" s="50">
        <v>11.25</v>
      </c>
    </row>
    <row r="928">
      <c r="A928" s="26">
        <v>922.0</v>
      </c>
      <c r="B928" s="65">
        <v>-2.0385971846843303</v>
      </c>
      <c r="C928" s="65">
        <v>-0.3225878213987055</v>
      </c>
      <c r="D928" s="65">
        <v>-0.5752393517282837</v>
      </c>
      <c r="E928" s="65">
        <v>-0.3983233560478414</v>
      </c>
      <c r="F928" s="65">
        <v>1.5094572334381353</v>
      </c>
      <c r="G928" s="50">
        <v>0.0</v>
      </c>
      <c r="H928" s="50">
        <v>0.0</v>
      </c>
      <c r="I928" s="50">
        <v>0.0</v>
      </c>
      <c r="J928" s="50">
        <v>0.0</v>
      </c>
      <c r="K928" s="50">
        <v>0.0</v>
      </c>
      <c r="L928" s="50">
        <v>0.0</v>
      </c>
      <c r="M928" s="50">
        <v>0.0</v>
      </c>
      <c r="N928" s="50">
        <v>0.0</v>
      </c>
      <c r="O928" s="50">
        <v>7.425000000000001</v>
      </c>
      <c r="P928" s="50">
        <v>2.475</v>
      </c>
      <c r="Q928" s="50">
        <v>0.0</v>
      </c>
      <c r="R928" s="50">
        <v>9.9</v>
      </c>
      <c r="S928" s="50">
        <v>0.0</v>
      </c>
      <c r="T928" s="50">
        <v>2.8125</v>
      </c>
      <c r="U928" s="50">
        <v>0.0</v>
      </c>
      <c r="V928" s="50">
        <v>5.625</v>
      </c>
      <c r="W928" s="50">
        <v>4.95</v>
      </c>
      <c r="X928" s="50">
        <v>2.8125</v>
      </c>
      <c r="Y928" s="50">
        <v>36.0</v>
      </c>
    </row>
    <row r="929">
      <c r="A929" s="26">
        <v>923.0</v>
      </c>
      <c r="B929" s="65">
        <v>1.784217729225942</v>
      </c>
      <c r="C929" s="65">
        <v>-0.42822354793379963</v>
      </c>
      <c r="D929" s="65">
        <v>0.09146102131972875</v>
      </c>
      <c r="E929" s="65">
        <v>0.9815375328897281</v>
      </c>
      <c r="F929" s="65">
        <v>5.703686107342374</v>
      </c>
      <c r="G929" s="50">
        <v>0.0</v>
      </c>
      <c r="H929" s="50">
        <v>0.0</v>
      </c>
      <c r="I929" s="50">
        <v>0.0</v>
      </c>
      <c r="J929" s="50">
        <v>0.0</v>
      </c>
      <c r="K929" s="50">
        <v>0.0</v>
      </c>
      <c r="L929" s="50">
        <v>0.0</v>
      </c>
      <c r="M929" s="50">
        <v>0.0</v>
      </c>
      <c r="N929" s="50">
        <v>0.0</v>
      </c>
      <c r="O929" s="50">
        <v>0.0</v>
      </c>
      <c r="P929" s="50">
        <v>0.0</v>
      </c>
      <c r="Q929" s="50">
        <v>0.0</v>
      </c>
      <c r="R929" s="50">
        <v>0.0</v>
      </c>
      <c r="S929" s="50">
        <v>0.0</v>
      </c>
      <c r="T929" s="50">
        <v>2.8125</v>
      </c>
      <c r="U929" s="50">
        <v>0.0</v>
      </c>
      <c r="V929" s="50">
        <v>0.0</v>
      </c>
      <c r="W929" s="50">
        <v>0.0</v>
      </c>
      <c r="X929" s="50">
        <v>2.8125</v>
      </c>
      <c r="Y929" s="50">
        <v>5.625</v>
      </c>
    </row>
    <row r="930">
      <c r="A930" s="26">
        <v>924.0</v>
      </c>
      <c r="B930" s="65">
        <v>-0.47584987031245934</v>
      </c>
      <c r="C930" s="65">
        <v>-0.5506785803439425</v>
      </c>
      <c r="D930" s="65">
        <v>-0.97310933425912</v>
      </c>
      <c r="E930" s="65">
        <v>0.2507166822863429</v>
      </c>
      <c r="F930" s="65">
        <v>2.331181420418018</v>
      </c>
      <c r="G930" s="50">
        <v>0.0</v>
      </c>
      <c r="H930" s="50">
        <v>0.0</v>
      </c>
      <c r="I930" s="50">
        <v>0.0</v>
      </c>
      <c r="J930" s="50">
        <v>0.0</v>
      </c>
      <c r="K930" s="50">
        <v>0.0</v>
      </c>
      <c r="L930" s="50">
        <v>0.0</v>
      </c>
      <c r="M930" s="50">
        <v>0.0</v>
      </c>
      <c r="N930" s="50">
        <v>0.0</v>
      </c>
      <c r="O930" s="50">
        <v>7.425000000000001</v>
      </c>
      <c r="P930" s="50">
        <v>0.0</v>
      </c>
      <c r="Q930" s="50">
        <v>0.0</v>
      </c>
      <c r="R930" s="50">
        <v>0.0</v>
      </c>
      <c r="S930" s="50">
        <v>0.0</v>
      </c>
      <c r="T930" s="50">
        <v>2.8125</v>
      </c>
      <c r="U930" s="50">
        <v>0.0</v>
      </c>
      <c r="V930" s="50">
        <v>0.0</v>
      </c>
      <c r="W930" s="50">
        <v>4.95</v>
      </c>
      <c r="X930" s="50">
        <v>2.8125</v>
      </c>
      <c r="Y930" s="50">
        <v>18.0</v>
      </c>
    </row>
    <row r="931">
      <c r="A931" s="26">
        <v>925.0</v>
      </c>
      <c r="B931" s="65">
        <v>0.7761203484971863</v>
      </c>
      <c r="C931" s="65">
        <v>-0.5455025176334696</v>
      </c>
      <c r="D931" s="65">
        <v>0.8068713722159158</v>
      </c>
      <c r="E931" s="65">
        <v>-0.5483755896648406</v>
      </c>
      <c r="F931" s="65">
        <v>4.855378936039932</v>
      </c>
      <c r="G931" s="50">
        <v>0.0</v>
      </c>
      <c r="H931" s="50">
        <v>0.0</v>
      </c>
      <c r="I931" s="50">
        <v>0.0</v>
      </c>
      <c r="J931" s="50">
        <v>0.0</v>
      </c>
      <c r="K931" s="50">
        <v>0.0</v>
      </c>
      <c r="L931" s="50">
        <v>0.0</v>
      </c>
      <c r="M931" s="50">
        <v>0.0</v>
      </c>
      <c r="N931" s="50">
        <v>0.0</v>
      </c>
      <c r="O931" s="50">
        <v>0.0</v>
      </c>
      <c r="P931" s="50">
        <v>0.0</v>
      </c>
      <c r="Q931" s="50">
        <v>0.0</v>
      </c>
      <c r="R931" s="50">
        <v>0.0</v>
      </c>
      <c r="S931" s="50">
        <v>0.0</v>
      </c>
      <c r="T931" s="50">
        <v>2.8125</v>
      </c>
      <c r="U931" s="50">
        <v>0.0</v>
      </c>
      <c r="V931" s="50">
        <v>5.625</v>
      </c>
      <c r="W931" s="50">
        <v>0.0</v>
      </c>
      <c r="X931" s="50">
        <v>2.8125</v>
      </c>
      <c r="Y931" s="50">
        <v>11.25</v>
      </c>
    </row>
    <row r="932">
      <c r="A932" s="26">
        <v>926.0</v>
      </c>
      <c r="B932" s="65">
        <v>-0.062095969712103447</v>
      </c>
      <c r="C932" s="65">
        <v>-0.515944386000634</v>
      </c>
      <c r="D932" s="65">
        <v>-1.0011758197526486</v>
      </c>
      <c r="E932" s="65">
        <v>0.8892842831731719</v>
      </c>
      <c r="F932" s="65">
        <v>6.431467101882839</v>
      </c>
      <c r="G932" s="50">
        <v>0.0</v>
      </c>
      <c r="H932" s="50">
        <v>0.0</v>
      </c>
      <c r="I932" s="50">
        <v>0.0</v>
      </c>
      <c r="J932" s="50">
        <v>0.0</v>
      </c>
      <c r="K932" s="50">
        <v>0.0</v>
      </c>
      <c r="L932" s="50">
        <v>0.0</v>
      </c>
      <c r="M932" s="50">
        <v>0.0</v>
      </c>
      <c r="N932" s="50">
        <v>0.0</v>
      </c>
      <c r="O932" s="50">
        <v>7.425000000000001</v>
      </c>
      <c r="P932" s="50">
        <v>0.0</v>
      </c>
      <c r="Q932" s="50">
        <v>0.0</v>
      </c>
      <c r="R932" s="50">
        <v>0.0</v>
      </c>
      <c r="S932" s="50">
        <v>0.0</v>
      </c>
      <c r="T932" s="50">
        <v>2.8125</v>
      </c>
      <c r="U932" s="50">
        <v>0.0</v>
      </c>
      <c r="V932" s="50">
        <v>0.0</v>
      </c>
      <c r="W932" s="50">
        <v>0.0</v>
      </c>
      <c r="X932" s="50">
        <v>2.8125</v>
      </c>
      <c r="Y932" s="50">
        <v>13.05</v>
      </c>
    </row>
    <row r="933">
      <c r="A933" s="26">
        <v>927.0</v>
      </c>
      <c r="B933" s="65">
        <v>-1.136534927699251</v>
      </c>
      <c r="C933" s="65">
        <v>-0.2649561386171571</v>
      </c>
      <c r="D933" s="65">
        <v>0.05882842388669315</v>
      </c>
      <c r="E933" s="65">
        <v>0.5077225511831069</v>
      </c>
      <c r="F933" s="65">
        <v>7.399785469006284</v>
      </c>
      <c r="G933" s="50">
        <v>0.0</v>
      </c>
      <c r="H933" s="50">
        <v>0.0</v>
      </c>
      <c r="I933" s="50">
        <v>0.0</v>
      </c>
      <c r="J933" s="50">
        <v>0.0</v>
      </c>
      <c r="K933" s="50">
        <v>0.0</v>
      </c>
      <c r="L933" s="50">
        <v>0.0</v>
      </c>
      <c r="M933" s="50">
        <v>0.0</v>
      </c>
      <c r="N933" s="50">
        <v>0.0</v>
      </c>
      <c r="O933" s="50">
        <v>0.0</v>
      </c>
      <c r="P933" s="50">
        <v>0.0</v>
      </c>
      <c r="Q933" s="50">
        <v>0.0</v>
      </c>
      <c r="R933" s="50">
        <v>0.0</v>
      </c>
      <c r="S933" s="50">
        <v>0.0</v>
      </c>
      <c r="T933" s="50">
        <v>2.8125</v>
      </c>
      <c r="U933" s="50">
        <v>0.0</v>
      </c>
      <c r="V933" s="50">
        <v>0.0</v>
      </c>
      <c r="W933" s="50">
        <v>0.0</v>
      </c>
      <c r="X933" s="50">
        <v>2.8125</v>
      </c>
      <c r="Y933" s="50">
        <v>5.625</v>
      </c>
    </row>
    <row r="934">
      <c r="A934" s="26">
        <v>928.0</v>
      </c>
      <c r="B934" s="65">
        <v>0.37177361066510295</v>
      </c>
      <c r="C934" s="65">
        <v>-0.4398021434545579</v>
      </c>
      <c r="D934" s="65">
        <v>1.0311059347342388</v>
      </c>
      <c r="E934" s="65">
        <v>-0.5706689304384825</v>
      </c>
      <c r="F934" s="65">
        <v>2.821616691348833</v>
      </c>
      <c r="G934" s="50">
        <v>0.0</v>
      </c>
      <c r="H934" s="50">
        <v>0.0</v>
      </c>
      <c r="I934" s="50">
        <v>0.0</v>
      </c>
      <c r="J934" s="50">
        <v>0.0</v>
      </c>
      <c r="K934" s="50">
        <v>0.0</v>
      </c>
      <c r="L934" s="50">
        <v>0.0</v>
      </c>
      <c r="M934" s="50">
        <v>0.0</v>
      </c>
      <c r="N934" s="50">
        <v>0.0</v>
      </c>
      <c r="O934" s="50">
        <v>0.0</v>
      </c>
      <c r="P934" s="50">
        <v>0.0</v>
      </c>
      <c r="Q934" s="50">
        <v>0.0</v>
      </c>
      <c r="R934" s="50">
        <v>0.0</v>
      </c>
      <c r="S934" s="50">
        <v>0.0</v>
      </c>
      <c r="T934" s="50">
        <v>2.8125</v>
      </c>
      <c r="U934" s="50">
        <v>0.0</v>
      </c>
      <c r="V934" s="50">
        <v>5.625</v>
      </c>
      <c r="W934" s="50">
        <v>0.0</v>
      </c>
      <c r="X934" s="50">
        <v>2.8125</v>
      </c>
      <c r="Y934" s="50">
        <v>11.25</v>
      </c>
    </row>
    <row r="935">
      <c r="A935" s="26">
        <v>929.0</v>
      </c>
      <c r="B935" s="65">
        <v>0.12132441525262057</v>
      </c>
      <c r="C935" s="65">
        <v>-1.5891907024682816</v>
      </c>
      <c r="D935" s="65">
        <v>-0.8656156664370909</v>
      </c>
      <c r="E935" s="65">
        <v>0.7336449925330022</v>
      </c>
      <c r="F935" s="65">
        <v>3.3355173699493648</v>
      </c>
      <c r="G935" s="50">
        <v>0.0</v>
      </c>
      <c r="H935" s="50">
        <v>0.0</v>
      </c>
      <c r="I935" s="50">
        <v>0.0</v>
      </c>
      <c r="J935" s="50">
        <v>0.0</v>
      </c>
      <c r="K935" s="50">
        <v>0.0</v>
      </c>
      <c r="L935" s="50">
        <v>0.0</v>
      </c>
      <c r="M935" s="50">
        <v>0.0</v>
      </c>
      <c r="N935" s="50">
        <v>0.0</v>
      </c>
      <c r="O935" s="50">
        <v>7.425000000000001</v>
      </c>
      <c r="P935" s="50">
        <v>0.0</v>
      </c>
      <c r="Q935" s="50">
        <v>0.0</v>
      </c>
      <c r="R935" s="50">
        <v>0.0</v>
      </c>
      <c r="S935" s="50">
        <v>0.0</v>
      </c>
      <c r="T935" s="50">
        <v>2.8125</v>
      </c>
      <c r="U935" s="50">
        <v>0.0</v>
      </c>
      <c r="V935" s="50">
        <v>0.0</v>
      </c>
      <c r="W935" s="50">
        <v>0.0</v>
      </c>
      <c r="X935" s="50">
        <v>2.8125</v>
      </c>
      <c r="Y935" s="50">
        <v>13.05</v>
      </c>
    </row>
    <row r="936">
      <c r="A936" s="26">
        <v>930.0</v>
      </c>
      <c r="B936" s="65">
        <v>0.2504773363020652</v>
      </c>
      <c r="C936" s="65">
        <v>0.4501978342736061</v>
      </c>
      <c r="D936" s="65">
        <v>-0.26031666387496627</v>
      </c>
      <c r="E936" s="65">
        <v>0.34650874481678423</v>
      </c>
      <c r="F936" s="65">
        <v>10.886530177919678</v>
      </c>
      <c r="G936" s="50">
        <v>0.0</v>
      </c>
      <c r="H936" s="50">
        <v>0.0</v>
      </c>
      <c r="I936" s="50">
        <v>0.0</v>
      </c>
      <c r="J936" s="50">
        <v>0.0</v>
      </c>
      <c r="K936" s="50">
        <v>0.0</v>
      </c>
      <c r="L936" s="50">
        <v>0.0</v>
      </c>
      <c r="M936" s="50">
        <v>0.0</v>
      </c>
      <c r="N936" s="50">
        <v>0.0</v>
      </c>
      <c r="O936" s="50">
        <v>0.0</v>
      </c>
      <c r="P936" s="50">
        <v>0.0</v>
      </c>
      <c r="Q936" s="50">
        <v>0.0</v>
      </c>
      <c r="R936" s="50">
        <v>0.0</v>
      </c>
      <c r="S936" s="50">
        <v>0.0</v>
      </c>
      <c r="T936" s="50">
        <v>2.8125</v>
      </c>
      <c r="U936" s="50">
        <v>0.0</v>
      </c>
      <c r="V936" s="50">
        <v>5.625</v>
      </c>
      <c r="W936" s="50">
        <v>0.0</v>
      </c>
      <c r="X936" s="50">
        <v>2.8125</v>
      </c>
      <c r="Y936" s="50">
        <v>11.25</v>
      </c>
    </row>
    <row r="937">
      <c r="A937" s="26">
        <v>931.0</v>
      </c>
      <c r="B937" s="65">
        <v>0.8403731956454464</v>
      </c>
      <c r="C937" s="65">
        <v>0.362169820285918</v>
      </c>
      <c r="D937" s="65">
        <v>-1.5147787013061687</v>
      </c>
      <c r="E937" s="65">
        <v>0.5152786681136334</v>
      </c>
      <c r="F937" s="65">
        <v>13.115320288156926</v>
      </c>
      <c r="G937" s="50">
        <v>0.0</v>
      </c>
      <c r="H937" s="50">
        <v>0.0</v>
      </c>
      <c r="I937" s="50">
        <v>0.0</v>
      </c>
      <c r="J937" s="50">
        <v>0.0</v>
      </c>
      <c r="K937" s="50">
        <v>0.0</v>
      </c>
      <c r="L937" s="50">
        <v>0.0</v>
      </c>
      <c r="M937" s="50">
        <v>0.0</v>
      </c>
      <c r="N937" s="50">
        <v>0.0</v>
      </c>
      <c r="O937" s="50">
        <v>0.0</v>
      </c>
      <c r="P937" s="50">
        <v>0.0</v>
      </c>
      <c r="Q937" s="50">
        <v>0.0</v>
      </c>
      <c r="R937" s="50">
        <v>0.0</v>
      </c>
      <c r="S937" s="50">
        <v>0.0</v>
      </c>
      <c r="T937" s="50">
        <v>2.8125</v>
      </c>
      <c r="U937" s="50">
        <v>0.0</v>
      </c>
      <c r="V937" s="50">
        <v>0.0</v>
      </c>
      <c r="W937" s="50">
        <v>0.0</v>
      </c>
      <c r="X937" s="50">
        <v>2.8125</v>
      </c>
      <c r="Y937" s="50">
        <v>5.625</v>
      </c>
    </row>
    <row r="938">
      <c r="A938" s="26">
        <v>932.0</v>
      </c>
      <c r="B938" s="65">
        <v>-2.0607275995504337</v>
      </c>
      <c r="C938" s="65">
        <v>0.45458864365622464</v>
      </c>
      <c r="D938" s="65">
        <v>0.5252727442348893</v>
      </c>
      <c r="E938" s="65">
        <v>0.1662788517567766</v>
      </c>
      <c r="F938" s="65">
        <v>7.288351345903064</v>
      </c>
      <c r="G938" s="50">
        <v>0.0</v>
      </c>
      <c r="H938" s="50">
        <v>0.0</v>
      </c>
      <c r="I938" s="50">
        <v>0.0</v>
      </c>
      <c r="J938" s="50">
        <v>0.0</v>
      </c>
      <c r="K938" s="50">
        <v>0.0</v>
      </c>
      <c r="L938" s="50">
        <v>0.0</v>
      </c>
      <c r="M938" s="50">
        <v>0.0</v>
      </c>
      <c r="N938" s="50">
        <v>0.0</v>
      </c>
      <c r="O938" s="50">
        <v>0.0</v>
      </c>
      <c r="P938" s="50">
        <v>0.0</v>
      </c>
      <c r="Q938" s="50">
        <v>0.0</v>
      </c>
      <c r="R938" s="50">
        <v>0.0</v>
      </c>
      <c r="S938" s="50">
        <v>0.0</v>
      </c>
      <c r="T938" s="50">
        <v>2.8125</v>
      </c>
      <c r="U938" s="50">
        <v>0.0</v>
      </c>
      <c r="V938" s="50">
        <v>5.625</v>
      </c>
      <c r="W938" s="50">
        <v>0.0</v>
      </c>
      <c r="X938" s="50">
        <v>2.8125</v>
      </c>
      <c r="Y938" s="50">
        <v>11.25</v>
      </c>
    </row>
    <row r="939">
      <c r="A939" s="26">
        <v>933.0</v>
      </c>
      <c r="B939" s="65">
        <v>-0.1355919597865492</v>
      </c>
      <c r="C939" s="65">
        <v>0.6113821827843197</v>
      </c>
      <c r="D939" s="65">
        <v>0.18858254544999725</v>
      </c>
      <c r="E939" s="65">
        <v>0.040096349489094144</v>
      </c>
      <c r="F939" s="65">
        <v>11.06103799340041</v>
      </c>
      <c r="G939" s="50">
        <v>0.0</v>
      </c>
      <c r="H939" s="50">
        <v>0.0</v>
      </c>
      <c r="I939" s="50">
        <v>0.0</v>
      </c>
      <c r="J939" s="50">
        <v>0.0</v>
      </c>
      <c r="K939" s="50">
        <v>0.0</v>
      </c>
      <c r="L939" s="50">
        <v>0.0</v>
      </c>
      <c r="M939" s="50">
        <v>0.0</v>
      </c>
      <c r="N939" s="50">
        <v>0.0</v>
      </c>
      <c r="O939" s="50">
        <v>0.0</v>
      </c>
      <c r="P939" s="50">
        <v>0.0</v>
      </c>
      <c r="Q939" s="50">
        <v>0.0</v>
      </c>
      <c r="R939" s="50">
        <v>0.0</v>
      </c>
      <c r="S939" s="50">
        <v>0.0</v>
      </c>
      <c r="T939" s="50">
        <v>2.8125</v>
      </c>
      <c r="U939" s="50">
        <v>0.0</v>
      </c>
      <c r="V939" s="50">
        <v>0.0</v>
      </c>
      <c r="W939" s="50">
        <v>0.0</v>
      </c>
      <c r="X939" s="50">
        <v>2.8125</v>
      </c>
      <c r="Y939" s="50">
        <v>5.625</v>
      </c>
    </row>
    <row r="940">
      <c r="A940" s="26">
        <v>934.0</v>
      </c>
      <c r="B940" s="65">
        <v>0.954733306309379</v>
      </c>
      <c r="C940" s="65">
        <v>-0.28969615095801254</v>
      </c>
      <c r="D940" s="65">
        <v>1.5240234419732412</v>
      </c>
      <c r="E940" s="65">
        <v>-0.2680229785860267</v>
      </c>
      <c r="F940" s="65">
        <v>5.393633164083675</v>
      </c>
      <c r="G940" s="50">
        <v>0.0</v>
      </c>
      <c r="H940" s="50">
        <v>0.0</v>
      </c>
      <c r="I940" s="50">
        <v>0.0</v>
      </c>
      <c r="J940" s="50">
        <v>0.0</v>
      </c>
      <c r="K940" s="50">
        <v>0.0</v>
      </c>
      <c r="L940" s="50">
        <v>0.0</v>
      </c>
      <c r="M940" s="50">
        <v>0.0</v>
      </c>
      <c r="N940" s="50">
        <v>0.0</v>
      </c>
      <c r="O940" s="50">
        <v>7.425000000000001</v>
      </c>
      <c r="P940" s="50">
        <v>0.0</v>
      </c>
      <c r="Q940" s="50">
        <v>0.0</v>
      </c>
      <c r="R940" s="50">
        <v>0.0</v>
      </c>
      <c r="S940" s="50">
        <v>0.0</v>
      </c>
      <c r="T940" s="50">
        <v>2.8125</v>
      </c>
      <c r="U940" s="50">
        <v>0.0</v>
      </c>
      <c r="V940" s="50">
        <v>0.0</v>
      </c>
      <c r="W940" s="50">
        <v>0.0</v>
      </c>
      <c r="X940" s="50">
        <v>2.8125</v>
      </c>
      <c r="Y940" s="50">
        <v>13.05</v>
      </c>
    </row>
    <row r="941">
      <c r="A941" s="26">
        <v>935.0</v>
      </c>
      <c r="B941" s="65">
        <v>-0.846466103709206</v>
      </c>
      <c r="C941" s="65">
        <v>-0.8169926785324861</v>
      </c>
      <c r="D941" s="65">
        <v>-1.1990518278619955</v>
      </c>
      <c r="E941" s="65">
        <v>1.2534143747290314</v>
      </c>
      <c r="F941" s="65">
        <v>6.017111928105487</v>
      </c>
      <c r="G941" s="50">
        <v>0.0</v>
      </c>
      <c r="H941" s="50">
        <v>0.0</v>
      </c>
      <c r="I941" s="50">
        <v>0.0</v>
      </c>
      <c r="J941" s="50">
        <v>0.0</v>
      </c>
      <c r="K941" s="50">
        <v>0.0</v>
      </c>
      <c r="L941" s="50">
        <v>0.0</v>
      </c>
      <c r="M941" s="50">
        <v>0.0</v>
      </c>
      <c r="N941" s="50">
        <v>0.0</v>
      </c>
      <c r="O941" s="50">
        <v>7.425000000000001</v>
      </c>
      <c r="P941" s="50">
        <v>0.0</v>
      </c>
      <c r="Q941" s="50">
        <v>0.0</v>
      </c>
      <c r="R941" s="50">
        <v>9.9</v>
      </c>
      <c r="S941" s="50">
        <v>0.0</v>
      </c>
      <c r="T941" s="50">
        <v>2.8125</v>
      </c>
      <c r="U941" s="50">
        <v>0.0</v>
      </c>
      <c r="V941" s="50">
        <v>0.0</v>
      </c>
      <c r="W941" s="50">
        <v>0.0</v>
      </c>
      <c r="X941" s="50">
        <v>2.8125</v>
      </c>
      <c r="Y941" s="50">
        <v>22.950000000000003</v>
      </c>
    </row>
    <row r="942">
      <c r="A942" s="26">
        <v>936.0</v>
      </c>
      <c r="B942" s="65">
        <v>-0.5157707978530491</v>
      </c>
      <c r="C942" s="65">
        <v>-0.6867331872948975</v>
      </c>
      <c r="D942" s="65">
        <v>-0.14071122499628924</v>
      </c>
      <c r="E942" s="65">
        <v>-0.45369300481301766</v>
      </c>
      <c r="F942" s="65">
        <v>3.5841273896590837</v>
      </c>
      <c r="G942" s="50">
        <v>0.0</v>
      </c>
      <c r="H942" s="50">
        <v>0.0</v>
      </c>
      <c r="I942" s="50">
        <v>0.0</v>
      </c>
      <c r="J942" s="50">
        <v>0.0</v>
      </c>
      <c r="K942" s="50">
        <v>0.0</v>
      </c>
      <c r="L942" s="50">
        <v>0.0</v>
      </c>
      <c r="M942" s="50">
        <v>0.0</v>
      </c>
      <c r="N942" s="50">
        <v>0.0</v>
      </c>
      <c r="O942" s="50">
        <v>0.0</v>
      </c>
      <c r="P942" s="50">
        <v>0.0</v>
      </c>
      <c r="Q942" s="50">
        <v>0.0</v>
      </c>
      <c r="R942" s="50">
        <v>0.0</v>
      </c>
      <c r="S942" s="50">
        <v>0.0</v>
      </c>
      <c r="T942" s="50">
        <v>2.8125</v>
      </c>
      <c r="U942" s="50">
        <v>0.0</v>
      </c>
      <c r="V942" s="50">
        <v>0.0</v>
      </c>
      <c r="W942" s="50">
        <v>0.0</v>
      </c>
      <c r="X942" s="50">
        <v>2.8125</v>
      </c>
      <c r="Y942" s="50">
        <v>5.625</v>
      </c>
    </row>
    <row r="943">
      <c r="A943" s="26">
        <v>937.0</v>
      </c>
      <c r="B943" s="65">
        <v>-1.3857677327160152</v>
      </c>
      <c r="C943" s="65">
        <v>1.3041714652955914</v>
      </c>
      <c r="D943" s="65">
        <v>-0.11157312053628934</v>
      </c>
      <c r="E943" s="65">
        <v>0.5927033733923862</v>
      </c>
      <c r="F943" s="65">
        <v>6.856862243860068</v>
      </c>
      <c r="G943" s="50">
        <v>0.0</v>
      </c>
      <c r="H943" s="50">
        <v>0.0</v>
      </c>
      <c r="I943" s="50">
        <v>0.0</v>
      </c>
      <c r="J943" s="50">
        <v>0.0</v>
      </c>
      <c r="K943" s="50">
        <v>0.0</v>
      </c>
      <c r="L943" s="50">
        <v>0.0</v>
      </c>
      <c r="M943" s="50">
        <v>0.0</v>
      </c>
      <c r="N943" s="50">
        <v>0.0</v>
      </c>
      <c r="O943" s="50">
        <v>0.0</v>
      </c>
      <c r="P943" s="50">
        <v>0.0</v>
      </c>
      <c r="Q943" s="50">
        <v>0.0</v>
      </c>
      <c r="R943" s="50">
        <v>9.9</v>
      </c>
      <c r="S943" s="50">
        <v>0.0</v>
      </c>
      <c r="T943" s="50">
        <v>2.8125</v>
      </c>
      <c r="U943" s="50">
        <v>0.0</v>
      </c>
      <c r="V943" s="50">
        <v>5.625</v>
      </c>
      <c r="W943" s="50">
        <v>0.0</v>
      </c>
      <c r="X943" s="50">
        <v>2.8125</v>
      </c>
      <c r="Y943" s="50">
        <v>21.15</v>
      </c>
    </row>
    <row r="944">
      <c r="A944" s="26">
        <v>938.0</v>
      </c>
      <c r="B944" s="65">
        <v>-0.6735877473234253</v>
      </c>
      <c r="C944" s="65">
        <v>0.9732860159972834</v>
      </c>
      <c r="D944" s="65">
        <v>-0.5216502064822669</v>
      </c>
      <c r="E944" s="65">
        <v>0.05473248309121399</v>
      </c>
      <c r="F944" s="65">
        <v>3.6422843844054404</v>
      </c>
      <c r="G944" s="50">
        <v>0.0</v>
      </c>
      <c r="H944" s="50">
        <v>0.0</v>
      </c>
      <c r="I944" s="50">
        <v>0.0</v>
      </c>
      <c r="J944" s="50">
        <v>0.0</v>
      </c>
      <c r="K944" s="50">
        <v>0.0</v>
      </c>
      <c r="L944" s="50">
        <v>0.0</v>
      </c>
      <c r="M944" s="50">
        <v>0.0</v>
      </c>
      <c r="N944" s="50">
        <v>0.0</v>
      </c>
      <c r="O944" s="50">
        <v>0.0</v>
      </c>
      <c r="P944" s="50">
        <v>0.0</v>
      </c>
      <c r="Q944" s="50">
        <v>0.0</v>
      </c>
      <c r="R944" s="50">
        <v>0.0</v>
      </c>
      <c r="S944" s="50">
        <v>0.0</v>
      </c>
      <c r="T944" s="50">
        <v>2.8125</v>
      </c>
      <c r="U944" s="50">
        <v>0.0</v>
      </c>
      <c r="V944" s="50">
        <v>5.625</v>
      </c>
      <c r="W944" s="50">
        <v>4.95</v>
      </c>
      <c r="X944" s="50">
        <v>2.8125</v>
      </c>
      <c r="Y944" s="50">
        <v>16.2</v>
      </c>
    </row>
    <row r="945">
      <c r="A945" s="26">
        <v>939.0</v>
      </c>
      <c r="B945" s="65">
        <v>-0.11369254261178803</v>
      </c>
      <c r="C945" s="65">
        <v>1.2277790691319173</v>
      </c>
      <c r="D945" s="65">
        <v>-2.111973638435022</v>
      </c>
      <c r="E945" s="65">
        <v>0.17895213331098336</v>
      </c>
      <c r="F945" s="65">
        <v>2.0213191719675163</v>
      </c>
      <c r="G945" s="50">
        <v>0.0</v>
      </c>
      <c r="H945" s="50">
        <v>0.0</v>
      </c>
      <c r="I945" s="50">
        <v>0.0</v>
      </c>
      <c r="J945" s="50">
        <v>0.0</v>
      </c>
      <c r="K945" s="50">
        <v>0.0</v>
      </c>
      <c r="L945" s="50">
        <v>0.0</v>
      </c>
      <c r="M945" s="50">
        <v>0.0</v>
      </c>
      <c r="N945" s="50">
        <v>0.0</v>
      </c>
      <c r="O945" s="50">
        <v>0.0</v>
      </c>
      <c r="P945" s="50">
        <v>0.0</v>
      </c>
      <c r="Q945" s="50">
        <v>0.0</v>
      </c>
      <c r="R945" s="50">
        <v>0.0</v>
      </c>
      <c r="S945" s="50">
        <v>0.0</v>
      </c>
      <c r="T945" s="50">
        <v>2.8125</v>
      </c>
      <c r="U945" s="50">
        <v>0.0</v>
      </c>
      <c r="V945" s="50">
        <v>0.0</v>
      </c>
      <c r="W945" s="50">
        <v>0.0</v>
      </c>
      <c r="X945" s="50">
        <v>2.8125</v>
      </c>
      <c r="Y945" s="50">
        <v>5.625</v>
      </c>
    </row>
    <row r="946">
      <c r="A946" s="26">
        <v>940.0</v>
      </c>
      <c r="B946" s="65">
        <v>-1.25245557599656</v>
      </c>
      <c r="C946" s="65">
        <v>-0.6450002152001704</v>
      </c>
      <c r="D946" s="65">
        <v>-0.9624908385934864</v>
      </c>
      <c r="E946" s="65">
        <v>0.4591594362126534</v>
      </c>
      <c r="F946" s="65">
        <v>6.776990578208408</v>
      </c>
      <c r="G946" s="50">
        <v>0.0</v>
      </c>
      <c r="H946" s="50">
        <v>0.0</v>
      </c>
      <c r="I946" s="50">
        <v>0.0</v>
      </c>
      <c r="J946" s="50">
        <v>0.0</v>
      </c>
      <c r="K946" s="50">
        <v>0.0</v>
      </c>
      <c r="L946" s="50">
        <v>0.0</v>
      </c>
      <c r="M946" s="50">
        <v>0.0</v>
      </c>
      <c r="N946" s="50">
        <v>0.0</v>
      </c>
      <c r="O946" s="50">
        <v>0.0</v>
      </c>
      <c r="P946" s="50">
        <v>0.0</v>
      </c>
      <c r="Q946" s="50">
        <v>0.0</v>
      </c>
      <c r="R946" s="50">
        <v>0.0</v>
      </c>
      <c r="S946" s="50">
        <v>0.0</v>
      </c>
      <c r="T946" s="50">
        <v>2.8125</v>
      </c>
      <c r="U946" s="50">
        <v>0.0</v>
      </c>
      <c r="V946" s="50">
        <v>5.625</v>
      </c>
      <c r="W946" s="50">
        <v>0.0</v>
      </c>
      <c r="X946" s="50">
        <v>2.8125</v>
      </c>
      <c r="Y946" s="50">
        <v>11.25</v>
      </c>
    </row>
    <row r="947">
      <c r="A947" s="26">
        <v>941.0</v>
      </c>
      <c r="B947" s="65">
        <v>1.4322820857049194</v>
      </c>
      <c r="C947" s="65">
        <v>0.4982593151601079</v>
      </c>
      <c r="D947" s="65">
        <v>1.2187582805968313</v>
      </c>
      <c r="E947" s="65">
        <v>0.6265321086493543</v>
      </c>
      <c r="F947" s="65">
        <v>3.9650219826340254</v>
      </c>
      <c r="G947" s="50">
        <v>0.0</v>
      </c>
      <c r="H947" s="50">
        <v>0.0</v>
      </c>
      <c r="I947" s="50">
        <v>0.0</v>
      </c>
      <c r="J947" s="50">
        <v>0.0</v>
      </c>
      <c r="K947" s="50">
        <v>0.0</v>
      </c>
      <c r="L947" s="50">
        <v>0.0</v>
      </c>
      <c r="M947" s="50">
        <v>0.0</v>
      </c>
      <c r="N947" s="50">
        <v>0.0</v>
      </c>
      <c r="O947" s="50">
        <v>0.0</v>
      </c>
      <c r="P947" s="50">
        <v>0.0</v>
      </c>
      <c r="Q947" s="50">
        <v>0.0</v>
      </c>
      <c r="R947" s="50">
        <v>0.0</v>
      </c>
      <c r="S947" s="50">
        <v>0.0</v>
      </c>
      <c r="T947" s="50">
        <v>2.8125</v>
      </c>
      <c r="U947" s="50">
        <v>0.0</v>
      </c>
      <c r="V947" s="50">
        <v>0.0</v>
      </c>
      <c r="W947" s="50">
        <v>0.0</v>
      </c>
      <c r="X947" s="50">
        <v>2.8125</v>
      </c>
      <c r="Y947" s="50">
        <v>5.625</v>
      </c>
    </row>
    <row r="948">
      <c r="A948" s="26">
        <v>942.0</v>
      </c>
      <c r="B948" s="65">
        <v>0.6905882826070856</v>
      </c>
      <c r="C948" s="65">
        <v>-0.6975938473860578</v>
      </c>
      <c r="D948" s="65">
        <v>2.0779482184651012</v>
      </c>
      <c r="E948" s="65">
        <v>1.3719279928804908</v>
      </c>
      <c r="F948" s="65">
        <v>7.308957472273145</v>
      </c>
      <c r="G948" s="50">
        <v>0.0</v>
      </c>
      <c r="H948" s="50">
        <v>0.0</v>
      </c>
      <c r="I948" s="50">
        <v>0.0</v>
      </c>
      <c r="J948" s="50">
        <v>0.0</v>
      </c>
      <c r="K948" s="50">
        <v>0.0</v>
      </c>
      <c r="L948" s="50">
        <v>0.0</v>
      </c>
      <c r="M948" s="50">
        <v>0.0</v>
      </c>
      <c r="N948" s="50">
        <v>0.0</v>
      </c>
      <c r="O948" s="50">
        <v>0.0</v>
      </c>
      <c r="P948" s="50">
        <v>0.0</v>
      </c>
      <c r="Q948" s="50">
        <v>0.0</v>
      </c>
      <c r="R948" s="50">
        <v>0.0</v>
      </c>
      <c r="S948" s="50">
        <v>0.0</v>
      </c>
      <c r="T948" s="50">
        <v>2.8125</v>
      </c>
      <c r="U948" s="50">
        <v>0.0</v>
      </c>
      <c r="V948" s="50">
        <v>0.0</v>
      </c>
      <c r="W948" s="50">
        <v>0.0</v>
      </c>
      <c r="X948" s="50">
        <v>2.8125</v>
      </c>
      <c r="Y948" s="50">
        <v>5.625</v>
      </c>
    </row>
    <row r="949">
      <c r="A949" s="26">
        <v>943.0</v>
      </c>
      <c r="B949" s="65">
        <v>0.2736143302369559</v>
      </c>
      <c r="C949" s="65">
        <v>1.3433649053386896</v>
      </c>
      <c r="D949" s="65">
        <v>-1.2063045347586498</v>
      </c>
      <c r="E949" s="65">
        <v>-0.16404807928717838</v>
      </c>
      <c r="F949" s="65">
        <v>7.38745049733224</v>
      </c>
      <c r="G949" s="50">
        <v>0.0</v>
      </c>
      <c r="H949" s="50">
        <v>0.0</v>
      </c>
      <c r="I949" s="50">
        <v>0.0</v>
      </c>
      <c r="J949" s="50">
        <v>0.0</v>
      </c>
      <c r="K949" s="50">
        <v>0.0</v>
      </c>
      <c r="L949" s="50">
        <v>0.0</v>
      </c>
      <c r="M949" s="50">
        <v>0.0</v>
      </c>
      <c r="N949" s="50">
        <v>0.0</v>
      </c>
      <c r="O949" s="50">
        <v>0.0</v>
      </c>
      <c r="P949" s="50">
        <v>2.475</v>
      </c>
      <c r="Q949" s="50">
        <v>0.0</v>
      </c>
      <c r="R949" s="50">
        <v>0.0</v>
      </c>
      <c r="S949" s="50">
        <v>0.0</v>
      </c>
      <c r="T949" s="50">
        <v>2.8125</v>
      </c>
      <c r="U949" s="50">
        <v>0.0</v>
      </c>
      <c r="V949" s="50">
        <v>0.0</v>
      </c>
      <c r="W949" s="50">
        <v>4.95</v>
      </c>
      <c r="X949" s="50">
        <v>2.8125</v>
      </c>
      <c r="Y949" s="50">
        <v>13.05</v>
      </c>
    </row>
    <row r="950">
      <c r="A950" s="26">
        <v>944.0</v>
      </c>
      <c r="B950" s="65">
        <v>-1.2738516054760398</v>
      </c>
      <c r="C950" s="65">
        <v>-1.6096133570180737</v>
      </c>
      <c r="D950" s="65">
        <v>0.5147258578120443</v>
      </c>
      <c r="E950" s="65">
        <v>-1.2985916946498384</v>
      </c>
      <c r="F950" s="65">
        <v>4.518533038572141</v>
      </c>
      <c r="G950" s="50">
        <v>0.0</v>
      </c>
      <c r="H950" s="50">
        <v>0.0</v>
      </c>
      <c r="I950" s="50">
        <v>0.0</v>
      </c>
      <c r="J950" s="50">
        <v>0.0</v>
      </c>
      <c r="K950" s="50">
        <v>0.0</v>
      </c>
      <c r="L950" s="50">
        <v>0.0</v>
      </c>
      <c r="M950" s="50">
        <v>0.0</v>
      </c>
      <c r="N950" s="50">
        <v>0.0</v>
      </c>
      <c r="O950" s="50">
        <v>7.425000000000001</v>
      </c>
      <c r="P950" s="50">
        <v>0.0</v>
      </c>
      <c r="Q950" s="50">
        <v>0.0</v>
      </c>
      <c r="R950" s="50">
        <v>0.0</v>
      </c>
      <c r="S950" s="50">
        <v>0.0</v>
      </c>
      <c r="T950" s="50">
        <v>2.8125</v>
      </c>
      <c r="U950" s="50">
        <v>0.0</v>
      </c>
      <c r="V950" s="50">
        <v>5.625</v>
      </c>
      <c r="W950" s="50">
        <v>4.95</v>
      </c>
      <c r="X950" s="50">
        <v>2.8125</v>
      </c>
      <c r="Y950" s="50">
        <v>23.625</v>
      </c>
    </row>
    <row r="951">
      <c r="A951" s="26">
        <v>945.0</v>
      </c>
      <c r="B951" s="65">
        <v>1.0805731257712732</v>
      </c>
      <c r="C951" s="65">
        <v>0.5916175515813344</v>
      </c>
      <c r="D951" s="65">
        <v>-0.07662014915353417</v>
      </c>
      <c r="E951" s="65">
        <v>1.033653027065842</v>
      </c>
      <c r="F951" s="65">
        <v>4.105682662354539</v>
      </c>
      <c r="G951" s="50">
        <v>0.0</v>
      </c>
      <c r="H951" s="50">
        <v>0.0</v>
      </c>
      <c r="I951" s="50">
        <v>0.0</v>
      </c>
      <c r="J951" s="50">
        <v>0.0</v>
      </c>
      <c r="K951" s="50">
        <v>0.0</v>
      </c>
      <c r="L951" s="50">
        <v>0.0</v>
      </c>
      <c r="M951" s="50">
        <v>0.0</v>
      </c>
      <c r="N951" s="50">
        <v>0.0</v>
      </c>
      <c r="O951" s="50">
        <v>0.0</v>
      </c>
      <c r="P951" s="50">
        <v>0.0</v>
      </c>
      <c r="Q951" s="50">
        <v>0.0</v>
      </c>
      <c r="R951" s="50">
        <v>0.0</v>
      </c>
      <c r="S951" s="50">
        <v>0.0</v>
      </c>
      <c r="T951" s="50">
        <v>2.8125</v>
      </c>
      <c r="U951" s="50">
        <v>0.0</v>
      </c>
      <c r="V951" s="50">
        <v>0.0</v>
      </c>
      <c r="W951" s="50">
        <v>0.0</v>
      </c>
      <c r="X951" s="50">
        <v>2.8125</v>
      </c>
      <c r="Y951" s="50">
        <v>5.625</v>
      </c>
    </row>
    <row r="952">
      <c r="A952" s="26">
        <v>946.0</v>
      </c>
      <c r="B952" s="65">
        <v>0.7442659374930246</v>
      </c>
      <c r="C952" s="65">
        <v>-1.085679832901598</v>
      </c>
      <c r="D952" s="65">
        <v>0.5453272962290667</v>
      </c>
      <c r="E952" s="65">
        <v>-0.7782115611641505</v>
      </c>
      <c r="F952" s="65">
        <v>2.046814261264714</v>
      </c>
      <c r="G952" s="50">
        <v>0.0</v>
      </c>
      <c r="H952" s="50">
        <v>0.0</v>
      </c>
      <c r="I952" s="50">
        <v>0.0</v>
      </c>
      <c r="J952" s="50">
        <v>0.0</v>
      </c>
      <c r="K952" s="50">
        <v>0.0</v>
      </c>
      <c r="L952" s="50">
        <v>0.0</v>
      </c>
      <c r="M952" s="50">
        <v>0.0</v>
      </c>
      <c r="N952" s="50">
        <v>0.0</v>
      </c>
      <c r="O952" s="50">
        <v>0.0</v>
      </c>
      <c r="P952" s="50">
        <v>0.0</v>
      </c>
      <c r="Q952" s="50">
        <v>0.0</v>
      </c>
      <c r="R952" s="50">
        <v>0.0</v>
      </c>
      <c r="S952" s="50">
        <v>0.0</v>
      </c>
      <c r="T952" s="50">
        <v>0.0</v>
      </c>
      <c r="U952" s="50">
        <v>9.9</v>
      </c>
      <c r="V952" s="50">
        <v>0.0</v>
      </c>
      <c r="W952" s="50">
        <v>4.95</v>
      </c>
      <c r="X952" s="50">
        <v>2.8125</v>
      </c>
      <c r="Y952" s="50">
        <v>17.6625</v>
      </c>
    </row>
    <row r="953">
      <c r="A953" s="26">
        <v>947.0</v>
      </c>
      <c r="B953" s="65">
        <v>-1.1101865971301603</v>
      </c>
      <c r="C953" s="65">
        <v>0.371369307139464</v>
      </c>
      <c r="D953" s="65">
        <v>-0.35326278589040766</v>
      </c>
      <c r="E953" s="65">
        <v>0.818603459255699</v>
      </c>
      <c r="F953" s="65">
        <v>14.37894142581358</v>
      </c>
      <c r="G953" s="50">
        <v>0.0</v>
      </c>
      <c r="H953" s="50">
        <v>0.0</v>
      </c>
      <c r="I953" s="50">
        <v>0.0</v>
      </c>
      <c r="J953" s="50">
        <v>0.0</v>
      </c>
      <c r="K953" s="50">
        <v>0.0</v>
      </c>
      <c r="L953" s="50">
        <v>0.0</v>
      </c>
      <c r="M953" s="50">
        <v>0.0</v>
      </c>
      <c r="N953" s="50">
        <v>0.0</v>
      </c>
      <c r="O953" s="50">
        <v>0.0</v>
      </c>
      <c r="P953" s="50">
        <v>0.0</v>
      </c>
      <c r="Q953" s="50">
        <v>0.0</v>
      </c>
      <c r="R953" s="50">
        <v>0.0</v>
      </c>
      <c r="S953" s="50">
        <v>0.0</v>
      </c>
      <c r="T953" s="50">
        <v>2.8125</v>
      </c>
      <c r="U953" s="50">
        <v>0.0</v>
      </c>
      <c r="V953" s="50">
        <v>0.0</v>
      </c>
      <c r="W953" s="50">
        <v>0.0</v>
      </c>
      <c r="X953" s="50">
        <v>2.8125</v>
      </c>
      <c r="Y953" s="50">
        <v>5.625</v>
      </c>
    </row>
    <row r="954">
      <c r="A954" s="26">
        <v>948.0</v>
      </c>
      <c r="B954" s="65">
        <v>0.41571969178852425</v>
      </c>
      <c r="C954" s="65">
        <v>-0.9745801399366818</v>
      </c>
      <c r="D954" s="65">
        <v>-0.2637693309994587</v>
      </c>
      <c r="E954" s="65">
        <v>0.8505380031391022</v>
      </c>
      <c r="F954" s="65">
        <v>5.306524092346642</v>
      </c>
      <c r="G954" s="50">
        <v>0.0</v>
      </c>
      <c r="H954" s="50">
        <v>0.0</v>
      </c>
      <c r="I954" s="50">
        <v>0.0</v>
      </c>
      <c r="J954" s="50">
        <v>0.0</v>
      </c>
      <c r="K954" s="50">
        <v>0.0</v>
      </c>
      <c r="L954" s="50">
        <v>0.0</v>
      </c>
      <c r="M954" s="50">
        <v>0.0</v>
      </c>
      <c r="N954" s="50">
        <v>0.0</v>
      </c>
      <c r="O954" s="50">
        <v>7.425000000000001</v>
      </c>
      <c r="P954" s="50">
        <v>0.0</v>
      </c>
      <c r="Q954" s="50">
        <v>0.0</v>
      </c>
      <c r="R954" s="50">
        <v>0.0</v>
      </c>
      <c r="S954" s="50">
        <v>0.0</v>
      </c>
      <c r="T954" s="50">
        <v>2.8125</v>
      </c>
      <c r="U954" s="50">
        <v>0.0</v>
      </c>
      <c r="V954" s="50">
        <v>0.0</v>
      </c>
      <c r="W954" s="50">
        <v>0.0</v>
      </c>
      <c r="X954" s="50">
        <v>2.8125</v>
      </c>
      <c r="Y954" s="50">
        <v>13.05</v>
      </c>
    </row>
    <row r="955">
      <c r="A955" s="26">
        <v>949.0</v>
      </c>
      <c r="B955" s="65">
        <v>0.8582082221538928</v>
      </c>
      <c r="C955" s="65">
        <v>1.2021034619552555</v>
      </c>
      <c r="D955" s="65">
        <v>1.95593445371873</v>
      </c>
      <c r="E955" s="65">
        <v>-1.0104015064588645</v>
      </c>
      <c r="F955" s="65">
        <v>1.0876175617285186</v>
      </c>
      <c r="G955" s="50">
        <v>0.0</v>
      </c>
      <c r="H955" s="50">
        <v>0.0</v>
      </c>
      <c r="I955" s="50">
        <v>0.0</v>
      </c>
      <c r="J955" s="50">
        <v>0.0</v>
      </c>
      <c r="K955" s="50">
        <v>0.0</v>
      </c>
      <c r="L955" s="50">
        <v>0.0</v>
      </c>
      <c r="M955" s="50">
        <v>0.0</v>
      </c>
      <c r="N955" s="50">
        <v>0.0</v>
      </c>
      <c r="O955" s="50">
        <v>0.0</v>
      </c>
      <c r="P955" s="50">
        <v>0.0</v>
      </c>
      <c r="Q955" s="50">
        <v>0.0</v>
      </c>
      <c r="R955" s="50">
        <v>0.0</v>
      </c>
      <c r="S955" s="50">
        <v>0.0</v>
      </c>
      <c r="T955" s="50">
        <v>0.0</v>
      </c>
      <c r="U955" s="50">
        <v>0.0</v>
      </c>
      <c r="V955" s="50">
        <v>5.625</v>
      </c>
      <c r="W955" s="50">
        <v>0.0</v>
      </c>
      <c r="X955" s="50">
        <v>2.8125</v>
      </c>
      <c r="Y955" s="50">
        <v>8.4375</v>
      </c>
    </row>
    <row r="956">
      <c r="A956" s="26">
        <v>950.0</v>
      </c>
      <c r="B956" s="65">
        <v>0.7495362194472569</v>
      </c>
      <c r="C956" s="65">
        <v>0.43585199289757476</v>
      </c>
      <c r="D956" s="65">
        <v>0.6353717837189565</v>
      </c>
      <c r="E956" s="65">
        <v>-0.9008393129703793</v>
      </c>
      <c r="F956" s="65">
        <v>1.6166133260294533</v>
      </c>
      <c r="G956" s="50">
        <v>0.0</v>
      </c>
      <c r="H956" s="50">
        <v>0.0</v>
      </c>
      <c r="I956" s="50">
        <v>0.0</v>
      </c>
      <c r="J956" s="50">
        <v>0.0</v>
      </c>
      <c r="K956" s="50">
        <v>0.0</v>
      </c>
      <c r="L956" s="50">
        <v>0.0</v>
      </c>
      <c r="M956" s="50">
        <v>0.0</v>
      </c>
      <c r="N956" s="50">
        <v>0.0</v>
      </c>
      <c r="O956" s="50">
        <v>0.0</v>
      </c>
      <c r="P956" s="50">
        <v>0.0</v>
      </c>
      <c r="Q956" s="50">
        <v>0.0</v>
      </c>
      <c r="R956" s="50">
        <v>0.0</v>
      </c>
      <c r="S956" s="50">
        <v>0.0</v>
      </c>
      <c r="T956" s="50">
        <v>2.8125</v>
      </c>
      <c r="U956" s="50">
        <v>0.0</v>
      </c>
      <c r="V956" s="50">
        <v>5.625</v>
      </c>
      <c r="W956" s="50">
        <v>0.0</v>
      </c>
      <c r="X956" s="50">
        <v>2.8125</v>
      </c>
      <c r="Y956" s="50">
        <v>11.25</v>
      </c>
    </row>
    <row r="957">
      <c r="A957" s="26">
        <v>951.0</v>
      </c>
      <c r="B957" s="65">
        <v>1.3922051381927856</v>
      </c>
      <c r="C957" s="65">
        <v>0.08987354461621429</v>
      </c>
      <c r="D957" s="65">
        <v>2.4854894133224406</v>
      </c>
      <c r="E957" s="65">
        <v>0.34232758811036695</v>
      </c>
      <c r="F957" s="65">
        <v>1.7903893354964124</v>
      </c>
      <c r="G957" s="50">
        <v>0.0</v>
      </c>
      <c r="H957" s="50">
        <v>0.0</v>
      </c>
      <c r="I957" s="50">
        <v>0.0</v>
      </c>
      <c r="J957" s="50">
        <v>0.0</v>
      </c>
      <c r="K957" s="50">
        <v>0.0</v>
      </c>
      <c r="L957" s="50">
        <v>0.0</v>
      </c>
      <c r="M957" s="50">
        <v>0.0</v>
      </c>
      <c r="N957" s="50">
        <v>0.0</v>
      </c>
      <c r="O957" s="50">
        <v>0.0</v>
      </c>
      <c r="P957" s="50">
        <v>0.0</v>
      </c>
      <c r="Q957" s="50">
        <v>0.0</v>
      </c>
      <c r="R957" s="50">
        <v>0.0</v>
      </c>
      <c r="S957" s="50">
        <v>0.0</v>
      </c>
      <c r="T957" s="50">
        <v>0.0</v>
      </c>
      <c r="U957" s="50">
        <v>0.0</v>
      </c>
      <c r="V957" s="50">
        <v>0.0</v>
      </c>
      <c r="W957" s="50">
        <v>0.0</v>
      </c>
      <c r="X957" s="50">
        <v>2.8125</v>
      </c>
      <c r="Y957" s="50">
        <v>2.8125</v>
      </c>
    </row>
    <row r="958">
      <c r="A958" s="26">
        <v>952.0</v>
      </c>
      <c r="B958" s="65">
        <v>-0.376020670432603</v>
      </c>
      <c r="C958" s="65">
        <v>-1.9945112308706647</v>
      </c>
      <c r="D958" s="65">
        <v>-1.4924134293936075</v>
      </c>
      <c r="E958" s="65">
        <v>-0.7998919187352767</v>
      </c>
      <c r="F958" s="65">
        <v>0.4115092331317005</v>
      </c>
      <c r="G958" s="50">
        <v>9.0</v>
      </c>
      <c r="H958" s="50">
        <v>0.0</v>
      </c>
      <c r="I958" s="50">
        <v>0.0</v>
      </c>
      <c r="J958" s="50">
        <v>0.0</v>
      </c>
      <c r="K958" s="50">
        <v>0.0</v>
      </c>
      <c r="L958" s="50">
        <v>4.5</v>
      </c>
      <c r="M958" s="50">
        <v>0.0</v>
      </c>
      <c r="N958" s="50">
        <v>13.5</v>
      </c>
      <c r="O958" s="50">
        <v>7.425000000000001</v>
      </c>
      <c r="P958" s="50">
        <v>2.475</v>
      </c>
      <c r="Q958" s="50">
        <v>0.0</v>
      </c>
      <c r="R958" s="50">
        <v>0.0</v>
      </c>
      <c r="S958" s="50">
        <v>0.0</v>
      </c>
      <c r="T958" s="50">
        <v>2.8125</v>
      </c>
      <c r="U958" s="50">
        <v>0.0</v>
      </c>
      <c r="V958" s="50">
        <v>5.625</v>
      </c>
      <c r="W958" s="50">
        <v>4.95</v>
      </c>
      <c r="X958" s="50">
        <v>2.8125</v>
      </c>
      <c r="Y958" s="50">
        <v>53.1</v>
      </c>
    </row>
    <row r="959">
      <c r="A959" s="26">
        <v>953.0</v>
      </c>
      <c r="B959" s="65">
        <v>-0.19761250623697987</v>
      </c>
      <c r="C959" s="65">
        <v>0.680893753340642</v>
      </c>
      <c r="D959" s="65">
        <v>-0.4996276701928983</v>
      </c>
      <c r="E959" s="65">
        <v>-1.3489004597516714</v>
      </c>
      <c r="F959" s="65">
        <v>5.643879509446677</v>
      </c>
      <c r="G959" s="50">
        <v>0.0</v>
      </c>
      <c r="H959" s="50">
        <v>0.0</v>
      </c>
      <c r="I959" s="50">
        <v>0.0</v>
      </c>
      <c r="J959" s="50">
        <v>0.0</v>
      </c>
      <c r="K959" s="50">
        <v>0.0</v>
      </c>
      <c r="L959" s="50">
        <v>0.0</v>
      </c>
      <c r="M959" s="50">
        <v>0.0</v>
      </c>
      <c r="N959" s="50">
        <v>0.0</v>
      </c>
      <c r="O959" s="50">
        <v>0.0</v>
      </c>
      <c r="P959" s="50">
        <v>0.0</v>
      </c>
      <c r="Q959" s="50">
        <v>0.0</v>
      </c>
      <c r="R959" s="50">
        <v>0.0</v>
      </c>
      <c r="S959" s="50">
        <v>0.0</v>
      </c>
      <c r="T959" s="50">
        <v>2.8125</v>
      </c>
      <c r="U959" s="50">
        <v>0.0</v>
      </c>
      <c r="V959" s="50">
        <v>5.625</v>
      </c>
      <c r="W959" s="50">
        <v>0.0</v>
      </c>
      <c r="X959" s="50">
        <v>2.8125</v>
      </c>
      <c r="Y959" s="50">
        <v>11.25</v>
      </c>
    </row>
    <row r="960">
      <c r="A960" s="26">
        <v>954.0</v>
      </c>
      <c r="B960" s="65">
        <v>0.7592418575077572</v>
      </c>
      <c r="C960" s="65">
        <v>0.6393310772268523</v>
      </c>
      <c r="D960" s="65">
        <v>-1.8285993298151477</v>
      </c>
      <c r="E960" s="65">
        <v>-1.1923907147199169</v>
      </c>
      <c r="F960" s="65">
        <v>8.948272598526275</v>
      </c>
      <c r="G960" s="50">
        <v>0.0</v>
      </c>
      <c r="H960" s="50">
        <v>0.0</v>
      </c>
      <c r="I960" s="50">
        <v>0.0</v>
      </c>
      <c r="J960" s="50">
        <v>0.0</v>
      </c>
      <c r="K960" s="50">
        <v>0.0</v>
      </c>
      <c r="L960" s="50">
        <v>0.0</v>
      </c>
      <c r="M960" s="50">
        <v>0.0</v>
      </c>
      <c r="N960" s="50">
        <v>0.0</v>
      </c>
      <c r="O960" s="50">
        <v>0.0</v>
      </c>
      <c r="P960" s="50">
        <v>0.0</v>
      </c>
      <c r="Q960" s="50">
        <v>0.0</v>
      </c>
      <c r="R960" s="50">
        <v>0.0</v>
      </c>
      <c r="S960" s="50">
        <v>0.0</v>
      </c>
      <c r="T960" s="50">
        <v>2.8125</v>
      </c>
      <c r="U960" s="50">
        <v>0.0</v>
      </c>
      <c r="V960" s="50">
        <v>0.0</v>
      </c>
      <c r="W960" s="50">
        <v>0.0</v>
      </c>
      <c r="X960" s="50">
        <v>2.8125</v>
      </c>
      <c r="Y960" s="50">
        <v>5.625</v>
      </c>
    </row>
    <row r="961">
      <c r="A961" s="26">
        <v>955.0</v>
      </c>
      <c r="B961" s="65">
        <v>-0.02085582605420671</v>
      </c>
      <c r="C961" s="65">
        <v>0.5596318359856844</v>
      </c>
      <c r="D961" s="65">
        <v>-0.13301006328040282</v>
      </c>
      <c r="E961" s="65">
        <v>-1.1296570405707251</v>
      </c>
      <c r="F961" s="65">
        <v>6.994470582931685</v>
      </c>
      <c r="G961" s="50">
        <v>0.0</v>
      </c>
      <c r="H961" s="50">
        <v>0.0</v>
      </c>
      <c r="I961" s="50">
        <v>0.0</v>
      </c>
      <c r="J961" s="50">
        <v>0.0</v>
      </c>
      <c r="K961" s="50">
        <v>0.0</v>
      </c>
      <c r="L961" s="50">
        <v>0.0</v>
      </c>
      <c r="M961" s="50">
        <v>0.0</v>
      </c>
      <c r="N961" s="50">
        <v>0.0</v>
      </c>
      <c r="O961" s="50">
        <v>7.425000000000001</v>
      </c>
      <c r="P961" s="50">
        <v>0.0</v>
      </c>
      <c r="Q961" s="50">
        <v>0.0</v>
      </c>
      <c r="R961" s="50">
        <v>0.0</v>
      </c>
      <c r="S961" s="50">
        <v>0.0</v>
      </c>
      <c r="T961" s="50">
        <v>2.8125</v>
      </c>
      <c r="U961" s="50">
        <v>0.0</v>
      </c>
      <c r="V961" s="50">
        <v>5.625</v>
      </c>
      <c r="W961" s="50">
        <v>0.0</v>
      </c>
      <c r="X961" s="50">
        <v>2.8125</v>
      </c>
      <c r="Y961" s="50">
        <v>18.675</v>
      </c>
    </row>
    <row r="962">
      <c r="A962" s="26">
        <v>956.0</v>
      </c>
      <c r="B962" s="65">
        <v>-1.7619787916656948</v>
      </c>
      <c r="C962" s="65">
        <v>-1.0238226994004398</v>
      </c>
      <c r="D962" s="65">
        <v>0.2199784208229213</v>
      </c>
      <c r="E962" s="65">
        <v>0.7489341434757585</v>
      </c>
      <c r="F962" s="65">
        <v>10.118112316402236</v>
      </c>
      <c r="G962" s="50">
        <v>0.0</v>
      </c>
      <c r="H962" s="50">
        <v>0.0</v>
      </c>
      <c r="I962" s="50">
        <v>0.0</v>
      </c>
      <c r="J962" s="50">
        <v>0.0</v>
      </c>
      <c r="K962" s="50">
        <v>0.0</v>
      </c>
      <c r="L962" s="50">
        <v>0.0</v>
      </c>
      <c r="M962" s="50">
        <v>0.0</v>
      </c>
      <c r="N962" s="50">
        <v>0.0</v>
      </c>
      <c r="O962" s="50">
        <v>7.425000000000001</v>
      </c>
      <c r="P962" s="50">
        <v>0.0</v>
      </c>
      <c r="Q962" s="50">
        <v>0.0</v>
      </c>
      <c r="R962" s="50">
        <v>0.0</v>
      </c>
      <c r="S962" s="50">
        <v>0.0</v>
      </c>
      <c r="T962" s="50">
        <v>2.8125</v>
      </c>
      <c r="U962" s="50">
        <v>0.0</v>
      </c>
      <c r="V962" s="50">
        <v>5.625</v>
      </c>
      <c r="W962" s="50">
        <v>0.0</v>
      </c>
      <c r="X962" s="50">
        <v>2.8125</v>
      </c>
      <c r="Y962" s="50">
        <v>18.675</v>
      </c>
    </row>
    <row r="963">
      <c r="A963" s="26">
        <v>957.0</v>
      </c>
      <c r="B963" s="65">
        <v>0.16949788456717285</v>
      </c>
      <c r="C963" s="65">
        <v>0.5591316905771181</v>
      </c>
      <c r="D963" s="65">
        <v>-0.7951154704958417</v>
      </c>
      <c r="E963" s="65">
        <v>1.6493178271961337</v>
      </c>
      <c r="F963" s="65">
        <v>10.898620851174902</v>
      </c>
      <c r="G963" s="50">
        <v>0.0</v>
      </c>
      <c r="H963" s="50">
        <v>0.0</v>
      </c>
      <c r="I963" s="50">
        <v>0.0</v>
      </c>
      <c r="J963" s="50">
        <v>0.0</v>
      </c>
      <c r="K963" s="50">
        <v>0.0</v>
      </c>
      <c r="L963" s="50">
        <v>0.0</v>
      </c>
      <c r="M963" s="50">
        <v>0.0</v>
      </c>
      <c r="N963" s="50">
        <v>0.0</v>
      </c>
      <c r="O963" s="50">
        <v>0.0</v>
      </c>
      <c r="P963" s="50">
        <v>0.0</v>
      </c>
      <c r="Q963" s="50">
        <v>0.0</v>
      </c>
      <c r="R963" s="50">
        <v>0.0</v>
      </c>
      <c r="S963" s="50">
        <v>0.0</v>
      </c>
      <c r="T963" s="50">
        <v>2.8125</v>
      </c>
      <c r="U963" s="50">
        <v>0.0</v>
      </c>
      <c r="V963" s="50">
        <v>0.0</v>
      </c>
      <c r="W963" s="50">
        <v>0.0</v>
      </c>
      <c r="X963" s="50">
        <v>2.8125</v>
      </c>
      <c r="Y963" s="50">
        <v>5.625</v>
      </c>
    </row>
    <row r="964">
      <c r="A964" s="26">
        <v>958.0</v>
      </c>
      <c r="B964" s="65">
        <v>-1.81275566402046</v>
      </c>
      <c r="C964" s="65">
        <v>-1.6129155143326024</v>
      </c>
      <c r="D964" s="65">
        <v>0.4634677002797923</v>
      </c>
      <c r="E964" s="65">
        <v>0.8673675634678167</v>
      </c>
      <c r="F964" s="65">
        <v>4.478134924844992</v>
      </c>
      <c r="G964" s="50">
        <v>0.0</v>
      </c>
      <c r="H964" s="50">
        <v>0.0</v>
      </c>
      <c r="I964" s="50">
        <v>0.0</v>
      </c>
      <c r="J964" s="50">
        <v>0.0</v>
      </c>
      <c r="K964" s="50">
        <v>0.0</v>
      </c>
      <c r="L964" s="50">
        <v>0.0</v>
      </c>
      <c r="M964" s="50">
        <v>0.0</v>
      </c>
      <c r="N964" s="50">
        <v>0.0</v>
      </c>
      <c r="O964" s="50">
        <v>0.0</v>
      </c>
      <c r="P964" s="50">
        <v>0.0</v>
      </c>
      <c r="Q964" s="50">
        <v>0.0</v>
      </c>
      <c r="R964" s="50">
        <v>0.0</v>
      </c>
      <c r="S964" s="50">
        <v>0.0</v>
      </c>
      <c r="T964" s="50">
        <v>2.8125</v>
      </c>
      <c r="U964" s="50">
        <v>0.0</v>
      </c>
      <c r="V964" s="50">
        <v>0.0</v>
      </c>
      <c r="W964" s="50">
        <v>4.95</v>
      </c>
      <c r="X964" s="50">
        <v>2.8125</v>
      </c>
      <c r="Y964" s="50">
        <v>10.575</v>
      </c>
    </row>
    <row r="965">
      <c r="A965" s="26">
        <v>959.0</v>
      </c>
      <c r="B965" s="65">
        <v>-0.26707130055935197</v>
      </c>
      <c r="C965" s="65">
        <v>-1.1312568081157188</v>
      </c>
      <c r="D965" s="65">
        <v>-0.21623145646284792</v>
      </c>
      <c r="E965" s="65">
        <v>-1.6711413695636095</v>
      </c>
      <c r="F965" s="65">
        <v>1.8477168849613332</v>
      </c>
      <c r="G965" s="50">
        <v>0.0</v>
      </c>
      <c r="H965" s="50">
        <v>0.0</v>
      </c>
      <c r="I965" s="50">
        <v>0.0</v>
      </c>
      <c r="J965" s="50">
        <v>0.0</v>
      </c>
      <c r="K965" s="50">
        <v>0.0</v>
      </c>
      <c r="L965" s="50">
        <v>0.0</v>
      </c>
      <c r="M965" s="50">
        <v>0.0</v>
      </c>
      <c r="N965" s="50">
        <v>0.0</v>
      </c>
      <c r="O965" s="50">
        <v>7.425000000000001</v>
      </c>
      <c r="P965" s="50">
        <v>0.0</v>
      </c>
      <c r="Q965" s="50">
        <v>0.0</v>
      </c>
      <c r="R965" s="50">
        <v>0.0</v>
      </c>
      <c r="S965" s="50">
        <v>0.0</v>
      </c>
      <c r="T965" s="50">
        <v>2.8125</v>
      </c>
      <c r="U965" s="50">
        <v>9.9</v>
      </c>
      <c r="V965" s="50">
        <v>5.625</v>
      </c>
      <c r="W965" s="50">
        <v>4.95</v>
      </c>
      <c r="X965" s="50">
        <v>2.8125</v>
      </c>
      <c r="Y965" s="50">
        <v>33.525000000000006</v>
      </c>
    </row>
    <row r="966">
      <c r="A966" s="26">
        <v>960.0</v>
      </c>
      <c r="B966" s="65">
        <v>0.6982616120492369</v>
      </c>
      <c r="C966" s="65">
        <v>1.2647489863472254</v>
      </c>
      <c r="D966" s="65">
        <v>0.40568721259509105</v>
      </c>
      <c r="E966" s="65">
        <v>-2.58142719643101</v>
      </c>
      <c r="F966" s="65">
        <v>4.069214506733059</v>
      </c>
      <c r="G966" s="50">
        <v>0.0</v>
      </c>
      <c r="H966" s="50">
        <v>0.0</v>
      </c>
      <c r="I966" s="50">
        <v>0.0</v>
      </c>
      <c r="J966" s="50">
        <v>0.0</v>
      </c>
      <c r="K966" s="50">
        <v>0.0</v>
      </c>
      <c r="L966" s="50">
        <v>0.0</v>
      </c>
      <c r="M966" s="50">
        <v>0.0</v>
      </c>
      <c r="N966" s="50">
        <v>0.0</v>
      </c>
      <c r="O966" s="50">
        <v>0.0</v>
      </c>
      <c r="P966" s="50">
        <v>0.0</v>
      </c>
      <c r="Q966" s="50">
        <v>0.0</v>
      </c>
      <c r="R966" s="50">
        <v>0.0</v>
      </c>
      <c r="S966" s="50">
        <v>0.0</v>
      </c>
      <c r="T966" s="50">
        <v>2.8125</v>
      </c>
      <c r="U966" s="50">
        <v>0.0</v>
      </c>
      <c r="V966" s="50">
        <v>0.0</v>
      </c>
      <c r="W966" s="50">
        <v>0.0</v>
      </c>
      <c r="X966" s="50">
        <v>2.8125</v>
      </c>
      <c r="Y966" s="50">
        <v>5.625</v>
      </c>
    </row>
    <row r="967">
      <c r="A967" s="26">
        <v>961.0</v>
      </c>
      <c r="B967" s="65">
        <v>0.08185721261704897</v>
      </c>
      <c r="C967" s="65">
        <v>-0.6839940986052131</v>
      </c>
      <c r="D967" s="65">
        <v>0.902978407652192</v>
      </c>
      <c r="E967" s="65">
        <v>-1.8339093396582913</v>
      </c>
      <c r="F967" s="65">
        <v>8.194150043385418</v>
      </c>
      <c r="G967" s="50">
        <v>0.0</v>
      </c>
      <c r="H967" s="50">
        <v>0.0</v>
      </c>
      <c r="I967" s="50">
        <v>0.0</v>
      </c>
      <c r="J967" s="50">
        <v>0.0</v>
      </c>
      <c r="K967" s="50">
        <v>0.0</v>
      </c>
      <c r="L967" s="50">
        <v>0.0</v>
      </c>
      <c r="M967" s="50">
        <v>0.0</v>
      </c>
      <c r="N967" s="50">
        <v>0.0</v>
      </c>
      <c r="O967" s="50">
        <v>0.0</v>
      </c>
      <c r="P967" s="50">
        <v>0.0</v>
      </c>
      <c r="Q967" s="50">
        <v>0.0</v>
      </c>
      <c r="R967" s="50">
        <v>0.0</v>
      </c>
      <c r="S967" s="50">
        <v>0.0</v>
      </c>
      <c r="T967" s="50">
        <v>2.8125</v>
      </c>
      <c r="U967" s="50">
        <v>0.0</v>
      </c>
      <c r="V967" s="50">
        <v>0.0</v>
      </c>
      <c r="W967" s="50">
        <v>4.95</v>
      </c>
      <c r="X967" s="50">
        <v>2.8125</v>
      </c>
      <c r="Y967" s="50">
        <v>10.575</v>
      </c>
    </row>
    <row r="968">
      <c r="A968" s="26">
        <v>962.0</v>
      </c>
      <c r="B968" s="65">
        <v>1.236630519077848</v>
      </c>
      <c r="C968" s="65">
        <v>0.8554591259774947</v>
      </c>
      <c r="D968" s="65">
        <v>-0.14414799873385956</v>
      </c>
      <c r="E968" s="65">
        <v>-0.05990228892104234</v>
      </c>
      <c r="F968" s="65">
        <v>4.228619104313914</v>
      </c>
      <c r="G968" s="50">
        <v>0.0</v>
      </c>
      <c r="H968" s="50">
        <v>0.0</v>
      </c>
      <c r="I968" s="50">
        <v>0.0</v>
      </c>
      <c r="J968" s="50">
        <v>0.0</v>
      </c>
      <c r="K968" s="50">
        <v>0.0</v>
      </c>
      <c r="L968" s="50">
        <v>0.0</v>
      </c>
      <c r="M968" s="50">
        <v>0.0</v>
      </c>
      <c r="N968" s="50">
        <v>0.0</v>
      </c>
      <c r="O968" s="50">
        <v>0.0</v>
      </c>
      <c r="P968" s="50">
        <v>0.0</v>
      </c>
      <c r="Q968" s="50">
        <v>0.0</v>
      </c>
      <c r="R968" s="50">
        <v>0.0</v>
      </c>
      <c r="S968" s="50">
        <v>0.0</v>
      </c>
      <c r="T968" s="50">
        <v>2.8125</v>
      </c>
      <c r="U968" s="50">
        <v>0.0</v>
      </c>
      <c r="V968" s="50">
        <v>0.0</v>
      </c>
      <c r="W968" s="50">
        <v>0.0</v>
      </c>
      <c r="X968" s="50">
        <v>2.8125</v>
      </c>
      <c r="Y968" s="50">
        <v>5.625</v>
      </c>
    </row>
    <row r="969">
      <c r="A969" s="26">
        <v>963.0</v>
      </c>
      <c r="B969" s="65">
        <v>-0.3865606530290707</v>
      </c>
      <c r="C969" s="65">
        <v>-0.3674031167545402</v>
      </c>
      <c r="D969" s="65">
        <v>0.39057847796957457</v>
      </c>
      <c r="E969" s="65">
        <v>-0.12129386268226743</v>
      </c>
      <c r="F969" s="65">
        <v>3.356356915014532</v>
      </c>
      <c r="G969" s="50">
        <v>0.0</v>
      </c>
      <c r="H969" s="50">
        <v>0.0</v>
      </c>
      <c r="I969" s="50">
        <v>0.0</v>
      </c>
      <c r="J969" s="50">
        <v>0.0</v>
      </c>
      <c r="K969" s="50">
        <v>0.0</v>
      </c>
      <c r="L969" s="50">
        <v>0.0</v>
      </c>
      <c r="M969" s="50">
        <v>0.0</v>
      </c>
      <c r="N969" s="50">
        <v>0.0</v>
      </c>
      <c r="O969" s="50">
        <v>7.425000000000001</v>
      </c>
      <c r="P969" s="50">
        <v>0.0</v>
      </c>
      <c r="Q969" s="50">
        <v>0.0</v>
      </c>
      <c r="R969" s="50">
        <v>0.0</v>
      </c>
      <c r="S969" s="50">
        <v>0.0</v>
      </c>
      <c r="T969" s="50">
        <v>2.8125</v>
      </c>
      <c r="U969" s="50">
        <v>0.0</v>
      </c>
      <c r="V969" s="50">
        <v>5.625</v>
      </c>
      <c r="W969" s="50">
        <v>0.0</v>
      </c>
      <c r="X969" s="50">
        <v>2.8125</v>
      </c>
      <c r="Y969" s="50">
        <v>18.675</v>
      </c>
    </row>
    <row r="970">
      <c r="A970" s="26">
        <v>964.0</v>
      </c>
      <c r="B970" s="65">
        <v>1.0499131244172966</v>
      </c>
      <c r="C970" s="65">
        <v>0.26398091475553886</v>
      </c>
      <c r="D970" s="65">
        <v>-0.22429708631605638</v>
      </c>
      <c r="E970" s="65">
        <v>0.4408255448614575</v>
      </c>
      <c r="F970" s="65">
        <v>2.25441536142443</v>
      </c>
      <c r="G970" s="50">
        <v>0.0</v>
      </c>
      <c r="H970" s="50">
        <v>0.0</v>
      </c>
      <c r="I970" s="50">
        <v>0.0</v>
      </c>
      <c r="J970" s="50">
        <v>0.0</v>
      </c>
      <c r="K970" s="50">
        <v>0.0</v>
      </c>
      <c r="L970" s="50">
        <v>0.0</v>
      </c>
      <c r="M970" s="50">
        <v>0.0</v>
      </c>
      <c r="N970" s="50">
        <v>0.0</v>
      </c>
      <c r="O970" s="50">
        <v>0.0</v>
      </c>
      <c r="P970" s="50">
        <v>0.0</v>
      </c>
      <c r="Q970" s="50">
        <v>0.0</v>
      </c>
      <c r="R970" s="50">
        <v>0.0</v>
      </c>
      <c r="S970" s="50">
        <v>0.0</v>
      </c>
      <c r="T970" s="50">
        <v>2.8125</v>
      </c>
      <c r="U970" s="50">
        <v>0.0</v>
      </c>
      <c r="V970" s="50">
        <v>5.625</v>
      </c>
      <c r="W970" s="50">
        <v>0.0</v>
      </c>
      <c r="X970" s="50">
        <v>2.8125</v>
      </c>
      <c r="Y970" s="50">
        <v>11.25</v>
      </c>
    </row>
    <row r="971">
      <c r="A971" s="26">
        <v>965.0</v>
      </c>
      <c r="B971" s="65">
        <v>-0.5955492704367692</v>
      </c>
      <c r="C971" s="65">
        <v>0.864151963151509</v>
      </c>
      <c r="D971" s="65">
        <v>-1.3211533658832746</v>
      </c>
      <c r="E971" s="65">
        <v>-1.0128290772168063</v>
      </c>
      <c r="F971" s="65">
        <v>8.074221543636568</v>
      </c>
      <c r="G971" s="50">
        <v>0.0</v>
      </c>
      <c r="H971" s="50">
        <v>0.0</v>
      </c>
      <c r="I971" s="50">
        <v>0.0</v>
      </c>
      <c r="J971" s="50">
        <v>0.0</v>
      </c>
      <c r="K971" s="50">
        <v>0.0</v>
      </c>
      <c r="L971" s="50">
        <v>0.0</v>
      </c>
      <c r="M971" s="50">
        <v>0.0</v>
      </c>
      <c r="N971" s="50">
        <v>0.0</v>
      </c>
      <c r="O971" s="50">
        <v>7.425000000000001</v>
      </c>
      <c r="P971" s="50">
        <v>0.0</v>
      </c>
      <c r="Q971" s="50">
        <v>0.0</v>
      </c>
      <c r="R971" s="50">
        <v>0.0</v>
      </c>
      <c r="S971" s="50">
        <v>0.0</v>
      </c>
      <c r="T971" s="50">
        <v>2.8125</v>
      </c>
      <c r="U971" s="50">
        <v>0.0</v>
      </c>
      <c r="V971" s="50">
        <v>5.625</v>
      </c>
      <c r="W971" s="50">
        <v>0.0</v>
      </c>
      <c r="X971" s="50">
        <v>2.8125</v>
      </c>
      <c r="Y971" s="50">
        <v>18.675</v>
      </c>
    </row>
    <row r="972">
      <c r="A972" s="26">
        <v>966.0</v>
      </c>
      <c r="B972" s="65">
        <v>3.0178209681120176</v>
      </c>
      <c r="C972" s="65">
        <v>0.5016030025531572</v>
      </c>
      <c r="D972" s="65">
        <v>-0.41634579474510647</v>
      </c>
      <c r="E972" s="65">
        <v>1.5396251786761548</v>
      </c>
      <c r="F972" s="65">
        <v>4.6871365058995575</v>
      </c>
      <c r="G972" s="50">
        <v>0.0</v>
      </c>
      <c r="H972" s="50">
        <v>0.0</v>
      </c>
      <c r="I972" s="50">
        <v>0.0</v>
      </c>
      <c r="J972" s="50">
        <v>0.0</v>
      </c>
      <c r="K972" s="50">
        <v>0.0</v>
      </c>
      <c r="L972" s="50">
        <v>0.0</v>
      </c>
      <c r="M972" s="50">
        <v>0.0</v>
      </c>
      <c r="N972" s="50">
        <v>0.0</v>
      </c>
      <c r="O972" s="50">
        <v>0.0</v>
      </c>
      <c r="P972" s="50">
        <v>0.0</v>
      </c>
      <c r="Q972" s="50">
        <v>0.0</v>
      </c>
      <c r="R972" s="50">
        <v>0.0</v>
      </c>
      <c r="S972" s="50">
        <v>0.0</v>
      </c>
      <c r="T972" s="50">
        <v>2.8125</v>
      </c>
      <c r="U972" s="50">
        <v>0.0</v>
      </c>
      <c r="V972" s="50">
        <v>0.0</v>
      </c>
      <c r="W972" s="50">
        <v>0.0</v>
      </c>
      <c r="X972" s="50">
        <v>2.8125</v>
      </c>
      <c r="Y972" s="50">
        <v>5.625</v>
      </c>
    </row>
    <row r="973">
      <c r="A973" s="26">
        <v>967.0</v>
      </c>
      <c r="B973" s="65">
        <v>-0.2919785464538737</v>
      </c>
      <c r="C973" s="65">
        <v>1.2320934384249655</v>
      </c>
      <c r="D973" s="65">
        <v>-0.5039955412008125</v>
      </c>
      <c r="E973" s="65">
        <v>2.08993954616772</v>
      </c>
      <c r="F973" s="65">
        <v>2.2606470968379972</v>
      </c>
      <c r="G973" s="50">
        <v>0.0</v>
      </c>
      <c r="H973" s="50">
        <v>0.0</v>
      </c>
      <c r="I973" s="50">
        <v>0.0</v>
      </c>
      <c r="J973" s="50">
        <v>0.0</v>
      </c>
      <c r="K973" s="50">
        <v>0.0</v>
      </c>
      <c r="L973" s="50">
        <v>0.0</v>
      </c>
      <c r="M973" s="50">
        <v>0.0</v>
      </c>
      <c r="N973" s="50">
        <v>0.0</v>
      </c>
      <c r="O973" s="50">
        <v>0.0</v>
      </c>
      <c r="P973" s="50">
        <v>2.475</v>
      </c>
      <c r="Q973" s="50">
        <v>0.0</v>
      </c>
      <c r="R973" s="50">
        <v>0.0</v>
      </c>
      <c r="S973" s="50">
        <v>0.0</v>
      </c>
      <c r="T973" s="50">
        <v>2.8125</v>
      </c>
      <c r="U973" s="50">
        <v>0.0</v>
      </c>
      <c r="V973" s="50">
        <v>0.0</v>
      </c>
      <c r="W973" s="50">
        <v>0.0</v>
      </c>
      <c r="X973" s="50">
        <v>2.8125</v>
      </c>
      <c r="Y973" s="50">
        <v>8.1</v>
      </c>
    </row>
    <row r="974">
      <c r="A974" s="26">
        <v>968.0</v>
      </c>
      <c r="B974" s="65">
        <v>0.45118562581639104</v>
      </c>
      <c r="C974" s="65">
        <v>0.18295601198083714</v>
      </c>
      <c r="D974" s="65">
        <v>-1.0222804224804145</v>
      </c>
      <c r="E974" s="65">
        <v>0.2803163257856369</v>
      </c>
      <c r="F974" s="65">
        <v>8.454192935419819</v>
      </c>
      <c r="G974" s="50">
        <v>0.0</v>
      </c>
      <c r="H974" s="50">
        <v>0.0</v>
      </c>
      <c r="I974" s="50">
        <v>0.0</v>
      </c>
      <c r="J974" s="50">
        <v>0.0</v>
      </c>
      <c r="K974" s="50">
        <v>0.0</v>
      </c>
      <c r="L974" s="50">
        <v>0.0</v>
      </c>
      <c r="M974" s="50">
        <v>0.0</v>
      </c>
      <c r="N974" s="50">
        <v>0.0</v>
      </c>
      <c r="O974" s="50">
        <v>0.0</v>
      </c>
      <c r="P974" s="50">
        <v>0.0</v>
      </c>
      <c r="Q974" s="50">
        <v>0.0</v>
      </c>
      <c r="R974" s="50">
        <v>0.0</v>
      </c>
      <c r="S974" s="50">
        <v>0.0</v>
      </c>
      <c r="T974" s="50">
        <v>2.8125</v>
      </c>
      <c r="U974" s="50">
        <v>0.0</v>
      </c>
      <c r="V974" s="50">
        <v>5.625</v>
      </c>
      <c r="W974" s="50">
        <v>0.0</v>
      </c>
      <c r="X974" s="50">
        <v>2.8125</v>
      </c>
      <c r="Y974" s="50">
        <v>11.25</v>
      </c>
    </row>
    <row r="975">
      <c r="A975" s="26">
        <v>969.0</v>
      </c>
      <c r="B975" s="65">
        <v>0.9947339942242908</v>
      </c>
      <c r="C975" s="65">
        <v>0.6811023801398972</v>
      </c>
      <c r="D975" s="65">
        <v>0.2946893981388064</v>
      </c>
      <c r="E975" s="65">
        <v>1.4163662861419393</v>
      </c>
      <c r="F975" s="65">
        <v>2.3253774331725494</v>
      </c>
      <c r="G975" s="50">
        <v>0.0</v>
      </c>
      <c r="H975" s="50">
        <v>0.0</v>
      </c>
      <c r="I975" s="50">
        <v>0.0</v>
      </c>
      <c r="J975" s="50">
        <v>0.0</v>
      </c>
      <c r="K975" s="50">
        <v>0.0</v>
      </c>
      <c r="L975" s="50">
        <v>0.0</v>
      </c>
      <c r="M975" s="50">
        <v>0.0</v>
      </c>
      <c r="N975" s="50">
        <v>0.0</v>
      </c>
      <c r="O975" s="50">
        <v>0.0</v>
      </c>
      <c r="P975" s="50">
        <v>0.0</v>
      </c>
      <c r="Q975" s="50">
        <v>0.0</v>
      </c>
      <c r="R975" s="50">
        <v>0.0</v>
      </c>
      <c r="S975" s="50">
        <v>0.0</v>
      </c>
      <c r="T975" s="50">
        <v>2.8125</v>
      </c>
      <c r="U975" s="50">
        <v>0.0</v>
      </c>
      <c r="V975" s="50">
        <v>5.625</v>
      </c>
      <c r="W975" s="50">
        <v>0.0</v>
      </c>
      <c r="X975" s="50">
        <v>2.8125</v>
      </c>
      <c r="Y975" s="50">
        <v>11.25</v>
      </c>
    </row>
    <row r="976">
      <c r="A976" s="26">
        <v>970.0</v>
      </c>
      <c r="B976" s="65">
        <v>0.07179045675002689</v>
      </c>
      <c r="C976" s="65">
        <v>-0.09640282843483604</v>
      </c>
      <c r="D976" s="65">
        <v>-0.18576703511103568</v>
      </c>
      <c r="E976" s="65">
        <v>-0.046697938054930596</v>
      </c>
      <c r="F976" s="65">
        <v>2.0203246890878885</v>
      </c>
      <c r="G976" s="50">
        <v>0.0</v>
      </c>
      <c r="H976" s="50">
        <v>0.0</v>
      </c>
      <c r="I976" s="50">
        <v>0.0</v>
      </c>
      <c r="J976" s="50">
        <v>0.0</v>
      </c>
      <c r="K976" s="50">
        <v>0.0</v>
      </c>
      <c r="L976" s="50">
        <v>0.0</v>
      </c>
      <c r="M976" s="50">
        <v>0.0</v>
      </c>
      <c r="N976" s="50">
        <v>0.0</v>
      </c>
      <c r="O976" s="50">
        <v>0.0</v>
      </c>
      <c r="P976" s="50">
        <v>0.0</v>
      </c>
      <c r="Q976" s="50">
        <v>0.0</v>
      </c>
      <c r="R976" s="50">
        <v>9.9</v>
      </c>
      <c r="S976" s="50">
        <v>0.0</v>
      </c>
      <c r="T976" s="50">
        <v>2.8125</v>
      </c>
      <c r="U976" s="50">
        <v>0.0</v>
      </c>
      <c r="V976" s="50">
        <v>5.625</v>
      </c>
      <c r="W976" s="50">
        <v>0.0</v>
      </c>
      <c r="X976" s="50">
        <v>2.8125</v>
      </c>
      <c r="Y976" s="50">
        <v>21.15</v>
      </c>
    </row>
    <row r="977">
      <c r="A977" s="26">
        <v>971.0</v>
      </c>
      <c r="B977" s="65">
        <v>-0.7823248361859187</v>
      </c>
      <c r="C977" s="65">
        <v>1.0014567579895286</v>
      </c>
      <c r="D977" s="65">
        <v>-0.1810037522374947</v>
      </c>
      <c r="E977" s="65">
        <v>0.7136048136518112</v>
      </c>
      <c r="F977" s="65">
        <v>5.334151406328653</v>
      </c>
      <c r="G977" s="50">
        <v>0.0</v>
      </c>
      <c r="H977" s="50">
        <v>0.0</v>
      </c>
      <c r="I977" s="50">
        <v>0.0</v>
      </c>
      <c r="J977" s="50">
        <v>0.0</v>
      </c>
      <c r="K977" s="50">
        <v>0.0</v>
      </c>
      <c r="L977" s="50">
        <v>0.0</v>
      </c>
      <c r="M977" s="50">
        <v>0.0</v>
      </c>
      <c r="N977" s="50">
        <v>0.0</v>
      </c>
      <c r="O977" s="50">
        <v>0.0</v>
      </c>
      <c r="P977" s="50">
        <v>2.475</v>
      </c>
      <c r="Q977" s="50">
        <v>0.0</v>
      </c>
      <c r="R977" s="50">
        <v>0.0</v>
      </c>
      <c r="S977" s="50">
        <v>0.0</v>
      </c>
      <c r="T977" s="50">
        <v>2.8125</v>
      </c>
      <c r="U977" s="50">
        <v>0.0</v>
      </c>
      <c r="V977" s="50">
        <v>5.625</v>
      </c>
      <c r="W977" s="50">
        <v>4.95</v>
      </c>
      <c r="X977" s="50">
        <v>2.8125</v>
      </c>
      <c r="Y977" s="50">
        <v>18.675</v>
      </c>
    </row>
    <row r="978">
      <c r="A978" s="26">
        <v>972.0</v>
      </c>
      <c r="B978" s="65">
        <v>0.057509874053185694</v>
      </c>
      <c r="C978" s="65">
        <v>0.8423031518043291</v>
      </c>
      <c r="D978" s="65">
        <v>1.9659154041516351</v>
      </c>
      <c r="E978" s="65">
        <v>-0.1738475541707692</v>
      </c>
      <c r="F978" s="65">
        <v>2.673162091089849</v>
      </c>
      <c r="G978" s="50">
        <v>0.0</v>
      </c>
      <c r="H978" s="50">
        <v>0.0</v>
      </c>
      <c r="I978" s="50">
        <v>0.0</v>
      </c>
      <c r="J978" s="50">
        <v>0.0</v>
      </c>
      <c r="K978" s="50">
        <v>0.0</v>
      </c>
      <c r="L978" s="50">
        <v>0.0</v>
      </c>
      <c r="M978" s="50">
        <v>0.0</v>
      </c>
      <c r="N978" s="50">
        <v>0.0</v>
      </c>
      <c r="O978" s="50">
        <v>0.0</v>
      </c>
      <c r="P978" s="50">
        <v>0.0</v>
      </c>
      <c r="Q978" s="50">
        <v>0.0</v>
      </c>
      <c r="R978" s="50">
        <v>0.0</v>
      </c>
      <c r="S978" s="50">
        <v>0.0</v>
      </c>
      <c r="T978" s="50">
        <v>2.8125</v>
      </c>
      <c r="U978" s="50">
        <v>0.0</v>
      </c>
      <c r="V978" s="50">
        <v>5.625</v>
      </c>
      <c r="W978" s="50">
        <v>0.0</v>
      </c>
      <c r="X978" s="50">
        <v>2.8125</v>
      </c>
      <c r="Y978" s="50">
        <v>11.25</v>
      </c>
    </row>
    <row r="979">
      <c r="A979" s="26">
        <v>973.0</v>
      </c>
      <c r="B979" s="65">
        <v>-0.7803746278586852</v>
      </c>
      <c r="C979" s="65">
        <v>-1.4684013307107349</v>
      </c>
      <c r="D979" s="65">
        <v>-1.2859185606388066</v>
      </c>
      <c r="E979" s="65">
        <v>0.7602403607556283</v>
      </c>
      <c r="F979" s="65">
        <v>4.83428328640767</v>
      </c>
      <c r="G979" s="50">
        <v>0.0</v>
      </c>
      <c r="H979" s="50">
        <v>0.0</v>
      </c>
      <c r="I979" s="50">
        <v>0.0</v>
      </c>
      <c r="J979" s="50">
        <v>0.0</v>
      </c>
      <c r="K979" s="50">
        <v>0.0</v>
      </c>
      <c r="L979" s="50">
        <v>0.0</v>
      </c>
      <c r="M979" s="50">
        <v>0.0</v>
      </c>
      <c r="N979" s="50">
        <v>0.0</v>
      </c>
      <c r="O979" s="50">
        <v>0.0</v>
      </c>
      <c r="P979" s="50">
        <v>2.475</v>
      </c>
      <c r="Q979" s="50">
        <v>0.0</v>
      </c>
      <c r="R979" s="50">
        <v>9.9</v>
      </c>
      <c r="S979" s="50">
        <v>0.0</v>
      </c>
      <c r="T979" s="50">
        <v>2.8125</v>
      </c>
      <c r="U979" s="50">
        <v>0.0</v>
      </c>
      <c r="V979" s="50">
        <v>0.0</v>
      </c>
      <c r="W979" s="50">
        <v>0.0</v>
      </c>
      <c r="X979" s="50">
        <v>2.8125</v>
      </c>
      <c r="Y979" s="50">
        <v>18.0</v>
      </c>
    </row>
    <row r="980">
      <c r="A980" s="26">
        <v>974.0</v>
      </c>
      <c r="B980" s="65">
        <v>-1.5717151143830472</v>
      </c>
      <c r="C980" s="65">
        <v>-0.14897427505646565</v>
      </c>
      <c r="D980" s="65">
        <v>1.27872638121341</v>
      </c>
      <c r="E980" s="65">
        <v>0.450057867374703</v>
      </c>
      <c r="F980" s="65">
        <v>2.099684785115288</v>
      </c>
      <c r="G980" s="50">
        <v>0.0</v>
      </c>
      <c r="H980" s="50">
        <v>0.0</v>
      </c>
      <c r="I980" s="50">
        <v>0.0</v>
      </c>
      <c r="J980" s="50">
        <v>0.0</v>
      </c>
      <c r="K980" s="50">
        <v>0.0</v>
      </c>
      <c r="L980" s="50">
        <v>0.0</v>
      </c>
      <c r="M980" s="50">
        <v>0.0</v>
      </c>
      <c r="N980" s="50">
        <v>0.0</v>
      </c>
      <c r="O980" s="50">
        <v>0.0</v>
      </c>
      <c r="P980" s="50">
        <v>2.475</v>
      </c>
      <c r="Q980" s="50">
        <v>0.0</v>
      </c>
      <c r="R980" s="50">
        <v>0.0</v>
      </c>
      <c r="S980" s="50">
        <v>0.0</v>
      </c>
      <c r="T980" s="50">
        <v>2.8125</v>
      </c>
      <c r="U980" s="50">
        <v>0.0</v>
      </c>
      <c r="V980" s="50">
        <v>5.625</v>
      </c>
      <c r="W980" s="50">
        <v>4.95</v>
      </c>
      <c r="X980" s="50">
        <v>2.8125</v>
      </c>
      <c r="Y980" s="50">
        <v>18.675</v>
      </c>
    </row>
    <row r="981">
      <c r="A981" s="26">
        <v>975.0</v>
      </c>
      <c r="B981" s="65">
        <v>0.6142941843923735</v>
      </c>
      <c r="C981" s="65">
        <v>1.6039656889758283</v>
      </c>
      <c r="D981" s="65">
        <v>0.9277279431855816</v>
      </c>
      <c r="E981" s="65">
        <v>0.7258540528388993</v>
      </c>
      <c r="F981" s="65">
        <v>3.6595389147164226</v>
      </c>
      <c r="G981" s="50">
        <v>0.0</v>
      </c>
      <c r="H981" s="50">
        <v>0.0</v>
      </c>
      <c r="I981" s="50">
        <v>0.0</v>
      </c>
      <c r="J981" s="50">
        <v>0.0</v>
      </c>
      <c r="K981" s="50">
        <v>0.0</v>
      </c>
      <c r="L981" s="50">
        <v>0.0</v>
      </c>
      <c r="M981" s="50">
        <v>0.0</v>
      </c>
      <c r="N981" s="50">
        <v>0.0</v>
      </c>
      <c r="O981" s="50">
        <v>0.0</v>
      </c>
      <c r="P981" s="50">
        <v>0.0</v>
      </c>
      <c r="Q981" s="50">
        <v>0.0</v>
      </c>
      <c r="R981" s="50">
        <v>0.0</v>
      </c>
      <c r="S981" s="50">
        <v>0.0</v>
      </c>
      <c r="T981" s="50">
        <v>2.8125</v>
      </c>
      <c r="U981" s="50">
        <v>0.0</v>
      </c>
      <c r="V981" s="50">
        <v>0.0</v>
      </c>
      <c r="W981" s="50">
        <v>0.0</v>
      </c>
      <c r="X981" s="50">
        <v>2.8125</v>
      </c>
      <c r="Y981" s="50">
        <v>5.625</v>
      </c>
    </row>
    <row r="982">
      <c r="A982" s="26">
        <v>976.0</v>
      </c>
      <c r="B982" s="65">
        <v>2.199010018239207</v>
      </c>
      <c r="C982" s="65">
        <v>1.0623477145823164</v>
      </c>
      <c r="D982" s="65">
        <v>0.2742500514151364</v>
      </c>
      <c r="E982" s="65">
        <v>0.08003832841928138</v>
      </c>
      <c r="F982" s="65">
        <v>6.043061553521693</v>
      </c>
      <c r="G982" s="50">
        <v>0.0</v>
      </c>
      <c r="H982" s="50">
        <v>0.0</v>
      </c>
      <c r="I982" s="50">
        <v>0.0</v>
      </c>
      <c r="J982" s="50">
        <v>0.0</v>
      </c>
      <c r="K982" s="50">
        <v>0.0</v>
      </c>
      <c r="L982" s="50">
        <v>0.0</v>
      </c>
      <c r="M982" s="50">
        <v>0.0</v>
      </c>
      <c r="N982" s="50">
        <v>0.0</v>
      </c>
      <c r="O982" s="50">
        <v>0.0</v>
      </c>
      <c r="P982" s="50">
        <v>0.0</v>
      </c>
      <c r="Q982" s="50">
        <v>0.0</v>
      </c>
      <c r="R982" s="50">
        <v>0.0</v>
      </c>
      <c r="S982" s="50">
        <v>0.0</v>
      </c>
      <c r="T982" s="50">
        <v>2.8125</v>
      </c>
      <c r="U982" s="50">
        <v>0.0</v>
      </c>
      <c r="V982" s="50">
        <v>0.0</v>
      </c>
      <c r="W982" s="50">
        <v>0.0</v>
      </c>
      <c r="X982" s="50">
        <v>2.8125</v>
      </c>
      <c r="Y982" s="50">
        <v>5.625</v>
      </c>
    </row>
    <row r="983">
      <c r="A983" s="26">
        <v>977.0</v>
      </c>
      <c r="B983" s="65">
        <v>0.3122945426705086</v>
      </c>
      <c r="C983" s="65">
        <v>-1.245346450229146</v>
      </c>
      <c r="D983" s="65">
        <v>-0.09690546465090673</v>
      </c>
      <c r="E983" s="65">
        <v>1.0950486775676955</v>
      </c>
      <c r="F983" s="65">
        <v>0.8300825404538331</v>
      </c>
      <c r="G983" s="50">
        <v>0.0</v>
      </c>
      <c r="H983" s="50">
        <v>0.0</v>
      </c>
      <c r="I983" s="50">
        <v>0.0</v>
      </c>
      <c r="J983" s="50">
        <v>0.0</v>
      </c>
      <c r="K983" s="50">
        <v>0.0</v>
      </c>
      <c r="L983" s="50">
        <v>0.0</v>
      </c>
      <c r="M983" s="50">
        <v>0.0</v>
      </c>
      <c r="N983" s="50">
        <v>0.0</v>
      </c>
      <c r="O983" s="50">
        <v>7.425000000000001</v>
      </c>
      <c r="P983" s="50">
        <v>0.0</v>
      </c>
      <c r="Q983" s="50">
        <v>0.0</v>
      </c>
      <c r="R983" s="50">
        <v>0.0</v>
      </c>
      <c r="S983" s="50">
        <v>0.0</v>
      </c>
      <c r="T983" s="50">
        <v>2.8125</v>
      </c>
      <c r="U983" s="50">
        <v>0.0</v>
      </c>
      <c r="V983" s="50">
        <v>0.0</v>
      </c>
      <c r="W983" s="50">
        <v>0.0</v>
      </c>
      <c r="X983" s="50">
        <v>2.8125</v>
      </c>
      <c r="Y983" s="50">
        <v>13.05</v>
      </c>
    </row>
    <row r="984">
      <c r="A984" s="26">
        <v>978.0</v>
      </c>
      <c r="B984" s="65">
        <v>-0.1472741465713608</v>
      </c>
      <c r="C984" s="65">
        <v>-1.2963335752958787</v>
      </c>
      <c r="D984" s="65">
        <v>-0.04041576671221611</v>
      </c>
      <c r="E984" s="65">
        <v>0.7753527033073718</v>
      </c>
      <c r="F984" s="65">
        <v>6.476640806525061</v>
      </c>
      <c r="G984" s="50">
        <v>0.0</v>
      </c>
      <c r="H984" s="50">
        <v>0.0</v>
      </c>
      <c r="I984" s="50">
        <v>0.0</v>
      </c>
      <c r="J984" s="50">
        <v>0.0</v>
      </c>
      <c r="K984" s="50">
        <v>0.0</v>
      </c>
      <c r="L984" s="50">
        <v>0.0</v>
      </c>
      <c r="M984" s="50">
        <v>0.0</v>
      </c>
      <c r="N984" s="50">
        <v>0.0</v>
      </c>
      <c r="O984" s="50">
        <v>0.0</v>
      </c>
      <c r="P984" s="50">
        <v>0.0</v>
      </c>
      <c r="Q984" s="50">
        <v>0.0</v>
      </c>
      <c r="R984" s="50">
        <v>0.0</v>
      </c>
      <c r="S984" s="50">
        <v>0.0</v>
      </c>
      <c r="T984" s="50">
        <v>2.8125</v>
      </c>
      <c r="U984" s="50">
        <v>0.0</v>
      </c>
      <c r="V984" s="50">
        <v>0.0</v>
      </c>
      <c r="W984" s="50">
        <v>0.0</v>
      </c>
      <c r="X984" s="50">
        <v>2.8125</v>
      </c>
      <c r="Y984" s="50">
        <v>5.625</v>
      </c>
    </row>
    <row r="985">
      <c r="A985" s="26">
        <v>979.0</v>
      </c>
      <c r="B985" s="65">
        <v>0.517644163490816</v>
      </c>
      <c r="C985" s="65">
        <v>-1.3215831835234213</v>
      </c>
      <c r="D985" s="65">
        <v>0.18655937594297725</v>
      </c>
      <c r="E985" s="65">
        <v>-0.29111142708495785</v>
      </c>
      <c r="F985" s="65">
        <v>3.2030056693944418</v>
      </c>
      <c r="G985" s="50">
        <v>0.0</v>
      </c>
      <c r="H985" s="50">
        <v>0.0</v>
      </c>
      <c r="I985" s="50">
        <v>0.0</v>
      </c>
      <c r="J985" s="50">
        <v>0.0</v>
      </c>
      <c r="K985" s="50">
        <v>0.0</v>
      </c>
      <c r="L985" s="50">
        <v>0.0</v>
      </c>
      <c r="M985" s="50">
        <v>0.0</v>
      </c>
      <c r="N985" s="50">
        <v>0.0</v>
      </c>
      <c r="O985" s="50">
        <v>0.0</v>
      </c>
      <c r="P985" s="50">
        <v>0.0</v>
      </c>
      <c r="Q985" s="50">
        <v>0.0</v>
      </c>
      <c r="R985" s="50">
        <v>9.9</v>
      </c>
      <c r="S985" s="50">
        <v>0.0</v>
      </c>
      <c r="T985" s="50">
        <v>2.8125</v>
      </c>
      <c r="U985" s="50">
        <v>0.0</v>
      </c>
      <c r="V985" s="50">
        <v>0.0</v>
      </c>
      <c r="W985" s="50">
        <v>0.0</v>
      </c>
      <c r="X985" s="50">
        <v>2.8125</v>
      </c>
      <c r="Y985" s="50">
        <v>15.525</v>
      </c>
    </row>
    <row r="986">
      <c r="A986" s="26">
        <v>980.0</v>
      </c>
      <c r="B986" s="65">
        <v>-0.29046952734033366</v>
      </c>
      <c r="C986" s="65">
        <v>0.9617994847489715</v>
      </c>
      <c r="D986" s="65">
        <v>-0.3946327563924767</v>
      </c>
      <c r="E986" s="65">
        <v>0.5946744933220335</v>
      </c>
      <c r="F986" s="65">
        <v>7.219191830097328</v>
      </c>
      <c r="G986" s="50">
        <v>0.0</v>
      </c>
      <c r="H986" s="50">
        <v>0.0</v>
      </c>
      <c r="I986" s="50">
        <v>0.0</v>
      </c>
      <c r="J986" s="50">
        <v>0.0</v>
      </c>
      <c r="K986" s="50">
        <v>0.0</v>
      </c>
      <c r="L986" s="50">
        <v>0.0</v>
      </c>
      <c r="M986" s="50">
        <v>0.0</v>
      </c>
      <c r="N986" s="50">
        <v>0.0</v>
      </c>
      <c r="O986" s="50">
        <v>0.0</v>
      </c>
      <c r="P986" s="50">
        <v>0.0</v>
      </c>
      <c r="Q986" s="50">
        <v>0.0</v>
      </c>
      <c r="R986" s="50">
        <v>0.0</v>
      </c>
      <c r="S986" s="50">
        <v>0.0</v>
      </c>
      <c r="T986" s="50">
        <v>2.8125</v>
      </c>
      <c r="U986" s="50">
        <v>0.0</v>
      </c>
      <c r="V986" s="50">
        <v>5.625</v>
      </c>
      <c r="W986" s="50">
        <v>0.0</v>
      </c>
      <c r="X986" s="50">
        <v>2.8125</v>
      </c>
      <c r="Y986" s="50">
        <v>11.25</v>
      </c>
    </row>
    <row r="987">
      <c r="A987" s="26">
        <v>981.0</v>
      </c>
      <c r="B987" s="65">
        <v>-0.0691377445795723</v>
      </c>
      <c r="C987" s="65">
        <v>-0.02416282666779652</v>
      </c>
      <c r="D987" s="65">
        <v>-1.3021149501076943</v>
      </c>
      <c r="E987" s="65">
        <v>2.174694503068429</v>
      </c>
      <c r="F987" s="65">
        <v>2.22798732520266</v>
      </c>
      <c r="G987" s="50">
        <v>0.0</v>
      </c>
      <c r="H987" s="50">
        <v>0.0</v>
      </c>
      <c r="I987" s="50">
        <v>0.0</v>
      </c>
      <c r="J987" s="50">
        <v>0.0</v>
      </c>
      <c r="K987" s="50">
        <v>0.0</v>
      </c>
      <c r="L987" s="50">
        <v>0.0</v>
      </c>
      <c r="M987" s="50">
        <v>0.0</v>
      </c>
      <c r="N987" s="50">
        <v>0.0</v>
      </c>
      <c r="O987" s="50">
        <v>0.0</v>
      </c>
      <c r="P987" s="50">
        <v>2.475</v>
      </c>
      <c r="Q987" s="50">
        <v>0.0</v>
      </c>
      <c r="R987" s="50">
        <v>9.9</v>
      </c>
      <c r="S987" s="50">
        <v>0.0</v>
      </c>
      <c r="T987" s="50">
        <v>2.8125</v>
      </c>
      <c r="U987" s="50">
        <v>0.0</v>
      </c>
      <c r="V987" s="50">
        <v>5.625</v>
      </c>
      <c r="W987" s="50">
        <v>0.0</v>
      </c>
      <c r="X987" s="50">
        <v>2.8125</v>
      </c>
      <c r="Y987" s="50">
        <v>23.625</v>
      </c>
    </row>
    <row r="988">
      <c r="A988" s="26">
        <v>982.0</v>
      </c>
      <c r="B988" s="65">
        <v>-1.1739401825732088</v>
      </c>
      <c r="C988" s="65">
        <v>1.5889275298896135</v>
      </c>
      <c r="D988" s="65">
        <v>1.2747849143484473</v>
      </c>
      <c r="E988" s="65">
        <v>1.6640176730071918</v>
      </c>
      <c r="F988" s="65">
        <v>5.111837692049306</v>
      </c>
      <c r="G988" s="50">
        <v>0.0</v>
      </c>
      <c r="H988" s="50">
        <v>0.0</v>
      </c>
      <c r="I988" s="50">
        <v>0.0</v>
      </c>
      <c r="J988" s="50">
        <v>0.0</v>
      </c>
      <c r="K988" s="50">
        <v>0.0</v>
      </c>
      <c r="L988" s="50">
        <v>0.0</v>
      </c>
      <c r="M988" s="50">
        <v>0.0</v>
      </c>
      <c r="N988" s="50">
        <v>0.0</v>
      </c>
      <c r="O988" s="50">
        <v>0.0</v>
      </c>
      <c r="P988" s="50">
        <v>0.0</v>
      </c>
      <c r="Q988" s="50">
        <v>0.0</v>
      </c>
      <c r="R988" s="50">
        <v>0.0</v>
      </c>
      <c r="S988" s="50">
        <v>0.0</v>
      </c>
      <c r="T988" s="50">
        <v>2.8125</v>
      </c>
      <c r="U988" s="50">
        <v>0.0</v>
      </c>
      <c r="V988" s="50">
        <v>0.0</v>
      </c>
      <c r="W988" s="50">
        <v>0.0</v>
      </c>
      <c r="X988" s="50">
        <v>2.8125</v>
      </c>
      <c r="Y988" s="50">
        <v>5.625</v>
      </c>
    </row>
    <row r="989">
      <c r="A989" s="26">
        <v>983.0</v>
      </c>
      <c r="B989" s="65">
        <v>0.26555638806669846</v>
      </c>
      <c r="C989" s="65">
        <v>0.1842852593711281</v>
      </c>
      <c r="D989" s="65">
        <v>0.24581431429685963</v>
      </c>
      <c r="E989" s="65">
        <v>0.2598487207083787</v>
      </c>
      <c r="F989" s="65">
        <v>1.8204768502755164</v>
      </c>
      <c r="G989" s="50">
        <v>0.0</v>
      </c>
      <c r="H989" s="50">
        <v>0.0</v>
      </c>
      <c r="I989" s="50">
        <v>0.0</v>
      </c>
      <c r="J989" s="50">
        <v>0.0</v>
      </c>
      <c r="K989" s="50">
        <v>0.0</v>
      </c>
      <c r="L989" s="50">
        <v>0.0</v>
      </c>
      <c r="M989" s="50">
        <v>0.0</v>
      </c>
      <c r="N989" s="50">
        <v>0.0</v>
      </c>
      <c r="O989" s="50">
        <v>0.0</v>
      </c>
      <c r="P989" s="50">
        <v>0.0</v>
      </c>
      <c r="Q989" s="50">
        <v>0.0</v>
      </c>
      <c r="R989" s="50">
        <v>0.0</v>
      </c>
      <c r="S989" s="50">
        <v>0.0</v>
      </c>
      <c r="T989" s="50">
        <v>2.8125</v>
      </c>
      <c r="U989" s="50">
        <v>0.0</v>
      </c>
      <c r="V989" s="50">
        <v>0.0</v>
      </c>
      <c r="W989" s="50">
        <v>4.95</v>
      </c>
      <c r="X989" s="50">
        <v>2.8125</v>
      </c>
      <c r="Y989" s="50">
        <v>10.575</v>
      </c>
    </row>
    <row r="990">
      <c r="A990" s="26">
        <v>984.0</v>
      </c>
      <c r="B990" s="65">
        <v>1.430004354927998</v>
      </c>
      <c r="C990" s="65">
        <v>-0.4022404779673748</v>
      </c>
      <c r="D990" s="65">
        <v>-0.2650072100710984</v>
      </c>
      <c r="E990" s="65">
        <v>0.3646644501041059</v>
      </c>
      <c r="F990" s="65">
        <v>2.4474717783848248</v>
      </c>
      <c r="G990" s="50">
        <v>0.0</v>
      </c>
      <c r="H990" s="50">
        <v>0.0</v>
      </c>
      <c r="I990" s="50">
        <v>0.0</v>
      </c>
      <c r="J990" s="50">
        <v>0.0</v>
      </c>
      <c r="K990" s="50">
        <v>0.0</v>
      </c>
      <c r="L990" s="50">
        <v>0.0</v>
      </c>
      <c r="M990" s="50">
        <v>0.0</v>
      </c>
      <c r="N990" s="50">
        <v>0.0</v>
      </c>
      <c r="O990" s="50">
        <v>0.0</v>
      </c>
      <c r="P990" s="50">
        <v>0.0</v>
      </c>
      <c r="Q990" s="50">
        <v>0.0</v>
      </c>
      <c r="R990" s="50">
        <v>0.0</v>
      </c>
      <c r="S990" s="50">
        <v>0.0</v>
      </c>
      <c r="T990" s="50">
        <v>2.8125</v>
      </c>
      <c r="U990" s="50">
        <v>0.0</v>
      </c>
      <c r="V990" s="50">
        <v>0.0</v>
      </c>
      <c r="W990" s="50">
        <v>0.0</v>
      </c>
      <c r="X990" s="50">
        <v>2.8125</v>
      </c>
      <c r="Y990" s="50">
        <v>5.625</v>
      </c>
    </row>
    <row r="991">
      <c r="A991" s="26">
        <v>985.0</v>
      </c>
      <c r="B991" s="65">
        <v>0.564434086632593</v>
      </c>
      <c r="C991" s="65">
        <v>-1.2569032872316914</v>
      </c>
      <c r="D991" s="65">
        <v>-0.019165874414883252</v>
      </c>
      <c r="E991" s="65">
        <v>1.2899188864416817</v>
      </c>
      <c r="F991" s="65">
        <v>4.426860240646667</v>
      </c>
      <c r="G991" s="50">
        <v>0.0</v>
      </c>
      <c r="H991" s="50">
        <v>0.0</v>
      </c>
      <c r="I991" s="50">
        <v>0.0</v>
      </c>
      <c r="J991" s="50">
        <v>0.0</v>
      </c>
      <c r="K991" s="50">
        <v>0.0</v>
      </c>
      <c r="L991" s="50">
        <v>0.0</v>
      </c>
      <c r="M991" s="50">
        <v>0.0</v>
      </c>
      <c r="N991" s="50">
        <v>0.0</v>
      </c>
      <c r="O991" s="50">
        <v>0.0</v>
      </c>
      <c r="P991" s="50">
        <v>0.0</v>
      </c>
      <c r="Q991" s="50">
        <v>0.0</v>
      </c>
      <c r="R991" s="50">
        <v>0.0</v>
      </c>
      <c r="S991" s="50">
        <v>0.0</v>
      </c>
      <c r="T991" s="50">
        <v>2.8125</v>
      </c>
      <c r="U991" s="50">
        <v>0.0</v>
      </c>
      <c r="V991" s="50">
        <v>0.0</v>
      </c>
      <c r="W991" s="50">
        <v>0.0</v>
      </c>
      <c r="X991" s="50">
        <v>2.8125</v>
      </c>
      <c r="Y991" s="50">
        <v>5.625</v>
      </c>
    </row>
    <row r="992">
      <c r="A992" s="26">
        <v>986.0</v>
      </c>
      <c r="B992" s="65">
        <v>0.8234738958162829</v>
      </c>
      <c r="C992" s="65">
        <v>1.0130572301338119</v>
      </c>
      <c r="D992" s="65">
        <v>-0.1804401673208996</v>
      </c>
      <c r="E992" s="65">
        <v>-0.8183502394954598</v>
      </c>
      <c r="F992" s="65">
        <v>3.730894384553647</v>
      </c>
      <c r="G992" s="50">
        <v>0.0</v>
      </c>
      <c r="H992" s="50">
        <v>0.0</v>
      </c>
      <c r="I992" s="50">
        <v>0.0</v>
      </c>
      <c r="J992" s="50">
        <v>0.0</v>
      </c>
      <c r="K992" s="50">
        <v>0.0</v>
      </c>
      <c r="L992" s="50">
        <v>0.0</v>
      </c>
      <c r="M992" s="50">
        <v>0.0</v>
      </c>
      <c r="N992" s="50">
        <v>0.0</v>
      </c>
      <c r="O992" s="50">
        <v>0.0</v>
      </c>
      <c r="P992" s="50">
        <v>0.0</v>
      </c>
      <c r="Q992" s="50">
        <v>0.0</v>
      </c>
      <c r="R992" s="50">
        <v>0.0</v>
      </c>
      <c r="S992" s="50">
        <v>0.0</v>
      </c>
      <c r="T992" s="50">
        <v>2.8125</v>
      </c>
      <c r="U992" s="50">
        <v>0.0</v>
      </c>
      <c r="V992" s="50">
        <v>0.0</v>
      </c>
      <c r="W992" s="50">
        <v>0.0</v>
      </c>
      <c r="X992" s="50">
        <v>2.8125</v>
      </c>
      <c r="Y992" s="50">
        <v>5.625</v>
      </c>
    </row>
    <row r="993">
      <c r="A993" s="26">
        <v>987.0</v>
      </c>
      <c r="B993" s="65">
        <v>-0.29128832979199487</v>
      </c>
      <c r="C993" s="65">
        <v>-0.19288740385192624</v>
      </c>
      <c r="D993" s="65">
        <v>1.8870138950185775</v>
      </c>
      <c r="E993" s="65">
        <v>1.146884090926101</v>
      </c>
      <c r="F993" s="65">
        <v>4.079710365342927</v>
      </c>
      <c r="G993" s="50">
        <v>0.0</v>
      </c>
      <c r="H993" s="50">
        <v>0.0</v>
      </c>
      <c r="I993" s="50">
        <v>0.0</v>
      </c>
      <c r="J993" s="50">
        <v>0.0</v>
      </c>
      <c r="K993" s="50">
        <v>0.0</v>
      </c>
      <c r="L993" s="50">
        <v>0.0</v>
      </c>
      <c r="M993" s="50">
        <v>0.0</v>
      </c>
      <c r="N993" s="50">
        <v>0.0</v>
      </c>
      <c r="O993" s="50">
        <v>0.0</v>
      </c>
      <c r="P993" s="50">
        <v>0.0</v>
      </c>
      <c r="Q993" s="50">
        <v>0.0</v>
      </c>
      <c r="R993" s="50">
        <v>0.0</v>
      </c>
      <c r="S993" s="50">
        <v>0.0</v>
      </c>
      <c r="T993" s="50">
        <v>2.8125</v>
      </c>
      <c r="U993" s="50">
        <v>0.0</v>
      </c>
      <c r="V993" s="50">
        <v>0.0</v>
      </c>
      <c r="W993" s="50">
        <v>0.0</v>
      </c>
      <c r="X993" s="50">
        <v>2.8125</v>
      </c>
      <c r="Y993" s="50">
        <v>5.625</v>
      </c>
    </row>
    <row r="994">
      <c r="A994" s="26">
        <v>988.0</v>
      </c>
      <c r="B994" s="65">
        <v>1.9494783979875243</v>
      </c>
      <c r="C994" s="65">
        <v>-2.134494757783192</v>
      </c>
      <c r="D994" s="65">
        <v>0.9084385328387485</v>
      </c>
      <c r="E994" s="65">
        <v>0.42758307134180107</v>
      </c>
      <c r="F994" s="65">
        <v>0.8400503510232292</v>
      </c>
      <c r="G994" s="50">
        <v>0.0</v>
      </c>
      <c r="H994" s="50">
        <v>0.0</v>
      </c>
      <c r="I994" s="50">
        <v>0.0</v>
      </c>
      <c r="J994" s="50">
        <v>0.0</v>
      </c>
      <c r="K994" s="50">
        <v>0.0</v>
      </c>
      <c r="L994" s="50">
        <v>0.0</v>
      </c>
      <c r="M994" s="50">
        <v>0.0</v>
      </c>
      <c r="N994" s="50">
        <v>0.0</v>
      </c>
      <c r="O994" s="50">
        <v>0.0</v>
      </c>
      <c r="P994" s="50">
        <v>0.0</v>
      </c>
      <c r="Q994" s="50">
        <v>0.0</v>
      </c>
      <c r="R994" s="50">
        <v>0.0</v>
      </c>
      <c r="S994" s="50">
        <v>0.0</v>
      </c>
      <c r="T994" s="50">
        <v>0.0</v>
      </c>
      <c r="U994" s="50">
        <v>0.0</v>
      </c>
      <c r="V994" s="50">
        <v>0.0</v>
      </c>
      <c r="W994" s="50">
        <v>0.0</v>
      </c>
      <c r="X994" s="50">
        <v>0.0</v>
      </c>
      <c r="Y994" s="50">
        <v>0.0</v>
      </c>
    </row>
    <row r="995">
      <c r="A995" s="26">
        <v>989.0</v>
      </c>
      <c r="B995" s="65">
        <v>1.162849977240719</v>
      </c>
      <c r="C995" s="65">
        <v>0.20256426622741056</v>
      </c>
      <c r="D995" s="65">
        <v>-0.32712588795394565</v>
      </c>
      <c r="E995" s="65">
        <v>1.1268695968793536</v>
      </c>
      <c r="F995" s="65">
        <v>4.73426153741714</v>
      </c>
      <c r="G995" s="50">
        <v>0.0</v>
      </c>
      <c r="H995" s="50">
        <v>0.0</v>
      </c>
      <c r="I995" s="50">
        <v>0.0</v>
      </c>
      <c r="J995" s="50">
        <v>0.0</v>
      </c>
      <c r="K995" s="50">
        <v>0.0</v>
      </c>
      <c r="L995" s="50">
        <v>0.0</v>
      </c>
      <c r="M995" s="50">
        <v>0.0</v>
      </c>
      <c r="N995" s="50">
        <v>0.0</v>
      </c>
      <c r="O995" s="50">
        <v>0.0</v>
      </c>
      <c r="P995" s="50">
        <v>0.0</v>
      </c>
      <c r="Q995" s="50">
        <v>0.0</v>
      </c>
      <c r="R995" s="50">
        <v>0.0</v>
      </c>
      <c r="S995" s="50">
        <v>0.0</v>
      </c>
      <c r="T995" s="50">
        <v>2.8125</v>
      </c>
      <c r="U995" s="50">
        <v>0.0</v>
      </c>
      <c r="V995" s="50">
        <v>0.0</v>
      </c>
      <c r="W995" s="50">
        <v>0.0</v>
      </c>
      <c r="X995" s="50">
        <v>2.8125</v>
      </c>
      <c r="Y995" s="50">
        <v>5.625</v>
      </c>
    </row>
    <row r="996">
      <c r="A996" s="26">
        <v>990.0</v>
      </c>
      <c r="B996" s="65">
        <v>-0.1000655208365694</v>
      </c>
      <c r="C996" s="65">
        <v>1.2812917903493761</v>
      </c>
      <c r="D996" s="65">
        <v>-0.9981110538080857</v>
      </c>
      <c r="E996" s="65">
        <v>-0.3042432761813107</v>
      </c>
      <c r="F996" s="65">
        <v>4.638852864584387</v>
      </c>
      <c r="G996" s="50">
        <v>0.0</v>
      </c>
      <c r="H996" s="50">
        <v>0.0</v>
      </c>
      <c r="I996" s="50">
        <v>0.0</v>
      </c>
      <c r="J996" s="50">
        <v>0.0</v>
      </c>
      <c r="K996" s="50">
        <v>0.0</v>
      </c>
      <c r="L996" s="50">
        <v>0.0</v>
      </c>
      <c r="M996" s="50">
        <v>0.0</v>
      </c>
      <c r="N996" s="50">
        <v>0.0</v>
      </c>
      <c r="O996" s="50">
        <v>0.0</v>
      </c>
      <c r="P996" s="50">
        <v>0.0</v>
      </c>
      <c r="Q996" s="50">
        <v>0.0</v>
      </c>
      <c r="R996" s="50">
        <v>9.9</v>
      </c>
      <c r="S996" s="50">
        <v>0.0</v>
      </c>
      <c r="T996" s="50">
        <v>2.8125</v>
      </c>
      <c r="U996" s="50">
        <v>0.0</v>
      </c>
      <c r="V996" s="50">
        <v>0.0</v>
      </c>
      <c r="W996" s="50">
        <v>0.0</v>
      </c>
      <c r="X996" s="50">
        <v>2.8125</v>
      </c>
      <c r="Y996" s="50">
        <v>15.525</v>
      </c>
    </row>
    <row r="997">
      <c r="A997" s="26">
        <v>991.0</v>
      </c>
      <c r="B997" s="65">
        <v>0.33973774461145256</v>
      </c>
      <c r="C997" s="65">
        <v>-0.8320008839151007</v>
      </c>
      <c r="D997" s="65">
        <v>0.9611075041050079</v>
      </c>
      <c r="E997" s="65">
        <v>-0.44360985634446676</v>
      </c>
      <c r="F997" s="65">
        <v>7.464607304061882</v>
      </c>
      <c r="G997" s="50">
        <v>0.0</v>
      </c>
      <c r="H997" s="50">
        <v>0.0</v>
      </c>
      <c r="I997" s="50">
        <v>0.0</v>
      </c>
      <c r="J997" s="50">
        <v>0.0</v>
      </c>
      <c r="K997" s="50">
        <v>0.0</v>
      </c>
      <c r="L997" s="50">
        <v>0.0</v>
      </c>
      <c r="M997" s="50">
        <v>0.0</v>
      </c>
      <c r="N997" s="50">
        <v>0.0</v>
      </c>
      <c r="O997" s="50">
        <v>0.0</v>
      </c>
      <c r="P997" s="50">
        <v>0.0</v>
      </c>
      <c r="Q997" s="50">
        <v>0.0</v>
      </c>
      <c r="R997" s="50">
        <v>0.0</v>
      </c>
      <c r="S997" s="50">
        <v>0.0</v>
      </c>
      <c r="T997" s="50">
        <v>2.8125</v>
      </c>
      <c r="U997" s="50">
        <v>0.0</v>
      </c>
      <c r="V997" s="50">
        <v>0.0</v>
      </c>
      <c r="W997" s="50">
        <v>0.0</v>
      </c>
      <c r="X997" s="50">
        <v>2.8125</v>
      </c>
      <c r="Y997" s="50">
        <v>5.625</v>
      </c>
    </row>
    <row r="998">
      <c r="A998" s="26">
        <v>992.0</v>
      </c>
      <c r="B998" s="65">
        <v>0.002295086937156456</v>
      </c>
      <c r="C998" s="65">
        <v>-0.8922445731159293</v>
      </c>
      <c r="D998" s="65">
        <v>-0.2942254527080872</v>
      </c>
      <c r="E998" s="65">
        <v>-0.31090230190095214</v>
      </c>
      <c r="F998" s="65">
        <v>4.616619316621497</v>
      </c>
      <c r="G998" s="50">
        <v>0.0</v>
      </c>
      <c r="H998" s="50">
        <v>0.0</v>
      </c>
      <c r="I998" s="50">
        <v>0.0</v>
      </c>
      <c r="J998" s="50">
        <v>0.0</v>
      </c>
      <c r="K998" s="50">
        <v>0.0</v>
      </c>
      <c r="L998" s="50">
        <v>0.0</v>
      </c>
      <c r="M998" s="50">
        <v>0.0</v>
      </c>
      <c r="N998" s="50">
        <v>0.0</v>
      </c>
      <c r="O998" s="50">
        <v>0.0</v>
      </c>
      <c r="P998" s="50">
        <v>0.0</v>
      </c>
      <c r="Q998" s="50">
        <v>0.0</v>
      </c>
      <c r="R998" s="50">
        <v>0.0</v>
      </c>
      <c r="S998" s="50">
        <v>0.0</v>
      </c>
      <c r="T998" s="50">
        <v>2.8125</v>
      </c>
      <c r="U998" s="50">
        <v>0.0</v>
      </c>
      <c r="V998" s="50">
        <v>0.0</v>
      </c>
      <c r="W998" s="50">
        <v>0.0</v>
      </c>
      <c r="X998" s="50">
        <v>2.8125</v>
      </c>
      <c r="Y998" s="50">
        <v>5.625</v>
      </c>
    </row>
    <row r="999">
      <c r="A999" s="26">
        <v>993.0</v>
      </c>
      <c r="B999" s="65">
        <v>0.8980987602569349</v>
      </c>
      <c r="C999" s="65">
        <v>-1.4657057769982182</v>
      </c>
      <c r="D999" s="65">
        <v>0.7882582680300759</v>
      </c>
      <c r="E999" s="65">
        <v>0.38267952470885164</v>
      </c>
      <c r="F999" s="65">
        <v>5.425703622423119</v>
      </c>
      <c r="G999" s="50">
        <v>0.0</v>
      </c>
      <c r="H999" s="50">
        <v>0.0</v>
      </c>
      <c r="I999" s="50">
        <v>0.0</v>
      </c>
      <c r="J999" s="50">
        <v>0.0</v>
      </c>
      <c r="K999" s="50">
        <v>0.0</v>
      </c>
      <c r="L999" s="50">
        <v>0.0</v>
      </c>
      <c r="M999" s="50">
        <v>0.0</v>
      </c>
      <c r="N999" s="50">
        <v>0.0</v>
      </c>
      <c r="O999" s="50">
        <v>0.0</v>
      </c>
      <c r="P999" s="50">
        <v>0.0</v>
      </c>
      <c r="Q999" s="50">
        <v>0.0</v>
      </c>
      <c r="R999" s="50">
        <v>0.0</v>
      </c>
      <c r="S999" s="50">
        <v>0.0</v>
      </c>
      <c r="T999" s="50">
        <v>2.8125</v>
      </c>
      <c r="U999" s="50">
        <v>0.0</v>
      </c>
      <c r="V999" s="50">
        <v>0.0</v>
      </c>
      <c r="W999" s="50">
        <v>0.0</v>
      </c>
      <c r="X999" s="50">
        <v>2.8125</v>
      </c>
      <c r="Y999" s="50">
        <v>5.625</v>
      </c>
    </row>
    <row r="1000">
      <c r="A1000" s="26">
        <v>994.0</v>
      </c>
      <c r="B1000" s="65">
        <v>1.5656587175078538</v>
      </c>
      <c r="C1000" s="65">
        <v>1.0354378901070793</v>
      </c>
      <c r="D1000" s="65">
        <v>0.5668037484906805</v>
      </c>
      <c r="E1000" s="65">
        <v>0.16176483498504823</v>
      </c>
      <c r="F1000" s="65">
        <v>3.5250956683566708</v>
      </c>
      <c r="G1000" s="50">
        <v>0.0</v>
      </c>
      <c r="H1000" s="50">
        <v>0.0</v>
      </c>
      <c r="I1000" s="50">
        <v>0.0</v>
      </c>
      <c r="J1000" s="50">
        <v>0.0</v>
      </c>
      <c r="K1000" s="50">
        <v>0.0</v>
      </c>
      <c r="L1000" s="50">
        <v>0.0</v>
      </c>
      <c r="M1000" s="50">
        <v>0.0</v>
      </c>
      <c r="N1000" s="50">
        <v>0.0</v>
      </c>
      <c r="O1000" s="50">
        <v>0.0</v>
      </c>
      <c r="P1000" s="50">
        <v>0.0</v>
      </c>
      <c r="Q1000" s="50">
        <v>0.0</v>
      </c>
      <c r="R1000" s="50">
        <v>0.0</v>
      </c>
      <c r="S1000" s="50">
        <v>0.0</v>
      </c>
      <c r="T1000" s="50">
        <v>2.8125</v>
      </c>
      <c r="U1000" s="50">
        <v>0.0</v>
      </c>
      <c r="V1000" s="50">
        <v>0.0</v>
      </c>
      <c r="W1000" s="50">
        <v>0.0</v>
      </c>
      <c r="X1000" s="50">
        <v>2.8125</v>
      </c>
      <c r="Y1000" s="50">
        <v>5.625</v>
      </c>
    </row>
    <row r="1001">
      <c r="A1001" s="26">
        <v>995.0</v>
      </c>
      <c r="B1001" s="65">
        <v>-0.1478370232728669</v>
      </c>
      <c r="C1001" s="65">
        <v>0.8115782459593066</v>
      </c>
      <c r="D1001" s="65">
        <v>0.23560133944865236</v>
      </c>
      <c r="E1001" s="65">
        <v>0.6601464898804845</v>
      </c>
      <c r="F1001" s="65">
        <v>5.73060078801244</v>
      </c>
      <c r="G1001" s="50">
        <v>0.0</v>
      </c>
      <c r="H1001" s="50">
        <v>0.0</v>
      </c>
      <c r="I1001" s="50">
        <v>0.0</v>
      </c>
      <c r="J1001" s="50">
        <v>0.0</v>
      </c>
      <c r="K1001" s="50">
        <v>0.0</v>
      </c>
      <c r="L1001" s="50">
        <v>0.0</v>
      </c>
      <c r="M1001" s="50">
        <v>0.0</v>
      </c>
      <c r="N1001" s="50">
        <v>0.0</v>
      </c>
      <c r="O1001" s="50">
        <v>0.0</v>
      </c>
      <c r="P1001" s="50">
        <v>0.0</v>
      </c>
      <c r="Q1001" s="50">
        <v>0.0</v>
      </c>
      <c r="R1001" s="50">
        <v>0.0</v>
      </c>
      <c r="S1001" s="50">
        <v>0.0</v>
      </c>
      <c r="T1001" s="50">
        <v>2.8125</v>
      </c>
      <c r="U1001" s="50">
        <v>0.0</v>
      </c>
      <c r="V1001" s="50">
        <v>0.0</v>
      </c>
      <c r="W1001" s="50">
        <v>0.0</v>
      </c>
      <c r="X1001" s="50">
        <v>2.8125</v>
      </c>
      <c r="Y1001" s="50">
        <v>5.625</v>
      </c>
    </row>
    <row r="1002">
      <c r="A1002" s="26">
        <v>996.0</v>
      </c>
      <c r="B1002" s="65">
        <v>0.21771077792771265</v>
      </c>
      <c r="C1002" s="65">
        <v>-0.5802799469424317</v>
      </c>
      <c r="D1002" s="65">
        <v>0.412889805305231</v>
      </c>
      <c r="E1002" s="65">
        <v>-0.18383411392620666</v>
      </c>
      <c r="F1002" s="65">
        <v>4.460044968295541</v>
      </c>
      <c r="G1002" s="50">
        <v>0.0</v>
      </c>
      <c r="H1002" s="50">
        <v>0.0</v>
      </c>
      <c r="I1002" s="50">
        <v>0.0</v>
      </c>
      <c r="J1002" s="50">
        <v>0.0</v>
      </c>
      <c r="K1002" s="50">
        <v>0.0</v>
      </c>
      <c r="L1002" s="50">
        <v>0.0</v>
      </c>
      <c r="M1002" s="50">
        <v>0.0</v>
      </c>
      <c r="N1002" s="50">
        <v>0.0</v>
      </c>
      <c r="O1002" s="50">
        <v>0.0</v>
      </c>
      <c r="P1002" s="50">
        <v>0.0</v>
      </c>
      <c r="Q1002" s="50">
        <v>0.0</v>
      </c>
      <c r="R1002" s="50">
        <v>0.0</v>
      </c>
      <c r="S1002" s="50">
        <v>0.0</v>
      </c>
      <c r="T1002" s="50">
        <v>2.8125</v>
      </c>
      <c r="U1002" s="50">
        <v>0.0</v>
      </c>
      <c r="V1002" s="50">
        <v>5.625</v>
      </c>
      <c r="W1002" s="50">
        <v>0.0</v>
      </c>
      <c r="X1002" s="50">
        <v>2.8125</v>
      </c>
      <c r="Y1002" s="50">
        <v>11.25</v>
      </c>
    </row>
    <row r="1003">
      <c r="A1003" s="26">
        <v>997.0</v>
      </c>
      <c r="B1003" s="65">
        <v>0.6511777551942517</v>
      </c>
      <c r="C1003" s="65">
        <v>0.9590378141532737</v>
      </c>
      <c r="D1003" s="65">
        <v>-1.6378747458306766</v>
      </c>
      <c r="E1003" s="65">
        <v>0.6707794909682916</v>
      </c>
      <c r="F1003" s="65">
        <v>3.5175196217764593</v>
      </c>
      <c r="G1003" s="50">
        <v>0.0</v>
      </c>
      <c r="H1003" s="50">
        <v>0.0</v>
      </c>
      <c r="I1003" s="50">
        <v>0.0</v>
      </c>
      <c r="J1003" s="50">
        <v>0.0</v>
      </c>
      <c r="K1003" s="50">
        <v>0.0</v>
      </c>
      <c r="L1003" s="50">
        <v>0.0</v>
      </c>
      <c r="M1003" s="50">
        <v>0.0</v>
      </c>
      <c r="N1003" s="50">
        <v>0.0</v>
      </c>
      <c r="O1003" s="50">
        <v>0.0</v>
      </c>
      <c r="P1003" s="50">
        <v>0.0</v>
      </c>
      <c r="Q1003" s="50">
        <v>0.0</v>
      </c>
      <c r="R1003" s="50">
        <v>0.0</v>
      </c>
      <c r="S1003" s="50">
        <v>0.0</v>
      </c>
      <c r="T1003" s="50">
        <v>2.8125</v>
      </c>
      <c r="U1003" s="50">
        <v>0.0</v>
      </c>
      <c r="V1003" s="50">
        <v>0.0</v>
      </c>
      <c r="W1003" s="50">
        <v>0.0</v>
      </c>
      <c r="X1003" s="50">
        <v>2.8125</v>
      </c>
      <c r="Y1003" s="50">
        <v>5.625</v>
      </c>
    </row>
    <row r="1004">
      <c r="A1004" s="26">
        <v>998.0</v>
      </c>
      <c r="B1004" s="65">
        <v>-0.6167496269058454</v>
      </c>
      <c r="C1004" s="65">
        <v>-0.7868380186892332</v>
      </c>
      <c r="D1004" s="65">
        <v>-0.016148516789772277</v>
      </c>
      <c r="E1004" s="65">
        <v>1.8118793289848354</v>
      </c>
      <c r="F1004" s="65">
        <v>2.0988206055804928</v>
      </c>
      <c r="G1004" s="50">
        <v>0.0</v>
      </c>
      <c r="H1004" s="50">
        <v>0.0</v>
      </c>
      <c r="I1004" s="50">
        <v>0.0</v>
      </c>
      <c r="J1004" s="50">
        <v>0.0</v>
      </c>
      <c r="K1004" s="50">
        <v>0.0</v>
      </c>
      <c r="L1004" s="50">
        <v>0.0</v>
      </c>
      <c r="M1004" s="50">
        <v>0.0</v>
      </c>
      <c r="N1004" s="50">
        <v>0.0</v>
      </c>
      <c r="O1004" s="50">
        <v>0.0</v>
      </c>
      <c r="P1004" s="50">
        <v>0.0</v>
      </c>
      <c r="Q1004" s="50">
        <v>0.0</v>
      </c>
      <c r="R1004" s="50">
        <v>0.0</v>
      </c>
      <c r="S1004" s="50">
        <v>0.0</v>
      </c>
      <c r="T1004" s="50">
        <v>2.8125</v>
      </c>
      <c r="U1004" s="50">
        <v>0.0</v>
      </c>
      <c r="V1004" s="50">
        <v>0.0</v>
      </c>
      <c r="W1004" s="50">
        <v>0.0</v>
      </c>
      <c r="X1004" s="50">
        <v>2.8125</v>
      </c>
      <c r="Y1004" s="50">
        <v>5.625</v>
      </c>
    </row>
    <row r="1005">
      <c r="A1005" s="26">
        <v>999.0</v>
      </c>
      <c r="B1005" s="65">
        <v>-1.5299977072398507</v>
      </c>
      <c r="C1005" s="65">
        <v>-0.05398308941970647</v>
      </c>
      <c r="D1005" s="65">
        <v>-0.533777389048012</v>
      </c>
      <c r="E1005" s="65">
        <v>-1.0355195048820183</v>
      </c>
      <c r="F1005" s="65">
        <v>3.390855372991679</v>
      </c>
      <c r="G1005" s="50">
        <v>0.0</v>
      </c>
      <c r="H1005" s="50">
        <v>0.0</v>
      </c>
      <c r="I1005" s="50">
        <v>0.0</v>
      </c>
      <c r="J1005" s="50">
        <v>0.0</v>
      </c>
      <c r="K1005" s="50">
        <v>0.0</v>
      </c>
      <c r="L1005" s="50">
        <v>0.0</v>
      </c>
      <c r="M1005" s="50">
        <v>0.0</v>
      </c>
      <c r="N1005" s="50">
        <v>0.0</v>
      </c>
      <c r="O1005" s="50">
        <v>0.0</v>
      </c>
      <c r="P1005" s="50">
        <v>0.0</v>
      </c>
      <c r="Q1005" s="50">
        <v>0.0</v>
      </c>
      <c r="R1005" s="50">
        <v>9.9</v>
      </c>
      <c r="S1005" s="50">
        <v>0.0</v>
      </c>
      <c r="T1005" s="50">
        <v>2.8125</v>
      </c>
      <c r="U1005" s="50">
        <v>0.0</v>
      </c>
      <c r="V1005" s="50">
        <v>5.625</v>
      </c>
      <c r="W1005" s="50">
        <v>4.95</v>
      </c>
      <c r="X1005" s="50">
        <v>2.8125</v>
      </c>
      <c r="Y1005" s="50">
        <v>26.099999999999998</v>
      </c>
    </row>
    <row r="1006">
      <c r="A1006" s="26">
        <v>1000.0</v>
      </c>
      <c r="B1006" s="65">
        <v>-0.07285453228359064</v>
      </c>
      <c r="C1006" s="65">
        <v>-1.5788986379429237</v>
      </c>
      <c r="D1006" s="65">
        <v>0.4388344124430811</v>
      </c>
      <c r="E1006" s="65">
        <v>1.6788564489841706</v>
      </c>
      <c r="F1006" s="65">
        <v>1.7196138252031343</v>
      </c>
      <c r="G1006" s="50">
        <v>0.0</v>
      </c>
      <c r="H1006" s="50">
        <v>0.0</v>
      </c>
      <c r="I1006" s="50">
        <v>0.0</v>
      </c>
      <c r="J1006" s="50">
        <v>0.0</v>
      </c>
      <c r="K1006" s="50">
        <v>0.0</v>
      </c>
      <c r="L1006" s="50">
        <v>0.0</v>
      </c>
      <c r="M1006" s="50">
        <v>0.0</v>
      </c>
      <c r="N1006" s="50">
        <v>0.0</v>
      </c>
      <c r="O1006" s="50">
        <v>0.0</v>
      </c>
      <c r="P1006" s="50">
        <v>0.0</v>
      </c>
      <c r="Q1006" s="50">
        <v>0.0</v>
      </c>
      <c r="R1006" s="50">
        <v>0.0</v>
      </c>
      <c r="S1006" s="50">
        <v>0.0</v>
      </c>
      <c r="T1006" s="50">
        <v>2.8125</v>
      </c>
      <c r="U1006" s="50">
        <v>0.0</v>
      </c>
      <c r="V1006" s="50">
        <v>0.0</v>
      </c>
      <c r="W1006" s="50">
        <v>0.0</v>
      </c>
      <c r="X1006" s="50">
        <v>2.8125</v>
      </c>
      <c r="Y1006" s="50">
        <v>5.625</v>
      </c>
    </row>
    <row r="1007">
      <c r="A1007" s="26">
        <v>1001.0</v>
      </c>
      <c r="B1007" s="65">
        <v>-1.7604334220321602</v>
      </c>
      <c r="C1007" s="65">
        <v>-0.8681723902006259</v>
      </c>
      <c r="D1007" s="65">
        <v>-0.06438802357609859</v>
      </c>
      <c r="E1007" s="65">
        <v>-0.45243658523557967</v>
      </c>
      <c r="F1007" s="65">
        <v>5.701102089450994</v>
      </c>
      <c r="G1007" s="50">
        <v>0.0</v>
      </c>
      <c r="H1007" s="50">
        <v>0.0</v>
      </c>
      <c r="I1007" s="50">
        <v>0.0</v>
      </c>
      <c r="J1007" s="50">
        <v>0.0</v>
      </c>
      <c r="K1007" s="50">
        <v>0.0</v>
      </c>
      <c r="L1007" s="50">
        <v>0.0</v>
      </c>
      <c r="M1007" s="50">
        <v>0.0</v>
      </c>
      <c r="N1007" s="50">
        <v>0.0</v>
      </c>
      <c r="O1007" s="50">
        <v>0.0</v>
      </c>
      <c r="P1007" s="50">
        <v>0.0</v>
      </c>
      <c r="Q1007" s="50">
        <v>0.0</v>
      </c>
      <c r="R1007" s="50">
        <v>9.9</v>
      </c>
      <c r="S1007" s="50">
        <v>0.0</v>
      </c>
      <c r="T1007" s="50">
        <v>2.8125</v>
      </c>
      <c r="U1007" s="50">
        <v>0.0</v>
      </c>
      <c r="V1007" s="50">
        <v>5.625</v>
      </c>
      <c r="W1007" s="50">
        <v>4.95</v>
      </c>
      <c r="X1007" s="50">
        <v>2.8125</v>
      </c>
      <c r="Y1007" s="50">
        <v>26.099999999999998</v>
      </c>
    </row>
    <row r="1008">
      <c r="A1008" s="26">
        <v>1002.0</v>
      </c>
      <c r="B1008" s="65">
        <v>0.4874207768076891</v>
      </c>
      <c r="C1008" s="65">
        <v>-0.25579076544306945</v>
      </c>
      <c r="D1008" s="65">
        <v>1.03858557973269</v>
      </c>
      <c r="E1008" s="65">
        <v>0.542757931163457</v>
      </c>
      <c r="F1008" s="65">
        <v>1.7470273663550588</v>
      </c>
      <c r="G1008" s="50">
        <v>0.0</v>
      </c>
      <c r="H1008" s="50">
        <v>0.0</v>
      </c>
      <c r="I1008" s="50">
        <v>0.0</v>
      </c>
      <c r="J1008" s="50">
        <v>0.0</v>
      </c>
      <c r="K1008" s="50">
        <v>0.0</v>
      </c>
      <c r="L1008" s="50">
        <v>0.0</v>
      </c>
      <c r="M1008" s="50">
        <v>0.0</v>
      </c>
      <c r="N1008" s="50">
        <v>0.0</v>
      </c>
      <c r="O1008" s="50">
        <v>0.0</v>
      </c>
      <c r="P1008" s="50">
        <v>0.0</v>
      </c>
      <c r="Q1008" s="50">
        <v>0.0</v>
      </c>
      <c r="R1008" s="50">
        <v>9.9</v>
      </c>
      <c r="S1008" s="50">
        <v>0.0</v>
      </c>
      <c r="T1008" s="50">
        <v>2.8125</v>
      </c>
      <c r="U1008" s="50">
        <v>0.0</v>
      </c>
      <c r="V1008" s="50">
        <v>0.0</v>
      </c>
      <c r="W1008" s="50">
        <v>0.0</v>
      </c>
      <c r="X1008" s="50">
        <v>2.8125</v>
      </c>
      <c r="Y1008" s="50">
        <v>15.525</v>
      </c>
    </row>
    <row r="1009">
      <c r="A1009" s="26">
        <v>1003.0</v>
      </c>
      <c r="B1009" s="65">
        <v>0.24373480411340265</v>
      </c>
      <c r="C1009" s="65">
        <v>0.36276006902738717</v>
      </c>
      <c r="D1009" s="65">
        <v>-1.0914357750179058</v>
      </c>
      <c r="E1009" s="65">
        <v>0.6377550885992807</v>
      </c>
      <c r="F1009" s="65">
        <v>9.745947768810792</v>
      </c>
      <c r="G1009" s="50">
        <v>0.0</v>
      </c>
      <c r="H1009" s="50">
        <v>0.0</v>
      </c>
      <c r="I1009" s="50">
        <v>0.0</v>
      </c>
      <c r="J1009" s="50">
        <v>0.0</v>
      </c>
      <c r="K1009" s="50">
        <v>0.0</v>
      </c>
      <c r="L1009" s="50">
        <v>0.0</v>
      </c>
      <c r="M1009" s="50">
        <v>0.0</v>
      </c>
      <c r="N1009" s="50">
        <v>0.0</v>
      </c>
      <c r="O1009" s="50">
        <v>0.0</v>
      </c>
      <c r="P1009" s="50">
        <v>0.0</v>
      </c>
      <c r="Q1009" s="50">
        <v>0.0</v>
      </c>
      <c r="R1009" s="50">
        <v>0.0</v>
      </c>
      <c r="S1009" s="50">
        <v>0.0</v>
      </c>
      <c r="T1009" s="50">
        <v>2.8125</v>
      </c>
      <c r="U1009" s="50">
        <v>0.0</v>
      </c>
      <c r="V1009" s="50">
        <v>5.625</v>
      </c>
      <c r="W1009" s="50">
        <v>0.0</v>
      </c>
      <c r="X1009" s="50">
        <v>2.8125</v>
      </c>
      <c r="Y1009" s="50">
        <v>11.25</v>
      </c>
    </row>
    <row r="1010">
      <c r="A1010" s="26">
        <v>1004.0</v>
      </c>
      <c r="B1010" s="65">
        <v>-0.6190317101931908</v>
      </c>
      <c r="C1010" s="65">
        <v>0.029689286863090036</v>
      </c>
      <c r="D1010" s="65">
        <v>0.4414420968425137</v>
      </c>
      <c r="E1010" s="65">
        <v>-0.4167800406812618</v>
      </c>
      <c r="F1010" s="65">
        <v>1.8699209275220425</v>
      </c>
      <c r="G1010" s="50">
        <v>0.0</v>
      </c>
      <c r="H1010" s="50">
        <v>0.0</v>
      </c>
      <c r="I1010" s="50">
        <v>0.0</v>
      </c>
      <c r="J1010" s="50">
        <v>0.0</v>
      </c>
      <c r="K1010" s="50">
        <v>0.0</v>
      </c>
      <c r="L1010" s="50">
        <v>0.0</v>
      </c>
      <c r="M1010" s="50">
        <v>0.0</v>
      </c>
      <c r="N1010" s="50">
        <v>0.0</v>
      </c>
      <c r="O1010" s="50">
        <v>0.0</v>
      </c>
      <c r="P1010" s="50">
        <v>0.0</v>
      </c>
      <c r="Q1010" s="50">
        <v>0.0</v>
      </c>
      <c r="R1010" s="50">
        <v>0.0</v>
      </c>
      <c r="S1010" s="50">
        <v>0.0</v>
      </c>
      <c r="T1010" s="50">
        <v>2.8125</v>
      </c>
      <c r="U1010" s="50">
        <v>0.0</v>
      </c>
      <c r="V1010" s="50">
        <v>5.625</v>
      </c>
      <c r="W1010" s="50">
        <v>0.0</v>
      </c>
      <c r="X1010" s="50">
        <v>2.8125</v>
      </c>
      <c r="Y1010" s="50">
        <v>11.25</v>
      </c>
    </row>
    <row r="1011">
      <c r="A1011" s="26">
        <v>1005.0</v>
      </c>
      <c r="B1011" s="65">
        <v>1.486315224653841</v>
      </c>
      <c r="C1011" s="65">
        <v>-1.4121033574541357</v>
      </c>
      <c r="D1011" s="65">
        <v>-1.1406730399789986</v>
      </c>
      <c r="E1011" s="65">
        <v>0.325447765245851</v>
      </c>
      <c r="F1011" s="65">
        <v>8.53335053572488</v>
      </c>
      <c r="G1011" s="50">
        <v>0.0</v>
      </c>
      <c r="H1011" s="50">
        <v>0.0</v>
      </c>
      <c r="I1011" s="50">
        <v>0.0</v>
      </c>
      <c r="J1011" s="50">
        <v>0.0</v>
      </c>
      <c r="K1011" s="50">
        <v>0.0</v>
      </c>
      <c r="L1011" s="50">
        <v>0.0</v>
      </c>
      <c r="M1011" s="50">
        <v>0.0</v>
      </c>
      <c r="N1011" s="50">
        <v>0.0</v>
      </c>
      <c r="O1011" s="50">
        <v>0.0</v>
      </c>
      <c r="P1011" s="50">
        <v>0.0</v>
      </c>
      <c r="Q1011" s="50">
        <v>0.0</v>
      </c>
      <c r="R1011" s="50">
        <v>0.0</v>
      </c>
      <c r="S1011" s="50">
        <v>0.0</v>
      </c>
      <c r="T1011" s="50">
        <v>2.8125</v>
      </c>
      <c r="U1011" s="50">
        <v>0.0</v>
      </c>
      <c r="V1011" s="50">
        <v>0.0</v>
      </c>
      <c r="W1011" s="50">
        <v>0.0</v>
      </c>
      <c r="X1011" s="50">
        <v>2.8125</v>
      </c>
      <c r="Y1011" s="50">
        <v>5.625</v>
      </c>
    </row>
    <row r="1012">
      <c r="A1012" s="26">
        <v>1006.0</v>
      </c>
      <c r="B1012" s="65">
        <v>0.307538611971319</v>
      </c>
      <c r="C1012" s="65">
        <v>1.4801133312927663</v>
      </c>
      <c r="D1012" s="65">
        <v>0.7763369024631274</v>
      </c>
      <c r="E1012" s="65">
        <v>-0.8416622165596903</v>
      </c>
      <c r="F1012" s="65">
        <v>6.6837387920838935</v>
      </c>
      <c r="G1012" s="50">
        <v>0.0</v>
      </c>
      <c r="H1012" s="50">
        <v>0.0</v>
      </c>
      <c r="I1012" s="50">
        <v>0.0</v>
      </c>
      <c r="J1012" s="50">
        <v>0.0</v>
      </c>
      <c r="K1012" s="50">
        <v>0.0</v>
      </c>
      <c r="L1012" s="50">
        <v>0.0</v>
      </c>
      <c r="M1012" s="50">
        <v>0.0</v>
      </c>
      <c r="N1012" s="50">
        <v>0.0</v>
      </c>
      <c r="O1012" s="50">
        <v>0.0</v>
      </c>
      <c r="P1012" s="50">
        <v>0.0</v>
      </c>
      <c r="Q1012" s="50">
        <v>0.0</v>
      </c>
      <c r="R1012" s="50">
        <v>0.0</v>
      </c>
      <c r="S1012" s="50">
        <v>0.0</v>
      </c>
      <c r="T1012" s="50">
        <v>2.8125</v>
      </c>
      <c r="U1012" s="50">
        <v>0.0</v>
      </c>
      <c r="V1012" s="50">
        <v>0.0</v>
      </c>
      <c r="W1012" s="50">
        <v>0.0</v>
      </c>
      <c r="X1012" s="50">
        <v>2.8125</v>
      </c>
      <c r="Y1012" s="50">
        <v>5.625</v>
      </c>
    </row>
    <row r="1013">
      <c r="A1013" s="26">
        <v>1007.0</v>
      </c>
      <c r="B1013" s="65">
        <v>0.19431012408955442</v>
      </c>
      <c r="C1013" s="65">
        <v>-0.2560101176648837</v>
      </c>
      <c r="D1013" s="65">
        <v>0.4704710763749588</v>
      </c>
      <c r="E1013" s="65">
        <v>0.4680401913318124</v>
      </c>
      <c r="F1013" s="65">
        <v>2.9655706062191163</v>
      </c>
      <c r="G1013" s="50">
        <v>0.0</v>
      </c>
      <c r="H1013" s="50">
        <v>0.0</v>
      </c>
      <c r="I1013" s="50">
        <v>0.0</v>
      </c>
      <c r="J1013" s="50">
        <v>0.0</v>
      </c>
      <c r="K1013" s="50">
        <v>0.0</v>
      </c>
      <c r="L1013" s="50">
        <v>0.0</v>
      </c>
      <c r="M1013" s="50">
        <v>0.0</v>
      </c>
      <c r="N1013" s="50">
        <v>0.0</v>
      </c>
      <c r="O1013" s="50">
        <v>0.0</v>
      </c>
      <c r="P1013" s="50">
        <v>0.0</v>
      </c>
      <c r="Q1013" s="50">
        <v>0.0</v>
      </c>
      <c r="R1013" s="50">
        <v>0.0</v>
      </c>
      <c r="S1013" s="50">
        <v>0.0</v>
      </c>
      <c r="T1013" s="50">
        <v>2.8125</v>
      </c>
      <c r="U1013" s="50">
        <v>0.0</v>
      </c>
      <c r="V1013" s="50">
        <v>5.625</v>
      </c>
      <c r="W1013" s="50">
        <v>0.0</v>
      </c>
      <c r="X1013" s="50">
        <v>2.8125</v>
      </c>
      <c r="Y1013" s="50">
        <v>11.25</v>
      </c>
    </row>
    <row r="1014">
      <c r="A1014" s="26">
        <v>1008.0</v>
      </c>
      <c r="B1014" s="65">
        <v>-0.5282219851305725</v>
      </c>
      <c r="C1014" s="65">
        <v>1.1470237242091028</v>
      </c>
      <c r="D1014" s="65">
        <v>-0.7162003501010006</v>
      </c>
      <c r="E1014" s="65">
        <v>0.021296213949362007</v>
      </c>
      <c r="F1014" s="65">
        <v>2.685541655869726</v>
      </c>
      <c r="G1014" s="50">
        <v>0.0</v>
      </c>
      <c r="H1014" s="50">
        <v>0.0</v>
      </c>
      <c r="I1014" s="50">
        <v>0.0</v>
      </c>
      <c r="J1014" s="50">
        <v>0.0</v>
      </c>
      <c r="K1014" s="50">
        <v>0.0</v>
      </c>
      <c r="L1014" s="50">
        <v>0.0</v>
      </c>
      <c r="M1014" s="50">
        <v>0.0</v>
      </c>
      <c r="N1014" s="50">
        <v>0.0</v>
      </c>
      <c r="O1014" s="50">
        <v>0.0</v>
      </c>
      <c r="P1014" s="50">
        <v>2.475</v>
      </c>
      <c r="Q1014" s="50">
        <v>0.0</v>
      </c>
      <c r="R1014" s="50">
        <v>9.9</v>
      </c>
      <c r="S1014" s="50">
        <v>0.0</v>
      </c>
      <c r="T1014" s="50">
        <v>2.8125</v>
      </c>
      <c r="U1014" s="50">
        <v>0.0</v>
      </c>
      <c r="V1014" s="50">
        <v>5.625</v>
      </c>
      <c r="W1014" s="50">
        <v>0.0</v>
      </c>
      <c r="X1014" s="50">
        <v>2.8125</v>
      </c>
      <c r="Y1014" s="50">
        <v>23.625</v>
      </c>
    </row>
    <row r="1015">
      <c r="A1015" s="26">
        <v>1009.0</v>
      </c>
      <c r="B1015" s="65">
        <v>-1.7260988914935924</v>
      </c>
      <c r="C1015" s="65">
        <v>-0.4938929597796051</v>
      </c>
      <c r="D1015" s="65">
        <v>-2.0380469672541546</v>
      </c>
      <c r="E1015" s="65">
        <v>-0.48255774849215405</v>
      </c>
      <c r="F1015" s="65">
        <v>9.615269626377358</v>
      </c>
      <c r="G1015" s="50">
        <v>0.0</v>
      </c>
      <c r="H1015" s="50">
        <v>0.0</v>
      </c>
      <c r="I1015" s="50">
        <v>0.0</v>
      </c>
      <c r="J1015" s="50">
        <v>0.0</v>
      </c>
      <c r="K1015" s="50">
        <v>0.0</v>
      </c>
      <c r="L1015" s="50">
        <v>0.0</v>
      </c>
      <c r="M1015" s="50">
        <v>0.0</v>
      </c>
      <c r="N1015" s="50">
        <v>0.0</v>
      </c>
      <c r="O1015" s="50">
        <v>0.0</v>
      </c>
      <c r="P1015" s="50">
        <v>0.0</v>
      </c>
      <c r="Q1015" s="50">
        <v>0.0</v>
      </c>
      <c r="R1015" s="50">
        <v>9.9</v>
      </c>
      <c r="S1015" s="50">
        <v>0.0</v>
      </c>
      <c r="T1015" s="50">
        <v>2.8125</v>
      </c>
      <c r="U1015" s="50">
        <v>0.0</v>
      </c>
      <c r="V1015" s="50">
        <v>5.625</v>
      </c>
      <c r="W1015" s="50">
        <v>4.95</v>
      </c>
      <c r="X1015" s="50">
        <v>2.8125</v>
      </c>
      <c r="Y1015" s="50">
        <v>26.099999999999998</v>
      </c>
    </row>
    <row r="1016">
      <c r="A1016" s="26">
        <v>1010.0</v>
      </c>
      <c r="B1016" s="65">
        <v>-0.27772339552024145</v>
      </c>
      <c r="C1016" s="65">
        <v>0.08069841771904329</v>
      </c>
      <c r="D1016" s="65">
        <v>1.0199689335042676</v>
      </c>
      <c r="E1016" s="65">
        <v>-1.973333198333371</v>
      </c>
      <c r="F1016" s="65">
        <v>1.403534493154612</v>
      </c>
      <c r="G1016" s="50">
        <v>0.0</v>
      </c>
      <c r="H1016" s="50">
        <v>0.0</v>
      </c>
      <c r="I1016" s="50">
        <v>0.0</v>
      </c>
      <c r="J1016" s="50">
        <v>0.0</v>
      </c>
      <c r="K1016" s="50">
        <v>0.0</v>
      </c>
      <c r="L1016" s="50">
        <v>0.0</v>
      </c>
      <c r="M1016" s="50">
        <v>0.0</v>
      </c>
      <c r="N1016" s="50">
        <v>0.0</v>
      </c>
      <c r="O1016" s="50">
        <v>0.0</v>
      </c>
      <c r="P1016" s="50">
        <v>0.0</v>
      </c>
      <c r="Q1016" s="50">
        <v>0.0</v>
      </c>
      <c r="R1016" s="50">
        <v>0.0</v>
      </c>
      <c r="S1016" s="50">
        <v>0.0</v>
      </c>
      <c r="T1016" s="50">
        <v>2.8125</v>
      </c>
      <c r="U1016" s="50">
        <v>0.0</v>
      </c>
      <c r="V1016" s="50">
        <v>5.625</v>
      </c>
      <c r="W1016" s="50">
        <v>4.95</v>
      </c>
      <c r="X1016" s="50">
        <v>2.8125</v>
      </c>
      <c r="Y1016" s="50">
        <v>16.2</v>
      </c>
    </row>
    <row r="1017">
      <c r="A1017" s="26">
        <v>1011.0</v>
      </c>
      <c r="B1017" s="65">
        <v>1.0139669711568844</v>
      </c>
      <c r="C1017" s="65">
        <v>1.515715543456809</v>
      </c>
      <c r="D1017" s="65">
        <v>-0.9965684706720174</v>
      </c>
      <c r="E1017" s="65">
        <v>0.8380054836169137</v>
      </c>
      <c r="F1017" s="65">
        <v>11.833982237505792</v>
      </c>
      <c r="G1017" s="50">
        <v>0.0</v>
      </c>
      <c r="H1017" s="50">
        <v>0.0</v>
      </c>
      <c r="I1017" s="50">
        <v>0.0</v>
      </c>
      <c r="J1017" s="50">
        <v>0.0</v>
      </c>
      <c r="K1017" s="50">
        <v>0.0</v>
      </c>
      <c r="L1017" s="50">
        <v>0.0</v>
      </c>
      <c r="M1017" s="50">
        <v>0.0</v>
      </c>
      <c r="N1017" s="50">
        <v>0.0</v>
      </c>
      <c r="O1017" s="50">
        <v>0.0</v>
      </c>
      <c r="P1017" s="50">
        <v>0.0</v>
      </c>
      <c r="Q1017" s="50">
        <v>0.0</v>
      </c>
      <c r="R1017" s="50">
        <v>0.0</v>
      </c>
      <c r="S1017" s="50">
        <v>0.0</v>
      </c>
      <c r="T1017" s="50">
        <v>2.8125</v>
      </c>
      <c r="U1017" s="50">
        <v>0.0</v>
      </c>
      <c r="V1017" s="50">
        <v>0.0</v>
      </c>
      <c r="W1017" s="50">
        <v>0.0</v>
      </c>
      <c r="X1017" s="50">
        <v>2.8125</v>
      </c>
      <c r="Y1017" s="50">
        <v>5.625</v>
      </c>
    </row>
    <row r="1018">
      <c r="A1018" s="26">
        <v>1012.0</v>
      </c>
      <c r="B1018" s="65">
        <v>0.19236060260957089</v>
      </c>
      <c r="C1018" s="65">
        <v>-0.3797387996388296</v>
      </c>
      <c r="D1018" s="65">
        <v>-0.2621047960815965</v>
      </c>
      <c r="E1018" s="65">
        <v>0.41402752762235345</v>
      </c>
      <c r="F1018" s="65">
        <v>4.4601855810605855</v>
      </c>
      <c r="G1018" s="50">
        <v>0.0</v>
      </c>
      <c r="H1018" s="50">
        <v>0.0</v>
      </c>
      <c r="I1018" s="50">
        <v>0.0</v>
      </c>
      <c r="J1018" s="50">
        <v>0.0</v>
      </c>
      <c r="K1018" s="50">
        <v>0.0</v>
      </c>
      <c r="L1018" s="50">
        <v>0.0</v>
      </c>
      <c r="M1018" s="50">
        <v>0.0</v>
      </c>
      <c r="N1018" s="50">
        <v>0.0</v>
      </c>
      <c r="O1018" s="50">
        <v>0.0</v>
      </c>
      <c r="P1018" s="50">
        <v>0.0</v>
      </c>
      <c r="Q1018" s="50">
        <v>0.0</v>
      </c>
      <c r="R1018" s="50">
        <v>0.0</v>
      </c>
      <c r="S1018" s="50">
        <v>0.0</v>
      </c>
      <c r="T1018" s="50">
        <v>2.8125</v>
      </c>
      <c r="U1018" s="50">
        <v>0.0</v>
      </c>
      <c r="V1018" s="50">
        <v>0.0</v>
      </c>
      <c r="W1018" s="50">
        <v>0.0</v>
      </c>
      <c r="X1018" s="50">
        <v>2.8125</v>
      </c>
      <c r="Y1018" s="50">
        <v>5.625</v>
      </c>
    </row>
    <row r="1019">
      <c r="A1019" s="26">
        <v>1013.0</v>
      </c>
      <c r="B1019" s="65">
        <v>-0.7235575529271004</v>
      </c>
      <c r="C1019" s="65">
        <v>-0.8032513808626972</v>
      </c>
      <c r="D1019" s="65">
        <v>-0.7981856632074779</v>
      </c>
      <c r="E1019" s="65">
        <v>1.41894823100736</v>
      </c>
      <c r="F1019" s="65">
        <v>2.9242393129246835</v>
      </c>
      <c r="G1019" s="50">
        <v>0.0</v>
      </c>
      <c r="H1019" s="50">
        <v>0.0</v>
      </c>
      <c r="I1019" s="50">
        <v>0.0</v>
      </c>
      <c r="J1019" s="50">
        <v>0.0</v>
      </c>
      <c r="K1019" s="50">
        <v>0.0</v>
      </c>
      <c r="L1019" s="50">
        <v>0.0</v>
      </c>
      <c r="M1019" s="50">
        <v>0.0</v>
      </c>
      <c r="N1019" s="50">
        <v>0.0</v>
      </c>
      <c r="O1019" s="50">
        <v>0.0</v>
      </c>
      <c r="P1019" s="50">
        <v>0.0</v>
      </c>
      <c r="Q1019" s="50">
        <v>0.0</v>
      </c>
      <c r="R1019" s="50">
        <v>9.9</v>
      </c>
      <c r="S1019" s="50">
        <v>0.0</v>
      </c>
      <c r="T1019" s="50">
        <v>2.8125</v>
      </c>
      <c r="U1019" s="50">
        <v>0.0</v>
      </c>
      <c r="V1019" s="50">
        <v>5.625</v>
      </c>
      <c r="W1019" s="50">
        <v>0.0</v>
      </c>
      <c r="X1019" s="50">
        <v>2.8125</v>
      </c>
      <c r="Y1019" s="50">
        <v>21.15</v>
      </c>
    </row>
    <row r="1020">
      <c r="A1020" s="26">
        <v>1014.0</v>
      </c>
      <c r="B1020" s="65">
        <v>-1.3383446959200884</v>
      </c>
      <c r="C1020" s="65">
        <v>0.5946094226571496</v>
      </c>
      <c r="D1020" s="65">
        <v>0.24598486621590177</v>
      </c>
      <c r="E1020" s="65">
        <v>0.3081129448412978</v>
      </c>
      <c r="F1020" s="65">
        <v>2.7775118806499575</v>
      </c>
      <c r="G1020" s="50">
        <v>0.0</v>
      </c>
      <c r="H1020" s="50">
        <v>0.0</v>
      </c>
      <c r="I1020" s="50">
        <v>0.0</v>
      </c>
      <c r="J1020" s="50">
        <v>0.0</v>
      </c>
      <c r="K1020" s="50">
        <v>0.0</v>
      </c>
      <c r="L1020" s="50">
        <v>0.0</v>
      </c>
      <c r="M1020" s="50">
        <v>0.0</v>
      </c>
      <c r="N1020" s="50">
        <v>0.0</v>
      </c>
      <c r="O1020" s="50">
        <v>0.0</v>
      </c>
      <c r="P1020" s="50">
        <v>0.0</v>
      </c>
      <c r="Q1020" s="50">
        <v>0.0</v>
      </c>
      <c r="R1020" s="50">
        <v>9.9</v>
      </c>
      <c r="S1020" s="50">
        <v>0.0</v>
      </c>
      <c r="T1020" s="50">
        <v>2.8125</v>
      </c>
      <c r="U1020" s="50">
        <v>0.0</v>
      </c>
      <c r="V1020" s="50">
        <v>5.625</v>
      </c>
      <c r="W1020" s="50">
        <v>0.0</v>
      </c>
      <c r="X1020" s="50">
        <v>2.8125</v>
      </c>
      <c r="Y1020" s="50">
        <v>21.15</v>
      </c>
    </row>
    <row r="1021">
      <c r="A1021" s="26">
        <v>1015.0</v>
      </c>
      <c r="B1021" s="65">
        <v>-0.9860562358061339</v>
      </c>
      <c r="C1021" s="65">
        <v>0.22087993051532745</v>
      </c>
      <c r="D1021" s="65">
        <v>0.4303633412591435</v>
      </c>
      <c r="E1021" s="65">
        <v>0.39754656283521217</v>
      </c>
      <c r="F1021" s="65">
        <v>3.715335941098695</v>
      </c>
      <c r="G1021" s="50">
        <v>0.0</v>
      </c>
      <c r="H1021" s="50">
        <v>0.0</v>
      </c>
      <c r="I1021" s="50">
        <v>0.0</v>
      </c>
      <c r="J1021" s="50">
        <v>0.0</v>
      </c>
      <c r="K1021" s="50">
        <v>0.0</v>
      </c>
      <c r="L1021" s="50">
        <v>0.0</v>
      </c>
      <c r="M1021" s="50">
        <v>0.0</v>
      </c>
      <c r="N1021" s="50">
        <v>0.0</v>
      </c>
      <c r="O1021" s="50">
        <v>0.0</v>
      </c>
      <c r="P1021" s="50">
        <v>0.0</v>
      </c>
      <c r="Q1021" s="50">
        <v>0.0</v>
      </c>
      <c r="R1021" s="50">
        <v>0.0</v>
      </c>
      <c r="S1021" s="50">
        <v>0.0</v>
      </c>
      <c r="T1021" s="50">
        <v>2.8125</v>
      </c>
      <c r="U1021" s="50">
        <v>9.9</v>
      </c>
      <c r="V1021" s="50">
        <v>0.0</v>
      </c>
      <c r="W1021" s="50">
        <v>0.0</v>
      </c>
      <c r="X1021" s="50">
        <v>2.8125</v>
      </c>
      <c r="Y1021" s="50">
        <v>15.525</v>
      </c>
    </row>
    <row r="1022">
      <c r="A1022" s="26">
        <v>1016.0</v>
      </c>
      <c r="B1022" s="65">
        <v>-1.1229886926408807</v>
      </c>
      <c r="C1022" s="65">
        <v>1.1074336221096335</v>
      </c>
      <c r="D1022" s="65">
        <v>-0.3947703396574361</v>
      </c>
      <c r="E1022" s="65">
        <v>-1.3141827718801382</v>
      </c>
      <c r="F1022" s="65">
        <v>3.002953999322831</v>
      </c>
      <c r="G1022" s="50">
        <v>0.0</v>
      </c>
      <c r="H1022" s="50">
        <v>0.0</v>
      </c>
      <c r="I1022" s="50">
        <v>0.0</v>
      </c>
      <c r="J1022" s="50">
        <v>0.0</v>
      </c>
      <c r="K1022" s="50">
        <v>0.0</v>
      </c>
      <c r="L1022" s="50">
        <v>0.0</v>
      </c>
      <c r="M1022" s="50">
        <v>0.0</v>
      </c>
      <c r="N1022" s="50">
        <v>0.0</v>
      </c>
      <c r="O1022" s="50">
        <v>7.425000000000001</v>
      </c>
      <c r="P1022" s="50">
        <v>0.0</v>
      </c>
      <c r="Q1022" s="50">
        <v>0.0</v>
      </c>
      <c r="R1022" s="50">
        <v>0.0</v>
      </c>
      <c r="S1022" s="50">
        <v>0.0</v>
      </c>
      <c r="T1022" s="50">
        <v>2.8125</v>
      </c>
      <c r="U1022" s="50">
        <v>0.0</v>
      </c>
      <c r="V1022" s="50">
        <v>5.625</v>
      </c>
      <c r="W1022" s="50">
        <v>4.95</v>
      </c>
      <c r="X1022" s="50">
        <v>2.8125</v>
      </c>
      <c r="Y1022" s="50">
        <v>23.625</v>
      </c>
    </row>
    <row r="1023">
      <c r="A1023" s="26">
        <v>1017.0</v>
      </c>
      <c r="B1023" s="65">
        <v>0.4933458833490465</v>
      </c>
      <c r="C1023" s="65">
        <v>-0.19571707521775836</v>
      </c>
      <c r="D1023" s="65">
        <v>-0.7943451076852021</v>
      </c>
      <c r="E1023" s="65">
        <v>-0.5883751087498417</v>
      </c>
      <c r="F1023" s="65">
        <v>4.856946306818213</v>
      </c>
      <c r="G1023" s="50">
        <v>0.0</v>
      </c>
      <c r="H1023" s="50">
        <v>0.0</v>
      </c>
      <c r="I1023" s="50">
        <v>0.0</v>
      </c>
      <c r="J1023" s="50">
        <v>0.0</v>
      </c>
      <c r="K1023" s="50">
        <v>0.0</v>
      </c>
      <c r="L1023" s="50">
        <v>0.0</v>
      </c>
      <c r="M1023" s="50">
        <v>0.0</v>
      </c>
      <c r="N1023" s="50">
        <v>0.0</v>
      </c>
      <c r="O1023" s="50">
        <v>7.425000000000001</v>
      </c>
      <c r="P1023" s="50">
        <v>0.0</v>
      </c>
      <c r="Q1023" s="50">
        <v>0.0</v>
      </c>
      <c r="R1023" s="50">
        <v>0.0</v>
      </c>
      <c r="S1023" s="50">
        <v>0.0</v>
      </c>
      <c r="T1023" s="50">
        <v>2.8125</v>
      </c>
      <c r="U1023" s="50">
        <v>0.0</v>
      </c>
      <c r="V1023" s="50">
        <v>0.0</v>
      </c>
      <c r="W1023" s="50">
        <v>0.0</v>
      </c>
      <c r="X1023" s="50">
        <v>2.8125</v>
      </c>
      <c r="Y1023" s="50">
        <v>13.05</v>
      </c>
    </row>
    <row r="1024">
      <c r="A1024" s="26">
        <v>1018.0</v>
      </c>
      <c r="B1024" s="65">
        <v>0.8041679031517666</v>
      </c>
      <c r="C1024" s="65">
        <v>-0.37964264031003464</v>
      </c>
      <c r="D1024" s="65">
        <v>-0.8765453840880087</v>
      </c>
      <c r="E1024" s="65">
        <v>-0.8823575838642465</v>
      </c>
      <c r="F1024" s="65">
        <v>2.3143185434490676</v>
      </c>
      <c r="G1024" s="50">
        <v>0.0</v>
      </c>
      <c r="H1024" s="50">
        <v>0.0</v>
      </c>
      <c r="I1024" s="50">
        <v>0.0</v>
      </c>
      <c r="J1024" s="50">
        <v>0.0</v>
      </c>
      <c r="K1024" s="50">
        <v>0.0</v>
      </c>
      <c r="L1024" s="50">
        <v>0.0</v>
      </c>
      <c r="M1024" s="50">
        <v>0.0</v>
      </c>
      <c r="N1024" s="50">
        <v>0.0</v>
      </c>
      <c r="O1024" s="50">
        <v>0.0</v>
      </c>
      <c r="P1024" s="50">
        <v>0.0</v>
      </c>
      <c r="Q1024" s="50">
        <v>0.0</v>
      </c>
      <c r="R1024" s="50">
        <v>0.0</v>
      </c>
      <c r="S1024" s="50">
        <v>0.0</v>
      </c>
      <c r="T1024" s="50">
        <v>2.8125</v>
      </c>
      <c r="U1024" s="50">
        <v>9.9</v>
      </c>
      <c r="V1024" s="50">
        <v>0.0</v>
      </c>
      <c r="W1024" s="50">
        <v>0.0</v>
      </c>
      <c r="X1024" s="50">
        <v>2.8125</v>
      </c>
      <c r="Y1024" s="50">
        <v>15.525</v>
      </c>
    </row>
    <row r="1025">
      <c r="A1025" s="26">
        <v>1019.0</v>
      </c>
      <c r="B1025" s="65">
        <v>-0.07020705685767888</v>
      </c>
      <c r="C1025" s="65">
        <v>0.032488595802966404</v>
      </c>
      <c r="D1025" s="65">
        <v>-0.8271790181181522</v>
      </c>
      <c r="E1025" s="65">
        <v>0.13117936224291288</v>
      </c>
      <c r="F1025" s="65">
        <v>5.659522762680158</v>
      </c>
      <c r="G1025" s="50">
        <v>0.0</v>
      </c>
      <c r="H1025" s="50">
        <v>0.0</v>
      </c>
      <c r="I1025" s="50">
        <v>0.0</v>
      </c>
      <c r="J1025" s="50">
        <v>0.0</v>
      </c>
      <c r="K1025" s="50">
        <v>0.0</v>
      </c>
      <c r="L1025" s="50">
        <v>0.0</v>
      </c>
      <c r="M1025" s="50">
        <v>0.0</v>
      </c>
      <c r="N1025" s="50">
        <v>0.0</v>
      </c>
      <c r="O1025" s="50">
        <v>0.0</v>
      </c>
      <c r="P1025" s="50">
        <v>0.0</v>
      </c>
      <c r="Q1025" s="50">
        <v>0.0</v>
      </c>
      <c r="R1025" s="50">
        <v>0.0</v>
      </c>
      <c r="S1025" s="50">
        <v>0.0</v>
      </c>
      <c r="T1025" s="50">
        <v>2.8125</v>
      </c>
      <c r="U1025" s="50">
        <v>0.0</v>
      </c>
      <c r="V1025" s="50">
        <v>0.0</v>
      </c>
      <c r="W1025" s="50">
        <v>0.0</v>
      </c>
      <c r="X1025" s="50">
        <v>2.8125</v>
      </c>
      <c r="Y1025" s="50">
        <v>5.625</v>
      </c>
    </row>
    <row r="1026">
      <c r="A1026" s="26">
        <v>1020.0</v>
      </c>
      <c r="B1026" s="65">
        <v>-0.01592768762589878</v>
      </c>
      <c r="C1026" s="65">
        <v>0.4634204283226171</v>
      </c>
      <c r="D1026" s="65">
        <v>-0.2654119978370964</v>
      </c>
      <c r="E1026" s="65">
        <v>0.7174006301945722</v>
      </c>
      <c r="F1026" s="65">
        <v>1.5820947209897256</v>
      </c>
      <c r="G1026" s="50">
        <v>0.0</v>
      </c>
      <c r="H1026" s="50">
        <v>0.0</v>
      </c>
      <c r="I1026" s="50">
        <v>0.0</v>
      </c>
      <c r="J1026" s="50">
        <v>0.0</v>
      </c>
      <c r="K1026" s="50">
        <v>0.0</v>
      </c>
      <c r="L1026" s="50">
        <v>0.0</v>
      </c>
      <c r="M1026" s="50">
        <v>0.0</v>
      </c>
      <c r="N1026" s="50">
        <v>0.0</v>
      </c>
      <c r="O1026" s="50">
        <v>0.0</v>
      </c>
      <c r="P1026" s="50">
        <v>2.475</v>
      </c>
      <c r="Q1026" s="50">
        <v>0.0</v>
      </c>
      <c r="R1026" s="50">
        <v>0.0</v>
      </c>
      <c r="S1026" s="50">
        <v>0.0</v>
      </c>
      <c r="T1026" s="50">
        <v>2.8125</v>
      </c>
      <c r="U1026" s="50">
        <v>0.0</v>
      </c>
      <c r="V1026" s="50">
        <v>0.0</v>
      </c>
      <c r="W1026" s="50">
        <v>0.0</v>
      </c>
      <c r="X1026" s="50">
        <v>2.8125</v>
      </c>
      <c r="Y1026" s="50">
        <v>8.1</v>
      </c>
    </row>
    <row r="1027">
      <c r="A1027" s="26">
        <v>1021.0</v>
      </c>
      <c r="B1027" s="65">
        <v>0.8037405106767748</v>
      </c>
      <c r="C1027" s="65">
        <v>-1.0499582201934319</v>
      </c>
      <c r="D1027" s="65">
        <v>1.5725801710952332</v>
      </c>
      <c r="E1027" s="65">
        <v>2.060347100104717</v>
      </c>
      <c r="F1027" s="65">
        <v>4.097826607788893</v>
      </c>
      <c r="G1027" s="50">
        <v>0.0</v>
      </c>
      <c r="H1027" s="50">
        <v>0.0</v>
      </c>
      <c r="I1027" s="50">
        <v>0.0</v>
      </c>
      <c r="J1027" s="50">
        <v>0.0</v>
      </c>
      <c r="K1027" s="50">
        <v>0.0</v>
      </c>
      <c r="L1027" s="50">
        <v>0.0</v>
      </c>
      <c r="M1027" s="50">
        <v>0.0</v>
      </c>
      <c r="N1027" s="50">
        <v>0.0</v>
      </c>
      <c r="O1027" s="50">
        <v>0.0</v>
      </c>
      <c r="P1027" s="50">
        <v>0.0</v>
      </c>
      <c r="Q1027" s="50">
        <v>0.0</v>
      </c>
      <c r="R1027" s="50">
        <v>0.0</v>
      </c>
      <c r="S1027" s="50">
        <v>0.0</v>
      </c>
      <c r="T1027" s="50">
        <v>2.8125</v>
      </c>
      <c r="U1027" s="50">
        <v>0.0</v>
      </c>
      <c r="V1027" s="50">
        <v>0.0</v>
      </c>
      <c r="W1027" s="50">
        <v>0.0</v>
      </c>
      <c r="X1027" s="50">
        <v>2.8125</v>
      </c>
      <c r="Y1027" s="50">
        <v>5.625</v>
      </c>
    </row>
    <row r="1028">
      <c r="A1028" s="26">
        <v>1022.0</v>
      </c>
      <c r="B1028" s="65">
        <v>0.838051917539617</v>
      </c>
      <c r="C1028" s="65">
        <v>1.100237958594411</v>
      </c>
      <c r="D1028" s="65">
        <v>-0.3101678745500357</v>
      </c>
      <c r="E1028" s="65">
        <v>0.6091696332062675</v>
      </c>
      <c r="F1028" s="65">
        <v>3.402288492884445</v>
      </c>
      <c r="G1028" s="50">
        <v>0.0</v>
      </c>
      <c r="H1028" s="50">
        <v>0.0</v>
      </c>
      <c r="I1028" s="50">
        <v>0.0</v>
      </c>
      <c r="J1028" s="50">
        <v>0.0</v>
      </c>
      <c r="K1028" s="50">
        <v>0.0</v>
      </c>
      <c r="L1028" s="50">
        <v>0.0</v>
      </c>
      <c r="M1028" s="50">
        <v>0.0</v>
      </c>
      <c r="N1028" s="50">
        <v>0.0</v>
      </c>
      <c r="O1028" s="50">
        <v>0.0</v>
      </c>
      <c r="P1028" s="50">
        <v>0.0</v>
      </c>
      <c r="Q1028" s="50">
        <v>0.0</v>
      </c>
      <c r="R1028" s="50">
        <v>0.0</v>
      </c>
      <c r="S1028" s="50">
        <v>0.0</v>
      </c>
      <c r="T1028" s="50">
        <v>2.8125</v>
      </c>
      <c r="U1028" s="50">
        <v>0.0</v>
      </c>
      <c r="V1028" s="50">
        <v>0.0</v>
      </c>
      <c r="W1028" s="50">
        <v>0.0</v>
      </c>
      <c r="X1028" s="50">
        <v>2.8125</v>
      </c>
      <c r="Y1028" s="50">
        <v>5.625</v>
      </c>
    </row>
    <row r="1029">
      <c r="A1029" s="26">
        <v>1023.0</v>
      </c>
      <c r="B1029" s="65">
        <v>0.42132832922789043</v>
      </c>
      <c r="C1029" s="65">
        <v>-1.8856277002726918</v>
      </c>
      <c r="D1029" s="65">
        <v>-0.3946941557054205</v>
      </c>
      <c r="E1029" s="65">
        <v>-0.11412850541218353</v>
      </c>
      <c r="F1029" s="65">
        <v>2.345478200618176</v>
      </c>
      <c r="G1029" s="50">
        <v>0.0</v>
      </c>
      <c r="H1029" s="50">
        <v>0.0</v>
      </c>
      <c r="I1029" s="50">
        <v>0.0</v>
      </c>
      <c r="J1029" s="50">
        <v>0.0</v>
      </c>
      <c r="K1029" s="50">
        <v>0.0</v>
      </c>
      <c r="L1029" s="50">
        <v>0.0</v>
      </c>
      <c r="M1029" s="50">
        <v>0.0</v>
      </c>
      <c r="N1029" s="50">
        <v>0.0</v>
      </c>
      <c r="O1029" s="50">
        <v>0.0</v>
      </c>
      <c r="P1029" s="50">
        <v>0.0</v>
      </c>
      <c r="Q1029" s="50">
        <v>0.0</v>
      </c>
      <c r="R1029" s="50">
        <v>0.0</v>
      </c>
      <c r="S1029" s="50">
        <v>0.0</v>
      </c>
      <c r="T1029" s="50">
        <v>2.8125</v>
      </c>
      <c r="U1029" s="50">
        <v>0.0</v>
      </c>
      <c r="V1029" s="50">
        <v>0.0</v>
      </c>
      <c r="W1029" s="50">
        <v>0.0</v>
      </c>
      <c r="X1029" s="50">
        <v>2.8125</v>
      </c>
      <c r="Y1029" s="50">
        <v>5.625</v>
      </c>
    </row>
    <row r="1030">
      <c r="A1030" s="26">
        <v>1024.0</v>
      </c>
      <c r="B1030" s="65">
        <v>-0.5728742134805949</v>
      </c>
      <c r="C1030" s="65">
        <v>0.9977042656461212</v>
      </c>
      <c r="D1030" s="65">
        <v>0.31852805895597874</v>
      </c>
      <c r="E1030" s="65">
        <v>0.29957295256635164</v>
      </c>
      <c r="F1030" s="65">
        <v>2.5271593283008684</v>
      </c>
      <c r="G1030" s="50">
        <v>0.0</v>
      </c>
      <c r="H1030" s="50">
        <v>0.0</v>
      </c>
      <c r="I1030" s="50">
        <v>0.0</v>
      </c>
      <c r="J1030" s="50">
        <v>0.0</v>
      </c>
      <c r="K1030" s="50">
        <v>0.0</v>
      </c>
      <c r="L1030" s="50">
        <v>0.0</v>
      </c>
      <c r="M1030" s="50">
        <v>0.0</v>
      </c>
      <c r="N1030" s="50">
        <v>0.0</v>
      </c>
      <c r="O1030" s="50">
        <v>0.0</v>
      </c>
      <c r="P1030" s="50">
        <v>0.0</v>
      </c>
      <c r="Q1030" s="50">
        <v>0.0</v>
      </c>
      <c r="R1030" s="50">
        <v>0.0</v>
      </c>
      <c r="S1030" s="50">
        <v>0.0</v>
      </c>
      <c r="T1030" s="50">
        <v>2.8125</v>
      </c>
      <c r="U1030" s="50">
        <v>9.9</v>
      </c>
      <c r="V1030" s="50">
        <v>0.0</v>
      </c>
      <c r="W1030" s="50">
        <v>0.0</v>
      </c>
      <c r="X1030" s="50">
        <v>2.8125</v>
      </c>
      <c r="Y1030" s="50">
        <v>15.525</v>
      </c>
    </row>
    <row r="1031">
      <c r="A1031" s="26">
        <v>1025.0</v>
      </c>
      <c r="B1031" s="65">
        <v>0.648117814061825</v>
      </c>
      <c r="C1031" s="65">
        <v>0.4287752450563433</v>
      </c>
      <c r="D1031" s="65">
        <v>-2.1080374434909963</v>
      </c>
      <c r="E1031" s="65">
        <v>-0.48586484536241664</v>
      </c>
      <c r="F1031" s="65">
        <v>4.70689695828471</v>
      </c>
      <c r="G1031" s="50">
        <v>0.0</v>
      </c>
      <c r="H1031" s="50">
        <v>0.0</v>
      </c>
      <c r="I1031" s="50">
        <v>0.0</v>
      </c>
      <c r="J1031" s="50">
        <v>0.0</v>
      </c>
      <c r="K1031" s="50">
        <v>0.0</v>
      </c>
      <c r="L1031" s="50">
        <v>0.0</v>
      </c>
      <c r="M1031" s="50">
        <v>0.0</v>
      </c>
      <c r="N1031" s="50">
        <v>0.0</v>
      </c>
      <c r="O1031" s="50">
        <v>0.0</v>
      </c>
      <c r="P1031" s="50">
        <v>0.0</v>
      </c>
      <c r="Q1031" s="50">
        <v>0.0</v>
      </c>
      <c r="R1031" s="50">
        <v>0.0</v>
      </c>
      <c r="S1031" s="50">
        <v>0.0</v>
      </c>
      <c r="T1031" s="50">
        <v>2.8125</v>
      </c>
      <c r="U1031" s="50">
        <v>0.0</v>
      </c>
      <c r="V1031" s="50">
        <v>5.625</v>
      </c>
      <c r="W1031" s="50">
        <v>0.0</v>
      </c>
      <c r="X1031" s="50">
        <v>2.8125</v>
      </c>
      <c r="Y1031" s="50">
        <v>11.25</v>
      </c>
    </row>
    <row r="1032">
      <c r="A1032" s="26">
        <v>1026.0</v>
      </c>
      <c r="B1032" s="65">
        <v>1.6231311902600394</v>
      </c>
      <c r="C1032" s="65">
        <v>0.8112648801076118</v>
      </c>
      <c r="D1032" s="65">
        <v>-0.20604197133291335</v>
      </c>
      <c r="E1032" s="65">
        <v>-0.016925146551460542</v>
      </c>
      <c r="F1032" s="65">
        <v>9.007220447365103</v>
      </c>
      <c r="G1032" s="50">
        <v>0.0</v>
      </c>
      <c r="H1032" s="50">
        <v>0.0</v>
      </c>
      <c r="I1032" s="50">
        <v>0.0</v>
      </c>
      <c r="J1032" s="50">
        <v>0.0</v>
      </c>
      <c r="K1032" s="50">
        <v>0.0</v>
      </c>
      <c r="L1032" s="50">
        <v>0.0</v>
      </c>
      <c r="M1032" s="50">
        <v>0.0</v>
      </c>
      <c r="N1032" s="50">
        <v>0.0</v>
      </c>
      <c r="O1032" s="50">
        <v>0.0</v>
      </c>
      <c r="P1032" s="50">
        <v>0.0</v>
      </c>
      <c r="Q1032" s="50">
        <v>0.0</v>
      </c>
      <c r="R1032" s="50">
        <v>0.0</v>
      </c>
      <c r="S1032" s="50">
        <v>0.0</v>
      </c>
      <c r="T1032" s="50">
        <v>2.8125</v>
      </c>
      <c r="U1032" s="50">
        <v>0.0</v>
      </c>
      <c r="V1032" s="50">
        <v>0.0</v>
      </c>
      <c r="W1032" s="50">
        <v>0.0</v>
      </c>
      <c r="X1032" s="50">
        <v>2.8125</v>
      </c>
      <c r="Y1032" s="50">
        <v>5.625</v>
      </c>
    </row>
    <row r="1033">
      <c r="A1033" s="26">
        <v>1027.0</v>
      </c>
      <c r="B1033" s="65">
        <v>-1.0386418921846035</v>
      </c>
      <c r="C1033" s="65">
        <v>0.2761045810856276</v>
      </c>
      <c r="D1033" s="65">
        <v>1.5319665111761427</v>
      </c>
      <c r="E1033" s="65">
        <v>0.22666599005416976</v>
      </c>
      <c r="F1033" s="65">
        <v>7.146403941678556</v>
      </c>
      <c r="G1033" s="50">
        <v>0.0</v>
      </c>
      <c r="H1033" s="50">
        <v>0.0</v>
      </c>
      <c r="I1033" s="50">
        <v>0.0</v>
      </c>
      <c r="J1033" s="50">
        <v>0.0</v>
      </c>
      <c r="K1033" s="50">
        <v>0.0</v>
      </c>
      <c r="L1033" s="50">
        <v>0.0</v>
      </c>
      <c r="M1033" s="50">
        <v>0.0</v>
      </c>
      <c r="N1033" s="50">
        <v>0.0</v>
      </c>
      <c r="O1033" s="50">
        <v>0.0</v>
      </c>
      <c r="P1033" s="50">
        <v>0.0</v>
      </c>
      <c r="Q1033" s="50">
        <v>0.0</v>
      </c>
      <c r="R1033" s="50">
        <v>0.0</v>
      </c>
      <c r="S1033" s="50">
        <v>0.0</v>
      </c>
      <c r="T1033" s="50">
        <v>2.8125</v>
      </c>
      <c r="U1033" s="50">
        <v>0.0</v>
      </c>
      <c r="V1033" s="50">
        <v>5.625</v>
      </c>
      <c r="W1033" s="50">
        <v>0.0</v>
      </c>
      <c r="X1033" s="50">
        <v>2.8125</v>
      </c>
      <c r="Y1033" s="50">
        <v>11.25</v>
      </c>
    </row>
    <row r="1034">
      <c r="A1034" s="26">
        <v>1028.0</v>
      </c>
      <c r="B1034" s="65">
        <v>0.35308916456085143</v>
      </c>
      <c r="C1034" s="65">
        <v>0.2012350174086531</v>
      </c>
      <c r="D1034" s="65">
        <v>0.46258876880165195</v>
      </c>
      <c r="E1034" s="65">
        <v>1.7567881453866103</v>
      </c>
      <c r="F1034" s="65">
        <v>3.197374465472202</v>
      </c>
      <c r="G1034" s="50">
        <v>0.0</v>
      </c>
      <c r="H1034" s="50">
        <v>0.0</v>
      </c>
      <c r="I1034" s="50">
        <v>0.0</v>
      </c>
      <c r="J1034" s="50">
        <v>0.0</v>
      </c>
      <c r="K1034" s="50">
        <v>0.0</v>
      </c>
      <c r="L1034" s="50">
        <v>0.0</v>
      </c>
      <c r="M1034" s="50">
        <v>0.0</v>
      </c>
      <c r="N1034" s="50">
        <v>0.0</v>
      </c>
      <c r="O1034" s="50">
        <v>0.0</v>
      </c>
      <c r="P1034" s="50">
        <v>0.0</v>
      </c>
      <c r="Q1034" s="50">
        <v>0.0</v>
      </c>
      <c r="R1034" s="50">
        <v>0.0</v>
      </c>
      <c r="S1034" s="50">
        <v>0.0</v>
      </c>
      <c r="T1034" s="50">
        <v>2.8125</v>
      </c>
      <c r="U1034" s="50">
        <v>0.0</v>
      </c>
      <c r="V1034" s="50">
        <v>0.0</v>
      </c>
      <c r="W1034" s="50">
        <v>0.0</v>
      </c>
      <c r="X1034" s="50">
        <v>2.8125</v>
      </c>
      <c r="Y1034" s="50">
        <v>5.625</v>
      </c>
    </row>
    <row r="1035">
      <c r="A1035" s="26">
        <v>1029.0</v>
      </c>
      <c r="B1035" s="65">
        <v>0.43297988839145113</v>
      </c>
      <c r="C1035" s="65">
        <v>-0.5263379796720029</v>
      </c>
      <c r="D1035" s="65">
        <v>2.222134270893609</v>
      </c>
      <c r="E1035" s="65">
        <v>-0.3436251751388911</v>
      </c>
      <c r="F1035" s="65">
        <v>6.30797579791691</v>
      </c>
      <c r="G1035" s="50">
        <v>0.0</v>
      </c>
      <c r="H1035" s="50">
        <v>0.0</v>
      </c>
      <c r="I1035" s="50">
        <v>0.0</v>
      </c>
      <c r="J1035" s="50">
        <v>0.0</v>
      </c>
      <c r="K1035" s="50">
        <v>0.0</v>
      </c>
      <c r="L1035" s="50">
        <v>0.0</v>
      </c>
      <c r="M1035" s="50">
        <v>0.0</v>
      </c>
      <c r="N1035" s="50">
        <v>0.0</v>
      </c>
      <c r="O1035" s="50">
        <v>0.0</v>
      </c>
      <c r="P1035" s="50">
        <v>0.0</v>
      </c>
      <c r="Q1035" s="50">
        <v>0.0</v>
      </c>
      <c r="R1035" s="50">
        <v>0.0</v>
      </c>
      <c r="S1035" s="50">
        <v>0.0</v>
      </c>
      <c r="T1035" s="50">
        <v>2.8125</v>
      </c>
      <c r="U1035" s="50">
        <v>0.0</v>
      </c>
      <c r="V1035" s="50">
        <v>0.0</v>
      </c>
      <c r="W1035" s="50">
        <v>0.0</v>
      </c>
      <c r="X1035" s="50">
        <v>2.8125</v>
      </c>
      <c r="Y1035" s="50">
        <v>5.625</v>
      </c>
    </row>
    <row r="1036">
      <c r="A1036" s="26">
        <v>1030.0</v>
      </c>
      <c r="B1036" s="65">
        <v>-1.3130003655664146</v>
      </c>
      <c r="C1036" s="65">
        <v>0.9945045921247144</v>
      </c>
      <c r="D1036" s="65">
        <v>1.3978284292416745</v>
      </c>
      <c r="E1036" s="65">
        <v>0.07859726029888466</v>
      </c>
      <c r="F1036" s="65">
        <v>1.484892956557451</v>
      </c>
      <c r="G1036" s="50">
        <v>0.0</v>
      </c>
      <c r="H1036" s="50">
        <v>0.0</v>
      </c>
      <c r="I1036" s="50">
        <v>0.0</v>
      </c>
      <c r="J1036" s="50">
        <v>0.0</v>
      </c>
      <c r="K1036" s="50">
        <v>0.0</v>
      </c>
      <c r="L1036" s="50">
        <v>0.0</v>
      </c>
      <c r="M1036" s="50">
        <v>0.0</v>
      </c>
      <c r="N1036" s="50">
        <v>0.0</v>
      </c>
      <c r="O1036" s="50">
        <v>0.0</v>
      </c>
      <c r="P1036" s="50">
        <v>0.0</v>
      </c>
      <c r="Q1036" s="50">
        <v>0.0</v>
      </c>
      <c r="R1036" s="50">
        <v>0.0</v>
      </c>
      <c r="S1036" s="50">
        <v>0.0</v>
      </c>
      <c r="T1036" s="50">
        <v>2.8125</v>
      </c>
      <c r="U1036" s="50">
        <v>0.0</v>
      </c>
      <c r="V1036" s="50">
        <v>5.625</v>
      </c>
      <c r="W1036" s="50">
        <v>4.95</v>
      </c>
      <c r="X1036" s="50">
        <v>2.8125</v>
      </c>
      <c r="Y1036" s="50">
        <v>16.2</v>
      </c>
    </row>
    <row r="1037">
      <c r="A1037" s="26">
        <v>1031.0</v>
      </c>
      <c r="B1037" s="65">
        <v>-1.0570332323088756</v>
      </c>
      <c r="C1037" s="65">
        <v>0.8156111077493648</v>
      </c>
      <c r="D1037" s="65">
        <v>0.640432323419842</v>
      </c>
      <c r="E1037" s="65">
        <v>-0.5766843956564176</v>
      </c>
      <c r="F1037" s="65">
        <v>7.94324594121786</v>
      </c>
      <c r="G1037" s="50">
        <v>0.0</v>
      </c>
      <c r="H1037" s="50">
        <v>0.0</v>
      </c>
      <c r="I1037" s="50">
        <v>0.0</v>
      </c>
      <c r="J1037" s="50">
        <v>0.0</v>
      </c>
      <c r="K1037" s="50">
        <v>0.0</v>
      </c>
      <c r="L1037" s="50">
        <v>0.0</v>
      </c>
      <c r="M1037" s="50">
        <v>0.0</v>
      </c>
      <c r="N1037" s="50">
        <v>0.0</v>
      </c>
      <c r="O1037" s="50">
        <v>0.0</v>
      </c>
      <c r="P1037" s="50">
        <v>0.0</v>
      </c>
      <c r="Q1037" s="50">
        <v>0.0</v>
      </c>
      <c r="R1037" s="50">
        <v>0.0</v>
      </c>
      <c r="S1037" s="50">
        <v>0.0</v>
      </c>
      <c r="T1037" s="50">
        <v>2.8125</v>
      </c>
      <c r="U1037" s="50">
        <v>0.0</v>
      </c>
      <c r="V1037" s="50">
        <v>5.625</v>
      </c>
      <c r="W1037" s="50">
        <v>0.0</v>
      </c>
      <c r="X1037" s="50">
        <v>2.8125</v>
      </c>
      <c r="Y1037" s="50">
        <v>11.25</v>
      </c>
    </row>
    <row r="1038">
      <c r="A1038" s="26">
        <v>1032.0</v>
      </c>
      <c r="B1038" s="65">
        <v>-0.41505865929005425</v>
      </c>
      <c r="C1038" s="65">
        <v>-1.7364949848531845</v>
      </c>
      <c r="D1038" s="65">
        <v>0.24245036014690172</v>
      </c>
      <c r="E1038" s="65">
        <v>1.1643963251267857</v>
      </c>
      <c r="F1038" s="65">
        <v>0.5530725413315285</v>
      </c>
      <c r="G1038" s="50">
        <v>0.0</v>
      </c>
      <c r="H1038" s="50">
        <v>0.0</v>
      </c>
      <c r="I1038" s="50">
        <v>0.0</v>
      </c>
      <c r="J1038" s="50">
        <v>0.0</v>
      </c>
      <c r="K1038" s="50">
        <v>0.0</v>
      </c>
      <c r="L1038" s="50">
        <v>0.0</v>
      </c>
      <c r="M1038" s="50">
        <v>0.0</v>
      </c>
      <c r="N1038" s="50">
        <v>0.0</v>
      </c>
      <c r="O1038" s="50">
        <v>7.425000000000001</v>
      </c>
      <c r="P1038" s="50">
        <v>2.475</v>
      </c>
      <c r="Q1038" s="50">
        <v>0.0</v>
      </c>
      <c r="R1038" s="50">
        <v>9.9</v>
      </c>
      <c r="S1038" s="50">
        <v>0.0</v>
      </c>
      <c r="T1038" s="50">
        <v>2.8125</v>
      </c>
      <c r="U1038" s="50">
        <v>0.0</v>
      </c>
      <c r="V1038" s="50">
        <v>0.0</v>
      </c>
      <c r="W1038" s="50">
        <v>0.0</v>
      </c>
      <c r="X1038" s="50">
        <v>2.8125</v>
      </c>
      <c r="Y1038" s="50">
        <v>25.425</v>
      </c>
    </row>
    <row r="1039">
      <c r="A1039" s="26">
        <v>1033.0</v>
      </c>
      <c r="B1039" s="65">
        <v>0.2938820813411708</v>
      </c>
      <c r="C1039" s="65">
        <v>-1.0010811368341854</v>
      </c>
      <c r="D1039" s="65">
        <v>1.3242101630325465</v>
      </c>
      <c r="E1039" s="65">
        <v>-1.138855998057117</v>
      </c>
      <c r="F1039" s="65">
        <v>6.837042782648443</v>
      </c>
      <c r="G1039" s="50">
        <v>0.0</v>
      </c>
      <c r="H1039" s="50">
        <v>0.0</v>
      </c>
      <c r="I1039" s="50">
        <v>0.0</v>
      </c>
      <c r="J1039" s="50">
        <v>0.0</v>
      </c>
      <c r="K1039" s="50">
        <v>0.0</v>
      </c>
      <c r="L1039" s="50">
        <v>0.0</v>
      </c>
      <c r="M1039" s="50">
        <v>0.0</v>
      </c>
      <c r="N1039" s="50">
        <v>0.0</v>
      </c>
      <c r="O1039" s="50">
        <v>0.0</v>
      </c>
      <c r="P1039" s="50">
        <v>0.0</v>
      </c>
      <c r="Q1039" s="50">
        <v>0.0</v>
      </c>
      <c r="R1039" s="50">
        <v>0.0</v>
      </c>
      <c r="S1039" s="50">
        <v>0.0</v>
      </c>
      <c r="T1039" s="50">
        <v>2.8125</v>
      </c>
      <c r="U1039" s="50">
        <v>0.0</v>
      </c>
      <c r="V1039" s="50">
        <v>0.0</v>
      </c>
      <c r="W1039" s="50">
        <v>0.0</v>
      </c>
      <c r="X1039" s="50">
        <v>2.8125</v>
      </c>
      <c r="Y1039" s="50">
        <v>5.625</v>
      </c>
    </row>
    <row r="1040">
      <c r="A1040" s="26">
        <v>1034.0</v>
      </c>
      <c r="B1040" s="65">
        <v>1.103724451922136</v>
      </c>
      <c r="C1040" s="65">
        <v>-1.2149331004467863</v>
      </c>
      <c r="D1040" s="65">
        <v>1.2614474269090155</v>
      </c>
      <c r="E1040" s="65">
        <v>0.5748070700634055</v>
      </c>
      <c r="F1040" s="65">
        <v>6.710151320723694</v>
      </c>
      <c r="G1040" s="50">
        <v>0.0</v>
      </c>
      <c r="H1040" s="50">
        <v>0.0</v>
      </c>
      <c r="I1040" s="50">
        <v>0.0</v>
      </c>
      <c r="J1040" s="50">
        <v>0.0</v>
      </c>
      <c r="K1040" s="50">
        <v>0.0</v>
      </c>
      <c r="L1040" s="50">
        <v>0.0</v>
      </c>
      <c r="M1040" s="50">
        <v>0.0</v>
      </c>
      <c r="N1040" s="50">
        <v>0.0</v>
      </c>
      <c r="O1040" s="50">
        <v>0.0</v>
      </c>
      <c r="P1040" s="50">
        <v>0.0</v>
      </c>
      <c r="Q1040" s="50">
        <v>0.0</v>
      </c>
      <c r="R1040" s="50">
        <v>0.0</v>
      </c>
      <c r="S1040" s="50">
        <v>0.0</v>
      </c>
      <c r="T1040" s="50">
        <v>2.8125</v>
      </c>
      <c r="U1040" s="50">
        <v>0.0</v>
      </c>
      <c r="V1040" s="50">
        <v>0.0</v>
      </c>
      <c r="W1040" s="50">
        <v>0.0</v>
      </c>
      <c r="X1040" s="50">
        <v>2.8125</v>
      </c>
      <c r="Y1040" s="50">
        <v>5.625</v>
      </c>
    </row>
    <row r="1041">
      <c r="A1041" s="26">
        <v>1035.0</v>
      </c>
      <c r="B1041" s="65">
        <v>1.4025854896504955</v>
      </c>
      <c r="C1041" s="65">
        <v>-1.7351255356644366</v>
      </c>
      <c r="D1041" s="65">
        <v>0.7572822841039197</v>
      </c>
      <c r="E1041" s="65">
        <v>-0.09093914408374017</v>
      </c>
      <c r="F1041" s="65">
        <v>4.901211267826271</v>
      </c>
      <c r="G1041" s="50">
        <v>0.0</v>
      </c>
      <c r="H1041" s="50">
        <v>0.0</v>
      </c>
      <c r="I1041" s="50">
        <v>0.0</v>
      </c>
      <c r="J1041" s="50">
        <v>0.0</v>
      </c>
      <c r="K1041" s="50">
        <v>0.0</v>
      </c>
      <c r="L1041" s="50">
        <v>0.0</v>
      </c>
      <c r="M1041" s="50">
        <v>0.0</v>
      </c>
      <c r="N1041" s="50">
        <v>0.0</v>
      </c>
      <c r="O1041" s="50">
        <v>0.0</v>
      </c>
      <c r="P1041" s="50">
        <v>0.0</v>
      </c>
      <c r="Q1041" s="50">
        <v>0.0</v>
      </c>
      <c r="R1041" s="50">
        <v>0.0</v>
      </c>
      <c r="S1041" s="50">
        <v>0.0</v>
      </c>
      <c r="T1041" s="50">
        <v>2.8125</v>
      </c>
      <c r="U1041" s="50">
        <v>0.0</v>
      </c>
      <c r="V1041" s="50">
        <v>0.0</v>
      </c>
      <c r="W1041" s="50">
        <v>0.0</v>
      </c>
      <c r="X1041" s="50">
        <v>2.8125</v>
      </c>
      <c r="Y1041" s="50">
        <v>5.625</v>
      </c>
    </row>
    <row r="1042">
      <c r="A1042" s="26">
        <v>1036.0</v>
      </c>
      <c r="B1042" s="65">
        <v>0.5621767996842817</v>
      </c>
      <c r="C1042" s="65">
        <v>-0.05474922755660784</v>
      </c>
      <c r="D1042" s="65">
        <v>-1.5971262651116334</v>
      </c>
      <c r="E1042" s="65">
        <v>-0.5083378606023418</v>
      </c>
      <c r="F1042" s="65">
        <v>2.3176960196371095</v>
      </c>
      <c r="G1042" s="50">
        <v>0.0</v>
      </c>
      <c r="H1042" s="50">
        <v>0.0</v>
      </c>
      <c r="I1042" s="50">
        <v>0.0</v>
      </c>
      <c r="J1042" s="50">
        <v>0.0</v>
      </c>
      <c r="K1042" s="50">
        <v>0.0</v>
      </c>
      <c r="L1042" s="50">
        <v>0.0</v>
      </c>
      <c r="M1042" s="50">
        <v>0.0</v>
      </c>
      <c r="N1042" s="50">
        <v>0.0</v>
      </c>
      <c r="O1042" s="50">
        <v>0.0</v>
      </c>
      <c r="P1042" s="50">
        <v>2.475</v>
      </c>
      <c r="Q1042" s="50">
        <v>0.0</v>
      </c>
      <c r="R1042" s="50">
        <v>0.0</v>
      </c>
      <c r="S1042" s="50">
        <v>0.0</v>
      </c>
      <c r="T1042" s="50">
        <v>2.8125</v>
      </c>
      <c r="U1042" s="50">
        <v>0.0</v>
      </c>
      <c r="V1042" s="50">
        <v>5.625</v>
      </c>
      <c r="W1042" s="50">
        <v>0.0</v>
      </c>
      <c r="X1042" s="50">
        <v>2.8125</v>
      </c>
      <c r="Y1042" s="50">
        <v>13.725</v>
      </c>
    </row>
    <row r="1043">
      <c r="A1043" s="26">
        <v>1037.0</v>
      </c>
      <c r="B1043" s="65">
        <v>-1.8575427153749353</v>
      </c>
      <c r="C1043" s="65">
        <v>0.003919322510735618</v>
      </c>
      <c r="D1043" s="65">
        <v>-1.221784408457577</v>
      </c>
      <c r="E1043" s="65">
        <v>1.0056612389062332</v>
      </c>
      <c r="F1043" s="65">
        <v>9.96631937428149</v>
      </c>
      <c r="G1043" s="50">
        <v>0.0</v>
      </c>
      <c r="H1043" s="50">
        <v>0.0</v>
      </c>
      <c r="I1043" s="50">
        <v>0.0</v>
      </c>
      <c r="J1043" s="50">
        <v>0.0</v>
      </c>
      <c r="K1043" s="50">
        <v>0.0</v>
      </c>
      <c r="L1043" s="50">
        <v>0.0</v>
      </c>
      <c r="M1043" s="50">
        <v>0.0</v>
      </c>
      <c r="N1043" s="50">
        <v>0.0</v>
      </c>
      <c r="O1043" s="50">
        <v>7.425000000000001</v>
      </c>
      <c r="P1043" s="50">
        <v>0.0</v>
      </c>
      <c r="Q1043" s="50">
        <v>0.0</v>
      </c>
      <c r="R1043" s="50">
        <v>9.9</v>
      </c>
      <c r="S1043" s="50">
        <v>0.0</v>
      </c>
      <c r="T1043" s="50">
        <v>2.8125</v>
      </c>
      <c r="U1043" s="50">
        <v>0.0</v>
      </c>
      <c r="V1043" s="50">
        <v>5.625</v>
      </c>
      <c r="W1043" s="50">
        <v>0.0</v>
      </c>
      <c r="X1043" s="50">
        <v>2.8125</v>
      </c>
      <c r="Y1043" s="50">
        <v>28.575000000000003</v>
      </c>
    </row>
    <row r="1044">
      <c r="A1044" s="26">
        <v>1038.0</v>
      </c>
      <c r="B1044" s="65">
        <v>0.2997598889524566</v>
      </c>
      <c r="C1044" s="65">
        <v>3.7335342621261076</v>
      </c>
      <c r="D1044" s="65">
        <v>-0.06675314241039573</v>
      </c>
      <c r="E1044" s="65">
        <v>-0.6089344953869302</v>
      </c>
      <c r="F1044" s="65">
        <v>4.720999791514143</v>
      </c>
      <c r="G1044" s="50">
        <v>0.0</v>
      </c>
      <c r="H1044" s="50">
        <v>0.0</v>
      </c>
      <c r="I1044" s="50">
        <v>0.0</v>
      </c>
      <c r="J1044" s="50">
        <v>0.0</v>
      </c>
      <c r="K1044" s="50">
        <v>0.0</v>
      </c>
      <c r="L1044" s="50">
        <v>0.0</v>
      </c>
      <c r="M1044" s="50">
        <v>0.0</v>
      </c>
      <c r="N1044" s="50">
        <v>0.0</v>
      </c>
      <c r="O1044" s="50">
        <v>0.0</v>
      </c>
      <c r="P1044" s="50">
        <v>0.0</v>
      </c>
      <c r="Q1044" s="50">
        <v>0.0</v>
      </c>
      <c r="R1044" s="50">
        <v>0.0</v>
      </c>
      <c r="S1044" s="50">
        <v>0.0</v>
      </c>
      <c r="T1044" s="50">
        <v>2.8125</v>
      </c>
      <c r="U1044" s="50">
        <v>0.0</v>
      </c>
      <c r="V1044" s="50">
        <v>0.0</v>
      </c>
      <c r="W1044" s="50">
        <v>0.0</v>
      </c>
      <c r="X1044" s="50">
        <v>2.8125</v>
      </c>
      <c r="Y1044" s="50">
        <v>5.625</v>
      </c>
    </row>
    <row r="1045">
      <c r="A1045" s="26">
        <v>1039.0</v>
      </c>
      <c r="B1045" s="65">
        <v>0.64027750155409</v>
      </c>
      <c r="C1045" s="65">
        <v>0.575066651651046</v>
      </c>
      <c r="D1045" s="65">
        <v>0.2744851776827484</v>
      </c>
      <c r="E1045" s="65">
        <v>-0.38389650074975856</v>
      </c>
      <c r="F1045" s="65">
        <v>3.5373426366002487</v>
      </c>
      <c r="G1045" s="50">
        <v>0.0</v>
      </c>
      <c r="H1045" s="50">
        <v>0.0</v>
      </c>
      <c r="I1045" s="50">
        <v>0.0</v>
      </c>
      <c r="J1045" s="50">
        <v>0.0</v>
      </c>
      <c r="K1045" s="50">
        <v>0.0</v>
      </c>
      <c r="L1045" s="50">
        <v>0.0</v>
      </c>
      <c r="M1045" s="50">
        <v>0.0</v>
      </c>
      <c r="N1045" s="50">
        <v>0.0</v>
      </c>
      <c r="O1045" s="50">
        <v>0.0</v>
      </c>
      <c r="P1045" s="50">
        <v>0.0</v>
      </c>
      <c r="Q1045" s="50">
        <v>0.0</v>
      </c>
      <c r="R1045" s="50">
        <v>0.0</v>
      </c>
      <c r="S1045" s="50">
        <v>0.0</v>
      </c>
      <c r="T1045" s="50">
        <v>2.8125</v>
      </c>
      <c r="U1045" s="50">
        <v>0.0</v>
      </c>
      <c r="V1045" s="50">
        <v>5.625</v>
      </c>
      <c r="W1045" s="50">
        <v>0.0</v>
      </c>
      <c r="X1045" s="50">
        <v>2.8125</v>
      </c>
      <c r="Y1045" s="50">
        <v>11.25</v>
      </c>
    </row>
    <row r="1046">
      <c r="A1046" s="26">
        <v>1040.0</v>
      </c>
      <c r="B1046" s="65">
        <v>0.01871504862205504</v>
      </c>
      <c r="C1046" s="65">
        <v>0.07411639783501597</v>
      </c>
      <c r="D1046" s="65">
        <v>1.2543382706854889</v>
      </c>
      <c r="E1046" s="65">
        <v>-0.49079274152927665</v>
      </c>
      <c r="F1046" s="65">
        <v>4.580554306012606</v>
      </c>
      <c r="G1046" s="50">
        <v>0.0</v>
      </c>
      <c r="H1046" s="50">
        <v>0.0</v>
      </c>
      <c r="I1046" s="50">
        <v>0.0</v>
      </c>
      <c r="J1046" s="50">
        <v>0.0</v>
      </c>
      <c r="K1046" s="50">
        <v>0.0</v>
      </c>
      <c r="L1046" s="50">
        <v>0.0</v>
      </c>
      <c r="M1046" s="50">
        <v>0.0</v>
      </c>
      <c r="N1046" s="50">
        <v>0.0</v>
      </c>
      <c r="O1046" s="50">
        <v>0.0</v>
      </c>
      <c r="P1046" s="50">
        <v>0.0</v>
      </c>
      <c r="Q1046" s="50">
        <v>0.0</v>
      </c>
      <c r="R1046" s="50">
        <v>0.0</v>
      </c>
      <c r="S1046" s="50">
        <v>0.0</v>
      </c>
      <c r="T1046" s="50">
        <v>2.8125</v>
      </c>
      <c r="U1046" s="50">
        <v>0.0</v>
      </c>
      <c r="V1046" s="50">
        <v>0.0</v>
      </c>
      <c r="W1046" s="50">
        <v>4.95</v>
      </c>
      <c r="X1046" s="50">
        <v>2.8125</v>
      </c>
      <c r="Y1046" s="50">
        <v>10.575</v>
      </c>
    </row>
    <row r="1047">
      <c r="A1047" s="26">
        <v>1041.0</v>
      </c>
      <c r="B1047" s="65">
        <v>0.6008916348058457</v>
      </c>
      <c r="C1047" s="65">
        <v>0.2438151704560582</v>
      </c>
      <c r="D1047" s="65">
        <v>1.3359901676476895</v>
      </c>
      <c r="E1047" s="65">
        <v>0.6117072336842783</v>
      </c>
      <c r="F1047" s="65">
        <v>5.070489930201427</v>
      </c>
      <c r="G1047" s="50">
        <v>0.0</v>
      </c>
      <c r="H1047" s="50">
        <v>0.0</v>
      </c>
      <c r="I1047" s="50">
        <v>0.0</v>
      </c>
      <c r="J1047" s="50">
        <v>0.0</v>
      </c>
      <c r="K1047" s="50">
        <v>0.0</v>
      </c>
      <c r="L1047" s="50">
        <v>0.0</v>
      </c>
      <c r="M1047" s="50">
        <v>0.0</v>
      </c>
      <c r="N1047" s="50">
        <v>0.0</v>
      </c>
      <c r="O1047" s="50">
        <v>0.0</v>
      </c>
      <c r="P1047" s="50">
        <v>0.0</v>
      </c>
      <c r="Q1047" s="50">
        <v>0.0</v>
      </c>
      <c r="R1047" s="50">
        <v>0.0</v>
      </c>
      <c r="S1047" s="50">
        <v>0.0</v>
      </c>
      <c r="T1047" s="50">
        <v>2.8125</v>
      </c>
      <c r="U1047" s="50">
        <v>0.0</v>
      </c>
      <c r="V1047" s="50">
        <v>0.0</v>
      </c>
      <c r="W1047" s="50">
        <v>0.0</v>
      </c>
      <c r="X1047" s="50">
        <v>2.8125</v>
      </c>
      <c r="Y1047" s="50">
        <v>5.625</v>
      </c>
    </row>
    <row r="1048">
      <c r="A1048" s="26">
        <v>1042.0</v>
      </c>
      <c r="B1048" s="65">
        <v>-0.6528973203784687</v>
      </c>
      <c r="C1048" s="65">
        <v>-1.0552639673887536</v>
      </c>
      <c r="D1048" s="65">
        <v>2.0488234642905647</v>
      </c>
      <c r="E1048" s="65">
        <v>-2.8871390921376148</v>
      </c>
      <c r="F1048" s="65">
        <v>6.731872801352754</v>
      </c>
      <c r="G1048" s="50">
        <v>0.0</v>
      </c>
      <c r="H1048" s="50">
        <v>0.0</v>
      </c>
      <c r="I1048" s="50">
        <v>0.0</v>
      </c>
      <c r="J1048" s="50">
        <v>0.0</v>
      </c>
      <c r="K1048" s="50">
        <v>0.0</v>
      </c>
      <c r="L1048" s="50">
        <v>0.0</v>
      </c>
      <c r="M1048" s="50">
        <v>0.0</v>
      </c>
      <c r="N1048" s="50">
        <v>0.0</v>
      </c>
      <c r="O1048" s="50">
        <v>0.0</v>
      </c>
      <c r="P1048" s="50">
        <v>0.0</v>
      </c>
      <c r="Q1048" s="50">
        <v>0.0</v>
      </c>
      <c r="R1048" s="50">
        <v>0.0</v>
      </c>
      <c r="S1048" s="50">
        <v>0.0</v>
      </c>
      <c r="T1048" s="50">
        <v>2.8125</v>
      </c>
      <c r="U1048" s="50">
        <v>0.0</v>
      </c>
      <c r="V1048" s="50">
        <v>5.625</v>
      </c>
      <c r="W1048" s="50">
        <v>0.0</v>
      </c>
      <c r="X1048" s="50">
        <v>2.8125</v>
      </c>
      <c r="Y1048" s="50">
        <v>11.25</v>
      </c>
    </row>
    <row r="1049">
      <c r="A1049" s="26">
        <v>1043.0</v>
      </c>
      <c r="B1049" s="65">
        <v>-0.7343119193040861</v>
      </c>
      <c r="C1049" s="65">
        <v>0.5649631724517031</v>
      </c>
      <c r="D1049" s="65">
        <v>-1.2851282651133042</v>
      </c>
      <c r="E1049" s="65">
        <v>0.7296135330337321</v>
      </c>
      <c r="F1049" s="65">
        <v>5.086028685122175</v>
      </c>
      <c r="G1049" s="50">
        <v>0.0</v>
      </c>
      <c r="H1049" s="50">
        <v>0.0</v>
      </c>
      <c r="I1049" s="50">
        <v>0.0</v>
      </c>
      <c r="J1049" s="50">
        <v>0.0</v>
      </c>
      <c r="K1049" s="50">
        <v>0.0</v>
      </c>
      <c r="L1049" s="50">
        <v>0.0</v>
      </c>
      <c r="M1049" s="50">
        <v>0.0</v>
      </c>
      <c r="N1049" s="50">
        <v>0.0</v>
      </c>
      <c r="O1049" s="50">
        <v>0.0</v>
      </c>
      <c r="P1049" s="50">
        <v>0.0</v>
      </c>
      <c r="Q1049" s="50">
        <v>0.0</v>
      </c>
      <c r="R1049" s="50">
        <v>0.0</v>
      </c>
      <c r="S1049" s="50">
        <v>0.0</v>
      </c>
      <c r="T1049" s="50">
        <v>2.8125</v>
      </c>
      <c r="U1049" s="50">
        <v>0.0</v>
      </c>
      <c r="V1049" s="50">
        <v>5.625</v>
      </c>
      <c r="W1049" s="50">
        <v>0.0</v>
      </c>
      <c r="X1049" s="50">
        <v>2.8125</v>
      </c>
      <c r="Y1049" s="50">
        <v>11.25</v>
      </c>
    </row>
    <row r="1050">
      <c r="A1050" s="26">
        <v>1044.0</v>
      </c>
      <c r="B1050" s="65">
        <v>-0.4818201361759928</v>
      </c>
      <c r="C1050" s="65">
        <v>-1.1711046769398998</v>
      </c>
      <c r="D1050" s="65">
        <v>0.3211827336369345</v>
      </c>
      <c r="E1050" s="65">
        <v>1.2467508905018312</v>
      </c>
      <c r="F1050" s="65">
        <v>3.5823233947835837</v>
      </c>
      <c r="G1050" s="50">
        <v>0.0</v>
      </c>
      <c r="H1050" s="50">
        <v>0.0</v>
      </c>
      <c r="I1050" s="50">
        <v>0.0</v>
      </c>
      <c r="J1050" s="50">
        <v>0.0</v>
      </c>
      <c r="K1050" s="50">
        <v>0.0</v>
      </c>
      <c r="L1050" s="50">
        <v>0.0</v>
      </c>
      <c r="M1050" s="50">
        <v>0.0</v>
      </c>
      <c r="N1050" s="50">
        <v>0.0</v>
      </c>
      <c r="O1050" s="50">
        <v>0.0</v>
      </c>
      <c r="P1050" s="50">
        <v>0.0</v>
      </c>
      <c r="Q1050" s="50">
        <v>0.0</v>
      </c>
      <c r="R1050" s="50">
        <v>0.0</v>
      </c>
      <c r="S1050" s="50">
        <v>0.0</v>
      </c>
      <c r="T1050" s="50">
        <v>2.8125</v>
      </c>
      <c r="U1050" s="50">
        <v>0.0</v>
      </c>
      <c r="V1050" s="50">
        <v>0.0</v>
      </c>
      <c r="W1050" s="50">
        <v>4.95</v>
      </c>
      <c r="X1050" s="50">
        <v>2.8125</v>
      </c>
      <c r="Y1050" s="50">
        <v>10.575</v>
      </c>
    </row>
    <row r="1051">
      <c r="A1051" s="26">
        <v>1045.0</v>
      </c>
      <c r="B1051" s="65">
        <v>0.06277248695759073</v>
      </c>
      <c r="C1051" s="65">
        <v>1.0804170729008749</v>
      </c>
      <c r="D1051" s="65">
        <v>0.3312258895592163</v>
      </c>
      <c r="E1051" s="65">
        <v>0.44833919191277555</v>
      </c>
      <c r="F1051" s="65">
        <v>1.897878806995555</v>
      </c>
      <c r="G1051" s="50">
        <v>0.0</v>
      </c>
      <c r="H1051" s="50">
        <v>0.0</v>
      </c>
      <c r="I1051" s="50">
        <v>0.0</v>
      </c>
      <c r="J1051" s="50">
        <v>0.0</v>
      </c>
      <c r="K1051" s="50">
        <v>0.0</v>
      </c>
      <c r="L1051" s="50">
        <v>0.0</v>
      </c>
      <c r="M1051" s="50">
        <v>0.0</v>
      </c>
      <c r="N1051" s="50">
        <v>0.0</v>
      </c>
      <c r="O1051" s="50">
        <v>0.0</v>
      </c>
      <c r="P1051" s="50">
        <v>0.0</v>
      </c>
      <c r="Q1051" s="50">
        <v>0.0</v>
      </c>
      <c r="R1051" s="50">
        <v>0.0</v>
      </c>
      <c r="S1051" s="50">
        <v>0.0</v>
      </c>
      <c r="T1051" s="50">
        <v>2.8125</v>
      </c>
      <c r="U1051" s="50">
        <v>0.0</v>
      </c>
      <c r="V1051" s="50">
        <v>5.625</v>
      </c>
      <c r="W1051" s="50">
        <v>4.95</v>
      </c>
      <c r="X1051" s="50">
        <v>2.8125</v>
      </c>
      <c r="Y1051" s="50">
        <v>16.2</v>
      </c>
    </row>
    <row r="1052">
      <c r="A1052" s="26">
        <v>1046.0</v>
      </c>
      <c r="B1052" s="65">
        <v>-1.8856372340007692</v>
      </c>
      <c r="C1052" s="65">
        <v>1.0159858013051093</v>
      </c>
      <c r="D1052" s="65">
        <v>-0.597533279765726</v>
      </c>
      <c r="E1052" s="65">
        <v>-0.03942003139692063</v>
      </c>
      <c r="F1052" s="65">
        <v>3.999926401201617</v>
      </c>
      <c r="G1052" s="50">
        <v>0.0</v>
      </c>
      <c r="H1052" s="50">
        <v>0.0</v>
      </c>
      <c r="I1052" s="50">
        <v>0.0</v>
      </c>
      <c r="J1052" s="50">
        <v>0.0</v>
      </c>
      <c r="K1052" s="50">
        <v>0.0</v>
      </c>
      <c r="L1052" s="50">
        <v>0.0</v>
      </c>
      <c r="M1052" s="50">
        <v>0.0</v>
      </c>
      <c r="N1052" s="50">
        <v>0.0</v>
      </c>
      <c r="O1052" s="50">
        <v>7.425000000000001</v>
      </c>
      <c r="P1052" s="50">
        <v>2.475</v>
      </c>
      <c r="Q1052" s="50">
        <v>0.0</v>
      </c>
      <c r="R1052" s="50">
        <v>9.9</v>
      </c>
      <c r="S1052" s="50">
        <v>0.0</v>
      </c>
      <c r="T1052" s="50">
        <v>2.8125</v>
      </c>
      <c r="U1052" s="50">
        <v>9.9</v>
      </c>
      <c r="V1052" s="50">
        <v>5.625</v>
      </c>
      <c r="W1052" s="50">
        <v>0.0</v>
      </c>
      <c r="X1052" s="50">
        <v>2.8125</v>
      </c>
      <c r="Y1052" s="50">
        <v>40.95</v>
      </c>
    </row>
    <row r="1053">
      <c r="A1053" s="26">
        <v>1047.0</v>
      </c>
      <c r="B1053" s="65">
        <v>-0.759369062603075</v>
      </c>
      <c r="C1053" s="65">
        <v>0.3177829606354288</v>
      </c>
      <c r="D1053" s="65">
        <v>-0.09944724469726403</v>
      </c>
      <c r="E1053" s="65">
        <v>0.6402488321228039</v>
      </c>
      <c r="F1053" s="65">
        <v>4.52286220195157</v>
      </c>
      <c r="G1053" s="50">
        <v>0.0</v>
      </c>
      <c r="H1053" s="50">
        <v>0.0</v>
      </c>
      <c r="I1053" s="50">
        <v>0.0</v>
      </c>
      <c r="J1053" s="50">
        <v>0.0</v>
      </c>
      <c r="K1053" s="50">
        <v>0.0</v>
      </c>
      <c r="L1053" s="50">
        <v>0.0</v>
      </c>
      <c r="M1053" s="50">
        <v>0.0</v>
      </c>
      <c r="N1053" s="50">
        <v>0.0</v>
      </c>
      <c r="O1053" s="50">
        <v>0.0</v>
      </c>
      <c r="P1053" s="50">
        <v>0.0</v>
      </c>
      <c r="Q1053" s="50">
        <v>0.0</v>
      </c>
      <c r="R1053" s="50">
        <v>0.0</v>
      </c>
      <c r="S1053" s="50">
        <v>0.0</v>
      </c>
      <c r="T1053" s="50">
        <v>2.8125</v>
      </c>
      <c r="U1053" s="50">
        <v>0.0</v>
      </c>
      <c r="V1053" s="50">
        <v>0.0</v>
      </c>
      <c r="W1053" s="50">
        <v>0.0</v>
      </c>
      <c r="X1053" s="50">
        <v>2.8125</v>
      </c>
      <c r="Y1053" s="50">
        <v>5.625</v>
      </c>
    </row>
    <row r="1054">
      <c r="A1054" s="26">
        <v>1048.0</v>
      </c>
      <c r="B1054" s="65">
        <v>-0.17115679397473824</v>
      </c>
      <c r="C1054" s="65">
        <v>0.31787671342941254</v>
      </c>
      <c r="D1054" s="65">
        <v>2.04502710482134</v>
      </c>
      <c r="E1054" s="65">
        <v>0.15227750032663787</v>
      </c>
      <c r="F1054" s="65">
        <v>4.2415944155338705</v>
      </c>
      <c r="G1054" s="50">
        <v>0.0</v>
      </c>
      <c r="H1054" s="50">
        <v>0.0</v>
      </c>
      <c r="I1054" s="50">
        <v>0.0</v>
      </c>
      <c r="J1054" s="50">
        <v>0.0</v>
      </c>
      <c r="K1054" s="50">
        <v>0.0</v>
      </c>
      <c r="L1054" s="50">
        <v>0.0</v>
      </c>
      <c r="M1054" s="50">
        <v>0.0</v>
      </c>
      <c r="N1054" s="50">
        <v>0.0</v>
      </c>
      <c r="O1054" s="50">
        <v>0.0</v>
      </c>
      <c r="P1054" s="50">
        <v>0.0</v>
      </c>
      <c r="Q1054" s="50">
        <v>0.0</v>
      </c>
      <c r="R1054" s="50">
        <v>0.0</v>
      </c>
      <c r="S1054" s="50">
        <v>0.0</v>
      </c>
      <c r="T1054" s="50">
        <v>2.8125</v>
      </c>
      <c r="U1054" s="50">
        <v>9.9</v>
      </c>
      <c r="V1054" s="50">
        <v>5.625</v>
      </c>
      <c r="W1054" s="50">
        <v>4.95</v>
      </c>
      <c r="X1054" s="50">
        <v>2.8125</v>
      </c>
      <c r="Y1054" s="50">
        <v>26.099999999999998</v>
      </c>
    </row>
    <row r="1055">
      <c r="A1055" s="26">
        <v>1049.0</v>
      </c>
      <c r="B1055" s="65">
        <v>0.4660424951426306</v>
      </c>
      <c r="C1055" s="65">
        <v>-1.9383529337394318</v>
      </c>
      <c r="D1055" s="65">
        <v>-1.1168515599987068</v>
      </c>
      <c r="E1055" s="65">
        <v>0.6100839754462131</v>
      </c>
      <c r="F1055" s="65">
        <v>9.469342990263668</v>
      </c>
      <c r="G1055" s="50">
        <v>0.0</v>
      </c>
      <c r="H1055" s="50">
        <v>0.0</v>
      </c>
      <c r="I1055" s="50">
        <v>0.0</v>
      </c>
      <c r="J1055" s="50">
        <v>0.0</v>
      </c>
      <c r="K1055" s="50">
        <v>0.0</v>
      </c>
      <c r="L1055" s="50">
        <v>0.0</v>
      </c>
      <c r="M1055" s="50">
        <v>0.0</v>
      </c>
      <c r="N1055" s="50">
        <v>0.0</v>
      </c>
      <c r="O1055" s="50">
        <v>7.425000000000001</v>
      </c>
      <c r="P1055" s="50">
        <v>0.0</v>
      </c>
      <c r="Q1055" s="50">
        <v>0.0</v>
      </c>
      <c r="R1055" s="50">
        <v>0.0</v>
      </c>
      <c r="S1055" s="50">
        <v>0.0</v>
      </c>
      <c r="T1055" s="50">
        <v>2.8125</v>
      </c>
      <c r="U1055" s="50">
        <v>0.0</v>
      </c>
      <c r="V1055" s="50">
        <v>0.0</v>
      </c>
      <c r="W1055" s="50">
        <v>0.0</v>
      </c>
      <c r="X1055" s="50">
        <v>2.8125</v>
      </c>
      <c r="Y1055" s="50">
        <v>13.05</v>
      </c>
    </row>
    <row r="1056">
      <c r="A1056" s="26">
        <v>1050.0</v>
      </c>
      <c r="B1056" s="65">
        <v>-0.09436131460680044</v>
      </c>
      <c r="C1056" s="65">
        <v>0.5863450394543734</v>
      </c>
      <c r="D1056" s="65">
        <v>1.0039171718030973</v>
      </c>
      <c r="E1056" s="65">
        <v>0.7222322218523701</v>
      </c>
      <c r="F1056" s="65">
        <v>2.7522875857587867</v>
      </c>
      <c r="G1056" s="50">
        <v>0.0</v>
      </c>
      <c r="H1056" s="50">
        <v>0.0</v>
      </c>
      <c r="I1056" s="50">
        <v>0.0</v>
      </c>
      <c r="J1056" s="50">
        <v>0.0</v>
      </c>
      <c r="K1056" s="50">
        <v>0.0</v>
      </c>
      <c r="L1056" s="50">
        <v>0.0</v>
      </c>
      <c r="M1056" s="50">
        <v>0.0</v>
      </c>
      <c r="N1056" s="50">
        <v>0.0</v>
      </c>
      <c r="O1056" s="50">
        <v>0.0</v>
      </c>
      <c r="P1056" s="50">
        <v>0.0</v>
      </c>
      <c r="Q1056" s="50">
        <v>0.0</v>
      </c>
      <c r="R1056" s="50">
        <v>0.0</v>
      </c>
      <c r="S1056" s="50">
        <v>0.0</v>
      </c>
      <c r="T1056" s="50">
        <v>2.8125</v>
      </c>
      <c r="U1056" s="50">
        <v>0.0</v>
      </c>
      <c r="V1056" s="50">
        <v>5.625</v>
      </c>
      <c r="W1056" s="50">
        <v>0.0</v>
      </c>
      <c r="X1056" s="50">
        <v>2.8125</v>
      </c>
      <c r="Y1056" s="50">
        <v>11.25</v>
      </c>
    </row>
    <row r="1057">
      <c r="A1057" s="26">
        <v>1051.0</v>
      </c>
      <c r="B1057" s="65">
        <v>0.6464662496018792</v>
      </c>
      <c r="C1057" s="65">
        <v>-1.158402472896444</v>
      </c>
      <c r="D1057" s="65">
        <v>-0.9231247196501391</v>
      </c>
      <c r="E1057" s="65">
        <v>1.2881953053699717</v>
      </c>
      <c r="F1057" s="65">
        <v>4.074309072742774</v>
      </c>
      <c r="G1057" s="50">
        <v>0.0</v>
      </c>
      <c r="H1057" s="50">
        <v>0.0</v>
      </c>
      <c r="I1057" s="50">
        <v>0.0</v>
      </c>
      <c r="J1057" s="50">
        <v>0.0</v>
      </c>
      <c r="K1057" s="50">
        <v>0.0</v>
      </c>
      <c r="L1057" s="50">
        <v>0.0</v>
      </c>
      <c r="M1057" s="50">
        <v>0.0</v>
      </c>
      <c r="N1057" s="50">
        <v>0.0</v>
      </c>
      <c r="O1057" s="50">
        <v>0.0</v>
      </c>
      <c r="P1057" s="50">
        <v>0.0</v>
      </c>
      <c r="Q1057" s="50">
        <v>0.0</v>
      </c>
      <c r="R1057" s="50">
        <v>0.0</v>
      </c>
      <c r="S1057" s="50">
        <v>0.0</v>
      </c>
      <c r="T1057" s="50">
        <v>2.8125</v>
      </c>
      <c r="U1057" s="50">
        <v>0.0</v>
      </c>
      <c r="V1057" s="50">
        <v>0.0</v>
      </c>
      <c r="W1057" s="50">
        <v>0.0</v>
      </c>
      <c r="X1057" s="50">
        <v>2.8125</v>
      </c>
      <c r="Y1057" s="50">
        <v>5.625</v>
      </c>
    </row>
    <row r="1058">
      <c r="A1058" s="26">
        <v>1052.0</v>
      </c>
      <c r="B1058" s="65">
        <v>-1.468077227618703</v>
      </c>
      <c r="C1058" s="65">
        <v>-1.5341347726067014</v>
      </c>
      <c r="D1058" s="65">
        <v>-0.9525035646846228</v>
      </c>
      <c r="E1058" s="65">
        <v>0.7045541989303049</v>
      </c>
      <c r="F1058" s="65">
        <v>3.0639123773339416</v>
      </c>
      <c r="G1058" s="50">
        <v>0.0</v>
      </c>
      <c r="H1058" s="50">
        <v>0.0</v>
      </c>
      <c r="I1058" s="50">
        <v>0.0</v>
      </c>
      <c r="J1058" s="50">
        <v>0.0</v>
      </c>
      <c r="K1058" s="50">
        <v>0.0</v>
      </c>
      <c r="L1058" s="50">
        <v>0.0</v>
      </c>
      <c r="M1058" s="50">
        <v>0.0</v>
      </c>
      <c r="N1058" s="50">
        <v>0.0</v>
      </c>
      <c r="O1058" s="50">
        <v>0.0</v>
      </c>
      <c r="P1058" s="50">
        <v>2.475</v>
      </c>
      <c r="Q1058" s="50">
        <v>0.0</v>
      </c>
      <c r="R1058" s="50">
        <v>0.0</v>
      </c>
      <c r="S1058" s="50">
        <v>0.0</v>
      </c>
      <c r="T1058" s="50">
        <v>2.8125</v>
      </c>
      <c r="U1058" s="50">
        <v>0.0</v>
      </c>
      <c r="V1058" s="50">
        <v>5.625</v>
      </c>
      <c r="W1058" s="50">
        <v>0.0</v>
      </c>
      <c r="X1058" s="50">
        <v>2.8125</v>
      </c>
      <c r="Y1058" s="50">
        <v>13.725</v>
      </c>
    </row>
    <row r="1059">
      <c r="A1059" s="26">
        <v>1053.0</v>
      </c>
      <c r="B1059" s="65">
        <v>0.8241685412222948</v>
      </c>
      <c r="C1059" s="65">
        <v>-0.8642963315180557</v>
      </c>
      <c r="D1059" s="65">
        <v>1.068940088514442</v>
      </c>
      <c r="E1059" s="65">
        <v>-0.06411445870864806</v>
      </c>
      <c r="F1059" s="65">
        <v>8.779770303019596</v>
      </c>
      <c r="G1059" s="50">
        <v>0.0</v>
      </c>
      <c r="H1059" s="50">
        <v>0.0</v>
      </c>
      <c r="I1059" s="50">
        <v>0.0</v>
      </c>
      <c r="J1059" s="50">
        <v>0.0</v>
      </c>
      <c r="K1059" s="50">
        <v>0.0</v>
      </c>
      <c r="L1059" s="50">
        <v>0.0</v>
      </c>
      <c r="M1059" s="50">
        <v>0.0</v>
      </c>
      <c r="N1059" s="50">
        <v>0.0</v>
      </c>
      <c r="O1059" s="50">
        <v>0.0</v>
      </c>
      <c r="P1059" s="50">
        <v>0.0</v>
      </c>
      <c r="Q1059" s="50">
        <v>0.0</v>
      </c>
      <c r="R1059" s="50">
        <v>0.0</v>
      </c>
      <c r="S1059" s="50">
        <v>0.0</v>
      </c>
      <c r="T1059" s="50">
        <v>2.8125</v>
      </c>
      <c r="U1059" s="50">
        <v>0.0</v>
      </c>
      <c r="V1059" s="50">
        <v>0.0</v>
      </c>
      <c r="W1059" s="50">
        <v>0.0</v>
      </c>
      <c r="X1059" s="50">
        <v>2.8125</v>
      </c>
      <c r="Y1059" s="50">
        <v>5.625</v>
      </c>
    </row>
    <row r="1060">
      <c r="A1060" s="26">
        <v>1054.0</v>
      </c>
      <c r="B1060" s="65">
        <v>-0.7171682235350451</v>
      </c>
      <c r="C1060" s="65">
        <v>-1.224921345783824</v>
      </c>
      <c r="D1060" s="65">
        <v>3.3578491632137464</v>
      </c>
      <c r="E1060" s="65">
        <v>-0.5083263776771022</v>
      </c>
      <c r="F1060" s="65">
        <v>2.5595753759177744</v>
      </c>
      <c r="G1060" s="50">
        <v>0.0</v>
      </c>
      <c r="H1060" s="50">
        <v>0.0</v>
      </c>
      <c r="I1060" s="50">
        <v>0.0</v>
      </c>
      <c r="J1060" s="50">
        <v>0.0</v>
      </c>
      <c r="K1060" s="50">
        <v>0.0</v>
      </c>
      <c r="L1060" s="50">
        <v>0.0</v>
      </c>
      <c r="M1060" s="50">
        <v>0.0</v>
      </c>
      <c r="N1060" s="50">
        <v>0.0</v>
      </c>
      <c r="O1060" s="50">
        <v>0.0</v>
      </c>
      <c r="P1060" s="50">
        <v>0.0</v>
      </c>
      <c r="Q1060" s="50">
        <v>0.0</v>
      </c>
      <c r="R1060" s="50">
        <v>0.0</v>
      </c>
      <c r="S1060" s="50">
        <v>0.0</v>
      </c>
      <c r="T1060" s="50">
        <v>2.8125</v>
      </c>
      <c r="U1060" s="50">
        <v>0.0</v>
      </c>
      <c r="V1060" s="50">
        <v>0.0</v>
      </c>
      <c r="W1060" s="50">
        <v>0.0</v>
      </c>
      <c r="X1060" s="50">
        <v>2.8125</v>
      </c>
      <c r="Y1060" s="50">
        <v>5.625</v>
      </c>
    </row>
    <row r="1061">
      <c r="A1061" s="26">
        <v>1055.0</v>
      </c>
      <c r="B1061" s="65">
        <v>-1.0295969697320695</v>
      </c>
      <c r="C1061" s="65">
        <v>-1.0769169798613814</v>
      </c>
      <c r="D1061" s="65">
        <v>-1.1962191197292726</v>
      </c>
      <c r="E1061" s="65">
        <v>0.3984886453008725</v>
      </c>
      <c r="F1061" s="65">
        <v>3.7587490714293073</v>
      </c>
      <c r="G1061" s="50">
        <v>0.0</v>
      </c>
      <c r="H1061" s="50">
        <v>0.0</v>
      </c>
      <c r="I1061" s="50">
        <v>0.0</v>
      </c>
      <c r="J1061" s="50">
        <v>0.0</v>
      </c>
      <c r="K1061" s="50">
        <v>0.0</v>
      </c>
      <c r="L1061" s="50">
        <v>0.0</v>
      </c>
      <c r="M1061" s="50">
        <v>0.0</v>
      </c>
      <c r="N1061" s="50">
        <v>0.0</v>
      </c>
      <c r="O1061" s="50">
        <v>7.425000000000001</v>
      </c>
      <c r="P1061" s="50">
        <v>0.0</v>
      </c>
      <c r="Q1061" s="50">
        <v>0.0</v>
      </c>
      <c r="R1061" s="50">
        <v>0.0</v>
      </c>
      <c r="S1061" s="50">
        <v>0.0</v>
      </c>
      <c r="T1061" s="50">
        <v>2.8125</v>
      </c>
      <c r="U1061" s="50">
        <v>9.9</v>
      </c>
      <c r="V1061" s="50">
        <v>5.625</v>
      </c>
      <c r="W1061" s="50">
        <v>0.0</v>
      </c>
      <c r="X1061" s="50">
        <v>2.8125</v>
      </c>
      <c r="Y1061" s="50">
        <v>28.575000000000003</v>
      </c>
    </row>
    <row r="1062">
      <c r="A1062" s="26">
        <v>1056.0</v>
      </c>
      <c r="B1062" s="65">
        <v>1.4241594038915015</v>
      </c>
      <c r="C1062" s="65">
        <v>-0.1348601453567401</v>
      </c>
      <c r="D1062" s="65">
        <v>0.5361872740621906</v>
      </c>
      <c r="E1062" s="65">
        <v>0.05453032426309534</v>
      </c>
      <c r="F1062" s="65">
        <v>2.8301155721633795</v>
      </c>
      <c r="G1062" s="50">
        <v>0.0</v>
      </c>
      <c r="H1062" s="50">
        <v>0.0</v>
      </c>
      <c r="I1062" s="50">
        <v>0.0</v>
      </c>
      <c r="J1062" s="50">
        <v>0.0</v>
      </c>
      <c r="K1062" s="50">
        <v>0.0</v>
      </c>
      <c r="L1062" s="50">
        <v>0.0</v>
      </c>
      <c r="M1062" s="50">
        <v>0.0</v>
      </c>
      <c r="N1062" s="50">
        <v>0.0</v>
      </c>
      <c r="O1062" s="50">
        <v>0.0</v>
      </c>
      <c r="P1062" s="50">
        <v>0.0</v>
      </c>
      <c r="Q1062" s="50">
        <v>0.0</v>
      </c>
      <c r="R1062" s="50">
        <v>0.0</v>
      </c>
      <c r="S1062" s="50">
        <v>0.0</v>
      </c>
      <c r="T1062" s="50">
        <v>2.8125</v>
      </c>
      <c r="U1062" s="50">
        <v>0.0</v>
      </c>
      <c r="V1062" s="50">
        <v>5.625</v>
      </c>
      <c r="W1062" s="50">
        <v>0.0</v>
      </c>
      <c r="X1062" s="50">
        <v>2.8125</v>
      </c>
      <c r="Y1062" s="50">
        <v>11.25</v>
      </c>
    </row>
    <row r="1063">
      <c r="A1063" s="26">
        <v>1057.0</v>
      </c>
      <c r="B1063" s="65">
        <v>-2.0249414476498897</v>
      </c>
      <c r="C1063" s="65">
        <v>-0.26150556523986773</v>
      </c>
      <c r="D1063" s="65">
        <v>-1.4333815491076856</v>
      </c>
      <c r="E1063" s="65">
        <v>1.1422176242957718</v>
      </c>
      <c r="F1063" s="65">
        <v>6.087315215530027</v>
      </c>
      <c r="G1063" s="50">
        <v>0.0</v>
      </c>
      <c r="H1063" s="50">
        <v>0.0</v>
      </c>
      <c r="I1063" s="50">
        <v>0.0</v>
      </c>
      <c r="J1063" s="50">
        <v>0.0</v>
      </c>
      <c r="K1063" s="50">
        <v>0.0</v>
      </c>
      <c r="L1063" s="50">
        <v>0.0</v>
      </c>
      <c r="M1063" s="50">
        <v>0.0</v>
      </c>
      <c r="N1063" s="50">
        <v>0.0</v>
      </c>
      <c r="O1063" s="50">
        <v>0.0</v>
      </c>
      <c r="P1063" s="50">
        <v>0.0</v>
      </c>
      <c r="Q1063" s="50">
        <v>0.0</v>
      </c>
      <c r="R1063" s="50">
        <v>0.0</v>
      </c>
      <c r="S1063" s="50">
        <v>0.0</v>
      </c>
      <c r="T1063" s="50">
        <v>2.8125</v>
      </c>
      <c r="U1063" s="50">
        <v>0.0</v>
      </c>
      <c r="V1063" s="50">
        <v>5.625</v>
      </c>
      <c r="W1063" s="50">
        <v>0.0</v>
      </c>
      <c r="X1063" s="50">
        <v>2.8125</v>
      </c>
      <c r="Y1063" s="50">
        <v>11.25</v>
      </c>
    </row>
    <row r="1064">
      <c r="A1064" s="26">
        <v>1058.0</v>
      </c>
      <c r="B1064" s="65">
        <v>-0.16970032713609357</v>
      </c>
      <c r="C1064" s="65">
        <v>-0.1640295390953081</v>
      </c>
      <c r="D1064" s="65">
        <v>0.9876111201117375</v>
      </c>
      <c r="E1064" s="65">
        <v>-0.9744525429512139</v>
      </c>
      <c r="F1064" s="65">
        <v>7.256120094527306</v>
      </c>
      <c r="G1064" s="50">
        <v>0.0</v>
      </c>
      <c r="H1064" s="50">
        <v>0.0</v>
      </c>
      <c r="I1064" s="50">
        <v>0.0</v>
      </c>
      <c r="J1064" s="50">
        <v>0.0</v>
      </c>
      <c r="K1064" s="50">
        <v>0.0</v>
      </c>
      <c r="L1064" s="50">
        <v>0.0</v>
      </c>
      <c r="M1064" s="50">
        <v>0.0</v>
      </c>
      <c r="N1064" s="50">
        <v>0.0</v>
      </c>
      <c r="O1064" s="50">
        <v>0.0</v>
      </c>
      <c r="P1064" s="50">
        <v>0.0</v>
      </c>
      <c r="Q1064" s="50">
        <v>0.0</v>
      </c>
      <c r="R1064" s="50">
        <v>0.0</v>
      </c>
      <c r="S1064" s="50">
        <v>0.0</v>
      </c>
      <c r="T1064" s="50">
        <v>2.8125</v>
      </c>
      <c r="U1064" s="50">
        <v>0.0</v>
      </c>
      <c r="V1064" s="50">
        <v>5.625</v>
      </c>
      <c r="W1064" s="50">
        <v>0.0</v>
      </c>
      <c r="X1064" s="50">
        <v>2.8125</v>
      </c>
      <c r="Y1064" s="50">
        <v>11.25</v>
      </c>
    </row>
    <row r="1065">
      <c r="A1065" s="26">
        <v>1059.0</v>
      </c>
      <c r="B1065" s="65">
        <v>-0.1559971417503711</v>
      </c>
      <c r="C1065" s="65">
        <v>1.0101446065974427</v>
      </c>
      <c r="D1065" s="65">
        <v>-0.842968949897412</v>
      </c>
      <c r="E1065" s="65">
        <v>1.999658508637216</v>
      </c>
      <c r="F1065" s="65">
        <v>2.085604294371696</v>
      </c>
      <c r="G1065" s="50">
        <v>0.0</v>
      </c>
      <c r="H1065" s="50">
        <v>0.0</v>
      </c>
      <c r="I1065" s="50">
        <v>0.0</v>
      </c>
      <c r="J1065" s="50">
        <v>0.0</v>
      </c>
      <c r="K1065" s="50">
        <v>0.0</v>
      </c>
      <c r="L1065" s="50">
        <v>0.0</v>
      </c>
      <c r="M1065" s="50">
        <v>0.0</v>
      </c>
      <c r="N1065" s="50">
        <v>0.0</v>
      </c>
      <c r="O1065" s="50">
        <v>0.0</v>
      </c>
      <c r="P1065" s="50">
        <v>0.0</v>
      </c>
      <c r="Q1065" s="50">
        <v>0.0</v>
      </c>
      <c r="R1065" s="50">
        <v>9.9</v>
      </c>
      <c r="S1065" s="50">
        <v>0.0</v>
      </c>
      <c r="T1065" s="50">
        <v>2.8125</v>
      </c>
      <c r="U1065" s="50">
        <v>0.0</v>
      </c>
      <c r="V1065" s="50">
        <v>0.0</v>
      </c>
      <c r="W1065" s="50">
        <v>0.0</v>
      </c>
      <c r="X1065" s="50">
        <v>2.8125</v>
      </c>
      <c r="Y1065" s="50">
        <v>15.525</v>
      </c>
    </row>
    <row r="1066">
      <c r="A1066" s="26">
        <v>1060.0</v>
      </c>
      <c r="B1066" s="65">
        <v>0.4056930712967245</v>
      </c>
      <c r="C1066" s="65">
        <v>0.2818737892823172</v>
      </c>
      <c r="D1066" s="65">
        <v>0.8617968801172927</v>
      </c>
      <c r="E1066" s="65">
        <v>0.7803028249172427</v>
      </c>
      <c r="F1066" s="65">
        <v>9.998793471367357</v>
      </c>
      <c r="G1066" s="50">
        <v>0.0</v>
      </c>
      <c r="H1066" s="50">
        <v>0.0</v>
      </c>
      <c r="I1066" s="50">
        <v>0.0</v>
      </c>
      <c r="J1066" s="50">
        <v>0.0</v>
      </c>
      <c r="K1066" s="50">
        <v>0.0</v>
      </c>
      <c r="L1066" s="50">
        <v>0.0</v>
      </c>
      <c r="M1066" s="50">
        <v>0.0</v>
      </c>
      <c r="N1066" s="50">
        <v>0.0</v>
      </c>
      <c r="O1066" s="50">
        <v>0.0</v>
      </c>
      <c r="P1066" s="50">
        <v>0.0</v>
      </c>
      <c r="Q1066" s="50">
        <v>0.0</v>
      </c>
      <c r="R1066" s="50">
        <v>0.0</v>
      </c>
      <c r="S1066" s="50">
        <v>0.0</v>
      </c>
      <c r="T1066" s="50">
        <v>2.8125</v>
      </c>
      <c r="U1066" s="50">
        <v>0.0</v>
      </c>
      <c r="V1066" s="50">
        <v>0.0</v>
      </c>
      <c r="W1066" s="50">
        <v>0.0</v>
      </c>
      <c r="X1066" s="50">
        <v>2.8125</v>
      </c>
      <c r="Y1066" s="50">
        <v>5.625</v>
      </c>
    </row>
    <row r="1067">
      <c r="A1067" s="26">
        <v>1061.0</v>
      </c>
      <c r="B1067" s="65">
        <v>0.1876875355225993</v>
      </c>
      <c r="C1067" s="65">
        <v>0.960124920555898</v>
      </c>
      <c r="D1067" s="65">
        <v>0.04442662985415271</v>
      </c>
      <c r="E1067" s="65">
        <v>-1.0212594038833107</v>
      </c>
      <c r="F1067" s="65">
        <v>15.20681151712857</v>
      </c>
      <c r="G1067" s="50">
        <v>0.0</v>
      </c>
      <c r="H1067" s="50">
        <v>0.0</v>
      </c>
      <c r="I1067" s="50">
        <v>0.0</v>
      </c>
      <c r="J1067" s="50">
        <v>0.0</v>
      </c>
      <c r="K1067" s="50">
        <v>0.0</v>
      </c>
      <c r="L1067" s="50">
        <v>0.0</v>
      </c>
      <c r="M1067" s="50">
        <v>0.0</v>
      </c>
      <c r="N1067" s="50">
        <v>0.0</v>
      </c>
      <c r="O1067" s="50">
        <v>0.0</v>
      </c>
      <c r="P1067" s="50">
        <v>0.0</v>
      </c>
      <c r="Q1067" s="50">
        <v>0.0</v>
      </c>
      <c r="R1067" s="50">
        <v>0.0</v>
      </c>
      <c r="S1067" s="50">
        <v>0.0</v>
      </c>
      <c r="T1067" s="50">
        <v>2.8125</v>
      </c>
      <c r="U1067" s="50">
        <v>0.0</v>
      </c>
      <c r="V1067" s="50">
        <v>0.0</v>
      </c>
      <c r="W1067" s="50">
        <v>0.0</v>
      </c>
      <c r="X1067" s="50">
        <v>2.8125</v>
      </c>
      <c r="Y1067" s="50">
        <v>5.625</v>
      </c>
    </row>
    <row r="1068">
      <c r="A1068" s="26">
        <v>1062.0</v>
      </c>
      <c r="B1068" s="65">
        <v>0.052051234627187935</v>
      </c>
      <c r="C1068" s="65">
        <v>-0.44246340130088074</v>
      </c>
      <c r="D1068" s="65">
        <v>-0.9120391808379452</v>
      </c>
      <c r="E1068" s="65">
        <v>-1.7083148539189408</v>
      </c>
      <c r="F1068" s="65">
        <v>1.4393116800380508</v>
      </c>
      <c r="G1068" s="50">
        <v>0.0</v>
      </c>
      <c r="H1068" s="50">
        <v>0.0</v>
      </c>
      <c r="I1068" s="50">
        <v>0.0</v>
      </c>
      <c r="J1068" s="50">
        <v>0.0</v>
      </c>
      <c r="K1068" s="50">
        <v>0.0</v>
      </c>
      <c r="L1068" s="50">
        <v>0.0</v>
      </c>
      <c r="M1068" s="50">
        <v>0.0</v>
      </c>
      <c r="N1068" s="50">
        <v>0.0</v>
      </c>
      <c r="O1068" s="50">
        <v>0.0</v>
      </c>
      <c r="P1068" s="50">
        <v>0.0</v>
      </c>
      <c r="Q1068" s="50">
        <v>0.0</v>
      </c>
      <c r="R1068" s="50">
        <v>9.9</v>
      </c>
      <c r="S1068" s="50">
        <v>0.0</v>
      </c>
      <c r="T1068" s="50">
        <v>2.8125</v>
      </c>
      <c r="U1068" s="50">
        <v>0.0</v>
      </c>
      <c r="V1068" s="50">
        <v>5.625</v>
      </c>
      <c r="W1068" s="50">
        <v>4.95</v>
      </c>
      <c r="X1068" s="50">
        <v>2.8125</v>
      </c>
      <c r="Y1068" s="50">
        <v>26.099999999999998</v>
      </c>
    </row>
    <row r="1069">
      <c r="A1069" s="26">
        <v>1063.0</v>
      </c>
      <c r="B1069" s="65">
        <v>0.9492709060994658</v>
      </c>
      <c r="C1069" s="65">
        <v>0.8971338085783727</v>
      </c>
      <c r="D1069" s="65">
        <v>0.9104308587217828</v>
      </c>
      <c r="E1069" s="65">
        <v>-0.3372322195438563</v>
      </c>
      <c r="F1069" s="65">
        <v>1.981795188571225</v>
      </c>
      <c r="G1069" s="50">
        <v>0.0</v>
      </c>
      <c r="H1069" s="50">
        <v>0.0</v>
      </c>
      <c r="I1069" s="50">
        <v>0.0</v>
      </c>
      <c r="J1069" s="50">
        <v>0.0</v>
      </c>
      <c r="K1069" s="50">
        <v>0.0</v>
      </c>
      <c r="L1069" s="50">
        <v>0.0</v>
      </c>
      <c r="M1069" s="50">
        <v>0.0</v>
      </c>
      <c r="N1069" s="50">
        <v>0.0</v>
      </c>
      <c r="O1069" s="50">
        <v>0.0</v>
      </c>
      <c r="P1069" s="50">
        <v>0.0</v>
      </c>
      <c r="Q1069" s="50">
        <v>0.0</v>
      </c>
      <c r="R1069" s="50">
        <v>9.9</v>
      </c>
      <c r="S1069" s="50">
        <v>0.0</v>
      </c>
      <c r="T1069" s="50">
        <v>2.8125</v>
      </c>
      <c r="U1069" s="50">
        <v>0.0</v>
      </c>
      <c r="V1069" s="50">
        <v>5.625</v>
      </c>
      <c r="W1069" s="50">
        <v>0.0</v>
      </c>
      <c r="X1069" s="50">
        <v>2.8125</v>
      </c>
      <c r="Y1069" s="50">
        <v>21.15</v>
      </c>
    </row>
    <row r="1070">
      <c r="A1070" s="26">
        <v>1064.0</v>
      </c>
      <c r="B1070" s="65">
        <v>-0.48858299575691067</v>
      </c>
      <c r="C1070" s="65">
        <v>1.303212355938044</v>
      </c>
      <c r="D1070" s="65">
        <v>0.5183869516566856</v>
      </c>
      <c r="E1070" s="65">
        <v>-1.1438311515514332</v>
      </c>
      <c r="F1070" s="65">
        <v>3.786382967458321</v>
      </c>
      <c r="G1070" s="50">
        <v>0.0</v>
      </c>
      <c r="H1070" s="50">
        <v>0.0</v>
      </c>
      <c r="I1070" s="50">
        <v>0.0</v>
      </c>
      <c r="J1070" s="50">
        <v>0.0</v>
      </c>
      <c r="K1070" s="50">
        <v>0.0</v>
      </c>
      <c r="L1070" s="50">
        <v>0.0</v>
      </c>
      <c r="M1070" s="50">
        <v>0.0</v>
      </c>
      <c r="N1070" s="50">
        <v>0.0</v>
      </c>
      <c r="O1070" s="50">
        <v>0.0</v>
      </c>
      <c r="P1070" s="50">
        <v>2.475</v>
      </c>
      <c r="Q1070" s="50">
        <v>0.0</v>
      </c>
      <c r="R1070" s="50">
        <v>0.0</v>
      </c>
      <c r="S1070" s="50">
        <v>0.0</v>
      </c>
      <c r="T1070" s="50">
        <v>2.8125</v>
      </c>
      <c r="U1070" s="50">
        <v>0.0</v>
      </c>
      <c r="V1070" s="50">
        <v>0.0</v>
      </c>
      <c r="W1070" s="50">
        <v>0.0</v>
      </c>
      <c r="X1070" s="50">
        <v>2.8125</v>
      </c>
      <c r="Y1070" s="50">
        <v>8.1</v>
      </c>
    </row>
    <row r="1071">
      <c r="A1071" s="26">
        <v>1065.0</v>
      </c>
      <c r="B1071" s="65">
        <v>1.3411183459628966</v>
      </c>
      <c r="C1071" s="65">
        <v>0.11242854934583768</v>
      </c>
      <c r="D1071" s="65">
        <v>0.13622269874960724</v>
      </c>
      <c r="E1071" s="65">
        <v>-2.7319389535070893</v>
      </c>
      <c r="F1071" s="65">
        <v>5.954155397549604</v>
      </c>
      <c r="G1071" s="50">
        <v>0.0</v>
      </c>
      <c r="H1071" s="50">
        <v>0.0</v>
      </c>
      <c r="I1071" s="50">
        <v>0.0</v>
      </c>
      <c r="J1071" s="50">
        <v>0.0</v>
      </c>
      <c r="K1071" s="50">
        <v>0.0</v>
      </c>
      <c r="L1071" s="50">
        <v>0.0</v>
      </c>
      <c r="M1071" s="50">
        <v>0.0</v>
      </c>
      <c r="N1071" s="50">
        <v>0.0</v>
      </c>
      <c r="O1071" s="50">
        <v>0.0</v>
      </c>
      <c r="P1071" s="50">
        <v>0.0</v>
      </c>
      <c r="Q1071" s="50">
        <v>0.0</v>
      </c>
      <c r="R1071" s="50">
        <v>0.0</v>
      </c>
      <c r="S1071" s="50">
        <v>0.0</v>
      </c>
      <c r="T1071" s="50">
        <v>2.8125</v>
      </c>
      <c r="U1071" s="50">
        <v>0.0</v>
      </c>
      <c r="V1071" s="50">
        <v>5.625</v>
      </c>
      <c r="W1071" s="50">
        <v>0.0</v>
      </c>
      <c r="X1071" s="50">
        <v>2.8125</v>
      </c>
      <c r="Y1071" s="50">
        <v>11.25</v>
      </c>
    </row>
    <row r="1072">
      <c r="A1072" s="26">
        <v>1066.0</v>
      </c>
      <c r="B1072" s="65">
        <v>-1.8523510763723343</v>
      </c>
      <c r="C1072" s="65">
        <v>1.3038495252429987</v>
      </c>
      <c r="D1072" s="65">
        <v>0.6603520792166429</v>
      </c>
      <c r="E1072" s="65">
        <v>2.283209109053186</v>
      </c>
      <c r="F1072" s="65">
        <v>11.884402080348604</v>
      </c>
      <c r="G1072" s="50">
        <v>0.0</v>
      </c>
      <c r="H1072" s="50">
        <v>0.0</v>
      </c>
      <c r="I1072" s="50">
        <v>0.0</v>
      </c>
      <c r="J1072" s="50">
        <v>0.0</v>
      </c>
      <c r="K1072" s="50">
        <v>0.0</v>
      </c>
      <c r="L1072" s="50">
        <v>0.0</v>
      </c>
      <c r="M1072" s="50">
        <v>0.0</v>
      </c>
      <c r="N1072" s="50">
        <v>0.0</v>
      </c>
      <c r="O1072" s="50">
        <v>0.0</v>
      </c>
      <c r="P1072" s="50">
        <v>0.0</v>
      </c>
      <c r="Q1072" s="50">
        <v>0.0</v>
      </c>
      <c r="R1072" s="50">
        <v>0.0</v>
      </c>
      <c r="S1072" s="50">
        <v>0.0</v>
      </c>
      <c r="T1072" s="50">
        <v>2.8125</v>
      </c>
      <c r="U1072" s="50">
        <v>0.0</v>
      </c>
      <c r="V1072" s="50">
        <v>5.625</v>
      </c>
      <c r="W1072" s="50">
        <v>0.0</v>
      </c>
      <c r="X1072" s="50">
        <v>2.8125</v>
      </c>
      <c r="Y1072" s="50">
        <v>11.25</v>
      </c>
    </row>
    <row r="1073">
      <c r="A1073" s="26">
        <v>1067.0</v>
      </c>
      <c r="B1073" s="65">
        <v>0.3989691532781296</v>
      </c>
      <c r="C1073" s="65">
        <v>-0.9900149686557815</v>
      </c>
      <c r="D1073" s="65">
        <v>0.12534970286958935</v>
      </c>
      <c r="E1073" s="65">
        <v>0.503081076289065</v>
      </c>
      <c r="F1073" s="65">
        <v>1.1963750739587034</v>
      </c>
      <c r="G1073" s="50">
        <v>0.0</v>
      </c>
      <c r="H1073" s="50">
        <v>0.0</v>
      </c>
      <c r="I1073" s="50">
        <v>0.0</v>
      </c>
      <c r="J1073" s="50">
        <v>0.0</v>
      </c>
      <c r="K1073" s="50">
        <v>0.0</v>
      </c>
      <c r="L1073" s="50">
        <v>0.0</v>
      </c>
      <c r="M1073" s="50">
        <v>0.0</v>
      </c>
      <c r="N1073" s="50">
        <v>0.0</v>
      </c>
      <c r="O1073" s="50">
        <v>0.0</v>
      </c>
      <c r="P1073" s="50">
        <v>0.0</v>
      </c>
      <c r="Q1073" s="50">
        <v>0.0</v>
      </c>
      <c r="R1073" s="50">
        <v>0.0</v>
      </c>
      <c r="S1073" s="50">
        <v>0.0</v>
      </c>
      <c r="T1073" s="50">
        <v>2.8125</v>
      </c>
      <c r="U1073" s="50">
        <v>9.9</v>
      </c>
      <c r="V1073" s="50">
        <v>5.625</v>
      </c>
      <c r="W1073" s="50">
        <v>0.0</v>
      </c>
      <c r="X1073" s="50">
        <v>2.8125</v>
      </c>
      <c r="Y1073" s="50">
        <v>21.15</v>
      </c>
    </row>
    <row r="1074">
      <c r="A1074" s="26">
        <v>1068.0</v>
      </c>
      <c r="B1074" s="65">
        <v>0.6272988844827501</v>
      </c>
      <c r="C1074" s="65">
        <v>1.863159019306014</v>
      </c>
      <c r="D1074" s="65">
        <v>0.36096159227287433</v>
      </c>
      <c r="E1074" s="65">
        <v>-0.3823691637731898</v>
      </c>
      <c r="F1074" s="65">
        <v>3.330367349408758</v>
      </c>
      <c r="G1074" s="50">
        <v>0.0</v>
      </c>
      <c r="H1074" s="50">
        <v>0.0</v>
      </c>
      <c r="I1074" s="50">
        <v>0.0</v>
      </c>
      <c r="J1074" s="50">
        <v>0.0</v>
      </c>
      <c r="K1074" s="50">
        <v>0.0</v>
      </c>
      <c r="L1074" s="50">
        <v>0.0</v>
      </c>
      <c r="M1074" s="50">
        <v>0.0</v>
      </c>
      <c r="N1074" s="50">
        <v>0.0</v>
      </c>
      <c r="O1074" s="50">
        <v>0.0</v>
      </c>
      <c r="P1074" s="50">
        <v>0.0</v>
      </c>
      <c r="Q1074" s="50">
        <v>0.0</v>
      </c>
      <c r="R1074" s="50">
        <v>0.0</v>
      </c>
      <c r="S1074" s="50">
        <v>0.0</v>
      </c>
      <c r="T1074" s="50">
        <v>2.8125</v>
      </c>
      <c r="U1074" s="50">
        <v>0.0</v>
      </c>
      <c r="V1074" s="50">
        <v>0.0</v>
      </c>
      <c r="W1074" s="50">
        <v>0.0</v>
      </c>
      <c r="X1074" s="50">
        <v>2.8125</v>
      </c>
      <c r="Y1074" s="50">
        <v>5.625</v>
      </c>
    </row>
    <row r="1075">
      <c r="A1075" s="26">
        <v>1069.0</v>
      </c>
      <c r="B1075" s="65">
        <v>-0.4785262300389954</v>
      </c>
      <c r="C1075" s="65">
        <v>-1.572937319320734</v>
      </c>
      <c r="D1075" s="65">
        <v>0.7457570862497589</v>
      </c>
      <c r="E1075" s="65">
        <v>-0.8205973861870886</v>
      </c>
      <c r="F1075" s="65">
        <v>4.094769182199033</v>
      </c>
      <c r="G1075" s="50">
        <v>0.0</v>
      </c>
      <c r="H1075" s="50">
        <v>0.0</v>
      </c>
      <c r="I1075" s="50">
        <v>0.0</v>
      </c>
      <c r="J1075" s="50">
        <v>0.0</v>
      </c>
      <c r="K1075" s="50">
        <v>0.0</v>
      </c>
      <c r="L1075" s="50">
        <v>0.0</v>
      </c>
      <c r="M1075" s="50">
        <v>0.0</v>
      </c>
      <c r="N1075" s="50">
        <v>0.0</v>
      </c>
      <c r="O1075" s="50">
        <v>0.0</v>
      </c>
      <c r="P1075" s="50">
        <v>0.0</v>
      </c>
      <c r="Q1075" s="50">
        <v>0.0</v>
      </c>
      <c r="R1075" s="50">
        <v>0.0</v>
      </c>
      <c r="S1075" s="50">
        <v>0.0</v>
      </c>
      <c r="T1075" s="50">
        <v>2.8125</v>
      </c>
      <c r="U1075" s="50">
        <v>0.0</v>
      </c>
      <c r="V1075" s="50">
        <v>0.0</v>
      </c>
      <c r="W1075" s="50">
        <v>0.0</v>
      </c>
      <c r="X1075" s="50">
        <v>2.8125</v>
      </c>
      <c r="Y1075" s="50">
        <v>5.625</v>
      </c>
    </row>
    <row r="1076">
      <c r="A1076" s="26">
        <v>1070.0</v>
      </c>
      <c r="B1076" s="65">
        <v>0.07257897574581093</v>
      </c>
      <c r="C1076" s="65">
        <v>-1.0279655282905356</v>
      </c>
      <c r="D1076" s="65">
        <v>-1.1061011616789835</v>
      </c>
      <c r="E1076" s="65">
        <v>1.3033688627022753</v>
      </c>
      <c r="F1076" s="65">
        <v>4.616085443623334</v>
      </c>
      <c r="G1076" s="50">
        <v>0.0</v>
      </c>
      <c r="H1076" s="50">
        <v>0.0</v>
      </c>
      <c r="I1076" s="50">
        <v>0.0</v>
      </c>
      <c r="J1076" s="50">
        <v>0.0</v>
      </c>
      <c r="K1076" s="50">
        <v>0.0</v>
      </c>
      <c r="L1076" s="50">
        <v>0.0</v>
      </c>
      <c r="M1076" s="50">
        <v>0.0</v>
      </c>
      <c r="N1076" s="50">
        <v>0.0</v>
      </c>
      <c r="O1076" s="50">
        <v>0.0</v>
      </c>
      <c r="P1076" s="50">
        <v>0.0</v>
      </c>
      <c r="Q1076" s="50">
        <v>0.0</v>
      </c>
      <c r="R1076" s="50">
        <v>9.9</v>
      </c>
      <c r="S1076" s="50">
        <v>0.0</v>
      </c>
      <c r="T1076" s="50">
        <v>2.8125</v>
      </c>
      <c r="U1076" s="50">
        <v>0.0</v>
      </c>
      <c r="V1076" s="50">
        <v>0.0</v>
      </c>
      <c r="W1076" s="50">
        <v>0.0</v>
      </c>
      <c r="X1076" s="50">
        <v>2.8125</v>
      </c>
      <c r="Y1076" s="50">
        <v>15.525</v>
      </c>
    </row>
    <row r="1077">
      <c r="A1077" s="26">
        <v>1071.0</v>
      </c>
      <c r="B1077" s="65">
        <v>-1.2855677368898333</v>
      </c>
      <c r="C1077" s="65">
        <v>0.6021392081935862</v>
      </c>
      <c r="D1077" s="65">
        <v>-0.19386996917615812</v>
      </c>
      <c r="E1077" s="65">
        <v>0.35760060305600394</v>
      </c>
      <c r="F1077" s="65">
        <v>0.977865329584862</v>
      </c>
      <c r="G1077" s="50">
        <v>0.0</v>
      </c>
      <c r="H1077" s="50">
        <v>0.0</v>
      </c>
      <c r="I1077" s="50">
        <v>0.0</v>
      </c>
      <c r="J1077" s="50">
        <v>0.0</v>
      </c>
      <c r="K1077" s="50">
        <v>0.0</v>
      </c>
      <c r="L1077" s="50">
        <v>0.0</v>
      </c>
      <c r="M1077" s="50">
        <v>0.0</v>
      </c>
      <c r="N1077" s="50">
        <v>0.0</v>
      </c>
      <c r="O1077" s="50">
        <v>0.0</v>
      </c>
      <c r="P1077" s="50">
        <v>0.0</v>
      </c>
      <c r="Q1077" s="50">
        <v>0.0</v>
      </c>
      <c r="R1077" s="50">
        <v>0.0</v>
      </c>
      <c r="S1077" s="50">
        <v>0.0</v>
      </c>
      <c r="T1077" s="50">
        <v>2.8125</v>
      </c>
      <c r="U1077" s="50">
        <v>9.9</v>
      </c>
      <c r="V1077" s="50">
        <v>5.625</v>
      </c>
      <c r="W1077" s="50">
        <v>0.0</v>
      </c>
      <c r="X1077" s="50">
        <v>2.8125</v>
      </c>
      <c r="Y1077" s="50">
        <v>21.15</v>
      </c>
    </row>
    <row r="1078">
      <c r="A1078" s="26">
        <v>1072.0</v>
      </c>
      <c r="B1078" s="65">
        <v>1.6857691436790547</v>
      </c>
      <c r="C1078" s="65">
        <v>0.2768884715497465</v>
      </c>
      <c r="D1078" s="65">
        <v>1.7349772587015704</v>
      </c>
      <c r="E1078" s="65">
        <v>0.34224890008885633</v>
      </c>
      <c r="F1078" s="65">
        <v>5.022786241796944</v>
      </c>
      <c r="G1078" s="50">
        <v>0.0</v>
      </c>
      <c r="H1078" s="50">
        <v>0.0</v>
      </c>
      <c r="I1078" s="50">
        <v>0.0</v>
      </c>
      <c r="J1078" s="50">
        <v>0.0</v>
      </c>
      <c r="K1078" s="50">
        <v>0.0</v>
      </c>
      <c r="L1078" s="50">
        <v>0.0</v>
      </c>
      <c r="M1078" s="50">
        <v>0.0</v>
      </c>
      <c r="N1078" s="50">
        <v>0.0</v>
      </c>
      <c r="O1078" s="50">
        <v>0.0</v>
      </c>
      <c r="P1078" s="50">
        <v>0.0</v>
      </c>
      <c r="Q1078" s="50">
        <v>0.0</v>
      </c>
      <c r="R1078" s="50">
        <v>0.0</v>
      </c>
      <c r="S1078" s="50">
        <v>0.0</v>
      </c>
      <c r="T1078" s="50">
        <v>2.8125</v>
      </c>
      <c r="U1078" s="50">
        <v>0.0</v>
      </c>
      <c r="V1078" s="50">
        <v>0.0</v>
      </c>
      <c r="W1078" s="50">
        <v>0.0</v>
      </c>
      <c r="X1078" s="50">
        <v>2.8125</v>
      </c>
      <c r="Y1078" s="50">
        <v>5.625</v>
      </c>
    </row>
    <row r="1079">
      <c r="A1079" s="26">
        <v>1073.0</v>
      </c>
      <c r="B1079" s="65">
        <v>-0.3339876566721481</v>
      </c>
      <c r="C1079" s="65">
        <v>-1.6446497754607374</v>
      </c>
      <c r="D1079" s="65">
        <v>-0.06328149231997923</v>
      </c>
      <c r="E1079" s="65">
        <v>1.6610517548457147</v>
      </c>
      <c r="F1079" s="65">
        <v>0.5834314552899933</v>
      </c>
      <c r="G1079" s="50">
        <v>0.0</v>
      </c>
      <c r="H1079" s="50">
        <v>0.0</v>
      </c>
      <c r="I1079" s="50">
        <v>0.0</v>
      </c>
      <c r="J1079" s="50">
        <v>0.0</v>
      </c>
      <c r="K1079" s="50">
        <v>0.0</v>
      </c>
      <c r="L1079" s="50">
        <v>0.0</v>
      </c>
      <c r="M1079" s="50">
        <v>0.0</v>
      </c>
      <c r="N1079" s="50">
        <v>0.0</v>
      </c>
      <c r="O1079" s="50">
        <v>7.425000000000001</v>
      </c>
      <c r="P1079" s="50">
        <v>0.0</v>
      </c>
      <c r="Q1079" s="50">
        <v>0.0</v>
      </c>
      <c r="R1079" s="50">
        <v>0.0</v>
      </c>
      <c r="S1079" s="50">
        <v>0.0</v>
      </c>
      <c r="T1079" s="50">
        <v>2.8125</v>
      </c>
      <c r="U1079" s="50">
        <v>0.0</v>
      </c>
      <c r="V1079" s="50">
        <v>0.0</v>
      </c>
      <c r="W1079" s="50">
        <v>4.95</v>
      </c>
      <c r="X1079" s="50">
        <v>2.8125</v>
      </c>
      <c r="Y1079" s="50">
        <v>18.0</v>
      </c>
    </row>
    <row r="1080">
      <c r="A1080" s="26">
        <v>1074.0</v>
      </c>
      <c r="B1080" s="65">
        <v>-0.39148554778592604</v>
      </c>
      <c r="C1080" s="65">
        <v>1.2931169509889604</v>
      </c>
      <c r="D1080" s="65">
        <v>1.8923656204934138</v>
      </c>
      <c r="E1080" s="65">
        <v>0.556457678712912</v>
      </c>
      <c r="F1080" s="65">
        <v>6.405585324014448</v>
      </c>
      <c r="G1080" s="50">
        <v>0.0</v>
      </c>
      <c r="H1080" s="50">
        <v>0.0</v>
      </c>
      <c r="I1080" s="50">
        <v>0.0</v>
      </c>
      <c r="J1080" s="50">
        <v>0.0</v>
      </c>
      <c r="K1080" s="50">
        <v>0.0</v>
      </c>
      <c r="L1080" s="50">
        <v>0.0</v>
      </c>
      <c r="M1080" s="50">
        <v>0.0</v>
      </c>
      <c r="N1080" s="50">
        <v>0.0</v>
      </c>
      <c r="O1080" s="50">
        <v>0.0</v>
      </c>
      <c r="P1080" s="50">
        <v>0.0</v>
      </c>
      <c r="Q1080" s="50">
        <v>0.0</v>
      </c>
      <c r="R1080" s="50">
        <v>0.0</v>
      </c>
      <c r="S1080" s="50">
        <v>0.0</v>
      </c>
      <c r="T1080" s="50">
        <v>2.8125</v>
      </c>
      <c r="U1080" s="50">
        <v>0.0</v>
      </c>
      <c r="V1080" s="50">
        <v>0.0</v>
      </c>
      <c r="W1080" s="50">
        <v>0.0</v>
      </c>
      <c r="X1080" s="50">
        <v>2.8125</v>
      </c>
      <c r="Y1080" s="50">
        <v>5.625</v>
      </c>
    </row>
    <row r="1081">
      <c r="A1081" s="26">
        <v>1075.0</v>
      </c>
      <c r="B1081" s="65">
        <v>0.3539759198625283</v>
      </c>
      <c r="C1081" s="65">
        <v>2.2931622138468626</v>
      </c>
      <c r="D1081" s="65">
        <v>-0.5561494910816084</v>
      </c>
      <c r="E1081" s="65">
        <v>-0.7603547749295371</v>
      </c>
      <c r="F1081" s="65">
        <v>2.5715676955307827</v>
      </c>
      <c r="G1081" s="50">
        <v>0.0</v>
      </c>
      <c r="H1081" s="50">
        <v>0.0</v>
      </c>
      <c r="I1081" s="50">
        <v>0.0</v>
      </c>
      <c r="J1081" s="50">
        <v>0.0</v>
      </c>
      <c r="K1081" s="50">
        <v>0.0</v>
      </c>
      <c r="L1081" s="50">
        <v>0.0</v>
      </c>
      <c r="M1081" s="50">
        <v>0.0</v>
      </c>
      <c r="N1081" s="50">
        <v>0.0</v>
      </c>
      <c r="O1081" s="50">
        <v>0.0</v>
      </c>
      <c r="P1081" s="50">
        <v>0.0</v>
      </c>
      <c r="Q1081" s="50">
        <v>0.0</v>
      </c>
      <c r="R1081" s="50">
        <v>0.0</v>
      </c>
      <c r="S1081" s="50">
        <v>0.0</v>
      </c>
      <c r="T1081" s="50">
        <v>2.8125</v>
      </c>
      <c r="U1081" s="50">
        <v>0.0</v>
      </c>
      <c r="V1081" s="50">
        <v>0.0</v>
      </c>
      <c r="W1081" s="50">
        <v>0.0</v>
      </c>
      <c r="X1081" s="50">
        <v>2.8125</v>
      </c>
      <c r="Y1081" s="50">
        <v>5.625</v>
      </c>
    </row>
    <row r="1082">
      <c r="A1082" s="26">
        <v>1076.0</v>
      </c>
      <c r="B1082" s="65">
        <v>-0.30050262372222475</v>
      </c>
      <c r="C1082" s="65">
        <v>-0.045319033658628105</v>
      </c>
      <c r="D1082" s="65">
        <v>1.992930256772732</v>
      </c>
      <c r="E1082" s="65">
        <v>0.31907397755094025</v>
      </c>
      <c r="F1082" s="65">
        <v>1.2153118983490665</v>
      </c>
      <c r="G1082" s="50">
        <v>0.0</v>
      </c>
      <c r="H1082" s="50">
        <v>0.0</v>
      </c>
      <c r="I1082" s="50">
        <v>0.0</v>
      </c>
      <c r="J1082" s="50">
        <v>0.0</v>
      </c>
      <c r="K1082" s="50">
        <v>0.0</v>
      </c>
      <c r="L1082" s="50">
        <v>0.0</v>
      </c>
      <c r="M1082" s="50">
        <v>0.0</v>
      </c>
      <c r="N1082" s="50">
        <v>0.0</v>
      </c>
      <c r="O1082" s="50">
        <v>7.425000000000001</v>
      </c>
      <c r="P1082" s="50">
        <v>0.0</v>
      </c>
      <c r="Q1082" s="50">
        <v>0.0</v>
      </c>
      <c r="R1082" s="50">
        <v>0.0</v>
      </c>
      <c r="S1082" s="50">
        <v>0.0</v>
      </c>
      <c r="T1082" s="50">
        <v>2.8125</v>
      </c>
      <c r="U1082" s="50">
        <v>9.9</v>
      </c>
      <c r="V1082" s="50">
        <v>5.625</v>
      </c>
      <c r="W1082" s="50">
        <v>0.0</v>
      </c>
      <c r="X1082" s="50">
        <v>2.8125</v>
      </c>
      <c r="Y1082" s="50">
        <v>28.575000000000003</v>
      </c>
    </row>
    <row r="1083">
      <c r="A1083" s="26">
        <v>1077.0</v>
      </c>
      <c r="B1083" s="65">
        <v>1.6027363271602821</v>
      </c>
      <c r="C1083" s="65">
        <v>-1.5547115534279143</v>
      </c>
      <c r="D1083" s="65">
        <v>-2.0346016369848154</v>
      </c>
      <c r="E1083" s="65">
        <v>1.4219764095096452</v>
      </c>
      <c r="F1083" s="65">
        <v>4.8994952355845545</v>
      </c>
      <c r="G1083" s="50">
        <v>0.0</v>
      </c>
      <c r="H1083" s="50">
        <v>0.0</v>
      </c>
      <c r="I1083" s="50">
        <v>0.0</v>
      </c>
      <c r="J1083" s="50">
        <v>0.0</v>
      </c>
      <c r="K1083" s="50">
        <v>0.0</v>
      </c>
      <c r="L1083" s="50">
        <v>0.0</v>
      </c>
      <c r="M1083" s="50">
        <v>0.0</v>
      </c>
      <c r="N1083" s="50">
        <v>0.0</v>
      </c>
      <c r="O1083" s="50">
        <v>0.0</v>
      </c>
      <c r="P1083" s="50">
        <v>0.0</v>
      </c>
      <c r="Q1083" s="50">
        <v>0.0</v>
      </c>
      <c r="R1083" s="50">
        <v>0.0</v>
      </c>
      <c r="S1083" s="50">
        <v>0.0</v>
      </c>
      <c r="T1083" s="50">
        <v>2.8125</v>
      </c>
      <c r="U1083" s="50">
        <v>0.0</v>
      </c>
      <c r="V1083" s="50">
        <v>0.0</v>
      </c>
      <c r="W1083" s="50">
        <v>0.0</v>
      </c>
      <c r="X1083" s="50">
        <v>2.8125</v>
      </c>
      <c r="Y1083" s="50">
        <v>5.625</v>
      </c>
    </row>
    <row r="1084">
      <c r="A1084" s="26">
        <v>1078.0</v>
      </c>
      <c r="B1084" s="65">
        <v>0.1644046225733662</v>
      </c>
      <c r="C1084" s="65">
        <v>-0.7140119927031865</v>
      </c>
      <c r="D1084" s="65">
        <v>0.031296874288159006</v>
      </c>
      <c r="E1084" s="65">
        <v>-0.5967004808860855</v>
      </c>
      <c r="F1084" s="65">
        <v>4.298800885269644</v>
      </c>
      <c r="G1084" s="50">
        <v>0.0</v>
      </c>
      <c r="H1084" s="50">
        <v>0.0</v>
      </c>
      <c r="I1084" s="50">
        <v>0.0</v>
      </c>
      <c r="J1084" s="50">
        <v>0.0</v>
      </c>
      <c r="K1084" s="50">
        <v>0.0</v>
      </c>
      <c r="L1084" s="50">
        <v>0.0</v>
      </c>
      <c r="M1084" s="50">
        <v>0.0</v>
      </c>
      <c r="N1084" s="50">
        <v>0.0</v>
      </c>
      <c r="O1084" s="50">
        <v>0.0</v>
      </c>
      <c r="P1084" s="50">
        <v>0.0</v>
      </c>
      <c r="Q1084" s="50">
        <v>0.0</v>
      </c>
      <c r="R1084" s="50">
        <v>0.0</v>
      </c>
      <c r="S1084" s="50">
        <v>0.0</v>
      </c>
      <c r="T1084" s="50">
        <v>2.8125</v>
      </c>
      <c r="U1084" s="50">
        <v>0.0</v>
      </c>
      <c r="V1084" s="50">
        <v>5.625</v>
      </c>
      <c r="W1084" s="50">
        <v>0.0</v>
      </c>
      <c r="X1084" s="50">
        <v>2.8125</v>
      </c>
      <c r="Y1084" s="50">
        <v>11.25</v>
      </c>
    </row>
    <row r="1085">
      <c r="A1085" s="26">
        <v>1079.0</v>
      </c>
      <c r="B1085" s="65">
        <v>-0.27560411164886245</v>
      </c>
      <c r="C1085" s="65">
        <v>0.7624245015203208</v>
      </c>
      <c r="D1085" s="65">
        <v>0.5952643617077787</v>
      </c>
      <c r="E1085" s="65">
        <v>-1.7270419560503278</v>
      </c>
      <c r="F1085" s="65">
        <v>3.566094605308666</v>
      </c>
      <c r="G1085" s="50">
        <v>0.0</v>
      </c>
      <c r="H1085" s="50">
        <v>0.0</v>
      </c>
      <c r="I1085" s="50">
        <v>0.0</v>
      </c>
      <c r="J1085" s="50">
        <v>0.0</v>
      </c>
      <c r="K1085" s="50">
        <v>0.0</v>
      </c>
      <c r="L1085" s="50">
        <v>0.0</v>
      </c>
      <c r="M1085" s="50">
        <v>0.0</v>
      </c>
      <c r="N1085" s="50">
        <v>0.0</v>
      </c>
      <c r="O1085" s="50">
        <v>0.0</v>
      </c>
      <c r="P1085" s="50">
        <v>0.0</v>
      </c>
      <c r="Q1085" s="50">
        <v>0.0</v>
      </c>
      <c r="R1085" s="50">
        <v>0.0</v>
      </c>
      <c r="S1085" s="50">
        <v>0.0</v>
      </c>
      <c r="T1085" s="50">
        <v>2.8125</v>
      </c>
      <c r="U1085" s="50">
        <v>0.0</v>
      </c>
      <c r="V1085" s="50">
        <v>5.625</v>
      </c>
      <c r="W1085" s="50">
        <v>4.95</v>
      </c>
      <c r="X1085" s="50">
        <v>2.8125</v>
      </c>
      <c r="Y1085" s="50">
        <v>16.2</v>
      </c>
    </row>
    <row r="1086">
      <c r="A1086" s="26">
        <v>1080.0</v>
      </c>
      <c r="B1086" s="65">
        <v>0.3527651860396676</v>
      </c>
      <c r="C1086" s="65">
        <v>0.44978445916227827</v>
      </c>
      <c r="D1086" s="65">
        <v>0.01720087618314921</v>
      </c>
      <c r="E1086" s="65">
        <v>0.682356494142875</v>
      </c>
      <c r="F1086" s="65">
        <v>8.765409918345112</v>
      </c>
      <c r="G1086" s="50">
        <v>0.0</v>
      </c>
      <c r="H1086" s="50">
        <v>0.0</v>
      </c>
      <c r="I1086" s="50">
        <v>0.0</v>
      </c>
      <c r="J1086" s="50">
        <v>0.0</v>
      </c>
      <c r="K1086" s="50">
        <v>0.0</v>
      </c>
      <c r="L1086" s="50">
        <v>0.0</v>
      </c>
      <c r="M1086" s="50">
        <v>0.0</v>
      </c>
      <c r="N1086" s="50">
        <v>0.0</v>
      </c>
      <c r="O1086" s="50">
        <v>0.0</v>
      </c>
      <c r="P1086" s="50">
        <v>0.0</v>
      </c>
      <c r="Q1086" s="50">
        <v>0.0</v>
      </c>
      <c r="R1086" s="50">
        <v>0.0</v>
      </c>
      <c r="S1086" s="50">
        <v>0.0</v>
      </c>
      <c r="T1086" s="50">
        <v>2.8125</v>
      </c>
      <c r="U1086" s="50">
        <v>0.0</v>
      </c>
      <c r="V1086" s="50">
        <v>0.0</v>
      </c>
      <c r="W1086" s="50">
        <v>0.0</v>
      </c>
      <c r="X1086" s="50">
        <v>2.8125</v>
      </c>
      <c r="Y1086" s="50">
        <v>5.625</v>
      </c>
    </row>
    <row r="1087">
      <c r="A1087" s="26">
        <v>1081.0</v>
      </c>
      <c r="B1087" s="65">
        <v>0.21818674680410516</v>
      </c>
      <c r="C1087" s="65">
        <v>-0.4926876609449109</v>
      </c>
      <c r="D1087" s="65">
        <v>0.3270583443522321</v>
      </c>
      <c r="E1087" s="65">
        <v>1.6547945807938864</v>
      </c>
      <c r="F1087" s="65">
        <v>4.627801373251236</v>
      </c>
      <c r="G1087" s="50">
        <v>0.0</v>
      </c>
      <c r="H1087" s="50">
        <v>0.0</v>
      </c>
      <c r="I1087" s="50">
        <v>0.0</v>
      </c>
      <c r="J1087" s="50">
        <v>0.0</v>
      </c>
      <c r="K1087" s="50">
        <v>0.0</v>
      </c>
      <c r="L1087" s="50">
        <v>0.0</v>
      </c>
      <c r="M1087" s="50">
        <v>0.0</v>
      </c>
      <c r="N1087" s="50">
        <v>0.0</v>
      </c>
      <c r="O1087" s="50">
        <v>0.0</v>
      </c>
      <c r="P1087" s="50">
        <v>0.0</v>
      </c>
      <c r="Q1087" s="50">
        <v>0.0</v>
      </c>
      <c r="R1087" s="50">
        <v>0.0</v>
      </c>
      <c r="S1087" s="50">
        <v>0.0</v>
      </c>
      <c r="T1087" s="50">
        <v>2.8125</v>
      </c>
      <c r="U1087" s="50">
        <v>0.0</v>
      </c>
      <c r="V1087" s="50">
        <v>0.0</v>
      </c>
      <c r="W1087" s="50">
        <v>0.0</v>
      </c>
      <c r="X1087" s="50">
        <v>2.8125</v>
      </c>
      <c r="Y1087" s="50">
        <v>5.625</v>
      </c>
    </row>
    <row r="1088">
      <c r="A1088" s="26">
        <v>1082.0</v>
      </c>
      <c r="B1088" s="65">
        <v>-0.07808701086730636</v>
      </c>
      <c r="C1088" s="65">
        <v>-0.5295953935558997</v>
      </c>
      <c r="D1088" s="65">
        <v>2.1965534086735157</v>
      </c>
      <c r="E1088" s="65">
        <v>-0.28892400292775805</v>
      </c>
      <c r="F1088" s="65">
        <v>11.760205429054494</v>
      </c>
      <c r="G1088" s="50">
        <v>0.0</v>
      </c>
      <c r="H1088" s="50">
        <v>0.0</v>
      </c>
      <c r="I1088" s="50">
        <v>0.0</v>
      </c>
      <c r="J1088" s="50">
        <v>0.0</v>
      </c>
      <c r="K1088" s="50">
        <v>0.0</v>
      </c>
      <c r="L1088" s="50">
        <v>0.0</v>
      </c>
      <c r="M1088" s="50">
        <v>0.0</v>
      </c>
      <c r="N1088" s="50">
        <v>0.0</v>
      </c>
      <c r="O1088" s="50">
        <v>0.0</v>
      </c>
      <c r="P1088" s="50">
        <v>0.0</v>
      </c>
      <c r="Q1088" s="50">
        <v>0.0</v>
      </c>
      <c r="R1088" s="50">
        <v>0.0</v>
      </c>
      <c r="S1088" s="50">
        <v>0.0</v>
      </c>
      <c r="T1088" s="50">
        <v>2.8125</v>
      </c>
      <c r="U1088" s="50">
        <v>0.0</v>
      </c>
      <c r="V1088" s="50">
        <v>0.0</v>
      </c>
      <c r="W1088" s="50">
        <v>0.0</v>
      </c>
      <c r="X1088" s="50">
        <v>2.8125</v>
      </c>
      <c r="Y1088" s="50">
        <v>5.625</v>
      </c>
    </row>
    <row r="1089">
      <c r="A1089" s="26">
        <v>1083.0</v>
      </c>
      <c r="B1089" s="65">
        <v>1.0919773233998324</v>
      </c>
      <c r="C1089" s="65">
        <v>0.33216077534639793</v>
      </c>
      <c r="D1089" s="65">
        <v>1.2069903628262846</v>
      </c>
      <c r="E1089" s="65">
        <v>2.6111003570649753</v>
      </c>
      <c r="F1089" s="65">
        <v>6.358465229665198</v>
      </c>
      <c r="G1089" s="50">
        <v>0.0</v>
      </c>
      <c r="H1089" s="50">
        <v>0.0</v>
      </c>
      <c r="I1089" s="50">
        <v>0.0</v>
      </c>
      <c r="J1089" s="50">
        <v>0.0</v>
      </c>
      <c r="K1089" s="50">
        <v>0.0</v>
      </c>
      <c r="L1089" s="50">
        <v>0.0</v>
      </c>
      <c r="M1089" s="50">
        <v>0.0</v>
      </c>
      <c r="N1089" s="50">
        <v>0.0</v>
      </c>
      <c r="O1089" s="50">
        <v>0.0</v>
      </c>
      <c r="P1089" s="50">
        <v>0.0</v>
      </c>
      <c r="Q1089" s="50">
        <v>0.0</v>
      </c>
      <c r="R1089" s="50">
        <v>0.0</v>
      </c>
      <c r="S1089" s="50">
        <v>0.0</v>
      </c>
      <c r="T1089" s="50">
        <v>2.8125</v>
      </c>
      <c r="U1089" s="50">
        <v>0.0</v>
      </c>
      <c r="V1089" s="50">
        <v>0.0</v>
      </c>
      <c r="W1089" s="50">
        <v>0.0</v>
      </c>
      <c r="X1089" s="50">
        <v>2.8125</v>
      </c>
      <c r="Y1089" s="50">
        <v>5.625</v>
      </c>
    </row>
    <row r="1090">
      <c r="A1090" s="26">
        <v>1084.0</v>
      </c>
      <c r="B1090" s="65">
        <v>-0.8953890295256577</v>
      </c>
      <c r="C1090" s="65">
        <v>-0.15425239286972528</v>
      </c>
      <c r="D1090" s="65">
        <v>0.9646093399480248</v>
      </c>
      <c r="E1090" s="65">
        <v>0.5692566159883161</v>
      </c>
      <c r="F1090" s="65">
        <v>5.327410886920706</v>
      </c>
      <c r="G1090" s="50">
        <v>0.0</v>
      </c>
      <c r="H1090" s="50">
        <v>0.0</v>
      </c>
      <c r="I1090" s="50">
        <v>0.0</v>
      </c>
      <c r="J1090" s="50">
        <v>0.0</v>
      </c>
      <c r="K1090" s="50">
        <v>0.0</v>
      </c>
      <c r="L1090" s="50">
        <v>0.0</v>
      </c>
      <c r="M1090" s="50">
        <v>0.0</v>
      </c>
      <c r="N1090" s="50">
        <v>0.0</v>
      </c>
      <c r="O1090" s="50">
        <v>7.425000000000001</v>
      </c>
      <c r="P1090" s="50">
        <v>0.0</v>
      </c>
      <c r="Q1090" s="50">
        <v>0.0</v>
      </c>
      <c r="R1090" s="50">
        <v>0.0</v>
      </c>
      <c r="S1090" s="50">
        <v>0.0</v>
      </c>
      <c r="T1090" s="50">
        <v>2.8125</v>
      </c>
      <c r="U1090" s="50">
        <v>0.0</v>
      </c>
      <c r="V1090" s="50">
        <v>5.625</v>
      </c>
      <c r="W1090" s="50">
        <v>0.0</v>
      </c>
      <c r="X1090" s="50">
        <v>2.8125</v>
      </c>
      <c r="Y1090" s="50">
        <v>18.675</v>
      </c>
    </row>
    <row r="1091">
      <c r="A1091" s="26">
        <v>1085.0</v>
      </c>
      <c r="B1091" s="65">
        <v>0.939749286392023</v>
      </c>
      <c r="C1091" s="65">
        <v>0.8434338934808737</v>
      </c>
      <c r="D1091" s="65">
        <v>-0.8819654536547719</v>
      </c>
      <c r="E1091" s="65">
        <v>0.07044629031662705</v>
      </c>
      <c r="F1091" s="65">
        <v>2.16947294070788</v>
      </c>
      <c r="G1091" s="50">
        <v>0.0</v>
      </c>
      <c r="H1091" s="50">
        <v>0.0</v>
      </c>
      <c r="I1091" s="50">
        <v>0.0</v>
      </c>
      <c r="J1091" s="50">
        <v>0.0</v>
      </c>
      <c r="K1091" s="50">
        <v>0.0</v>
      </c>
      <c r="L1091" s="50">
        <v>0.0</v>
      </c>
      <c r="M1091" s="50">
        <v>0.0</v>
      </c>
      <c r="N1091" s="50">
        <v>0.0</v>
      </c>
      <c r="O1091" s="50">
        <v>0.0</v>
      </c>
      <c r="P1091" s="50">
        <v>2.475</v>
      </c>
      <c r="Q1091" s="50">
        <v>0.0</v>
      </c>
      <c r="R1091" s="50">
        <v>0.0</v>
      </c>
      <c r="S1091" s="50">
        <v>0.0</v>
      </c>
      <c r="T1091" s="50">
        <v>2.8125</v>
      </c>
      <c r="U1091" s="50">
        <v>0.0</v>
      </c>
      <c r="V1091" s="50">
        <v>0.0</v>
      </c>
      <c r="W1091" s="50">
        <v>0.0</v>
      </c>
      <c r="X1091" s="50">
        <v>2.8125</v>
      </c>
      <c r="Y1091" s="50">
        <v>8.1</v>
      </c>
    </row>
    <row r="1092">
      <c r="A1092" s="26">
        <v>1086.0</v>
      </c>
      <c r="B1092" s="65">
        <v>1.834004237800527</v>
      </c>
      <c r="C1092" s="65">
        <v>-1.6673855635002897</v>
      </c>
      <c r="D1092" s="65">
        <v>-0.9132559500083143</v>
      </c>
      <c r="E1092" s="65">
        <v>0.17434613792772438</v>
      </c>
      <c r="F1092" s="65">
        <v>8.106269090991006</v>
      </c>
      <c r="G1092" s="50">
        <v>0.0</v>
      </c>
      <c r="H1092" s="50">
        <v>0.0</v>
      </c>
      <c r="I1092" s="50">
        <v>0.0</v>
      </c>
      <c r="J1092" s="50">
        <v>0.0</v>
      </c>
      <c r="K1092" s="50">
        <v>0.0</v>
      </c>
      <c r="L1092" s="50">
        <v>0.0</v>
      </c>
      <c r="M1092" s="50">
        <v>0.0</v>
      </c>
      <c r="N1092" s="50">
        <v>0.0</v>
      </c>
      <c r="O1092" s="50">
        <v>0.0</v>
      </c>
      <c r="P1092" s="50">
        <v>0.0</v>
      </c>
      <c r="Q1092" s="50">
        <v>0.0</v>
      </c>
      <c r="R1092" s="50">
        <v>0.0</v>
      </c>
      <c r="S1092" s="50">
        <v>0.0</v>
      </c>
      <c r="T1092" s="50">
        <v>2.8125</v>
      </c>
      <c r="U1092" s="50">
        <v>0.0</v>
      </c>
      <c r="V1092" s="50">
        <v>0.0</v>
      </c>
      <c r="W1092" s="50">
        <v>0.0</v>
      </c>
      <c r="X1092" s="50">
        <v>2.8125</v>
      </c>
      <c r="Y1092" s="50">
        <v>5.625</v>
      </c>
    </row>
    <row r="1093">
      <c r="A1093" s="26">
        <v>1087.0</v>
      </c>
      <c r="B1093" s="65">
        <v>-2.2524181777154673</v>
      </c>
      <c r="C1093" s="65">
        <v>-0.8362955573505083</v>
      </c>
      <c r="D1093" s="65">
        <v>0.05394617834874484</v>
      </c>
      <c r="E1093" s="65">
        <v>-1.2252449256416207</v>
      </c>
      <c r="F1093" s="65">
        <v>0.7049052925511681</v>
      </c>
      <c r="G1093" s="50">
        <v>9.0</v>
      </c>
      <c r="H1093" s="50">
        <v>0.0</v>
      </c>
      <c r="I1093" s="50">
        <v>0.0</v>
      </c>
      <c r="J1093" s="50">
        <v>0.0</v>
      </c>
      <c r="K1093" s="50">
        <v>0.0</v>
      </c>
      <c r="L1093" s="50">
        <v>0.0</v>
      </c>
      <c r="M1093" s="50">
        <v>0.0</v>
      </c>
      <c r="N1093" s="50">
        <v>13.5</v>
      </c>
      <c r="O1093" s="50">
        <v>7.425000000000001</v>
      </c>
      <c r="P1093" s="50">
        <v>0.0</v>
      </c>
      <c r="Q1093" s="50">
        <v>0.0</v>
      </c>
      <c r="R1093" s="50">
        <v>9.9</v>
      </c>
      <c r="S1093" s="50">
        <v>11.25</v>
      </c>
      <c r="T1093" s="50">
        <v>2.8125</v>
      </c>
      <c r="U1093" s="50">
        <v>9.9</v>
      </c>
      <c r="V1093" s="50">
        <v>5.625</v>
      </c>
      <c r="W1093" s="50">
        <v>0.0</v>
      </c>
      <c r="X1093" s="50">
        <v>2.8125</v>
      </c>
      <c r="Y1093" s="50">
        <v>72.225</v>
      </c>
    </row>
    <row r="1094">
      <c r="A1094" s="26">
        <v>1088.0</v>
      </c>
      <c r="B1094" s="65">
        <v>1.4022400311031888</v>
      </c>
      <c r="C1094" s="65">
        <v>-0.2334016467667466</v>
      </c>
      <c r="D1094" s="65">
        <v>1.1185600349436822</v>
      </c>
      <c r="E1094" s="65">
        <v>0.46997442701029785</v>
      </c>
      <c r="F1094" s="65">
        <v>5.129483086541191</v>
      </c>
      <c r="G1094" s="50">
        <v>0.0</v>
      </c>
      <c r="H1094" s="50">
        <v>0.0</v>
      </c>
      <c r="I1094" s="50">
        <v>0.0</v>
      </c>
      <c r="J1094" s="50">
        <v>0.0</v>
      </c>
      <c r="K1094" s="50">
        <v>0.0</v>
      </c>
      <c r="L1094" s="50">
        <v>0.0</v>
      </c>
      <c r="M1094" s="50">
        <v>0.0</v>
      </c>
      <c r="N1094" s="50">
        <v>0.0</v>
      </c>
      <c r="O1094" s="50">
        <v>0.0</v>
      </c>
      <c r="P1094" s="50">
        <v>0.0</v>
      </c>
      <c r="Q1094" s="50">
        <v>0.0</v>
      </c>
      <c r="R1094" s="50">
        <v>0.0</v>
      </c>
      <c r="S1094" s="50">
        <v>0.0</v>
      </c>
      <c r="T1094" s="50">
        <v>2.8125</v>
      </c>
      <c r="U1094" s="50">
        <v>0.0</v>
      </c>
      <c r="V1094" s="50">
        <v>0.0</v>
      </c>
      <c r="W1094" s="50">
        <v>0.0</v>
      </c>
      <c r="X1094" s="50">
        <v>2.8125</v>
      </c>
      <c r="Y1094" s="50">
        <v>5.625</v>
      </c>
    </row>
    <row r="1095">
      <c r="A1095" s="26">
        <v>1089.0</v>
      </c>
      <c r="B1095" s="65">
        <v>-0.5880988506733863</v>
      </c>
      <c r="C1095" s="65">
        <v>0.10682910065782202</v>
      </c>
      <c r="D1095" s="65">
        <v>0.954745473387185</v>
      </c>
      <c r="E1095" s="65">
        <v>0.1859961597662556</v>
      </c>
      <c r="F1095" s="65">
        <v>3.1965681184691954</v>
      </c>
      <c r="G1095" s="50">
        <v>0.0</v>
      </c>
      <c r="H1095" s="50">
        <v>0.0</v>
      </c>
      <c r="I1095" s="50">
        <v>0.0</v>
      </c>
      <c r="J1095" s="50">
        <v>0.0</v>
      </c>
      <c r="K1095" s="50">
        <v>0.0</v>
      </c>
      <c r="L1095" s="50">
        <v>0.0</v>
      </c>
      <c r="M1095" s="50">
        <v>0.0</v>
      </c>
      <c r="N1095" s="50">
        <v>0.0</v>
      </c>
      <c r="O1095" s="50">
        <v>0.0</v>
      </c>
      <c r="P1095" s="50">
        <v>0.0</v>
      </c>
      <c r="Q1095" s="50">
        <v>0.0</v>
      </c>
      <c r="R1095" s="50">
        <v>0.0</v>
      </c>
      <c r="S1095" s="50">
        <v>0.0</v>
      </c>
      <c r="T1095" s="50">
        <v>2.8125</v>
      </c>
      <c r="U1095" s="50">
        <v>0.0</v>
      </c>
      <c r="V1095" s="50">
        <v>0.0</v>
      </c>
      <c r="W1095" s="50">
        <v>0.0</v>
      </c>
      <c r="X1095" s="50">
        <v>2.8125</v>
      </c>
      <c r="Y1095" s="50">
        <v>5.625</v>
      </c>
    </row>
    <row r="1096">
      <c r="A1096" s="26">
        <v>1090.0</v>
      </c>
      <c r="B1096" s="65">
        <v>0.11508342889023626</v>
      </c>
      <c r="C1096" s="65">
        <v>0.9659680803491316</v>
      </c>
      <c r="D1096" s="65">
        <v>0.7978443225338463</v>
      </c>
      <c r="E1096" s="65">
        <v>-1.4992692008029436</v>
      </c>
      <c r="F1096" s="65">
        <v>3.215838867879783</v>
      </c>
      <c r="G1096" s="50">
        <v>0.0</v>
      </c>
      <c r="H1096" s="50">
        <v>0.0</v>
      </c>
      <c r="I1096" s="50">
        <v>0.0</v>
      </c>
      <c r="J1096" s="50">
        <v>0.0</v>
      </c>
      <c r="K1096" s="50">
        <v>0.0</v>
      </c>
      <c r="L1096" s="50">
        <v>0.0</v>
      </c>
      <c r="M1096" s="50">
        <v>0.0</v>
      </c>
      <c r="N1096" s="50">
        <v>0.0</v>
      </c>
      <c r="O1096" s="50">
        <v>0.0</v>
      </c>
      <c r="P1096" s="50">
        <v>0.0</v>
      </c>
      <c r="Q1096" s="50">
        <v>0.0</v>
      </c>
      <c r="R1096" s="50">
        <v>0.0</v>
      </c>
      <c r="S1096" s="50">
        <v>0.0</v>
      </c>
      <c r="T1096" s="50">
        <v>2.8125</v>
      </c>
      <c r="U1096" s="50">
        <v>9.9</v>
      </c>
      <c r="V1096" s="50">
        <v>5.625</v>
      </c>
      <c r="W1096" s="50">
        <v>0.0</v>
      </c>
      <c r="X1096" s="50">
        <v>2.8125</v>
      </c>
      <c r="Y1096" s="50">
        <v>21.15</v>
      </c>
    </row>
    <row r="1097">
      <c r="A1097" s="26">
        <v>1091.0</v>
      </c>
      <c r="B1097" s="65">
        <v>0.9576798090404358</v>
      </c>
      <c r="C1097" s="65">
        <v>-0.17180678276143366</v>
      </c>
      <c r="D1097" s="65">
        <v>-1.2189926171068315</v>
      </c>
      <c r="E1097" s="65">
        <v>-1.0862774440182683</v>
      </c>
      <c r="F1097" s="65">
        <v>0.759231208733918</v>
      </c>
      <c r="G1097" s="50">
        <v>0.0</v>
      </c>
      <c r="H1097" s="50">
        <v>0.0</v>
      </c>
      <c r="I1097" s="50">
        <v>0.0</v>
      </c>
      <c r="J1097" s="50">
        <v>0.0</v>
      </c>
      <c r="K1097" s="50">
        <v>0.0</v>
      </c>
      <c r="L1097" s="50">
        <v>0.0</v>
      </c>
      <c r="M1097" s="50">
        <v>0.0</v>
      </c>
      <c r="N1097" s="50">
        <v>0.0</v>
      </c>
      <c r="O1097" s="50">
        <v>0.0</v>
      </c>
      <c r="P1097" s="50">
        <v>0.0</v>
      </c>
      <c r="Q1097" s="50">
        <v>0.0</v>
      </c>
      <c r="R1097" s="50">
        <v>0.0</v>
      </c>
      <c r="S1097" s="50">
        <v>0.0</v>
      </c>
      <c r="T1097" s="50">
        <v>2.8125</v>
      </c>
      <c r="U1097" s="50">
        <v>0.0</v>
      </c>
      <c r="V1097" s="50">
        <v>0.0</v>
      </c>
      <c r="W1097" s="50">
        <v>0.0</v>
      </c>
      <c r="X1097" s="50">
        <v>2.8125</v>
      </c>
      <c r="Y1097" s="50">
        <v>5.625</v>
      </c>
    </row>
    <row r="1098">
      <c r="A1098" s="26">
        <v>1092.0</v>
      </c>
      <c r="B1098" s="65">
        <v>0.517008773375638</v>
      </c>
      <c r="C1098" s="65">
        <v>-0.17441100218180788</v>
      </c>
      <c r="D1098" s="65">
        <v>-1.2267141435937519</v>
      </c>
      <c r="E1098" s="65">
        <v>-0.13069388938930082</v>
      </c>
      <c r="F1098" s="65">
        <v>7.6136833024154225</v>
      </c>
      <c r="G1098" s="50">
        <v>0.0</v>
      </c>
      <c r="H1098" s="50">
        <v>0.0</v>
      </c>
      <c r="I1098" s="50">
        <v>0.0</v>
      </c>
      <c r="J1098" s="50">
        <v>0.0</v>
      </c>
      <c r="K1098" s="50">
        <v>0.0</v>
      </c>
      <c r="L1098" s="50">
        <v>0.0</v>
      </c>
      <c r="M1098" s="50">
        <v>0.0</v>
      </c>
      <c r="N1098" s="50">
        <v>0.0</v>
      </c>
      <c r="O1098" s="50">
        <v>0.0</v>
      </c>
      <c r="P1098" s="50">
        <v>0.0</v>
      </c>
      <c r="Q1098" s="50">
        <v>0.0</v>
      </c>
      <c r="R1098" s="50">
        <v>0.0</v>
      </c>
      <c r="S1098" s="50">
        <v>0.0</v>
      </c>
      <c r="T1098" s="50">
        <v>2.8125</v>
      </c>
      <c r="U1098" s="50">
        <v>0.0</v>
      </c>
      <c r="V1098" s="50">
        <v>5.625</v>
      </c>
      <c r="W1098" s="50">
        <v>4.95</v>
      </c>
      <c r="X1098" s="50">
        <v>2.8125</v>
      </c>
      <c r="Y1098" s="50">
        <v>16.2</v>
      </c>
    </row>
    <row r="1099">
      <c r="A1099" s="26">
        <v>1093.0</v>
      </c>
      <c r="B1099" s="65">
        <v>-0.016988137585530794</v>
      </c>
      <c r="C1099" s="65">
        <v>0.790158767785055</v>
      </c>
      <c r="D1099" s="65">
        <v>0.7658088810181023</v>
      </c>
      <c r="E1099" s="65">
        <v>0.9260173543121908</v>
      </c>
      <c r="F1099" s="65">
        <v>2.1839938317683534</v>
      </c>
      <c r="G1099" s="50">
        <v>0.0</v>
      </c>
      <c r="H1099" s="50">
        <v>0.0</v>
      </c>
      <c r="I1099" s="50">
        <v>0.0</v>
      </c>
      <c r="J1099" s="50">
        <v>0.0</v>
      </c>
      <c r="K1099" s="50">
        <v>0.0</v>
      </c>
      <c r="L1099" s="50">
        <v>0.0</v>
      </c>
      <c r="M1099" s="50">
        <v>0.0</v>
      </c>
      <c r="N1099" s="50">
        <v>0.0</v>
      </c>
      <c r="O1099" s="50">
        <v>0.0</v>
      </c>
      <c r="P1099" s="50">
        <v>0.0</v>
      </c>
      <c r="Q1099" s="50">
        <v>0.0</v>
      </c>
      <c r="R1099" s="50">
        <v>0.0</v>
      </c>
      <c r="S1099" s="50">
        <v>0.0</v>
      </c>
      <c r="T1099" s="50">
        <v>2.8125</v>
      </c>
      <c r="U1099" s="50">
        <v>0.0</v>
      </c>
      <c r="V1099" s="50">
        <v>0.0</v>
      </c>
      <c r="W1099" s="50">
        <v>4.95</v>
      </c>
      <c r="X1099" s="50">
        <v>2.8125</v>
      </c>
      <c r="Y1099" s="50">
        <v>10.575</v>
      </c>
    </row>
    <row r="1100">
      <c r="A1100" s="26">
        <v>1094.0</v>
      </c>
      <c r="B1100" s="65">
        <v>0.9704747150357462</v>
      </c>
      <c r="C1100" s="65">
        <v>0.5182263500208866</v>
      </c>
      <c r="D1100" s="65">
        <v>0.3129851233732058</v>
      </c>
      <c r="E1100" s="65">
        <v>-1.028776013166245</v>
      </c>
      <c r="F1100" s="65">
        <v>5.649474251029472</v>
      </c>
      <c r="G1100" s="50">
        <v>0.0</v>
      </c>
      <c r="H1100" s="50">
        <v>0.0</v>
      </c>
      <c r="I1100" s="50">
        <v>0.0</v>
      </c>
      <c r="J1100" s="50">
        <v>0.0</v>
      </c>
      <c r="K1100" s="50">
        <v>0.0</v>
      </c>
      <c r="L1100" s="50">
        <v>0.0</v>
      </c>
      <c r="M1100" s="50">
        <v>0.0</v>
      </c>
      <c r="N1100" s="50">
        <v>0.0</v>
      </c>
      <c r="O1100" s="50">
        <v>0.0</v>
      </c>
      <c r="P1100" s="50">
        <v>0.0</v>
      </c>
      <c r="Q1100" s="50">
        <v>0.0</v>
      </c>
      <c r="R1100" s="50">
        <v>0.0</v>
      </c>
      <c r="S1100" s="50">
        <v>0.0</v>
      </c>
      <c r="T1100" s="50">
        <v>2.8125</v>
      </c>
      <c r="U1100" s="50">
        <v>0.0</v>
      </c>
      <c r="V1100" s="50">
        <v>0.0</v>
      </c>
      <c r="W1100" s="50">
        <v>0.0</v>
      </c>
      <c r="X1100" s="50">
        <v>2.8125</v>
      </c>
      <c r="Y1100" s="50">
        <v>5.625</v>
      </c>
    </row>
    <row r="1101">
      <c r="A1101" s="26">
        <v>1095.0</v>
      </c>
      <c r="B1101" s="65">
        <v>0.40656484221985556</v>
      </c>
      <c r="C1101" s="65">
        <v>0.42202386758592464</v>
      </c>
      <c r="D1101" s="65">
        <v>1.7793543467097532</v>
      </c>
      <c r="E1101" s="65">
        <v>0.7114455579084896</v>
      </c>
      <c r="F1101" s="65">
        <v>3.083168695055574</v>
      </c>
      <c r="G1101" s="50">
        <v>0.0</v>
      </c>
      <c r="H1101" s="50">
        <v>0.0</v>
      </c>
      <c r="I1101" s="50">
        <v>0.0</v>
      </c>
      <c r="J1101" s="50">
        <v>0.0</v>
      </c>
      <c r="K1101" s="50">
        <v>0.0</v>
      </c>
      <c r="L1101" s="50">
        <v>0.0</v>
      </c>
      <c r="M1101" s="50">
        <v>0.0</v>
      </c>
      <c r="N1101" s="50">
        <v>0.0</v>
      </c>
      <c r="O1101" s="50">
        <v>0.0</v>
      </c>
      <c r="P1101" s="50">
        <v>0.0</v>
      </c>
      <c r="Q1101" s="50">
        <v>0.0</v>
      </c>
      <c r="R1101" s="50">
        <v>0.0</v>
      </c>
      <c r="S1101" s="50">
        <v>0.0</v>
      </c>
      <c r="T1101" s="50">
        <v>2.8125</v>
      </c>
      <c r="U1101" s="50">
        <v>0.0</v>
      </c>
      <c r="V1101" s="50">
        <v>0.0</v>
      </c>
      <c r="W1101" s="50">
        <v>0.0</v>
      </c>
      <c r="X1101" s="50">
        <v>2.8125</v>
      </c>
      <c r="Y1101" s="50">
        <v>5.625</v>
      </c>
    </row>
    <row r="1102">
      <c r="A1102" s="26">
        <v>1096.0</v>
      </c>
      <c r="B1102" s="65">
        <v>-0.6002134109798183</v>
      </c>
      <c r="C1102" s="65">
        <v>0.1277109804316929</v>
      </c>
      <c r="D1102" s="65">
        <v>-0.8824156251576624</v>
      </c>
      <c r="E1102" s="65">
        <v>-0.2676678608268717</v>
      </c>
      <c r="F1102" s="65">
        <v>9.8356846021319</v>
      </c>
      <c r="G1102" s="50">
        <v>0.0</v>
      </c>
      <c r="H1102" s="50">
        <v>0.0</v>
      </c>
      <c r="I1102" s="50">
        <v>0.0</v>
      </c>
      <c r="J1102" s="50">
        <v>0.0</v>
      </c>
      <c r="K1102" s="50">
        <v>0.0</v>
      </c>
      <c r="L1102" s="50">
        <v>0.0</v>
      </c>
      <c r="M1102" s="50">
        <v>0.0</v>
      </c>
      <c r="N1102" s="50">
        <v>0.0</v>
      </c>
      <c r="O1102" s="50">
        <v>0.0</v>
      </c>
      <c r="P1102" s="50">
        <v>0.0</v>
      </c>
      <c r="Q1102" s="50">
        <v>0.0</v>
      </c>
      <c r="R1102" s="50">
        <v>0.0</v>
      </c>
      <c r="S1102" s="50">
        <v>0.0</v>
      </c>
      <c r="T1102" s="50">
        <v>2.8125</v>
      </c>
      <c r="U1102" s="50">
        <v>0.0</v>
      </c>
      <c r="V1102" s="50">
        <v>5.625</v>
      </c>
      <c r="W1102" s="50">
        <v>0.0</v>
      </c>
      <c r="X1102" s="50">
        <v>2.8125</v>
      </c>
      <c r="Y1102" s="50">
        <v>11.25</v>
      </c>
    </row>
    <row r="1103">
      <c r="A1103" s="26">
        <v>1097.0</v>
      </c>
      <c r="B1103" s="65">
        <v>-1.0503744979715588</v>
      </c>
      <c r="C1103" s="65">
        <v>1.1883380777432626</v>
      </c>
      <c r="D1103" s="65">
        <v>2.811781602171354</v>
      </c>
      <c r="E1103" s="65">
        <v>-0.9606885597483747</v>
      </c>
      <c r="F1103" s="65">
        <v>2.093953517702593</v>
      </c>
      <c r="G1103" s="50">
        <v>0.0</v>
      </c>
      <c r="H1103" s="50">
        <v>0.0</v>
      </c>
      <c r="I1103" s="50">
        <v>0.0</v>
      </c>
      <c r="J1103" s="50">
        <v>0.0</v>
      </c>
      <c r="K1103" s="50">
        <v>0.0</v>
      </c>
      <c r="L1103" s="50">
        <v>0.0</v>
      </c>
      <c r="M1103" s="50">
        <v>0.0</v>
      </c>
      <c r="N1103" s="50">
        <v>0.0</v>
      </c>
      <c r="O1103" s="50">
        <v>7.425000000000001</v>
      </c>
      <c r="P1103" s="50">
        <v>0.0</v>
      </c>
      <c r="Q1103" s="50">
        <v>0.0</v>
      </c>
      <c r="R1103" s="50">
        <v>0.0</v>
      </c>
      <c r="S1103" s="50">
        <v>0.0</v>
      </c>
      <c r="T1103" s="50">
        <v>2.8125</v>
      </c>
      <c r="U1103" s="50">
        <v>0.0</v>
      </c>
      <c r="V1103" s="50">
        <v>5.625</v>
      </c>
      <c r="W1103" s="50">
        <v>4.95</v>
      </c>
      <c r="X1103" s="50">
        <v>2.8125</v>
      </c>
      <c r="Y1103" s="50">
        <v>23.625</v>
      </c>
    </row>
    <row r="1104">
      <c r="A1104" s="26">
        <v>1098.0</v>
      </c>
      <c r="B1104" s="65">
        <v>-0.08818283957493345</v>
      </c>
      <c r="C1104" s="65">
        <v>-0.19174078396084454</v>
      </c>
      <c r="D1104" s="65">
        <v>0.22712514274363485</v>
      </c>
      <c r="E1104" s="65">
        <v>-0.40918146870756983</v>
      </c>
      <c r="F1104" s="65">
        <v>3.983320637580916</v>
      </c>
      <c r="G1104" s="50">
        <v>0.0</v>
      </c>
      <c r="H1104" s="50">
        <v>0.0</v>
      </c>
      <c r="I1104" s="50">
        <v>0.0</v>
      </c>
      <c r="J1104" s="50">
        <v>0.0</v>
      </c>
      <c r="K1104" s="50">
        <v>0.0</v>
      </c>
      <c r="L1104" s="50">
        <v>0.0</v>
      </c>
      <c r="M1104" s="50">
        <v>0.0</v>
      </c>
      <c r="N1104" s="50">
        <v>0.0</v>
      </c>
      <c r="O1104" s="50">
        <v>0.0</v>
      </c>
      <c r="P1104" s="50">
        <v>0.0</v>
      </c>
      <c r="Q1104" s="50">
        <v>0.0</v>
      </c>
      <c r="R1104" s="50">
        <v>0.0</v>
      </c>
      <c r="S1104" s="50">
        <v>0.0</v>
      </c>
      <c r="T1104" s="50">
        <v>2.8125</v>
      </c>
      <c r="U1104" s="50">
        <v>0.0</v>
      </c>
      <c r="V1104" s="50">
        <v>5.625</v>
      </c>
      <c r="W1104" s="50">
        <v>4.95</v>
      </c>
      <c r="X1104" s="50">
        <v>2.8125</v>
      </c>
      <c r="Y1104" s="50">
        <v>16.2</v>
      </c>
    </row>
    <row r="1105">
      <c r="A1105" s="26">
        <v>1099.0</v>
      </c>
      <c r="B1105" s="65">
        <v>0.4460762975049535</v>
      </c>
      <c r="C1105" s="65">
        <v>1.5527199608474458</v>
      </c>
      <c r="D1105" s="65">
        <v>-2.365976485955671</v>
      </c>
      <c r="E1105" s="65">
        <v>-0.13799542597995546</v>
      </c>
      <c r="F1105" s="65">
        <v>1.9139457590874742</v>
      </c>
      <c r="G1105" s="50">
        <v>0.0</v>
      </c>
      <c r="H1105" s="50">
        <v>0.0</v>
      </c>
      <c r="I1105" s="50">
        <v>0.0</v>
      </c>
      <c r="J1105" s="50">
        <v>0.0</v>
      </c>
      <c r="K1105" s="50">
        <v>0.0</v>
      </c>
      <c r="L1105" s="50">
        <v>0.0</v>
      </c>
      <c r="M1105" s="50">
        <v>0.0</v>
      </c>
      <c r="N1105" s="50">
        <v>0.0</v>
      </c>
      <c r="O1105" s="50">
        <v>0.0</v>
      </c>
      <c r="P1105" s="50">
        <v>0.0</v>
      </c>
      <c r="Q1105" s="50">
        <v>0.0</v>
      </c>
      <c r="R1105" s="50">
        <v>9.9</v>
      </c>
      <c r="S1105" s="50">
        <v>0.0</v>
      </c>
      <c r="T1105" s="50">
        <v>2.8125</v>
      </c>
      <c r="U1105" s="50">
        <v>0.0</v>
      </c>
      <c r="V1105" s="50">
        <v>0.0</v>
      </c>
      <c r="W1105" s="50">
        <v>0.0</v>
      </c>
      <c r="X1105" s="50">
        <v>2.8125</v>
      </c>
      <c r="Y1105" s="50">
        <v>15.525</v>
      </c>
    </row>
    <row r="1106">
      <c r="A1106" s="26">
        <v>1100.0</v>
      </c>
      <c r="B1106" s="65">
        <v>0.0028631424410602885</v>
      </c>
      <c r="C1106" s="65">
        <v>1.0634506315701926</v>
      </c>
      <c r="D1106" s="65">
        <v>-0.6354207883849475</v>
      </c>
      <c r="E1106" s="65">
        <v>1.2007827297518083</v>
      </c>
      <c r="F1106" s="65">
        <v>4.840087688113188</v>
      </c>
      <c r="G1106" s="50">
        <v>0.0</v>
      </c>
      <c r="H1106" s="50">
        <v>0.0</v>
      </c>
      <c r="I1106" s="50">
        <v>0.0</v>
      </c>
      <c r="J1106" s="50">
        <v>0.0</v>
      </c>
      <c r="K1106" s="50">
        <v>0.0</v>
      </c>
      <c r="L1106" s="50">
        <v>0.0</v>
      </c>
      <c r="M1106" s="50">
        <v>0.0</v>
      </c>
      <c r="N1106" s="50">
        <v>0.0</v>
      </c>
      <c r="O1106" s="50">
        <v>0.0</v>
      </c>
      <c r="P1106" s="50">
        <v>0.0</v>
      </c>
      <c r="Q1106" s="50">
        <v>0.0</v>
      </c>
      <c r="R1106" s="50">
        <v>0.0</v>
      </c>
      <c r="S1106" s="50">
        <v>0.0</v>
      </c>
      <c r="T1106" s="50">
        <v>2.8125</v>
      </c>
      <c r="U1106" s="50">
        <v>0.0</v>
      </c>
      <c r="V1106" s="50">
        <v>5.625</v>
      </c>
      <c r="W1106" s="50">
        <v>0.0</v>
      </c>
      <c r="X1106" s="50">
        <v>2.8125</v>
      </c>
      <c r="Y1106" s="50">
        <v>11.25</v>
      </c>
    </row>
    <row r="1107">
      <c r="A1107" s="26">
        <v>1101.0</v>
      </c>
      <c r="B1107" s="65">
        <v>0.8977225465996359</v>
      </c>
      <c r="C1107" s="65">
        <v>-0.9000184428701885</v>
      </c>
      <c r="D1107" s="65">
        <v>0.0704450821383334</v>
      </c>
      <c r="E1107" s="65">
        <v>-0.08138994968237043</v>
      </c>
      <c r="F1107" s="65">
        <v>4.5703307768844486</v>
      </c>
      <c r="G1107" s="50">
        <v>0.0</v>
      </c>
      <c r="H1107" s="50">
        <v>0.0</v>
      </c>
      <c r="I1107" s="50">
        <v>0.0</v>
      </c>
      <c r="J1107" s="50">
        <v>0.0</v>
      </c>
      <c r="K1107" s="50">
        <v>0.0</v>
      </c>
      <c r="L1107" s="50">
        <v>0.0</v>
      </c>
      <c r="M1107" s="50">
        <v>0.0</v>
      </c>
      <c r="N1107" s="50">
        <v>0.0</v>
      </c>
      <c r="O1107" s="50">
        <v>0.0</v>
      </c>
      <c r="P1107" s="50">
        <v>0.0</v>
      </c>
      <c r="Q1107" s="50">
        <v>0.0</v>
      </c>
      <c r="R1107" s="50">
        <v>0.0</v>
      </c>
      <c r="S1107" s="50">
        <v>0.0</v>
      </c>
      <c r="T1107" s="50">
        <v>2.8125</v>
      </c>
      <c r="U1107" s="50">
        <v>0.0</v>
      </c>
      <c r="V1107" s="50">
        <v>0.0</v>
      </c>
      <c r="W1107" s="50">
        <v>0.0</v>
      </c>
      <c r="X1107" s="50">
        <v>2.8125</v>
      </c>
      <c r="Y1107" s="50">
        <v>5.625</v>
      </c>
    </row>
    <row r="1108">
      <c r="A1108" s="26">
        <v>1102.0</v>
      </c>
      <c r="B1108" s="65">
        <v>0.39972358662094154</v>
      </c>
      <c r="C1108" s="65">
        <v>0.9504719979214508</v>
      </c>
      <c r="D1108" s="65">
        <v>-0.09752481139747289</v>
      </c>
      <c r="E1108" s="65">
        <v>-0.08680327567314475</v>
      </c>
      <c r="F1108" s="65">
        <v>2.2528567109275137</v>
      </c>
      <c r="G1108" s="50">
        <v>0.0</v>
      </c>
      <c r="H1108" s="50">
        <v>0.0</v>
      </c>
      <c r="I1108" s="50">
        <v>0.0</v>
      </c>
      <c r="J1108" s="50">
        <v>0.0</v>
      </c>
      <c r="K1108" s="50">
        <v>0.0</v>
      </c>
      <c r="L1108" s="50">
        <v>0.0</v>
      </c>
      <c r="M1108" s="50">
        <v>0.0</v>
      </c>
      <c r="N1108" s="50">
        <v>0.0</v>
      </c>
      <c r="O1108" s="50">
        <v>0.0</v>
      </c>
      <c r="P1108" s="50">
        <v>0.0</v>
      </c>
      <c r="Q1108" s="50">
        <v>0.0</v>
      </c>
      <c r="R1108" s="50">
        <v>0.0</v>
      </c>
      <c r="S1108" s="50">
        <v>0.0</v>
      </c>
      <c r="T1108" s="50">
        <v>2.8125</v>
      </c>
      <c r="U1108" s="50">
        <v>0.0</v>
      </c>
      <c r="V1108" s="50">
        <v>0.0</v>
      </c>
      <c r="W1108" s="50">
        <v>0.0</v>
      </c>
      <c r="X1108" s="50">
        <v>2.8125</v>
      </c>
      <c r="Y1108" s="50">
        <v>5.625</v>
      </c>
    </row>
    <row r="1109">
      <c r="A1109" s="26">
        <v>1103.0</v>
      </c>
      <c r="B1109" s="65">
        <v>0.677924763394507</v>
      </c>
      <c r="C1109" s="65">
        <v>1.6340547389263176</v>
      </c>
      <c r="D1109" s="65">
        <v>-0.7730399135521848</v>
      </c>
      <c r="E1109" s="65">
        <v>-0.9208142220408451</v>
      </c>
      <c r="F1109" s="65">
        <v>2.0571940171138676</v>
      </c>
      <c r="G1109" s="50">
        <v>0.0</v>
      </c>
      <c r="H1109" s="50">
        <v>0.0</v>
      </c>
      <c r="I1109" s="50">
        <v>0.0</v>
      </c>
      <c r="J1109" s="50">
        <v>0.0</v>
      </c>
      <c r="K1109" s="50">
        <v>0.0</v>
      </c>
      <c r="L1109" s="50">
        <v>0.0</v>
      </c>
      <c r="M1109" s="50">
        <v>0.0</v>
      </c>
      <c r="N1109" s="50">
        <v>0.0</v>
      </c>
      <c r="O1109" s="50">
        <v>7.425000000000001</v>
      </c>
      <c r="P1109" s="50">
        <v>0.0</v>
      </c>
      <c r="Q1109" s="50">
        <v>0.0</v>
      </c>
      <c r="R1109" s="50">
        <v>9.9</v>
      </c>
      <c r="S1109" s="50">
        <v>0.0</v>
      </c>
      <c r="T1109" s="50">
        <v>2.8125</v>
      </c>
      <c r="U1109" s="50">
        <v>0.0</v>
      </c>
      <c r="V1109" s="50">
        <v>0.0</v>
      </c>
      <c r="W1109" s="50">
        <v>4.95</v>
      </c>
      <c r="X1109" s="50">
        <v>2.8125</v>
      </c>
      <c r="Y1109" s="50">
        <v>27.900000000000002</v>
      </c>
    </row>
    <row r="1110">
      <c r="A1110" s="26">
        <v>1104.0</v>
      </c>
      <c r="B1110" s="65">
        <v>-0.25417313466325475</v>
      </c>
      <c r="C1110" s="65">
        <v>1.068244620000776</v>
      </c>
      <c r="D1110" s="65">
        <v>-0.40348421320153505</v>
      </c>
      <c r="E1110" s="65">
        <v>-0.035643055485495505</v>
      </c>
      <c r="F1110" s="65">
        <v>3.412283618379805</v>
      </c>
      <c r="G1110" s="50">
        <v>0.0</v>
      </c>
      <c r="H1110" s="50">
        <v>0.0</v>
      </c>
      <c r="I1110" s="50">
        <v>0.0</v>
      </c>
      <c r="J1110" s="50">
        <v>0.0</v>
      </c>
      <c r="K1110" s="50">
        <v>0.0</v>
      </c>
      <c r="L1110" s="50">
        <v>0.0</v>
      </c>
      <c r="M1110" s="50">
        <v>0.0</v>
      </c>
      <c r="N1110" s="50">
        <v>0.0</v>
      </c>
      <c r="O1110" s="50">
        <v>0.0</v>
      </c>
      <c r="P1110" s="50">
        <v>0.0</v>
      </c>
      <c r="Q1110" s="50">
        <v>0.0</v>
      </c>
      <c r="R1110" s="50">
        <v>0.0</v>
      </c>
      <c r="S1110" s="50">
        <v>0.0</v>
      </c>
      <c r="T1110" s="50">
        <v>2.8125</v>
      </c>
      <c r="U1110" s="50">
        <v>0.0</v>
      </c>
      <c r="V1110" s="50">
        <v>0.0</v>
      </c>
      <c r="W1110" s="50">
        <v>0.0</v>
      </c>
      <c r="X1110" s="50">
        <v>2.8125</v>
      </c>
      <c r="Y1110" s="50">
        <v>5.625</v>
      </c>
    </row>
    <row r="1111">
      <c r="A1111" s="26">
        <v>1105.0</v>
      </c>
      <c r="B1111" s="65">
        <v>-0.31568389807436975</v>
      </c>
      <c r="C1111" s="65">
        <v>1.4695085754925008</v>
      </c>
      <c r="D1111" s="65">
        <v>1.2691601204382406</v>
      </c>
      <c r="E1111" s="65">
        <v>-1.1220869400484654</v>
      </c>
      <c r="F1111" s="65">
        <v>0.8406378857026551</v>
      </c>
      <c r="G1111" s="50">
        <v>0.0</v>
      </c>
      <c r="H1111" s="50">
        <v>0.0</v>
      </c>
      <c r="I1111" s="50">
        <v>0.0</v>
      </c>
      <c r="J1111" s="50">
        <v>0.0</v>
      </c>
      <c r="K1111" s="50">
        <v>0.0</v>
      </c>
      <c r="L1111" s="50">
        <v>0.0</v>
      </c>
      <c r="M1111" s="50">
        <v>0.0</v>
      </c>
      <c r="N1111" s="50">
        <v>0.0</v>
      </c>
      <c r="O1111" s="50">
        <v>0.0</v>
      </c>
      <c r="P1111" s="50">
        <v>2.475</v>
      </c>
      <c r="Q1111" s="50">
        <v>0.0</v>
      </c>
      <c r="R1111" s="50">
        <v>0.0</v>
      </c>
      <c r="S1111" s="50">
        <v>0.0</v>
      </c>
      <c r="T1111" s="50">
        <v>2.8125</v>
      </c>
      <c r="U1111" s="50">
        <v>9.9</v>
      </c>
      <c r="V1111" s="50">
        <v>5.625</v>
      </c>
      <c r="W1111" s="50">
        <v>4.95</v>
      </c>
      <c r="X1111" s="50">
        <v>2.8125</v>
      </c>
      <c r="Y1111" s="50">
        <v>28.575</v>
      </c>
    </row>
    <row r="1112">
      <c r="A1112" s="26">
        <v>1106.0</v>
      </c>
      <c r="B1112" s="65">
        <v>-1.777650221418389</v>
      </c>
      <c r="C1112" s="65">
        <v>-0.8420177337314928</v>
      </c>
      <c r="D1112" s="65">
        <v>-0.44771388803355805</v>
      </c>
      <c r="E1112" s="65">
        <v>1.0607590242847293</v>
      </c>
      <c r="F1112" s="65">
        <v>1.292729661518758</v>
      </c>
      <c r="G1112" s="50">
        <v>0.0</v>
      </c>
      <c r="H1112" s="50">
        <v>0.0</v>
      </c>
      <c r="I1112" s="50">
        <v>0.0</v>
      </c>
      <c r="J1112" s="50">
        <v>0.0</v>
      </c>
      <c r="K1112" s="50">
        <v>0.0</v>
      </c>
      <c r="L1112" s="50">
        <v>0.0</v>
      </c>
      <c r="M1112" s="50">
        <v>0.0</v>
      </c>
      <c r="N1112" s="50">
        <v>0.0</v>
      </c>
      <c r="O1112" s="50">
        <v>7.425000000000001</v>
      </c>
      <c r="P1112" s="50">
        <v>2.475</v>
      </c>
      <c r="Q1112" s="50">
        <v>13.5</v>
      </c>
      <c r="R1112" s="50">
        <v>0.0</v>
      </c>
      <c r="S1112" s="50">
        <v>0.0</v>
      </c>
      <c r="T1112" s="50">
        <v>2.8125</v>
      </c>
      <c r="U1112" s="50">
        <v>9.9</v>
      </c>
      <c r="V1112" s="50">
        <v>0.0</v>
      </c>
      <c r="W1112" s="50">
        <v>0.0</v>
      </c>
      <c r="X1112" s="50">
        <v>2.8125</v>
      </c>
      <c r="Y1112" s="50">
        <v>38.925</v>
      </c>
    </row>
    <row r="1113">
      <c r="A1113" s="26">
        <v>1107.0</v>
      </c>
      <c r="B1113" s="65">
        <v>-0.24608701871272545</v>
      </c>
      <c r="C1113" s="65">
        <v>0.5758589713682348</v>
      </c>
      <c r="D1113" s="65">
        <v>-0.21625947709093116</v>
      </c>
      <c r="E1113" s="65">
        <v>0.3221767182895409</v>
      </c>
      <c r="F1113" s="65">
        <v>5.073482123176534</v>
      </c>
      <c r="G1113" s="50">
        <v>0.0</v>
      </c>
      <c r="H1113" s="50">
        <v>0.0</v>
      </c>
      <c r="I1113" s="50">
        <v>0.0</v>
      </c>
      <c r="J1113" s="50">
        <v>0.0</v>
      </c>
      <c r="K1113" s="50">
        <v>0.0</v>
      </c>
      <c r="L1113" s="50">
        <v>0.0</v>
      </c>
      <c r="M1113" s="50">
        <v>0.0</v>
      </c>
      <c r="N1113" s="50">
        <v>0.0</v>
      </c>
      <c r="O1113" s="50">
        <v>0.0</v>
      </c>
      <c r="P1113" s="50">
        <v>0.0</v>
      </c>
      <c r="Q1113" s="50">
        <v>0.0</v>
      </c>
      <c r="R1113" s="50">
        <v>0.0</v>
      </c>
      <c r="S1113" s="50">
        <v>0.0</v>
      </c>
      <c r="T1113" s="50">
        <v>2.8125</v>
      </c>
      <c r="U1113" s="50">
        <v>0.0</v>
      </c>
      <c r="V1113" s="50">
        <v>5.625</v>
      </c>
      <c r="W1113" s="50">
        <v>0.0</v>
      </c>
      <c r="X1113" s="50">
        <v>2.8125</v>
      </c>
      <c r="Y1113" s="50">
        <v>11.25</v>
      </c>
    </row>
    <row r="1114">
      <c r="A1114" s="26">
        <v>1108.0</v>
      </c>
      <c r="B1114" s="65">
        <v>-0.14916458169902272</v>
      </c>
      <c r="C1114" s="65">
        <v>0.4589680910830141</v>
      </c>
      <c r="D1114" s="65">
        <v>1.354526105192023</v>
      </c>
      <c r="E1114" s="65">
        <v>-0.4405561507149021</v>
      </c>
      <c r="F1114" s="65">
        <v>6.824507171617569</v>
      </c>
      <c r="G1114" s="50">
        <v>0.0</v>
      </c>
      <c r="H1114" s="50">
        <v>0.0</v>
      </c>
      <c r="I1114" s="50">
        <v>0.0</v>
      </c>
      <c r="J1114" s="50">
        <v>0.0</v>
      </c>
      <c r="K1114" s="50">
        <v>0.0</v>
      </c>
      <c r="L1114" s="50">
        <v>0.0</v>
      </c>
      <c r="M1114" s="50">
        <v>0.0</v>
      </c>
      <c r="N1114" s="50">
        <v>0.0</v>
      </c>
      <c r="O1114" s="50">
        <v>0.0</v>
      </c>
      <c r="P1114" s="50">
        <v>0.0</v>
      </c>
      <c r="Q1114" s="50">
        <v>0.0</v>
      </c>
      <c r="R1114" s="50">
        <v>0.0</v>
      </c>
      <c r="S1114" s="50">
        <v>0.0</v>
      </c>
      <c r="T1114" s="50">
        <v>2.8125</v>
      </c>
      <c r="U1114" s="50">
        <v>0.0</v>
      </c>
      <c r="V1114" s="50">
        <v>0.0</v>
      </c>
      <c r="W1114" s="50">
        <v>0.0</v>
      </c>
      <c r="X1114" s="50">
        <v>2.8125</v>
      </c>
      <c r="Y1114" s="50">
        <v>5.625</v>
      </c>
    </row>
    <row r="1115">
      <c r="A1115" s="26">
        <v>1109.0</v>
      </c>
      <c r="B1115" s="65">
        <v>1.3464917852397942</v>
      </c>
      <c r="C1115" s="65">
        <v>0.9933864140502862</v>
      </c>
      <c r="D1115" s="65">
        <v>-1.9517482042394863</v>
      </c>
      <c r="E1115" s="65">
        <v>0.303017527489529</v>
      </c>
      <c r="F1115" s="65">
        <v>7.1987919223392565</v>
      </c>
      <c r="G1115" s="50">
        <v>0.0</v>
      </c>
      <c r="H1115" s="50">
        <v>0.0</v>
      </c>
      <c r="I1115" s="50">
        <v>0.0</v>
      </c>
      <c r="J1115" s="50">
        <v>0.0</v>
      </c>
      <c r="K1115" s="50">
        <v>0.0</v>
      </c>
      <c r="L1115" s="50">
        <v>0.0</v>
      </c>
      <c r="M1115" s="50">
        <v>0.0</v>
      </c>
      <c r="N1115" s="50">
        <v>0.0</v>
      </c>
      <c r="O1115" s="50">
        <v>0.0</v>
      </c>
      <c r="P1115" s="50">
        <v>0.0</v>
      </c>
      <c r="Q1115" s="50">
        <v>0.0</v>
      </c>
      <c r="R1115" s="50">
        <v>0.0</v>
      </c>
      <c r="S1115" s="50">
        <v>0.0</v>
      </c>
      <c r="T1115" s="50">
        <v>2.8125</v>
      </c>
      <c r="U1115" s="50">
        <v>0.0</v>
      </c>
      <c r="V1115" s="50">
        <v>0.0</v>
      </c>
      <c r="W1115" s="50">
        <v>0.0</v>
      </c>
      <c r="X1115" s="50">
        <v>2.8125</v>
      </c>
      <c r="Y1115" s="50">
        <v>5.625</v>
      </c>
    </row>
    <row r="1116">
      <c r="A1116" s="26">
        <v>1110.0</v>
      </c>
      <c r="B1116" s="65">
        <v>0.42664693037555107</v>
      </c>
      <c r="C1116" s="65">
        <v>0.0572147418625879</v>
      </c>
      <c r="D1116" s="65">
        <v>-0.3526757805476337</v>
      </c>
      <c r="E1116" s="65">
        <v>-1.224674690916821</v>
      </c>
      <c r="F1116" s="65">
        <v>8.105237053448716</v>
      </c>
      <c r="G1116" s="50">
        <v>0.0</v>
      </c>
      <c r="H1116" s="50">
        <v>0.0</v>
      </c>
      <c r="I1116" s="50">
        <v>0.0</v>
      </c>
      <c r="J1116" s="50">
        <v>0.0</v>
      </c>
      <c r="K1116" s="50">
        <v>0.0</v>
      </c>
      <c r="L1116" s="50">
        <v>0.0</v>
      </c>
      <c r="M1116" s="50">
        <v>0.0</v>
      </c>
      <c r="N1116" s="50">
        <v>0.0</v>
      </c>
      <c r="O1116" s="50">
        <v>0.0</v>
      </c>
      <c r="P1116" s="50">
        <v>0.0</v>
      </c>
      <c r="Q1116" s="50">
        <v>0.0</v>
      </c>
      <c r="R1116" s="50">
        <v>0.0</v>
      </c>
      <c r="S1116" s="50">
        <v>0.0</v>
      </c>
      <c r="T1116" s="50">
        <v>2.8125</v>
      </c>
      <c r="U1116" s="50">
        <v>0.0</v>
      </c>
      <c r="V1116" s="50">
        <v>0.0</v>
      </c>
      <c r="W1116" s="50">
        <v>0.0</v>
      </c>
      <c r="X1116" s="50">
        <v>2.8125</v>
      </c>
      <c r="Y1116" s="50">
        <v>5.625</v>
      </c>
    </row>
    <row r="1117">
      <c r="A1117" s="26">
        <v>1111.0</v>
      </c>
      <c r="B1117" s="65">
        <v>1.0760223987756108</v>
      </c>
      <c r="C1117" s="65">
        <v>0.21172650260146675</v>
      </c>
      <c r="D1117" s="65">
        <v>-0.4225330194740137</v>
      </c>
      <c r="E1117" s="65">
        <v>-0.7984502857329132</v>
      </c>
      <c r="F1117" s="65">
        <v>4.415993960606624</v>
      </c>
      <c r="G1117" s="50">
        <v>0.0</v>
      </c>
      <c r="H1117" s="50">
        <v>0.0</v>
      </c>
      <c r="I1117" s="50">
        <v>0.0</v>
      </c>
      <c r="J1117" s="50">
        <v>0.0</v>
      </c>
      <c r="K1117" s="50">
        <v>0.0</v>
      </c>
      <c r="L1117" s="50">
        <v>0.0</v>
      </c>
      <c r="M1117" s="50">
        <v>0.0</v>
      </c>
      <c r="N1117" s="50">
        <v>0.0</v>
      </c>
      <c r="O1117" s="50">
        <v>0.0</v>
      </c>
      <c r="P1117" s="50">
        <v>0.0</v>
      </c>
      <c r="Q1117" s="50">
        <v>0.0</v>
      </c>
      <c r="R1117" s="50">
        <v>0.0</v>
      </c>
      <c r="S1117" s="50">
        <v>0.0</v>
      </c>
      <c r="T1117" s="50">
        <v>2.8125</v>
      </c>
      <c r="U1117" s="50">
        <v>0.0</v>
      </c>
      <c r="V1117" s="50">
        <v>0.0</v>
      </c>
      <c r="W1117" s="50">
        <v>0.0</v>
      </c>
      <c r="X1117" s="50">
        <v>2.8125</v>
      </c>
      <c r="Y1117" s="50">
        <v>5.625</v>
      </c>
    </row>
    <row r="1118">
      <c r="A1118" s="26">
        <v>1112.0</v>
      </c>
      <c r="B1118" s="65">
        <v>-0.6160026843074511</v>
      </c>
      <c r="C1118" s="65">
        <v>-0.6810576991646078</v>
      </c>
      <c r="D1118" s="65">
        <v>1.4073731034921302</v>
      </c>
      <c r="E1118" s="65">
        <v>3.144972258486789</v>
      </c>
      <c r="F1118" s="65">
        <v>2.2361881123041925</v>
      </c>
      <c r="G1118" s="50">
        <v>0.0</v>
      </c>
      <c r="H1118" s="50">
        <v>0.0</v>
      </c>
      <c r="I1118" s="50">
        <v>0.0</v>
      </c>
      <c r="J1118" s="50">
        <v>0.0</v>
      </c>
      <c r="K1118" s="50">
        <v>0.0</v>
      </c>
      <c r="L1118" s="50">
        <v>0.0</v>
      </c>
      <c r="M1118" s="50">
        <v>0.0</v>
      </c>
      <c r="N1118" s="50">
        <v>0.0</v>
      </c>
      <c r="O1118" s="50">
        <v>0.0</v>
      </c>
      <c r="P1118" s="50">
        <v>0.0</v>
      </c>
      <c r="Q1118" s="50">
        <v>0.0</v>
      </c>
      <c r="R1118" s="50">
        <v>9.9</v>
      </c>
      <c r="S1118" s="50">
        <v>0.0</v>
      </c>
      <c r="T1118" s="50">
        <v>2.8125</v>
      </c>
      <c r="U1118" s="50">
        <v>0.0</v>
      </c>
      <c r="V1118" s="50">
        <v>0.0</v>
      </c>
      <c r="W1118" s="50">
        <v>0.0</v>
      </c>
      <c r="X1118" s="50">
        <v>2.8125</v>
      </c>
      <c r="Y1118" s="50">
        <v>15.525</v>
      </c>
    </row>
    <row r="1119">
      <c r="A1119" s="26">
        <v>1113.0</v>
      </c>
      <c r="B1119" s="65">
        <v>0.4107737495201937</v>
      </c>
      <c r="C1119" s="65">
        <v>0.06869781408111064</v>
      </c>
      <c r="D1119" s="65">
        <v>0.49920976858994187</v>
      </c>
      <c r="E1119" s="65">
        <v>-0.8800457011105358</v>
      </c>
      <c r="F1119" s="65">
        <v>5.689017854777526</v>
      </c>
      <c r="G1119" s="50">
        <v>0.0</v>
      </c>
      <c r="H1119" s="50">
        <v>0.0</v>
      </c>
      <c r="I1119" s="50">
        <v>0.0</v>
      </c>
      <c r="J1119" s="50">
        <v>0.0</v>
      </c>
      <c r="K1119" s="50">
        <v>0.0</v>
      </c>
      <c r="L1119" s="50">
        <v>0.0</v>
      </c>
      <c r="M1119" s="50">
        <v>0.0</v>
      </c>
      <c r="N1119" s="50">
        <v>0.0</v>
      </c>
      <c r="O1119" s="50">
        <v>0.0</v>
      </c>
      <c r="P1119" s="50">
        <v>0.0</v>
      </c>
      <c r="Q1119" s="50">
        <v>0.0</v>
      </c>
      <c r="R1119" s="50">
        <v>0.0</v>
      </c>
      <c r="S1119" s="50">
        <v>0.0</v>
      </c>
      <c r="T1119" s="50">
        <v>2.8125</v>
      </c>
      <c r="U1119" s="50">
        <v>0.0</v>
      </c>
      <c r="V1119" s="50">
        <v>0.0</v>
      </c>
      <c r="W1119" s="50">
        <v>4.95</v>
      </c>
      <c r="X1119" s="50">
        <v>2.8125</v>
      </c>
      <c r="Y1119" s="50">
        <v>10.575</v>
      </c>
    </row>
    <row r="1120">
      <c r="A1120" s="26">
        <v>1114.0</v>
      </c>
      <c r="B1120" s="65">
        <v>-0.9344787041635313</v>
      </c>
      <c r="C1120" s="65">
        <v>-2.0444556528502025</v>
      </c>
      <c r="D1120" s="65">
        <v>-1.8539935694154952</v>
      </c>
      <c r="E1120" s="65">
        <v>1.6972555139088388</v>
      </c>
      <c r="F1120" s="65">
        <v>3.3271074226107236</v>
      </c>
      <c r="G1120" s="50">
        <v>0.0</v>
      </c>
      <c r="H1120" s="50">
        <v>0.0</v>
      </c>
      <c r="I1120" s="50">
        <v>0.0</v>
      </c>
      <c r="J1120" s="50">
        <v>0.0</v>
      </c>
      <c r="K1120" s="50">
        <v>0.0</v>
      </c>
      <c r="L1120" s="50">
        <v>0.0</v>
      </c>
      <c r="M1120" s="50">
        <v>0.0</v>
      </c>
      <c r="N1120" s="50">
        <v>0.0</v>
      </c>
      <c r="O1120" s="50">
        <v>0.0</v>
      </c>
      <c r="P1120" s="50">
        <v>0.0</v>
      </c>
      <c r="Q1120" s="50">
        <v>0.0</v>
      </c>
      <c r="R1120" s="50">
        <v>9.9</v>
      </c>
      <c r="S1120" s="50">
        <v>0.0</v>
      </c>
      <c r="T1120" s="50">
        <v>2.8125</v>
      </c>
      <c r="U1120" s="50">
        <v>0.0</v>
      </c>
      <c r="V1120" s="50">
        <v>0.0</v>
      </c>
      <c r="W1120" s="50">
        <v>0.0</v>
      </c>
      <c r="X1120" s="50">
        <v>2.8125</v>
      </c>
      <c r="Y1120" s="50">
        <v>15.525</v>
      </c>
    </row>
    <row r="1121">
      <c r="A1121" s="26">
        <v>1115.0</v>
      </c>
      <c r="B1121" s="65">
        <v>-0.7771574179692956</v>
      </c>
      <c r="C1121" s="65">
        <v>0.1681072200386948</v>
      </c>
      <c r="D1121" s="65">
        <v>-1.7324165202938686</v>
      </c>
      <c r="E1121" s="65">
        <v>-0.8600823925179417</v>
      </c>
      <c r="F1121" s="65">
        <v>8.671244092823429</v>
      </c>
      <c r="G1121" s="50">
        <v>0.0</v>
      </c>
      <c r="H1121" s="50">
        <v>0.0</v>
      </c>
      <c r="I1121" s="50">
        <v>0.0</v>
      </c>
      <c r="J1121" s="50">
        <v>0.0</v>
      </c>
      <c r="K1121" s="50">
        <v>0.0</v>
      </c>
      <c r="L1121" s="50">
        <v>0.0</v>
      </c>
      <c r="M1121" s="50">
        <v>0.0</v>
      </c>
      <c r="N1121" s="50">
        <v>0.0</v>
      </c>
      <c r="O1121" s="50">
        <v>0.0</v>
      </c>
      <c r="P1121" s="50">
        <v>0.0</v>
      </c>
      <c r="Q1121" s="50">
        <v>0.0</v>
      </c>
      <c r="R1121" s="50">
        <v>0.0</v>
      </c>
      <c r="S1121" s="50">
        <v>0.0</v>
      </c>
      <c r="T1121" s="50">
        <v>2.8125</v>
      </c>
      <c r="U1121" s="50">
        <v>0.0</v>
      </c>
      <c r="V1121" s="50">
        <v>0.0</v>
      </c>
      <c r="W1121" s="50">
        <v>0.0</v>
      </c>
      <c r="X1121" s="50">
        <v>2.8125</v>
      </c>
      <c r="Y1121" s="50">
        <v>5.625</v>
      </c>
    </row>
    <row r="1122">
      <c r="A1122" s="26">
        <v>1116.0</v>
      </c>
      <c r="B1122" s="65">
        <v>-1.1421033844664292</v>
      </c>
      <c r="C1122" s="65">
        <v>2.4070243339208397</v>
      </c>
      <c r="D1122" s="65">
        <v>-0.2621750879105186</v>
      </c>
      <c r="E1122" s="65">
        <v>-1.1942035862584675</v>
      </c>
      <c r="F1122" s="65">
        <v>6.069764562962973</v>
      </c>
      <c r="G1122" s="50">
        <v>0.0</v>
      </c>
      <c r="H1122" s="50">
        <v>0.0</v>
      </c>
      <c r="I1122" s="50">
        <v>0.0</v>
      </c>
      <c r="J1122" s="50">
        <v>0.0</v>
      </c>
      <c r="K1122" s="50">
        <v>0.0</v>
      </c>
      <c r="L1122" s="50">
        <v>0.0</v>
      </c>
      <c r="M1122" s="50">
        <v>0.0</v>
      </c>
      <c r="N1122" s="50">
        <v>0.0</v>
      </c>
      <c r="O1122" s="50">
        <v>0.0</v>
      </c>
      <c r="P1122" s="50">
        <v>0.0</v>
      </c>
      <c r="Q1122" s="50">
        <v>0.0</v>
      </c>
      <c r="R1122" s="50">
        <v>0.0</v>
      </c>
      <c r="S1122" s="50">
        <v>0.0</v>
      </c>
      <c r="T1122" s="50">
        <v>2.8125</v>
      </c>
      <c r="U1122" s="50">
        <v>0.0</v>
      </c>
      <c r="V1122" s="50">
        <v>0.0</v>
      </c>
      <c r="W1122" s="50">
        <v>0.0</v>
      </c>
      <c r="X1122" s="50">
        <v>2.8125</v>
      </c>
      <c r="Y1122" s="50">
        <v>5.625</v>
      </c>
    </row>
    <row r="1123">
      <c r="A1123" s="26">
        <v>1117.0</v>
      </c>
      <c r="B1123" s="65">
        <v>1.2780865132812824</v>
      </c>
      <c r="C1123" s="65">
        <v>-0.13933944347176264</v>
      </c>
      <c r="D1123" s="65">
        <v>1.8627149179027815</v>
      </c>
      <c r="E1123" s="65">
        <v>-1.0898545857596889</v>
      </c>
      <c r="F1123" s="65">
        <v>7.687680332616814</v>
      </c>
      <c r="G1123" s="50">
        <v>0.0</v>
      </c>
      <c r="H1123" s="50">
        <v>0.0</v>
      </c>
      <c r="I1123" s="50">
        <v>0.0</v>
      </c>
      <c r="J1123" s="50">
        <v>0.0</v>
      </c>
      <c r="K1123" s="50">
        <v>0.0</v>
      </c>
      <c r="L1123" s="50">
        <v>0.0</v>
      </c>
      <c r="M1123" s="50">
        <v>0.0</v>
      </c>
      <c r="N1123" s="50">
        <v>0.0</v>
      </c>
      <c r="O1123" s="50">
        <v>0.0</v>
      </c>
      <c r="P1123" s="50">
        <v>0.0</v>
      </c>
      <c r="Q1123" s="50">
        <v>0.0</v>
      </c>
      <c r="R1123" s="50">
        <v>0.0</v>
      </c>
      <c r="S1123" s="50">
        <v>0.0</v>
      </c>
      <c r="T1123" s="50">
        <v>2.8125</v>
      </c>
      <c r="U1123" s="50">
        <v>0.0</v>
      </c>
      <c r="V1123" s="50">
        <v>0.0</v>
      </c>
      <c r="W1123" s="50">
        <v>0.0</v>
      </c>
      <c r="X1123" s="50">
        <v>2.8125</v>
      </c>
      <c r="Y1123" s="50">
        <v>5.625</v>
      </c>
    </row>
    <row r="1124">
      <c r="A1124" s="26">
        <v>1118.0</v>
      </c>
      <c r="B1124" s="65">
        <v>-0.37447121401268435</v>
      </c>
      <c r="C1124" s="65">
        <v>0.6941271919262547</v>
      </c>
      <c r="D1124" s="65">
        <v>-1.1243330077620644</v>
      </c>
      <c r="E1124" s="65">
        <v>0.592028539076537</v>
      </c>
      <c r="F1124" s="65">
        <v>4.010302230563994</v>
      </c>
      <c r="G1124" s="50">
        <v>0.0</v>
      </c>
      <c r="H1124" s="50">
        <v>0.0</v>
      </c>
      <c r="I1124" s="50">
        <v>0.0</v>
      </c>
      <c r="J1124" s="50">
        <v>0.0</v>
      </c>
      <c r="K1124" s="50">
        <v>0.0</v>
      </c>
      <c r="L1124" s="50">
        <v>0.0</v>
      </c>
      <c r="M1124" s="50">
        <v>0.0</v>
      </c>
      <c r="N1124" s="50">
        <v>0.0</v>
      </c>
      <c r="O1124" s="50">
        <v>0.0</v>
      </c>
      <c r="P1124" s="50">
        <v>0.0</v>
      </c>
      <c r="Q1124" s="50">
        <v>0.0</v>
      </c>
      <c r="R1124" s="50">
        <v>9.9</v>
      </c>
      <c r="S1124" s="50">
        <v>0.0</v>
      </c>
      <c r="T1124" s="50">
        <v>2.8125</v>
      </c>
      <c r="U1124" s="50">
        <v>0.0</v>
      </c>
      <c r="V1124" s="50">
        <v>5.625</v>
      </c>
      <c r="W1124" s="50">
        <v>0.0</v>
      </c>
      <c r="X1124" s="50">
        <v>2.8125</v>
      </c>
      <c r="Y1124" s="50">
        <v>21.15</v>
      </c>
    </row>
    <row r="1125">
      <c r="A1125" s="26">
        <v>1119.0</v>
      </c>
      <c r="B1125" s="65">
        <v>0.9410760305439304</v>
      </c>
      <c r="C1125" s="65">
        <v>0.8801151811654565</v>
      </c>
      <c r="D1125" s="65">
        <v>0.8224393767495083</v>
      </c>
      <c r="E1125" s="65">
        <v>1.1054586733551564</v>
      </c>
      <c r="F1125" s="65">
        <v>4.097637856505729</v>
      </c>
      <c r="G1125" s="50">
        <v>0.0</v>
      </c>
      <c r="H1125" s="50">
        <v>0.0</v>
      </c>
      <c r="I1125" s="50">
        <v>0.0</v>
      </c>
      <c r="J1125" s="50">
        <v>0.0</v>
      </c>
      <c r="K1125" s="50">
        <v>0.0</v>
      </c>
      <c r="L1125" s="50">
        <v>0.0</v>
      </c>
      <c r="M1125" s="50">
        <v>0.0</v>
      </c>
      <c r="N1125" s="50">
        <v>0.0</v>
      </c>
      <c r="O1125" s="50">
        <v>0.0</v>
      </c>
      <c r="P1125" s="50">
        <v>0.0</v>
      </c>
      <c r="Q1125" s="50">
        <v>0.0</v>
      </c>
      <c r="R1125" s="50">
        <v>0.0</v>
      </c>
      <c r="S1125" s="50">
        <v>0.0</v>
      </c>
      <c r="T1125" s="50">
        <v>2.8125</v>
      </c>
      <c r="U1125" s="50">
        <v>0.0</v>
      </c>
      <c r="V1125" s="50">
        <v>0.0</v>
      </c>
      <c r="W1125" s="50">
        <v>0.0</v>
      </c>
      <c r="X1125" s="50">
        <v>2.8125</v>
      </c>
      <c r="Y1125" s="50">
        <v>5.625</v>
      </c>
    </row>
    <row r="1126">
      <c r="A1126" s="26">
        <v>1120.0</v>
      </c>
      <c r="B1126" s="65">
        <v>-1.9676738967997454</v>
      </c>
      <c r="C1126" s="65">
        <v>-2.226602945243802</v>
      </c>
      <c r="D1126" s="65">
        <v>-1.1423478387520396</v>
      </c>
      <c r="E1126" s="65">
        <v>-2.055053623428123</v>
      </c>
      <c r="F1126" s="65">
        <v>6.108990494903568</v>
      </c>
      <c r="G1126" s="50">
        <v>0.0</v>
      </c>
      <c r="H1126" s="50">
        <v>0.0</v>
      </c>
      <c r="I1126" s="50">
        <v>0.0</v>
      </c>
      <c r="J1126" s="50">
        <v>0.0</v>
      </c>
      <c r="K1126" s="50">
        <v>0.0</v>
      </c>
      <c r="L1126" s="50">
        <v>0.0</v>
      </c>
      <c r="M1126" s="50">
        <v>0.0</v>
      </c>
      <c r="N1126" s="50">
        <v>0.0</v>
      </c>
      <c r="O1126" s="50">
        <v>7.425000000000001</v>
      </c>
      <c r="P1126" s="50">
        <v>2.475</v>
      </c>
      <c r="Q1126" s="50">
        <v>0.0</v>
      </c>
      <c r="R1126" s="50">
        <v>0.0</v>
      </c>
      <c r="S1126" s="50">
        <v>0.0</v>
      </c>
      <c r="T1126" s="50">
        <v>2.8125</v>
      </c>
      <c r="U1126" s="50">
        <v>0.0</v>
      </c>
      <c r="V1126" s="50">
        <v>5.625</v>
      </c>
      <c r="W1126" s="50">
        <v>4.95</v>
      </c>
      <c r="X1126" s="50">
        <v>2.8125</v>
      </c>
      <c r="Y1126" s="50">
        <v>26.099999999999998</v>
      </c>
    </row>
    <row r="1127">
      <c r="A1127" s="26">
        <v>1121.0</v>
      </c>
      <c r="B1127" s="65">
        <v>0.8918551232878714</v>
      </c>
      <c r="C1127" s="65">
        <v>-0.9833207169338443</v>
      </c>
      <c r="D1127" s="65">
        <v>1.8846082653753202</v>
      </c>
      <c r="E1127" s="65">
        <v>1.1384602365688925</v>
      </c>
      <c r="F1127" s="65">
        <v>2.4307237324619004</v>
      </c>
      <c r="G1127" s="50">
        <v>0.0</v>
      </c>
      <c r="H1127" s="50">
        <v>0.0</v>
      </c>
      <c r="I1127" s="50">
        <v>0.0</v>
      </c>
      <c r="J1127" s="50">
        <v>0.0</v>
      </c>
      <c r="K1127" s="50">
        <v>0.0</v>
      </c>
      <c r="L1127" s="50">
        <v>0.0</v>
      </c>
      <c r="M1127" s="50">
        <v>0.0</v>
      </c>
      <c r="N1127" s="50">
        <v>0.0</v>
      </c>
      <c r="O1127" s="50">
        <v>7.425000000000001</v>
      </c>
      <c r="P1127" s="50">
        <v>0.0</v>
      </c>
      <c r="Q1127" s="50">
        <v>0.0</v>
      </c>
      <c r="R1127" s="50">
        <v>0.0</v>
      </c>
      <c r="S1127" s="50">
        <v>0.0</v>
      </c>
      <c r="T1127" s="50">
        <v>2.8125</v>
      </c>
      <c r="U1127" s="50">
        <v>0.0</v>
      </c>
      <c r="V1127" s="50">
        <v>0.0</v>
      </c>
      <c r="W1127" s="50">
        <v>0.0</v>
      </c>
      <c r="X1127" s="50">
        <v>2.8125</v>
      </c>
      <c r="Y1127" s="50">
        <v>13.05</v>
      </c>
    </row>
    <row r="1128">
      <c r="A1128" s="26">
        <v>1122.0</v>
      </c>
      <c r="B1128" s="65">
        <v>-1.5887553502669927</v>
      </c>
      <c r="C1128" s="65">
        <v>0.885361029641845</v>
      </c>
      <c r="D1128" s="65">
        <v>0.5398415290578599</v>
      </c>
      <c r="E1128" s="65">
        <v>-0.2989188281645872</v>
      </c>
      <c r="F1128" s="65">
        <v>5.129148241295588</v>
      </c>
      <c r="G1128" s="50">
        <v>0.0</v>
      </c>
      <c r="H1128" s="50">
        <v>0.0</v>
      </c>
      <c r="I1128" s="50">
        <v>0.0</v>
      </c>
      <c r="J1128" s="50">
        <v>0.0</v>
      </c>
      <c r="K1128" s="50">
        <v>0.0</v>
      </c>
      <c r="L1128" s="50">
        <v>0.0</v>
      </c>
      <c r="M1128" s="50">
        <v>0.0</v>
      </c>
      <c r="N1128" s="50">
        <v>0.0</v>
      </c>
      <c r="O1128" s="50">
        <v>7.425000000000001</v>
      </c>
      <c r="P1128" s="50">
        <v>2.475</v>
      </c>
      <c r="Q1128" s="50">
        <v>0.0</v>
      </c>
      <c r="R1128" s="50">
        <v>0.0</v>
      </c>
      <c r="S1128" s="50">
        <v>0.0</v>
      </c>
      <c r="T1128" s="50">
        <v>2.8125</v>
      </c>
      <c r="U1128" s="50">
        <v>0.0</v>
      </c>
      <c r="V1128" s="50">
        <v>5.625</v>
      </c>
      <c r="W1128" s="50">
        <v>0.0</v>
      </c>
      <c r="X1128" s="50">
        <v>2.8125</v>
      </c>
      <c r="Y1128" s="50">
        <v>21.15</v>
      </c>
    </row>
    <row r="1129">
      <c r="A1129" s="26">
        <v>1123.0</v>
      </c>
      <c r="B1129" s="65">
        <v>-0.26658303611061396</v>
      </c>
      <c r="C1129" s="65">
        <v>-0.2665655632226113</v>
      </c>
      <c r="D1129" s="65">
        <v>0.6381706766597944</v>
      </c>
      <c r="E1129" s="65">
        <v>1.064615736378951</v>
      </c>
      <c r="F1129" s="65">
        <v>6.178088630513482</v>
      </c>
      <c r="G1129" s="50">
        <v>0.0</v>
      </c>
      <c r="H1129" s="50">
        <v>0.0</v>
      </c>
      <c r="I1129" s="50">
        <v>0.0</v>
      </c>
      <c r="J1129" s="50">
        <v>0.0</v>
      </c>
      <c r="K1129" s="50">
        <v>0.0</v>
      </c>
      <c r="L1129" s="50">
        <v>0.0</v>
      </c>
      <c r="M1129" s="50">
        <v>0.0</v>
      </c>
      <c r="N1129" s="50">
        <v>0.0</v>
      </c>
      <c r="O1129" s="50">
        <v>0.0</v>
      </c>
      <c r="P1129" s="50">
        <v>2.475</v>
      </c>
      <c r="Q1129" s="50">
        <v>0.0</v>
      </c>
      <c r="R1129" s="50">
        <v>0.0</v>
      </c>
      <c r="S1129" s="50">
        <v>0.0</v>
      </c>
      <c r="T1129" s="50">
        <v>2.8125</v>
      </c>
      <c r="U1129" s="50">
        <v>0.0</v>
      </c>
      <c r="V1129" s="50">
        <v>0.0</v>
      </c>
      <c r="W1129" s="50">
        <v>0.0</v>
      </c>
      <c r="X1129" s="50">
        <v>2.8125</v>
      </c>
      <c r="Y1129" s="50">
        <v>8.1</v>
      </c>
    </row>
    <row r="1130">
      <c r="A1130" s="26">
        <v>1124.0</v>
      </c>
      <c r="B1130" s="65">
        <v>-0.5135094185186809</v>
      </c>
      <c r="C1130" s="65">
        <v>0.026369474445707555</v>
      </c>
      <c r="D1130" s="65">
        <v>0.581546526492643</v>
      </c>
      <c r="E1130" s="65">
        <v>-1.7635769809460735</v>
      </c>
      <c r="F1130" s="65">
        <v>0.742112552788875</v>
      </c>
      <c r="G1130" s="50">
        <v>0.0</v>
      </c>
      <c r="H1130" s="50">
        <v>0.0</v>
      </c>
      <c r="I1130" s="50">
        <v>0.0</v>
      </c>
      <c r="J1130" s="50">
        <v>0.0</v>
      </c>
      <c r="K1130" s="50">
        <v>0.0</v>
      </c>
      <c r="L1130" s="50">
        <v>0.0</v>
      </c>
      <c r="M1130" s="50">
        <v>0.0</v>
      </c>
      <c r="N1130" s="50">
        <v>0.0</v>
      </c>
      <c r="O1130" s="50">
        <v>0.0</v>
      </c>
      <c r="P1130" s="50">
        <v>0.0</v>
      </c>
      <c r="Q1130" s="50">
        <v>0.0</v>
      </c>
      <c r="R1130" s="50">
        <v>9.9</v>
      </c>
      <c r="S1130" s="50">
        <v>0.0</v>
      </c>
      <c r="T1130" s="50">
        <v>2.8125</v>
      </c>
      <c r="U1130" s="50">
        <v>0.0</v>
      </c>
      <c r="V1130" s="50">
        <v>5.625</v>
      </c>
      <c r="W1130" s="50">
        <v>4.95</v>
      </c>
      <c r="X1130" s="50">
        <v>2.8125</v>
      </c>
      <c r="Y1130" s="50">
        <v>26.099999999999998</v>
      </c>
    </row>
    <row r="1131">
      <c r="A1131" s="26">
        <v>1125.0</v>
      </c>
      <c r="B1131" s="65">
        <v>-1.393905975359047</v>
      </c>
      <c r="C1131" s="65">
        <v>0.7322962460675136</v>
      </c>
      <c r="D1131" s="65">
        <v>-0.27957454724861003</v>
      </c>
      <c r="E1131" s="65">
        <v>1.7293904322984588</v>
      </c>
      <c r="F1131" s="65">
        <v>5.926400618142466</v>
      </c>
      <c r="G1131" s="50">
        <v>0.0</v>
      </c>
      <c r="H1131" s="50">
        <v>0.0</v>
      </c>
      <c r="I1131" s="50">
        <v>0.0</v>
      </c>
      <c r="J1131" s="50">
        <v>0.0</v>
      </c>
      <c r="K1131" s="50">
        <v>0.0</v>
      </c>
      <c r="L1131" s="50">
        <v>0.0</v>
      </c>
      <c r="M1131" s="50">
        <v>0.0</v>
      </c>
      <c r="N1131" s="50">
        <v>0.0</v>
      </c>
      <c r="O1131" s="50">
        <v>0.0</v>
      </c>
      <c r="P1131" s="50">
        <v>0.0</v>
      </c>
      <c r="Q1131" s="50">
        <v>0.0</v>
      </c>
      <c r="R1131" s="50">
        <v>0.0</v>
      </c>
      <c r="S1131" s="50">
        <v>0.0</v>
      </c>
      <c r="T1131" s="50">
        <v>2.8125</v>
      </c>
      <c r="U1131" s="50">
        <v>0.0</v>
      </c>
      <c r="V1131" s="50">
        <v>0.0</v>
      </c>
      <c r="W1131" s="50">
        <v>0.0</v>
      </c>
      <c r="X1131" s="50">
        <v>2.8125</v>
      </c>
      <c r="Y1131" s="50">
        <v>5.625</v>
      </c>
    </row>
    <row r="1132">
      <c r="A1132" s="26">
        <v>1126.0</v>
      </c>
      <c r="B1132" s="65">
        <v>-2.102143460150393</v>
      </c>
      <c r="C1132" s="65">
        <v>-0.9791456353077567</v>
      </c>
      <c r="D1132" s="65">
        <v>0.19652892441393333</v>
      </c>
      <c r="E1132" s="65">
        <v>0.3722907335263975</v>
      </c>
      <c r="F1132" s="65">
        <v>3.624815603998454</v>
      </c>
      <c r="G1132" s="50">
        <v>0.0</v>
      </c>
      <c r="H1132" s="50">
        <v>0.0</v>
      </c>
      <c r="I1132" s="50">
        <v>0.0</v>
      </c>
      <c r="J1132" s="50">
        <v>0.0</v>
      </c>
      <c r="K1132" s="50">
        <v>0.0</v>
      </c>
      <c r="L1132" s="50">
        <v>0.0</v>
      </c>
      <c r="M1132" s="50">
        <v>0.0</v>
      </c>
      <c r="N1132" s="50">
        <v>0.0</v>
      </c>
      <c r="O1132" s="50">
        <v>7.425000000000001</v>
      </c>
      <c r="P1132" s="50">
        <v>0.0</v>
      </c>
      <c r="Q1132" s="50">
        <v>0.0</v>
      </c>
      <c r="R1132" s="50">
        <v>0.0</v>
      </c>
      <c r="S1132" s="50">
        <v>0.0</v>
      </c>
      <c r="T1132" s="50">
        <v>2.8125</v>
      </c>
      <c r="U1132" s="50">
        <v>0.0</v>
      </c>
      <c r="V1132" s="50">
        <v>5.625</v>
      </c>
      <c r="W1132" s="50">
        <v>0.0</v>
      </c>
      <c r="X1132" s="50">
        <v>2.8125</v>
      </c>
      <c r="Y1132" s="50">
        <v>18.675</v>
      </c>
    </row>
    <row r="1133">
      <c r="A1133" s="26">
        <v>1127.0</v>
      </c>
      <c r="B1133" s="65">
        <v>-0.3738214243717072</v>
      </c>
      <c r="C1133" s="65">
        <v>0.42491414987455084</v>
      </c>
      <c r="D1133" s="65">
        <v>1.5394529687237335</v>
      </c>
      <c r="E1133" s="65">
        <v>0.04759222393526056</v>
      </c>
      <c r="F1133" s="65">
        <v>16.260725504929024</v>
      </c>
      <c r="G1133" s="50">
        <v>0.0</v>
      </c>
      <c r="H1133" s="50">
        <v>0.0</v>
      </c>
      <c r="I1133" s="50">
        <v>0.0</v>
      </c>
      <c r="J1133" s="50">
        <v>0.0</v>
      </c>
      <c r="K1133" s="50">
        <v>0.0</v>
      </c>
      <c r="L1133" s="50">
        <v>0.0</v>
      </c>
      <c r="M1133" s="50">
        <v>0.0</v>
      </c>
      <c r="N1133" s="50">
        <v>0.0</v>
      </c>
      <c r="O1133" s="50">
        <v>0.0</v>
      </c>
      <c r="P1133" s="50">
        <v>0.0</v>
      </c>
      <c r="Q1133" s="50">
        <v>0.0</v>
      </c>
      <c r="R1133" s="50">
        <v>0.0</v>
      </c>
      <c r="S1133" s="50">
        <v>0.0</v>
      </c>
      <c r="T1133" s="50">
        <v>2.8125</v>
      </c>
      <c r="U1133" s="50">
        <v>0.0</v>
      </c>
      <c r="V1133" s="50">
        <v>0.0</v>
      </c>
      <c r="W1133" s="50">
        <v>0.0</v>
      </c>
      <c r="X1133" s="50">
        <v>2.8125</v>
      </c>
      <c r="Y1133" s="50">
        <v>5.625</v>
      </c>
    </row>
    <row r="1134">
      <c r="A1134" s="26">
        <v>1128.0</v>
      </c>
      <c r="B1134" s="65">
        <v>-0.3527951491337812</v>
      </c>
      <c r="C1134" s="65">
        <v>-1.8333407234591763</v>
      </c>
      <c r="D1134" s="65">
        <v>-1.4180760378703243</v>
      </c>
      <c r="E1134" s="65">
        <v>-0.7286440950781514</v>
      </c>
      <c r="F1134" s="65">
        <v>2.8055065140592896</v>
      </c>
      <c r="G1134" s="50">
        <v>0.0</v>
      </c>
      <c r="H1134" s="50">
        <v>0.0</v>
      </c>
      <c r="I1134" s="50">
        <v>0.0</v>
      </c>
      <c r="J1134" s="50">
        <v>0.0</v>
      </c>
      <c r="K1134" s="50">
        <v>0.0</v>
      </c>
      <c r="L1134" s="50">
        <v>0.0</v>
      </c>
      <c r="M1134" s="50">
        <v>0.0</v>
      </c>
      <c r="N1134" s="50">
        <v>0.0</v>
      </c>
      <c r="O1134" s="50">
        <v>7.425000000000001</v>
      </c>
      <c r="P1134" s="50">
        <v>2.475</v>
      </c>
      <c r="Q1134" s="50">
        <v>0.0</v>
      </c>
      <c r="R1134" s="50">
        <v>0.0</v>
      </c>
      <c r="S1134" s="50">
        <v>0.0</v>
      </c>
      <c r="T1134" s="50">
        <v>2.8125</v>
      </c>
      <c r="U1134" s="50">
        <v>0.0</v>
      </c>
      <c r="V1134" s="50">
        <v>0.0</v>
      </c>
      <c r="W1134" s="50">
        <v>4.95</v>
      </c>
      <c r="X1134" s="50">
        <v>2.8125</v>
      </c>
      <c r="Y1134" s="50">
        <v>20.475</v>
      </c>
    </row>
    <row r="1135">
      <c r="A1135" s="26">
        <v>1129.0</v>
      </c>
      <c r="B1135" s="65">
        <v>0.27570923655636304</v>
      </c>
      <c r="C1135" s="65">
        <v>1.1423655807098063</v>
      </c>
      <c r="D1135" s="65">
        <v>0.03220713724721502</v>
      </c>
      <c r="E1135" s="65">
        <v>0.680998106791155</v>
      </c>
      <c r="F1135" s="65">
        <v>4.47774493888598</v>
      </c>
      <c r="G1135" s="50">
        <v>0.0</v>
      </c>
      <c r="H1135" s="50">
        <v>0.0</v>
      </c>
      <c r="I1135" s="50">
        <v>0.0</v>
      </c>
      <c r="J1135" s="50">
        <v>0.0</v>
      </c>
      <c r="K1135" s="50">
        <v>0.0</v>
      </c>
      <c r="L1135" s="50">
        <v>0.0</v>
      </c>
      <c r="M1135" s="50">
        <v>0.0</v>
      </c>
      <c r="N1135" s="50">
        <v>0.0</v>
      </c>
      <c r="O1135" s="50">
        <v>0.0</v>
      </c>
      <c r="P1135" s="50">
        <v>0.0</v>
      </c>
      <c r="Q1135" s="50">
        <v>0.0</v>
      </c>
      <c r="R1135" s="50">
        <v>0.0</v>
      </c>
      <c r="S1135" s="50">
        <v>0.0</v>
      </c>
      <c r="T1135" s="50">
        <v>2.8125</v>
      </c>
      <c r="U1135" s="50">
        <v>0.0</v>
      </c>
      <c r="V1135" s="50">
        <v>0.0</v>
      </c>
      <c r="W1135" s="50">
        <v>0.0</v>
      </c>
      <c r="X1135" s="50">
        <v>2.8125</v>
      </c>
      <c r="Y1135" s="50">
        <v>5.625</v>
      </c>
    </row>
    <row r="1136">
      <c r="A1136" s="26">
        <v>1130.0</v>
      </c>
      <c r="B1136" s="65">
        <v>0.7988987721582413</v>
      </c>
      <c r="C1136" s="65">
        <v>0.2546880962634277</v>
      </c>
      <c r="D1136" s="65">
        <v>1.127317620638633</v>
      </c>
      <c r="E1136" s="65">
        <v>0.028490295513924173</v>
      </c>
      <c r="F1136" s="65">
        <v>2.4626874459935912</v>
      </c>
      <c r="G1136" s="50">
        <v>0.0</v>
      </c>
      <c r="H1136" s="50">
        <v>0.0</v>
      </c>
      <c r="I1136" s="50">
        <v>0.0</v>
      </c>
      <c r="J1136" s="50">
        <v>0.0</v>
      </c>
      <c r="K1136" s="50">
        <v>0.0</v>
      </c>
      <c r="L1136" s="50">
        <v>0.0</v>
      </c>
      <c r="M1136" s="50">
        <v>0.0</v>
      </c>
      <c r="N1136" s="50">
        <v>0.0</v>
      </c>
      <c r="O1136" s="50">
        <v>0.0</v>
      </c>
      <c r="P1136" s="50">
        <v>0.0</v>
      </c>
      <c r="Q1136" s="50">
        <v>0.0</v>
      </c>
      <c r="R1136" s="50">
        <v>0.0</v>
      </c>
      <c r="S1136" s="50">
        <v>0.0</v>
      </c>
      <c r="T1136" s="50">
        <v>2.8125</v>
      </c>
      <c r="U1136" s="50">
        <v>0.0</v>
      </c>
      <c r="V1136" s="50">
        <v>0.0</v>
      </c>
      <c r="W1136" s="50">
        <v>0.0</v>
      </c>
      <c r="X1136" s="50">
        <v>2.8125</v>
      </c>
      <c r="Y1136" s="50">
        <v>5.625</v>
      </c>
    </row>
    <row r="1137">
      <c r="A1137" s="26">
        <v>1131.0</v>
      </c>
      <c r="B1137" s="65">
        <v>0.34831680516924973</v>
      </c>
      <c r="C1137" s="65">
        <v>0.18578924824554346</v>
      </c>
      <c r="D1137" s="65">
        <v>-1.8006973171708005</v>
      </c>
      <c r="E1137" s="65">
        <v>1.1288042517856784</v>
      </c>
      <c r="F1137" s="65">
        <v>6.787592538763573</v>
      </c>
      <c r="G1137" s="50">
        <v>0.0</v>
      </c>
      <c r="H1137" s="50">
        <v>0.0</v>
      </c>
      <c r="I1137" s="50">
        <v>0.0</v>
      </c>
      <c r="J1137" s="50">
        <v>0.0</v>
      </c>
      <c r="K1137" s="50">
        <v>0.0</v>
      </c>
      <c r="L1137" s="50">
        <v>0.0</v>
      </c>
      <c r="M1137" s="50">
        <v>0.0</v>
      </c>
      <c r="N1137" s="50">
        <v>0.0</v>
      </c>
      <c r="O1137" s="50">
        <v>0.0</v>
      </c>
      <c r="P1137" s="50">
        <v>2.475</v>
      </c>
      <c r="Q1137" s="50">
        <v>0.0</v>
      </c>
      <c r="R1137" s="50">
        <v>0.0</v>
      </c>
      <c r="S1137" s="50">
        <v>0.0</v>
      </c>
      <c r="T1137" s="50">
        <v>2.8125</v>
      </c>
      <c r="U1137" s="50">
        <v>0.0</v>
      </c>
      <c r="V1137" s="50">
        <v>5.625</v>
      </c>
      <c r="W1137" s="50">
        <v>0.0</v>
      </c>
      <c r="X1137" s="50">
        <v>2.8125</v>
      </c>
      <c r="Y1137" s="50">
        <v>13.725</v>
      </c>
    </row>
    <row r="1138">
      <c r="A1138" s="26">
        <v>1132.0</v>
      </c>
      <c r="B1138" s="65">
        <v>-0.3386860176906482</v>
      </c>
      <c r="C1138" s="65">
        <v>-0.35969774908317026</v>
      </c>
      <c r="D1138" s="65">
        <v>-0.7412800333734636</v>
      </c>
      <c r="E1138" s="65">
        <v>0.7683586623084503</v>
      </c>
      <c r="F1138" s="65">
        <v>1.966297861573547</v>
      </c>
      <c r="G1138" s="50">
        <v>0.0</v>
      </c>
      <c r="H1138" s="50">
        <v>0.0</v>
      </c>
      <c r="I1138" s="50">
        <v>0.0</v>
      </c>
      <c r="J1138" s="50">
        <v>0.0</v>
      </c>
      <c r="K1138" s="50">
        <v>0.0</v>
      </c>
      <c r="L1138" s="50">
        <v>0.0</v>
      </c>
      <c r="M1138" s="50">
        <v>0.0</v>
      </c>
      <c r="N1138" s="50">
        <v>0.0</v>
      </c>
      <c r="O1138" s="50">
        <v>0.0</v>
      </c>
      <c r="P1138" s="50">
        <v>0.0</v>
      </c>
      <c r="Q1138" s="50">
        <v>0.0</v>
      </c>
      <c r="R1138" s="50">
        <v>0.0</v>
      </c>
      <c r="S1138" s="50">
        <v>0.0</v>
      </c>
      <c r="T1138" s="50">
        <v>2.8125</v>
      </c>
      <c r="U1138" s="50">
        <v>0.0</v>
      </c>
      <c r="V1138" s="50">
        <v>0.0</v>
      </c>
      <c r="W1138" s="50">
        <v>0.0</v>
      </c>
      <c r="X1138" s="50">
        <v>2.8125</v>
      </c>
      <c r="Y1138" s="50">
        <v>5.625</v>
      </c>
    </row>
    <row r="1139">
      <c r="A1139" s="26">
        <v>1133.0</v>
      </c>
      <c r="B1139" s="65">
        <v>-1.4612025437310172</v>
      </c>
      <c r="C1139" s="65">
        <v>0.2544134548987765</v>
      </c>
      <c r="D1139" s="65">
        <v>0.41317004678328856</v>
      </c>
      <c r="E1139" s="65">
        <v>0.7673459163053288</v>
      </c>
      <c r="F1139" s="65">
        <v>5.604443132337334</v>
      </c>
      <c r="G1139" s="50">
        <v>0.0</v>
      </c>
      <c r="H1139" s="50">
        <v>0.0</v>
      </c>
      <c r="I1139" s="50">
        <v>0.0</v>
      </c>
      <c r="J1139" s="50">
        <v>0.0</v>
      </c>
      <c r="K1139" s="50">
        <v>0.0</v>
      </c>
      <c r="L1139" s="50">
        <v>0.0</v>
      </c>
      <c r="M1139" s="50">
        <v>0.0</v>
      </c>
      <c r="N1139" s="50">
        <v>0.0</v>
      </c>
      <c r="O1139" s="50">
        <v>7.425000000000001</v>
      </c>
      <c r="P1139" s="50">
        <v>0.0</v>
      </c>
      <c r="Q1139" s="50">
        <v>0.0</v>
      </c>
      <c r="R1139" s="50">
        <v>9.9</v>
      </c>
      <c r="S1139" s="50">
        <v>0.0</v>
      </c>
      <c r="T1139" s="50">
        <v>2.8125</v>
      </c>
      <c r="U1139" s="50">
        <v>0.0</v>
      </c>
      <c r="V1139" s="50">
        <v>5.625</v>
      </c>
      <c r="W1139" s="50">
        <v>0.0</v>
      </c>
      <c r="X1139" s="50">
        <v>2.8125</v>
      </c>
      <c r="Y1139" s="50">
        <v>28.575000000000003</v>
      </c>
    </row>
    <row r="1140">
      <c r="A1140" s="26">
        <v>1134.0</v>
      </c>
      <c r="B1140" s="65">
        <v>0.3117927133112779</v>
      </c>
      <c r="C1140" s="65">
        <v>-0.6353488820628553</v>
      </c>
      <c r="D1140" s="65">
        <v>-0.7462519135554131</v>
      </c>
      <c r="E1140" s="65">
        <v>0.4773275674072103</v>
      </c>
      <c r="F1140" s="65">
        <v>4.816961969417573</v>
      </c>
      <c r="G1140" s="50">
        <v>0.0</v>
      </c>
      <c r="H1140" s="50">
        <v>0.0</v>
      </c>
      <c r="I1140" s="50">
        <v>0.0</v>
      </c>
      <c r="J1140" s="50">
        <v>0.0</v>
      </c>
      <c r="K1140" s="50">
        <v>0.0</v>
      </c>
      <c r="L1140" s="50">
        <v>0.0</v>
      </c>
      <c r="M1140" s="50">
        <v>0.0</v>
      </c>
      <c r="N1140" s="50">
        <v>0.0</v>
      </c>
      <c r="O1140" s="50">
        <v>0.0</v>
      </c>
      <c r="P1140" s="50">
        <v>0.0</v>
      </c>
      <c r="Q1140" s="50">
        <v>0.0</v>
      </c>
      <c r="R1140" s="50">
        <v>0.0</v>
      </c>
      <c r="S1140" s="50">
        <v>0.0</v>
      </c>
      <c r="T1140" s="50">
        <v>2.8125</v>
      </c>
      <c r="U1140" s="50">
        <v>0.0</v>
      </c>
      <c r="V1140" s="50">
        <v>0.0</v>
      </c>
      <c r="W1140" s="50">
        <v>4.95</v>
      </c>
      <c r="X1140" s="50">
        <v>2.8125</v>
      </c>
      <c r="Y1140" s="50">
        <v>10.575</v>
      </c>
    </row>
    <row r="1141">
      <c r="A1141" s="26">
        <v>1135.0</v>
      </c>
      <c r="B1141" s="65">
        <v>-0.6348361728978742</v>
      </c>
      <c r="C1141" s="65">
        <v>0.7233261196595153</v>
      </c>
      <c r="D1141" s="65">
        <v>1.3224210181895861</v>
      </c>
      <c r="E1141" s="65">
        <v>-0.9993823971558425</v>
      </c>
      <c r="F1141" s="65">
        <v>3.655106753064982</v>
      </c>
      <c r="G1141" s="50">
        <v>0.0</v>
      </c>
      <c r="H1141" s="50">
        <v>0.0</v>
      </c>
      <c r="I1141" s="50">
        <v>0.0</v>
      </c>
      <c r="J1141" s="50">
        <v>0.0</v>
      </c>
      <c r="K1141" s="50">
        <v>0.0</v>
      </c>
      <c r="L1141" s="50">
        <v>0.0</v>
      </c>
      <c r="M1141" s="50">
        <v>0.0</v>
      </c>
      <c r="N1141" s="50">
        <v>0.0</v>
      </c>
      <c r="O1141" s="50">
        <v>0.0</v>
      </c>
      <c r="P1141" s="50">
        <v>0.0</v>
      </c>
      <c r="Q1141" s="50">
        <v>0.0</v>
      </c>
      <c r="R1141" s="50">
        <v>0.0</v>
      </c>
      <c r="S1141" s="50">
        <v>0.0</v>
      </c>
      <c r="T1141" s="50">
        <v>2.8125</v>
      </c>
      <c r="U1141" s="50">
        <v>0.0</v>
      </c>
      <c r="V1141" s="50">
        <v>0.0</v>
      </c>
      <c r="W1141" s="50">
        <v>0.0</v>
      </c>
      <c r="X1141" s="50">
        <v>2.8125</v>
      </c>
      <c r="Y1141" s="50">
        <v>5.625</v>
      </c>
    </row>
    <row r="1142">
      <c r="A1142" s="26">
        <v>1136.0</v>
      </c>
      <c r="B1142" s="65">
        <v>0.30458532241331354</v>
      </c>
      <c r="C1142" s="65">
        <v>0.06234741802377939</v>
      </c>
      <c r="D1142" s="65">
        <v>-0.4783676965166461</v>
      </c>
      <c r="E1142" s="65">
        <v>-0.7386377059124897</v>
      </c>
      <c r="F1142" s="65">
        <v>3.4039806096948753</v>
      </c>
      <c r="G1142" s="50">
        <v>0.0</v>
      </c>
      <c r="H1142" s="50">
        <v>0.0</v>
      </c>
      <c r="I1142" s="50">
        <v>0.0</v>
      </c>
      <c r="J1142" s="50">
        <v>0.0</v>
      </c>
      <c r="K1142" s="50">
        <v>0.0</v>
      </c>
      <c r="L1142" s="50">
        <v>0.0</v>
      </c>
      <c r="M1142" s="50">
        <v>0.0</v>
      </c>
      <c r="N1142" s="50">
        <v>0.0</v>
      </c>
      <c r="O1142" s="50">
        <v>0.0</v>
      </c>
      <c r="P1142" s="50">
        <v>0.0</v>
      </c>
      <c r="Q1142" s="50">
        <v>0.0</v>
      </c>
      <c r="R1142" s="50">
        <v>0.0</v>
      </c>
      <c r="S1142" s="50">
        <v>0.0</v>
      </c>
      <c r="T1142" s="50">
        <v>2.8125</v>
      </c>
      <c r="U1142" s="50">
        <v>0.0</v>
      </c>
      <c r="V1142" s="50">
        <v>0.0</v>
      </c>
      <c r="W1142" s="50">
        <v>0.0</v>
      </c>
      <c r="X1142" s="50">
        <v>2.8125</v>
      </c>
      <c r="Y1142" s="50">
        <v>5.625</v>
      </c>
    </row>
    <row r="1143">
      <c r="A1143" s="26">
        <v>1137.0</v>
      </c>
      <c r="B1143" s="65">
        <v>1.7413417599663172</v>
      </c>
      <c r="C1143" s="65">
        <v>-0.9554342488102479</v>
      </c>
      <c r="D1143" s="65">
        <v>0.0562123246178212</v>
      </c>
      <c r="E1143" s="65">
        <v>0.1061778727558468</v>
      </c>
      <c r="F1143" s="65">
        <v>4.368838550178485</v>
      </c>
      <c r="G1143" s="50">
        <v>0.0</v>
      </c>
      <c r="H1143" s="50">
        <v>0.0</v>
      </c>
      <c r="I1143" s="50">
        <v>0.0</v>
      </c>
      <c r="J1143" s="50">
        <v>0.0</v>
      </c>
      <c r="K1143" s="50">
        <v>0.0</v>
      </c>
      <c r="L1143" s="50">
        <v>0.0</v>
      </c>
      <c r="M1143" s="50">
        <v>0.0</v>
      </c>
      <c r="N1143" s="50">
        <v>0.0</v>
      </c>
      <c r="O1143" s="50">
        <v>0.0</v>
      </c>
      <c r="P1143" s="50">
        <v>0.0</v>
      </c>
      <c r="Q1143" s="50">
        <v>0.0</v>
      </c>
      <c r="R1143" s="50">
        <v>0.0</v>
      </c>
      <c r="S1143" s="50">
        <v>0.0</v>
      </c>
      <c r="T1143" s="50">
        <v>2.8125</v>
      </c>
      <c r="U1143" s="50">
        <v>0.0</v>
      </c>
      <c r="V1143" s="50">
        <v>0.0</v>
      </c>
      <c r="W1143" s="50">
        <v>0.0</v>
      </c>
      <c r="X1143" s="50">
        <v>2.8125</v>
      </c>
      <c r="Y1143" s="50">
        <v>5.625</v>
      </c>
    </row>
    <row r="1144">
      <c r="A1144" s="26">
        <v>1138.0</v>
      </c>
      <c r="B1144" s="65">
        <v>0.15590700784141187</v>
      </c>
      <c r="C1144" s="65">
        <v>0.31325870681681856</v>
      </c>
      <c r="D1144" s="65">
        <v>0.12997907906873132</v>
      </c>
      <c r="E1144" s="65">
        <v>-0.9881972113576218</v>
      </c>
      <c r="F1144" s="65">
        <v>3.1400533632133194</v>
      </c>
      <c r="G1144" s="50">
        <v>0.0</v>
      </c>
      <c r="H1144" s="50">
        <v>0.0</v>
      </c>
      <c r="I1144" s="50">
        <v>0.0</v>
      </c>
      <c r="J1144" s="50">
        <v>0.0</v>
      </c>
      <c r="K1144" s="50">
        <v>0.0</v>
      </c>
      <c r="L1144" s="50">
        <v>0.0</v>
      </c>
      <c r="M1144" s="50">
        <v>0.0</v>
      </c>
      <c r="N1144" s="50">
        <v>0.0</v>
      </c>
      <c r="O1144" s="50">
        <v>0.0</v>
      </c>
      <c r="P1144" s="50">
        <v>0.0</v>
      </c>
      <c r="Q1144" s="50">
        <v>0.0</v>
      </c>
      <c r="R1144" s="50">
        <v>0.0</v>
      </c>
      <c r="S1144" s="50">
        <v>0.0</v>
      </c>
      <c r="T1144" s="50">
        <v>2.8125</v>
      </c>
      <c r="U1144" s="50">
        <v>0.0</v>
      </c>
      <c r="V1144" s="50">
        <v>5.625</v>
      </c>
      <c r="W1144" s="50">
        <v>0.0</v>
      </c>
      <c r="X1144" s="50">
        <v>2.8125</v>
      </c>
      <c r="Y1144" s="50">
        <v>11.25</v>
      </c>
    </row>
    <row r="1145">
      <c r="A1145" s="26">
        <v>1139.0</v>
      </c>
      <c r="B1145" s="65">
        <v>-0.9803308022897722</v>
      </c>
      <c r="C1145" s="65">
        <v>-0.7866942688726735</v>
      </c>
      <c r="D1145" s="65">
        <v>-0.21312059594236665</v>
      </c>
      <c r="E1145" s="65">
        <v>-0.3078274839072853</v>
      </c>
      <c r="F1145" s="65">
        <v>2.2082139918799943</v>
      </c>
      <c r="G1145" s="50">
        <v>0.0</v>
      </c>
      <c r="H1145" s="50">
        <v>0.0</v>
      </c>
      <c r="I1145" s="50">
        <v>0.0</v>
      </c>
      <c r="J1145" s="50">
        <v>0.0</v>
      </c>
      <c r="K1145" s="50">
        <v>0.0</v>
      </c>
      <c r="L1145" s="50">
        <v>0.0</v>
      </c>
      <c r="M1145" s="50">
        <v>0.0</v>
      </c>
      <c r="N1145" s="50">
        <v>0.0</v>
      </c>
      <c r="O1145" s="50">
        <v>0.0</v>
      </c>
      <c r="P1145" s="50">
        <v>0.0</v>
      </c>
      <c r="Q1145" s="50">
        <v>0.0</v>
      </c>
      <c r="R1145" s="50">
        <v>0.0</v>
      </c>
      <c r="S1145" s="50">
        <v>0.0</v>
      </c>
      <c r="T1145" s="50">
        <v>2.8125</v>
      </c>
      <c r="U1145" s="50">
        <v>9.9</v>
      </c>
      <c r="V1145" s="50">
        <v>5.625</v>
      </c>
      <c r="W1145" s="50">
        <v>4.95</v>
      </c>
      <c r="X1145" s="50">
        <v>2.8125</v>
      </c>
      <c r="Y1145" s="50">
        <v>26.099999999999998</v>
      </c>
    </row>
    <row r="1146">
      <c r="A1146" s="26">
        <v>1140.0</v>
      </c>
      <c r="B1146" s="65">
        <v>-1.3071652747292626</v>
      </c>
      <c r="C1146" s="65">
        <v>-0.057020062682464394</v>
      </c>
      <c r="D1146" s="65">
        <v>-1.8273241938222204</v>
      </c>
      <c r="E1146" s="65">
        <v>1.2550954702731705</v>
      </c>
      <c r="F1146" s="65">
        <v>2.9236044425907095</v>
      </c>
      <c r="G1146" s="50">
        <v>0.0</v>
      </c>
      <c r="H1146" s="50">
        <v>0.0</v>
      </c>
      <c r="I1146" s="50">
        <v>0.0</v>
      </c>
      <c r="J1146" s="50">
        <v>0.0</v>
      </c>
      <c r="K1146" s="50">
        <v>0.0</v>
      </c>
      <c r="L1146" s="50">
        <v>0.0</v>
      </c>
      <c r="M1146" s="50">
        <v>0.0</v>
      </c>
      <c r="N1146" s="50">
        <v>0.0</v>
      </c>
      <c r="O1146" s="50">
        <v>0.0</v>
      </c>
      <c r="P1146" s="50">
        <v>0.0</v>
      </c>
      <c r="Q1146" s="50">
        <v>0.0</v>
      </c>
      <c r="R1146" s="50">
        <v>9.9</v>
      </c>
      <c r="S1146" s="50">
        <v>0.0</v>
      </c>
      <c r="T1146" s="50">
        <v>2.8125</v>
      </c>
      <c r="U1146" s="50">
        <v>0.0</v>
      </c>
      <c r="V1146" s="50">
        <v>0.0</v>
      </c>
      <c r="W1146" s="50">
        <v>4.95</v>
      </c>
      <c r="X1146" s="50">
        <v>2.8125</v>
      </c>
      <c r="Y1146" s="50">
        <v>20.475</v>
      </c>
    </row>
    <row r="1147">
      <c r="A1147" s="26">
        <v>1141.0</v>
      </c>
      <c r="B1147" s="65">
        <v>-0.3693569989090497</v>
      </c>
      <c r="C1147" s="65">
        <v>1.1287801372275275</v>
      </c>
      <c r="D1147" s="65">
        <v>-1.494665025897997</v>
      </c>
      <c r="E1147" s="65">
        <v>-0.41065015890125045</v>
      </c>
      <c r="F1147" s="65">
        <v>8.619775628217944</v>
      </c>
      <c r="G1147" s="50">
        <v>0.0</v>
      </c>
      <c r="H1147" s="50">
        <v>0.0</v>
      </c>
      <c r="I1147" s="50">
        <v>0.0</v>
      </c>
      <c r="J1147" s="50">
        <v>0.0</v>
      </c>
      <c r="K1147" s="50">
        <v>0.0</v>
      </c>
      <c r="L1147" s="50">
        <v>0.0</v>
      </c>
      <c r="M1147" s="50">
        <v>0.0</v>
      </c>
      <c r="N1147" s="50">
        <v>0.0</v>
      </c>
      <c r="O1147" s="50">
        <v>0.0</v>
      </c>
      <c r="P1147" s="50">
        <v>0.0</v>
      </c>
      <c r="Q1147" s="50">
        <v>0.0</v>
      </c>
      <c r="R1147" s="50">
        <v>0.0</v>
      </c>
      <c r="S1147" s="50">
        <v>0.0</v>
      </c>
      <c r="T1147" s="50">
        <v>2.8125</v>
      </c>
      <c r="U1147" s="50">
        <v>0.0</v>
      </c>
      <c r="V1147" s="50">
        <v>0.0</v>
      </c>
      <c r="W1147" s="50">
        <v>4.95</v>
      </c>
      <c r="X1147" s="50">
        <v>2.8125</v>
      </c>
      <c r="Y1147" s="50">
        <v>10.575</v>
      </c>
    </row>
    <row r="1148">
      <c r="A1148" s="26">
        <v>1142.0</v>
      </c>
      <c r="B1148" s="65">
        <v>1.0301218432387536</v>
      </c>
      <c r="C1148" s="65">
        <v>-0.39009821787837734</v>
      </c>
      <c r="D1148" s="65">
        <v>-1.2275428001978808</v>
      </c>
      <c r="E1148" s="65">
        <v>-1.3329016031894942</v>
      </c>
      <c r="F1148" s="65">
        <v>1.3203135111843955</v>
      </c>
      <c r="G1148" s="50">
        <v>0.0</v>
      </c>
      <c r="H1148" s="50">
        <v>0.0</v>
      </c>
      <c r="I1148" s="50">
        <v>0.0</v>
      </c>
      <c r="J1148" s="50">
        <v>0.0</v>
      </c>
      <c r="K1148" s="50">
        <v>0.0</v>
      </c>
      <c r="L1148" s="50">
        <v>0.0</v>
      </c>
      <c r="M1148" s="50">
        <v>0.0</v>
      </c>
      <c r="N1148" s="50">
        <v>0.0</v>
      </c>
      <c r="O1148" s="50">
        <v>0.0</v>
      </c>
      <c r="P1148" s="50">
        <v>0.0</v>
      </c>
      <c r="Q1148" s="50">
        <v>0.0</v>
      </c>
      <c r="R1148" s="50">
        <v>0.0</v>
      </c>
      <c r="S1148" s="50">
        <v>0.0</v>
      </c>
      <c r="T1148" s="50">
        <v>2.8125</v>
      </c>
      <c r="U1148" s="50">
        <v>0.0</v>
      </c>
      <c r="V1148" s="50">
        <v>0.0</v>
      </c>
      <c r="W1148" s="50">
        <v>0.0</v>
      </c>
      <c r="X1148" s="50">
        <v>2.8125</v>
      </c>
      <c r="Y1148" s="50">
        <v>5.625</v>
      </c>
    </row>
    <row r="1149">
      <c r="A1149" s="26">
        <v>1143.0</v>
      </c>
      <c r="B1149" s="65">
        <v>-0.6730272749337957</v>
      </c>
      <c r="C1149" s="65">
        <v>1.490055804069352</v>
      </c>
      <c r="D1149" s="65">
        <v>0.21982321747937514</v>
      </c>
      <c r="E1149" s="65">
        <v>-1.4246944293273884</v>
      </c>
      <c r="F1149" s="65">
        <v>11.75426308853924</v>
      </c>
      <c r="G1149" s="50">
        <v>0.0</v>
      </c>
      <c r="H1149" s="50">
        <v>0.0</v>
      </c>
      <c r="I1149" s="50">
        <v>0.0</v>
      </c>
      <c r="J1149" s="50">
        <v>0.0</v>
      </c>
      <c r="K1149" s="50">
        <v>0.0</v>
      </c>
      <c r="L1149" s="50">
        <v>0.0</v>
      </c>
      <c r="M1149" s="50">
        <v>0.0</v>
      </c>
      <c r="N1149" s="50">
        <v>0.0</v>
      </c>
      <c r="O1149" s="50">
        <v>0.0</v>
      </c>
      <c r="P1149" s="50">
        <v>0.0</v>
      </c>
      <c r="Q1149" s="50">
        <v>0.0</v>
      </c>
      <c r="R1149" s="50">
        <v>0.0</v>
      </c>
      <c r="S1149" s="50">
        <v>0.0</v>
      </c>
      <c r="T1149" s="50">
        <v>2.8125</v>
      </c>
      <c r="U1149" s="50">
        <v>0.0</v>
      </c>
      <c r="V1149" s="50">
        <v>5.625</v>
      </c>
      <c r="W1149" s="50">
        <v>0.0</v>
      </c>
      <c r="X1149" s="50">
        <v>2.8125</v>
      </c>
      <c r="Y1149" s="50">
        <v>11.25</v>
      </c>
    </row>
    <row r="1150">
      <c r="A1150" s="26">
        <v>1144.0</v>
      </c>
      <c r="B1150" s="65">
        <v>-0.3872709740384094</v>
      </c>
      <c r="C1150" s="65">
        <v>-0.30211596009981906</v>
      </c>
      <c r="D1150" s="65">
        <v>1.3934387877497754</v>
      </c>
      <c r="E1150" s="65">
        <v>-0.5779250752619497</v>
      </c>
      <c r="F1150" s="65">
        <v>7.871285499694277</v>
      </c>
      <c r="G1150" s="50">
        <v>0.0</v>
      </c>
      <c r="H1150" s="50">
        <v>0.0</v>
      </c>
      <c r="I1150" s="50">
        <v>0.0</v>
      </c>
      <c r="J1150" s="50">
        <v>0.0</v>
      </c>
      <c r="K1150" s="50">
        <v>0.0</v>
      </c>
      <c r="L1150" s="50">
        <v>0.0</v>
      </c>
      <c r="M1150" s="50">
        <v>0.0</v>
      </c>
      <c r="N1150" s="50">
        <v>0.0</v>
      </c>
      <c r="O1150" s="50">
        <v>0.0</v>
      </c>
      <c r="P1150" s="50">
        <v>0.0</v>
      </c>
      <c r="Q1150" s="50">
        <v>0.0</v>
      </c>
      <c r="R1150" s="50">
        <v>0.0</v>
      </c>
      <c r="S1150" s="50">
        <v>0.0</v>
      </c>
      <c r="T1150" s="50">
        <v>2.8125</v>
      </c>
      <c r="U1150" s="50">
        <v>0.0</v>
      </c>
      <c r="V1150" s="50">
        <v>5.625</v>
      </c>
      <c r="W1150" s="50">
        <v>0.0</v>
      </c>
      <c r="X1150" s="50">
        <v>2.8125</v>
      </c>
      <c r="Y1150" s="50">
        <v>11.25</v>
      </c>
    </row>
    <row r="1151">
      <c r="A1151" s="26">
        <v>1145.0</v>
      </c>
      <c r="B1151" s="65">
        <v>1.2918485634034804</v>
      </c>
      <c r="C1151" s="65">
        <v>2.245976919777407</v>
      </c>
      <c r="D1151" s="65">
        <v>0.5314079243271892</v>
      </c>
      <c r="E1151" s="65">
        <v>0.4942869615976676</v>
      </c>
      <c r="F1151" s="65">
        <v>5.2065044345901335</v>
      </c>
      <c r="G1151" s="50">
        <v>0.0</v>
      </c>
      <c r="H1151" s="50">
        <v>0.0</v>
      </c>
      <c r="I1151" s="50">
        <v>0.0</v>
      </c>
      <c r="J1151" s="50">
        <v>0.0</v>
      </c>
      <c r="K1151" s="50">
        <v>0.0</v>
      </c>
      <c r="L1151" s="50">
        <v>0.0</v>
      </c>
      <c r="M1151" s="50">
        <v>0.0</v>
      </c>
      <c r="N1151" s="50">
        <v>0.0</v>
      </c>
      <c r="O1151" s="50">
        <v>0.0</v>
      </c>
      <c r="P1151" s="50">
        <v>0.0</v>
      </c>
      <c r="Q1151" s="50">
        <v>0.0</v>
      </c>
      <c r="R1151" s="50">
        <v>0.0</v>
      </c>
      <c r="S1151" s="50">
        <v>0.0</v>
      </c>
      <c r="T1151" s="50">
        <v>2.8125</v>
      </c>
      <c r="U1151" s="50">
        <v>0.0</v>
      </c>
      <c r="V1151" s="50">
        <v>0.0</v>
      </c>
      <c r="W1151" s="50">
        <v>0.0</v>
      </c>
      <c r="X1151" s="50">
        <v>2.8125</v>
      </c>
      <c r="Y1151" s="50">
        <v>5.625</v>
      </c>
    </row>
    <row r="1152">
      <c r="A1152" s="26">
        <v>1146.0</v>
      </c>
      <c r="B1152" s="65">
        <v>-0.2663736865319814</v>
      </c>
      <c r="C1152" s="65">
        <v>0.48239420280479817</v>
      </c>
      <c r="D1152" s="65">
        <v>1.6737632735367527</v>
      </c>
      <c r="E1152" s="65">
        <v>0.2714991166354554</v>
      </c>
      <c r="F1152" s="65">
        <v>8.189779720688348</v>
      </c>
      <c r="G1152" s="50">
        <v>0.0</v>
      </c>
      <c r="H1152" s="50">
        <v>0.0</v>
      </c>
      <c r="I1152" s="50">
        <v>0.0</v>
      </c>
      <c r="J1152" s="50">
        <v>0.0</v>
      </c>
      <c r="K1152" s="50">
        <v>0.0</v>
      </c>
      <c r="L1152" s="50">
        <v>0.0</v>
      </c>
      <c r="M1152" s="50">
        <v>0.0</v>
      </c>
      <c r="N1152" s="50">
        <v>0.0</v>
      </c>
      <c r="O1152" s="50">
        <v>0.0</v>
      </c>
      <c r="P1152" s="50">
        <v>0.0</v>
      </c>
      <c r="Q1152" s="50">
        <v>0.0</v>
      </c>
      <c r="R1152" s="50">
        <v>0.0</v>
      </c>
      <c r="S1152" s="50">
        <v>0.0</v>
      </c>
      <c r="T1152" s="50">
        <v>2.8125</v>
      </c>
      <c r="U1152" s="50">
        <v>0.0</v>
      </c>
      <c r="V1152" s="50">
        <v>5.625</v>
      </c>
      <c r="W1152" s="50">
        <v>0.0</v>
      </c>
      <c r="X1152" s="50">
        <v>2.8125</v>
      </c>
      <c r="Y1152" s="50">
        <v>11.25</v>
      </c>
    </row>
    <row r="1153">
      <c r="A1153" s="26">
        <v>1147.0</v>
      </c>
      <c r="B1153" s="65">
        <v>-0.4177213959005559</v>
      </c>
      <c r="C1153" s="65">
        <v>-0.5155136327391657</v>
      </c>
      <c r="D1153" s="65">
        <v>0.17261630479261927</v>
      </c>
      <c r="E1153" s="65">
        <v>-0.8826778804706772</v>
      </c>
      <c r="F1153" s="65">
        <v>7.090534254932901</v>
      </c>
      <c r="G1153" s="50">
        <v>0.0</v>
      </c>
      <c r="H1153" s="50">
        <v>0.0</v>
      </c>
      <c r="I1153" s="50">
        <v>0.0</v>
      </c>
      <c r="J1153" s="50">
        <v>0.0</v>
      </c>
      <c r="K1153" s="50">
        <v>0.0</v>
      </c>
      <c r="L1153" s="50">
        <v>0.0</v>
      </c>
      <c r="M1153" s="50">
        <v>0.0</v>
      </c>
      <c r="N1153" s="50">
        <v>0.0</v>
      </c>
      <c r="O1153" s="50">
        <v>0.0</v>
      </c>
      <c r="P1153" s="50">
        <v>0.0</v>
      </c>
      <c r="Q1153" s="50">
        <v>0.0</v>
      </c>
      <c r="R1153" s="50">
        <v>0.0</v>
      </c>
      <c r="S1153" s="50">
        <v>0.0</v>
      </c>
      <c r="T1153" s="50">
        <v>2.8125</v>
      </c>
      <c r="U1153" s="50">
        <v>0.0</v>
      </c>
      <c r="V1153" s="50">
        <v>5.625</v>
      </c>
      <c r="W1153" s="50">
        <v>0.0</v>
      </c>
      <c r="X1153" s="50">
        <v>2.8125</v>
      </c>
      <c r="Y1153" s="50">
        <v>11.25</v>
      </c>
    </row>
    <row r="1154">
      <c r="A1154" s="26">
        <v>1148.0</v>
      </c>
      <c r="B1154" s="65">
        <v>-1.1350406589371151</v>
      </c>
      <c r="C1154" s="65">
        <v>2.1251527604777802</v>
      </c>
      <c r="D1154" s="65">
        <v>-0.29728100896602416</v>
      </c>
      <c r="E1154" s="65">
        <v>-1.569010213283192</v>
      </c>
      <c r="F1154" s="65">
        <v>2.6823881596607206</v>
      </c>
      <c r="G1154" s="50">
        <v>0.0</v>
      </c>
      <c r="H1154" s="50">
        <v>0.0</v>
      </c>
      <c r="I1154" s="50">
        <v>0.0</v>
      </c>
      <c r="J1154" s="50">
        <v>0.0</v>
      </c>
      <c r="K1154" s="50">
        <v>0.0</v>
      </c>
      <c r="L1154" s="50">
        <v>0.0</v>
      </c>
      <c r="M1154" s="50">
        <v>0.0</v>
      </c>
      <c r="N1154" s="50">
        <v>0.0</v>
      </c>
      <c r="O1154" s="50">
        <v>7.425000000000001</v>
      </c>
      <c r="P1154" s="50">
        <v>0.0</v>
      </c>
      <c r="Q1154" s="50">
        <v>0.0</v>
      </c>
      <c r="R1154" s="50">
        <v>0.0</v>
      </c>
      <c r="S1154" s="50">
        <v>11.25</v>
      </c>
      <c r="T1154" s="50">
        <v>2.8125</v>
      </c>
      <c r="U1154" s="50">
        <v>9.9</v>
      </c>
      <c r="V1154" s="50">
        <v>5.625</v>
      </c>
      <c r="W1154" s="50">
        <v>4.95</v>
      </c>
      <c r="X1154" s="50">
        <v>2.8125</v>
      </c>
      <c r="Y1154" s="50">
        <v>44.775000000000006</v>
      </c>
    </row>
    <row r="1155">
      <c r="A1155" s="26">
        <v>1149.0</v>
      </c>
      <c r="B1155" s="65">
        <v>0.8359316083132482</v>
      </c>
      <c r="C1155" s="65">
        <v>2.274814574525771</v>
      </c>
      <c r="D1155" s="65">
        <v>-0.04267510201435874</v>
      </c>
      <c r="E1155" s="65">
        <v>0.033476171910732086</v>
      </c>
      <c r="F1155" s="65">
        <v>10.388031452336122</v>
      </c>
      <c r="G1155" s="50">
        <v>0.0</v>
      </c>
      <c r="H1155" s="50">
        <v>0.0</v>
      </c>
      <c r="I1155" s="50">
        <v>0.0</v>
      </c>
      <c r="J1155" s="50">
        <v>0.0</v>
      </c>
      <c r="K1155" s="50">
        <v>0.0</v>
      </c>
      <c r="L1155" s="50">
        <v>0.0</v>
      </c>
      <c r="M1155" s="50">
        <v>0.0</v>
      </c>
      <c r="N1155" s="50">
        <v>0.0</v>
      </c>
      <c r="O1155" s="50">
        <v>0.0</v>
      </c>
      <c r="P1155" s="50">
        <v>0.0</v>
      </c>
      <c r="Q1155" s="50">
        <v>0.0</v>
      </c>
      <c r="R1155" s="50">
        <v>0.0</v>
      </c>
      <c r="S1155" s="50">
        <v>0.0</v>
      </c>
      <c r="T1155" s="50">
        <v>2.8125</v>
      </c>
      <c r="U1155" s="50">
        <v>0.0</v>
      </c>
      <c r="V1155" s="50">
        <v>0.0</v>
      </c>
      <c r="W1155" s="50">
        <v>0.0</v>
      </c>
      <c r="X1155" s="50">
        <v>2.8125</v>
      </c>
      <c r="Y1155" s="50">
        <v>5.625</v>
      </c>
    </row>
    <row r="1156">
      <c r="A1156" s="26">
        <v>1150.0</v>
      </c>
      <c r="B1156" s="65">
        <v>0.5589817812901072</v>
      </c>
      <c r="C1156" s="65">
        <v>0.8573025616946671</v>
      </c>
      <c r="D1156" s="65">
        <v>0.2789912013651296</v>
      </c>
      <c r="E1156" s="65">
        <v>0.9284555480023489</v>
      </c>
      <c r="F1156" s="65">
        <v>7.727337025779687</v>
      </c>
      <c r="G1156" s="50">
        <v>0.0</v>
      </c>
      <c r="H1156" s="50">
        <v>0.0</v>
      </c>
      <c r="I1156" s="50">
        <v>0.0</v>
      </c>
      <c r="J1156" s="50">
        <v>0.0</v>
      </c>
      <c r="K1156" s="50">
        <v>0.0</v>
      </c>
      <c r="L1156" s="50">
        <v>0.0</v>
      </c>
      <c r="M1156" s="50">
        <v>0.0</v>
      </c>
      <c r="N1156" s="50">
        <v>0.0</v>
      </c>
      <c r="O1156" s="50">
        <v>0.0</v>
      </c>
      <c r="P1156" s="50">
        <v>0.0</v>
      </c>
      <c r="Q1156" s="50">
        <v>0.0</v>
      </c>
      <c r="R1156" s="50">
        <v>0.0</v>
      </c>
      <c r="S1156" s="50">
        <v>0.0</v>
      </c>
      <c r="T1156" s="50">
        <v>2.8125</v>
      </c>
      <c r="U1156" s="50">
        <v>0.0</v>
      </c>
      <c r="V1156" s="50">
        <v>0.0</v>
      </c>
      <c r="W1156" s="50">
        <v>0.0</v>
      </c>
      <c r="X1156" s="50">
        <v>2.8125</v>
      </c>
      <c r="Y1156" s="50">
        <v>5.625</v>
      </c>
    </row>
    <row r="1157">
      <c r="A1157" s="26">
        <v>1151.0</v>
      </c>
      <c r="B1157" s="65">
        <v>0.041864484403577616</v>
      </c>
      <c r="C1157" s="65">
        <v>-0.5670860035055197</v>
      </c>
      <c r="D1157" s="65">
        <v>0.13748756253914407</v>
      </c>
      <c r="E1157" s="65">
        <v>1.3865096341434568</v>
      </c>
      <c r="F1157" s="65">
        <v>3.0030087826577905</v>
      </c>
      <c r="G1157" s="50">
        <v>0.0</v>
      </c>
      <c r="H1157" s="50">
        <v>0.0</v>
      </c>
      <c r="I1157" s="50">
        <v>0.0</v>
      </c>
      <c r="J1157" s="50">
        <v>0.0</v>
      </c>
      <c r="K1157" s="50">
        <v>0.0</v>
      </c>
      <c r="L1157" s="50">
        <v>0.0</v>
      </c>
      <c r="M1157" s="50">
        <v>0.0</v>
      </c>
      <c r="N1157" s="50">
        <v>0.0</v>
      </c>
      <c r="O1157" s="50">
        <v>7.425000000000001</v>
      </c>
      <c r="P1157" s="50">
        <v>2.475</v>
      </c>
      <c r="Q1157" s="50">
        <v>0.0</v>
      </c>
      <c r="R1157" s="50">
        <v>0.0</v>
      </c>
      <c r="S1157" s="50">
        <v>0.0</v>
      </c>
      <c r="T1157" s="50">
        <v>2.8125</v>
      </c>
      <c r="U1157" s="50">
        <v>0.0</v>
      </c>
      <c r="V1157" s="50">
        <v>0.0</v>
      </c>
      <c r="W1157" s="50">
        <v>0.0</v>
      </c>
      <c r="X1157" s="50">
        <v>2.8125</v>
      </c>
      <c r="Y1157" s="50">
        <v>15.525</v>
      </c>
    </row>
    <row r="1158">
      <c r="A1158" s="26">
        <v>1152.0</v>
      </c>
      <c r="B1158" s="65">
        <v>0.4121019307245125</v>
      </c>
      <c r="C1158" s="65">
        <v>0.6981353901357445</v>
      </c>
      <c r="D1158" s="65">
        <v>-1.1082420979403735</v>
      </c>
      <c r="E1158" s="65">
        <v>0.8770079308561965</v>
      </c>
      <c r="F1158" s="65">
        <v>9.469048237235617</v>
      </c>
      <c r="G1158" s="50">
        <v>0.0</v>
      </c>
      <c r="H1158" s="50">
        <v>0.0</v>
      </c>
      <c r="I1158" s="50">
        <v>0.0</v>
      </c>
      <c r="J1158" s="50">
        <v>0.0</v>
      </c>
      <c r="K1158" s="50">
        <v>0.0</v>
      </c>
      <c r="L1158" s="50">
        <v>0.0</v>
      </c>
      <c r="M1158" s="50">
        <v>0.0</v>
      </c>
      <c r="N1158" s="50">
        <v>0.0</v>
      </c>
      <c r="O1158" s="50">
        <v>0.0</v>
      </c>
      <c r="P1158" s="50">
        <v>0.0</v>
      </c>
      <c r="Q1158" s="50">
        <v>0.0</v>
      </c>
      <c r="R1158" s="50">
        <v>0.0</v>
      </c>
      <c r="S1158" s="50">
        <v>0.0</v>
      </c>
      <c r="T1158" s="50">
        <v>2.8125</v>
      </c>
      <c r="U1158" s="50">
        <v>0.0</v>
      </c>
      <c r="V1158" s="50">
        <v>0.0</v>
      </c>
      <c r="W1158" s="50">
        <v>0.0</v>
      </c>
      <c r="X1158" s="50">
        <v>2.8125</v>
      </c>
      <c r="Y1158" s="50">
        <v>5.625</v>
      </c>
    </row>
    <row r="1159">
      <c r="A1159" s="26">
        <v>1153.0</v>
      </c>
      <c r="B1159" s="65">
        <v>-0.5222994486037481</v>
      </c>
      <c r="C1159" s="65">
        <v>-0.9079248248713343</v>
      </c>
      <c r="D1159" s="65">
        <v>-1.536466623893884</v>
      </c>
      <c r="E1159" s="65">
        <v>0.4030965479935888</v>
      </c>
      <c r="F1159" s="65">
        <v>6.501660125160911</v>
      </c>
      <c r="G1159" s="50">
        <v>0.0</v>
      </c>
      <c r="H1159" s="50">
        <v>0.0</v>
      </c>
      <c r="I1159" s="50">
        <v>0.0</v>
      </c>
      <c r="J1159" s="50">
        <v>0.0</v>
      </c>
      <c r="K1159" s="50">
        <v>0.0</v>
      </c>
      <c r="L1159" s="50">
        <v>0.0</v>
      </c>
      <c r="M1159" s="50">
        <v>0.0</v>
      </c>
      <c r="N1159" s="50">
        <v>0.0</v>
      </c>
      <c r="O1159" s="50">
        <v>0.0</v>
      </c>
      <c r="P1159" s="50">
        <v>0.0</v>
      </c>
      <c r="Q1159" s="50">
        <v>0.0</v>
      </c>
      <c r="R1159" s="50">
        <v>0.0</v>
      </c>
      <c r="S1159" s="50">
        <v>0.0</v>
      </c>
      <c r="T1159" s="50">
        <v>2.8125</v>
      </c>
      <c r="U1159" s="50">
        <v>0.0</v>
      </c>
      <c r="V1159" s="50">
        <v>0.0</v>
      </c>
      <c r="W1159" s="50">
        <v>0.0</v>
      </c>
      <c r="X1159" s="50">
        <v>2.8125</v>
      </c>
      <c r="Y1159" s="50">
        <v>5.625</v>
      </c>
    </row>
    <row r="1160">
      <c r="A1160" s="26">
        <v>1154.0</v>
      </c>
      <c r="B1160" s="65">
        <v>-0.9751414104236323</v>
      </c>
      <c r="C1160" s="65">
        <v>0.5874471440549882</v>
      </c>
      <c r="D1160" s="65">
        <v>-0.06617237141955667</v>
      </c>
      <c r="E1160" s="65">
        <v>1.4041436148228112</v>
      </c>
      <c r="F1160" s="65">
        <v>5.962127397071047</v>
      </c>
      <c r="G1160" s="50">
        <v>0.0</v>
      </c>
      <c r="H1160" s="50">
        <v>0.0</v>
      </c>
      <c r="I1160" s="50">
        <v>0.0</v>
      </c>
      <c r="J1160" s="50">
        <v>0.0</v>
      </c>
      <c r="K1160" s="50">
        <v>0.0</v>
      </c>
      <c r="L1160" s="50">
        <v>0.0</v>
      </c>
      <c r="M1160" s="50">
        <v>0.0</v>
      </c>
      <c r="N1160" s="50">
        <v>0.0</v>
      </c>
      <c r="O1160" s="50">
        <v>0.0</v>
      </c>
      <c r="P1160" s="50">
        <v>0.0</v>
      </c>
      <c r="Q1160" s="50">
        <v>0.0</v>
      </c>
      <c r="R1160" s="50">
        <v>0.0</v>
      </c>
      <c r="S1160" s="50">
        <v>0.0</v>
      </c>
      <c r="T1160" s="50">
        <v>2.8125</v>
      </c>
      <c r="U1160" s="50">
        <v>0.0</v>
      </c>
      <c r="V1160" s="50">
        <v>0.0</v>
      </c>
      <c r="W1160" s="50">
        <v>0.0</v>
      </c>
      <c r="X1160" s="50">
        <v>2.8125</v>
      </c>
      <c r="Y1160" s="50">
        <v>5.625</v>
      </c>
    </row>
    <row r="1161">
      <c r="A1161" s="26">
        <v>1155.0</v>
      </c>
      <c r="B1161" s="65">
        <v>0.5187866874702401</v>
      </c>
      <c r="C1161" s="65">
        <v>-0.40880731912537815</v>
      </c>
      <c r="D1161" s="65">
        <v>0.37771254796257975</v>
      </c>
      <c r="E1161" s="65">
        <v>-1.1813535727882922</v>
      </c>
      <c r="F1161" s="65">
        <v>3.1600676101149934</v>
      </c>
      <c r="G1161" s="50">
        <v>0.0</v>
      </c>
      <c r="H1161" s="50">
        <v>0.0</v>
      </c>
      <c r="I1161" s="50">
        <v>0.0</v>
      </c>
      <c r="J1161" s="50">
        <v>0.0</v>
      </c>
      <c r="K1161" s="50">
        <v>0.0</v>
      </c>
      <c r="L1161" s="50">
        <v>0.0</v>
      </c>
      <c r="M1161" s="50">
        <v>0.0</v>
      </c>
      <c r="N1161" s="50">
        <v>0.0</v>
      </c>
      <c r="O1161" s="50">
        <v>0.0</v>
      </c>
      <c r="P1161" s="50">
        <v>0.0</v>
      </c>
      <c r="Q1161" s="50">
        <v>0.0</v>
      </c>
      <c r="R1161" s="50">
        <v>0.0</v>
      </c>
      <c r="S1161" s="50">
        <v>0.0</v>
      </c>
      <c r="T1161" s="50">
        <v>2.8125</v>
      </c>
      <c r="U1161" s="50">
        <v>0.0</v>
      </c>
      <c r="V1161" s="50">
        <v>0.0</v>
      </c>
      <c r="W1161" s="50">
        <v>0.0</v>
      </c>
      <c r="X1161" s="50">
        <v>2.8125</v>
      </c>
      <c r="Y1161" s="50">
        <v>5.625</v>
      </c>
    </row>
    <row r="1162">
      <c r="A1162" s="26">
        <v>1156.0</v>
      </c>
      <c r="B1162" s="65">
        <v>-0.20454602272722203</v>
      </c>
      <c r="C1162" s="65">
        <v>-1.0787911948415287</v>
      </c>
      <c r="D1162" s="65">
        <v>0.39025656757941174</v>
      </c>
      <c r="E1162" s="65">
        <v>-0.22521669351123785</v>
      </c>
      <c r="F1162" s="65">
        <v>3.890420196666329</v>
      </c>
      <c r="G1162" s="50">
        <v>0.0</v>
      </c>
      <c r="H1162" s="50">
        <v>0.0</v>
      </c>
      <c r="I1162" s="50">
        <v>0.0</v>
      </c>
      <c r="J1162" s="50">
        <v>0.0</v>
      </c>
      <c r="K1162" s="50">
        <v>0.0</v>
      </c>
      <c r="L1162" s="50">
        <v>0.0</v>
      </c>
      <c r="M1162" s="50">
        <v>0.0</v>
      </c>
      <c r="N1162" s="50">
        <v>0.0</v>
      </c>
      <c r="O1162" s="50">
        <v>0.0</v>
      </c>
      <c r="P1162" s="50">
        <v>0.0</v>
      </c>
      <c r="Q1162" s="50">
        <v>0.0</v>
      </c>
      <c r="R1162" s="50">
        <v>0.0</v>
      </c>
      <c r="S1162" s="50">
        <v>0.0</v>
      </c>
      <c r="T1162" s="50">
        <v>2.8125</v>
      </c>
      <c r="U1162" s="50">
        <v>9.9</v>
      </c>
      <c r="V1162" s="50">
        <v>0.0</v>
      </c>
      <c r="W1162" s="50">
        <v>4.95</v>
      </c>
      <c r="X1162" s="50">
        <v>2.8125</v>
      </c>
      <c r="Y1162" s="50">
        <v>20.475</v>
      </c>
    </row>
    <row r="1163">
      <c r="A1163" s="26">
        <v>1157.0</v>
      </c>
      <c r="B1163" s="65">
        <v>-1.2352794185836085</v>
      </c>
      <c r="C1163" s="65">
        <v>-0.09179512478842333</v>
      </c>
      <c r="D1163" s="65">
        <v>-0.2735030393978057</v>
      </c>
      <c r="E1163" s="65">
        <v>1.0071943506011207</v>
      </c>
      <c r="F1163" s="65">
        <v>3.9045284454762914</v>
      </c>
      <c r="G1163" s="50">
        <v>0.0</v>
      </c>
      <c r="H1163" s="50">
        <v>0.0</v>
      </c>
      <c r="I1163" s="50">
        <v>0.0</v>
      </c>
      <c r="J1163" s="50">
        <v>0.0</v>
      </c>
      <c r="K1163" s="50">
        <v>0.0</v>
      </c>
      <c r="L1163" s="50">
        <v>0.0</v>
      </c>
      <c r="M1163" s="50">
        <v>0.0</v>
      </c>
      <c r="N1163" s="50">
        <v>0.0</v>
      </c>
      <c r="O1163" s="50">
        <v>0.0</v>
      </c>
      <c r="P1163" s="50">
        <v>0.0</v>
      </c>
      <c r="Q1163" s="50">
        <v>0.0</v>
      </c>
      <c r="R1163" s="50">
        <v>9.9</v>
      </c>
      <c r="S1163" s="50">
        <v>0.0</v>
      </c>
      <c r="T1163" s="50">
        <v>2.8125</v>
      </c>
      <c r="U1163" s="50">
        <v>0.0</v>
      </c>
      <c r="V1163" s="50">
        <v>5.625</v>
      </c>
      <c r="W1163" s="50">
        <v>0.0</v>
      </c>
      <c r="X1163" s="50">
        <v>2.8125</v>
      </c>
      <c r="Y1163" s="50">
        <v>21.15</v>
      </c>
    </row>
    <row r="1164">
      <c r="A1164" s="26">
        <v>1158.0</v>
      </c>
      <c r="B1164" s="65">
        <v>0.5910669329931227</v>
      </c>
      <c r="C1164" s="65">
        <v>-1.3621167255269457</v>
      </c>
      <c r="D1164" s="65">
        <v>3.1486136696487237</v>
      </c>
      <c r="E1164" s="65">
        <v>-0.6620424828712648</v>
      </c>
      <c r="F1164" s="65">
        <v>2.684067671625981</v>
      </c>
      <c r="G1164" s="50">
        <v>0.0</v>
      </c>
      <c r="H1164" s="50">
        <v>0.0</v>
      </c>
      <c r="I1164" s="50">
        <v>0.0</v>
      </c>
      <c r="J1164" s="50">
        <v>0.0</v>
      </c>
      <c r="K1164" s="50">
        <v>0.0</v>
      </c>
      <c r="L1164" s="50">
        <v>0.0</v>
      </c>
      <c r="M1164" s="50">
        <v>0.0</v>
      </c>
      <c r="N1164" s="50">
        <v>0.0</v>
      </c>
      <c r="O1164" s="50">
        <v>0.0</v>
      </c>
      <c r="P1164" s="50">
        <v>0.0</v>
      </c>
      <c r="Q1164" s="50">
        <v>0.0</v>
      </c>
      <c r="R1164" s="50">
        <v>0.0</v>
      </c>
      <c r="S1164" s="50">
        <v>0.0</v>
      </c>
      <c r="T1164" s="50">
        <v>2.8125</v>
      </c>
      <c r="U1164" s="50">
        <v>0.0</v>
      </c>
      <c r="V1164" s="50">
        <v>0.0</v>
      </c>
      <c r="W1164" s="50">
        <v>0.0</v>
      </c>
      <c r="X1164" s="50">
        <v>2.8125</v>
      </c>
      <c r="Y1164" s="50">
        <v>5.625</v>
      </c>
    </row>
    <row r="1165">
      <c r="A1165" s="26">
        <v>1159.0</v>
      </c>
      <c r="B1165" s="65">
        <v>-0.9267059398723722</v>
      </c>
      <c r="C1165" s="65">
        <v>-1.4656746348036997</v>
      </c>
      <c r="D1165" s="65">
        <v>0.09810716363761363</v>
      </c>
      <c r="E1165" s="65">
        <v>1.390535749034116</v>
      </c>
      <c r="F1165" s="65">
        <v>3.9967047380492495</v>
      </c>
      <c r="G1165" s="50">
        <v>0.0</v>
      </c>
      <c r="H1165" s="50">
        <v>0.0</v>
      </c>
      <c r="I1165" s="50">
        <v>0.0</v>
      </c>
      <c r="J1165" s="50">
        <v>0.0</v>
      </c>
      <c r="K1165" s="50">
        <v>0.0</v>
      </c>
      <c r="L1165" s="50">
        <v>0.0</v>
      </c>
      <c r="M1165" s="50">
        <v>0.0</v>
      </c>
      <c r="N1165" s="50">
        <v>0.0</v>
      </c>
      <c r="O1165" s="50">
        <v>0.0</v>
      </c>
      <c r="P1165" s="50">
        <v>0.0</v>
      </c>
      <c r="Q1165" s="50">
        <v>0.0</v>
      </c>
      <c r="R1165" s="50">
        <v>0.0</v>
      </c>
      <c r="S1165" s="50">
        <v>0.0</v>
      </c>
      <c r="T1165" s="50">
        <v>2.8125</v>
      </c>
      <c r="U1165" s="50">
        <v>0.0</v>
      </c>
      <c r="V1165" s="50">
        <v>0.0</v>
      </c>
      <c r="W1165" s="50">
        <v>0.0</v>
      </c>
      <c r="X1165" s="50">
        <v>2.8125</v>
      </c>
      <c r="Y1165" s="50">
        <v>5.625</v>
      </c>
    </row>
    <row r="1166">
      <c r="A1166" s="26">
        <v>1160.0</v>
      </c>
      <c r="B1166" s="65">
        <v>1.6069489992487636</v>
      </c>
      <c r="C1166" s="65">
        <v>-1.5604104989351575</v>
      </c>
      <c r="D1166" s="65">
        <v>-1.6333526504523774</v>
      </c>
      <c r="E1166" s="65">
        <v>-0.38963275786251983</v>
      </c>
      <c r="F1166" s="65">
        <v>12.41004374912932</v>
      </c>
      <c r="G1166" s="50">
        <v>0.0</v>
      </c>
      <c r="H1166" s="50">
        <v>0.0</v>
      </c>
      <c r="I1166" s="50">
        <v>0.0</v>
      </c>
      <c r="J1166" s="50">
        <v>0.0</v>
      </c>
      <c r="K1166" s="50">
        <v>0.0</v>
      </c>
      <c r="L1166" s="50">
        <v>0.0</v>
      </c>
      <c r="M1166" s="50">
        <v>0.0</v>
      </c>
      <c r="N1166" s="50">
        <v>0.0</v>
      </c>
      <c r="O1166" s="50">
        <v>0.0</v>
      </c>
      <c r="P1166" s="50">
        <v>0.0</v>
      </c>
      <c r="Q1166" s="50">
        <v>0.0</v>
      </c>
      <c r="R1166" s="50">
        <v>0.0</v>
      </c>
      <c r="S1166" s="50">
        <v>0.0</v>
      </c>
      <c r="T1166" s="50">
        <v>2.8125</v>
      </c>
      <c r="U1166" s="50">
        <v>0.0</v>
      </c>
      <c r="V1166" s="50">
        <v>0.0</v>
      </c>
      <c r="W1166" s="50">
        <v>0.0</v>
      </c>
      <c r="X1166" s="50">
        <v>2.8125</v>
      </c>
      <c r="Y1166" s="50">
        <v>5.625</v>
      </c>
    </row>
    <row r="1167">
      <c r="A1167" s="26">
        <v>1161.0</v>
      </c>
      <c r="B1167" s="65">
        <v>0.9551721369938195</v>
      </c>
      <c r="C1167" s="65">
        <v>0.1155537873337079</v>
      </c>
      <c r="D1167" s="65">
        <v>1.0320993137657772</v>
      </c>
      <c r="E1167" s="65">
        <v>0.43423446459466514</v>
      </c>
      <c r="F1167" s="65">
        <v>7.341440576762347</v>
      </c>
      <c r="G1167" s="50">
        <v>0.0</v>
      </c>
      <c r="H1167" s="50">
        <v>0.0</v>
      </c>
      <c r="I1167" s="50">
        <v>0.0</v>
      </c>
      <c r="J1167" s="50">
        <v>0.0</v>
      </c>
      <c r="K1167" s="50">
        <v>0.0</v>
      </c>
      <c r="L1167" s="50">
        <v>0.0</v>
      </c>
      <c r="M1167" s="50">
        <v>0.0</v>
      </c>
      <c r="N1167" s="50">
        <v>0.0</v>
      </c>
      <c r="O1167" s="50">
        <v>0.0</v>
      </c>
      <c r="P1167" s="50">
        <v>0.0</v>
      </c>
      <c r="Q1167" s="50">
        <v>0.0</v>
      </c>
      <c r="R1167" s="50">
        <v>0.0</v>
      </c>
      <c r="S1167" s="50">
        <v>0.0</v>
      </c>
      <c r="T1167" s="50">
        <v>2.8125</v>
      </c>
      <c r="U1167" s="50">
        <v>0.0</v>
      </c>
      <c r="V1167" s="50">
        <v>0.0</v>
      </c>
      <c r="W1167" s="50">
        <v>0.0</v>
      </c>
      <c r="X1167" s="50">
        <v>2.8125</v>
      </c>
      <c r="Y1167" s="50">
        <v>5.625</v>
      </c>
    </row>
    <row r="1168">
      <c r="A1168" s="26">
        <v>1162.0</v>
      </c>
      <c r="B1168" s="65">
        <v>0.8094492500393521</v>
      </c>
      <c r="C1168" s="65">
        <v>-0.05178558662377145</v>
      </c>
      <c r="D1168" s="65">
        <v>0.04238647079180832</v>
      </c>
      <c r="E1168" s="65">
        <v>0.6660613325084532</v>
      </c>
      <c r="F1168" s="65">
        <v>6.614815840382717</v>
      </c>
      <c r="G1168" s="50">
        <v>0.0</v>
      </c>
      <c r="H1168" s="50">
        <v>0.0</v>
      </c>
      <c r="I1168" s="50">
        <v>0.0</v>
      </c>
      <c r="J1168" s="50">
        <v>0.0</v>
      </c>
      <c r="K1168" s="50">
        <v>0.0</v>
      </c>
      <c r="L1168" s="50">
        <v>0.0</v>
      </c>
      <c r="M1168" s="50">
        <v>0.0</v>
      </c>
      <c r="N1168" s="50">
        <v>0.0</v>
      </c>
      <c r="O1168" s="50">
        <v>0.0</v>
      </c>
      <c r="P1168" s="50">
        <v>0.0</v>
      </c>
      <c r="Q1168" s="50">
        <v>0.0</v>
      </c>
      <c r="R1168" s="50">
        <v>0.0</v>
      </c>
      <c r="S1168" s="50">
        <v>0.0</v>
      </c>
      <c r="T1168" s="50">
        <v>2.8125</v>
      </c>
      <c r="U1168" s="50">
        <v>0.0</v>
      </c>
      <c r="V1168" s="50">
        <v>0.0</v>
      </c>
      <c r="W1168" s="50">
        <v>0.0</v>
      </c>
      <c r="X1168" s="50">
        <v>2.8125</v>
      </c>
      <c r="Y1168" s="50">
        <v>5.625</v>
      </c>
    </row>
    <row r="1169">
      <c r="A1169" s="26">
        <v>1163.0</v>
      </c>
      <c r="B1169" s="65">
        <v>0.3792187168413399</v>
      </c>
      <c r="C1169" s="65">
        <v>-0.9274229958759176</v>
      </c>
      <c r="D1169" s="65">
        <v>-0.1504640361330453</v>
      </c>
      <c r="E1169" s="65">
        <v>0.2189525198440909</v>
      </c>
      <c r="F1169" s="65">
        <v>4.070853684312375</v>
      </c>
      <c r="G1169" s="50">
        <v>0.0</v>
      </c>
      <c r="H1169" s="50">
        <v>0.0</v>
      </c>
      <c r="I1169" s="50">
        <v>0.0</v>
      </c>
      <c r="J1169" s="50">
        <v>0.0</v>
      </c>
      <c r="K1169" s="50">
        <v>0.0</v>
      </c>
      <c r="L1169" s="50">
        <v>0.0</v>
      </c>
      <c r="M1169" s="50">
        <v>0.0</v>
      </c>
      <c r="N1169" s="50">
        <v>0.0</v>
      </c>
      <c r="O1169" s="50">
        <v>0.0</v>
      </c>
      <c r="P1169" s="50">
        <v>0.0</v>
      </c>
      <c r="Q1169" s="50">
        <v>0.0</v>
      </c>
      <c r="R1169" s="50">
        <v>0.0</v>
      </c>
      <c r="S1169" s="50">
        <v>0.0</v>
      </c>
      <c r="T1169" s="50">
        <v>2.8125</v>
      </c>
      <c r="U1169" s="50">
        <v>0.0</v>
      </c>
      <c r="V1169" s="50">
        <v>0.0</v>
      </c>
      <c r="W1169" s="50">
        <v>0.0</v>
      </c>
      <c r="X1169" s="50">
        <v>2.8125</v>
      </c>
      <c r="Y1169" s="50">
        <v>5.625</v>
      </c>
    </row>
    <row r="1170">
      <c r="A1170" s="26">
        <v>1164.0</v>
      </c>
      <c r="B1170" s="65">
        <v>-0.4964310082624584</v>
      </c>
      <c r="C1170" s="65">
        <v>0.5066478322646448</v>
      </c>
      <c r="D1170" s="65">
        <v>-0.7381867249126314</v>
      </c>
      <c r="E1170" s="65">
        <v>0.20449317578977136</v>
      </c>
      <c r="F1170" s="65">
        <v>2.8702207661363235</v>
      </c>
      <c r="G1170" s="50">
        <v>0.0</v>
      </c>
      <c r="H1170" s="50">
        <v>0.0</v>
      </c>
      <c r="I1170" s="50">
        <v>0.0</v>
      </c>
      <c r="J1170" s="50">
        <v>0.0</v>
      </c>
      <c r="K1170" s="50">
        <v>0.0</v>
      </c>
      <c r="L1170" s="50">
        <v>0.0</v>
      </c>
      <c r="M1170" s="50">
        <v>0.0</v>
      </c>
      <c r="N1170" s="50">
        <v>0.0</v>
      </c>
      <c r="O1170" s="50">
        <v>0.0</v>
      </c>
      <c r="P1170" s="50">
        <v>0.0</v>
      </c>
      <c r="Q1170" s="50">
        <v>0.0</v>
      </c>
      <c r="R1170" s="50">
        <v>0.0</v>
      </c>
      <c r="S1170" s="50">
        <v>0.0</v>
      </c>
      <c r="T1170" s="50">
        <v>2.8125</v>
      </c>
      <c r="U1170" s="50">
        <v>0.0</v>
      </c>
      <c r="V1170" s="50">
        <v>0.0</v>
      </c>
      <c r="W1170" s="50">
        <v>4.95</v>
      </c>
      <c r="X1170" s="50">
        <v>2.8125</v>
      </c>
      <c r="Y1170" s="50">
        <v>10.575</v>
      </c>
    </row>
    <row r="1171">
      <c r="A1171" s="26">
        <v>1165.0</v>
      </c>
      <c r="B1171" s="65">
        <v>0.8844962614763682</v>
      </c>
      <c r="C1171" s="65">
        <v>0.45122401933462164</v>
      </c>
      <c r="D1171" s="65">
        <v>0.13102882260993054</v>
      </c>
      <c r="E1171" s="65">
        <v>-0.9645354087216499</v>
      </c>
      <c r="F1171" s="65">
        <v>3.870293695592231</v>
      </c>
      <c r="G1171" s="50">
        <v>0.0</v>
      </c>
      <c r="H1171" s="50">
        <v>0.0</v>
      </c>
      <c r="I1171" s="50">
        <v>0.0</v>
      </c>
      <c r="J1171" s="50">
        <v>0.0</v>
      </c>
      <c r="K1171" s="50">
        <v>0.0</v>
      </c>
      <c r="L1171" s="50">
        <v>0.0</v>
      </c>
      <c r="M1171" s="50">
        <v>0.0</v>
      </c>
      <c r="N1171" s="50">
        <v>0.0</v>
      </c>
      <c r="O1171" s="50">
        <v>0.0</v>
      </c>
      <c r="P1171" s="50">
        <v>0.0</v>
      </c>
      <c r="Q1171" s="50">
        <v>0.0</v>
      </c>
      <c r="R1171" s="50">
        <v>0.0</v>
      </c>
      <c r="S1171" s="50">
        <v>0.0</v>
      </c>
      <c r="T1171" s="50">
        <v>2.8125</v>
      </c>
      <c r="U1171" s="50">
        <v>0.0</v>
      </c>
      <c r="V1171" s="50">
        <v>5.625</v>
      </c>
      <c r="W1171" s="50">
        <v>0.0</v>
      </c>
      <c r="X1171" s="50">
        <v>2.8125</v>
      </c>
      <c r="Y1171" s="50">
        <v>11.25</v>
      </c>
    </row>
    <row r="1172">
      <c r="A1172" s="26">
        <v>1166.0</v>
      </c>
      <c r="B1172" s="65">
        <v>-1.1990067775434097</v>
      </c>
      <c r="C1172" s="65">
        <v>-0.8401340840106608</v>
      </c>
      <c r="D1172" s="65">
        <v>0.7389887528710386</v>
      </c>
      <c r="E1172" s="65">
        <v>1.1333799390595678</v>
      </c>
      <c r="F1172" s="65">
        <v>6.4089372242502</v>
      </c>
      <c r="G1172" s="50">
        <v>0.0</v>
      </c>
      <c r="H1172" s="50">
        <v>0.0</v>
      </c>
      <c r="I1172" s="50">
        <v>0.0</v>
      </c>
      <c r="J1172" s="50">
        <v>0.0</v>
      </c>
      <c r="K1172" s="50">
        <v>0.0</v>
      </c>
      <c r="L1172" s="50">
        <v>0.0</v>
      </c>
      <c r="M1172" s="50">
        <v>0.0</v>
      </c>
      <c r="N1172" s="50">
        <v>0.0</v>
      </c>
      <c r="O1172" s="50">
        <v>7.425000000000001</v>
      </c>
      <c r="P1172" s="50">
        <v>0.0</v>
      </c>
      <c r="Q1172" s="50">
        <v>0.0</v>
      </c>
      <c r="R1172" s="50">
        <v>0.0</v>
      </c>
      <c r="S1172" s="50">
        <v>0.0</v>
      </c>
      <c r="T1172" s="50">
        <v>2.8125</v>
      </c>
      <c r="U1172" s="50">
        <v>0.0</v>
      </c>
      <c r="V1172" s="50">
        <v>5.625</v>
      </c>
      <c r="W1172" s="50">
        <v>0.0</v>
      </c>
      <c r="X1172" s="50">
        <v>2.8125</v>
      </c>
      <c r="Y1172" s="50">
        <v>18.675</v>
      </c>
    </row>
    <row r="1173">
      <c r="A1173" s="26">
        <v>1167.0</v>
      </c>
      <c r="B1173" s="65">
        <v>1.2177023120533712</v>
      </c>
      <c r="C1173" s="65">
        <v>2.8052962709147446</v>
      </c>
      <c r="D1173" s="65">
        <v>-0.016133516695919375</v>
      </c>
      <c r="E1173" s="65">
        <v>0.6456660579048267</v>
      </c>
      <c r="F1173" s="65">
        <v>3.40876818354614</v>
      </c>
      <c r="G1173" s="50">
        <v>0.0</v>
      </c>
      <c r="H1173" s="50">
        <v>0.0</v>
      </c>
      <c r="I1173" s="50">
        <v>0.0</v>
      </c>
      <c r="J1173" s="50">
        <v>0.0</v>
      </c>
      <c r="K1173" s="50">
        <v>0.0</v>
      </c>
      <c r="L1173" s="50">
        <v>0.0</v>
      </c>
      <c r="M1173" s="50">
        <v>0.0</v>
      </c>
      <c r="N1173" s="50">
        <v>0.0</v>
      </c>
      <c r="O1173" s="50">
        <v>0.0</v>
      </c>
      <c r="P1173" s="50">
        <v>0.0</v>
      </c>
      <c r="Q1173" s="50">
        <v>0.0</v>
      </c>
      <c r="R1173" s="50">
        <v>0.0</v>
      </c>
      <c r="S1173" s="50">
        <v>0.0</v>
      </c>
      <c r="T1173" s="50">
        <v>2.8125</v>
      </c>
      <c r="U1173" s="50">
        <v>0.0</v>
      </c>
      <c r="V1173" s="50">
        <v>0.0</v>
      </c>
      <c r="W1173" s="50">
        <v>0.0</v>
      </c>
      <c r="X1173" s="50">
        <v>2.8125</v>
      </c>
      <c r="Y1173" s="50">
        <v>5.625</v>
      </c>
    </row>
    <row r="1174">
      <c r="A1174" s="26">
        <v>1168.0</v>
      </c>
      <c r="B1174" s="65">
        <v>-0.8915102466123784</v>
      </c>
      <c r="C1174" s="65">
        <v>-1.8222957981773436</v>
      </c>
      <c r="D1174" s="65">
        <v>-0.42615158503146167</v>
      </c>
      <c r="E1174" s="65">
        <v>-0.3645170289212997</v>
      </c>
      <c r="F1174" s="65">
        <v>9.316944940167344</v>
      </c>
      <c r="G1174" s="50">
        <v>0.0</v>
      </c>
      <c r="H1174" s="50">
        <v>0.0</v>
      </c>
      <c r="I1174" s="50">
        <v>0.0</v>
      </c>
      <c r="J1174" s="50">
        <v>0.0</v>
      </c>
      <c r="K1174" s="50">
        <v>0.0</v>
      </c>
      <c r="L1174" s="50">
        <v>0.0</v>
      </c>
      <c r="M1174" s="50">
        <v>0.0</v>
      </c>
      <c r="N1174" s="50">
        <v>0.0</v>
      </c>
      <c r="O1174" s="50">
        <v>0.0</v>
      </c>
      <c r="P1174" s="50">
        <v>0.0</v>
      </c>
      <c r="Q1174" s="50">
        <v>0.0</v>
      </c>
      <c r="R1174" s="50">
        <v>9.9</v>
      </c>
      <c r="S1174" s="50">
        <v>0.0</v>
      </c>
      <c r="T1174" s="50">
        <v>2.8125</v>
      </c>
      <c r="U1174" s="50">
        <v>0.0</v>
      </c>
      <c r="V1174" s="50">
        <v>0.0</v>
      </c>
      <c r="W1174" s="50">
        <v>0.0</v>
      </c>
      <c r="X1174" s="50">
        <v>2.8125</v>
      </c>
      <c r="Y1174" s="50">
        <v>15.525</v>
      </c>
    </row>
    <row r="1175">
      <c r="A1175" s="26">
        <v>1169.0</v>
      </c>
      <c r="B1175" s="65">
        <v>0.14914963973411147</v>
      </c>
      <c r="C1175" s="65">
        <v>-1.1931384414208452</v>
      </c>
      <c r="D1175" s="65">
        <v>0.2163077546469556</v>
      </c>
      <c r="E1175" s="65">
        <v>-0.8709304165860876</v>
      </c>
      <c r="F1175" s="65">
        <v>4.189045210143947</v>
      </c>
      <c r="G1175" s="50">
        <v>0.0</v>
      </c>
      <c r="H1175" s="50">
        <v>0.0</v>
      </c>
      <c r="I1175" s="50">
        <v>0.0</v>
      </c>
      <c r="J1175" s="50">
        <v>0.0</v>
      </c>
      <c r="K1175" s="50">
        <v>0.0</v>
      </c>
      <c r="L1175" s="50">
        <v>0.0</v>
      </c>
      <c r="M1175" s="50">
        <v>0.0</v>
      </c>
      <c r="N1175" s="50">
        <v>0.0</v>
      </c>
      <c r="O1175" s="50">
        <v>0.0</v>
      </c>
      <c r="P1175" s="50">
        <v>0.0</v>
      </c>
      <c r="Q1175" s="50">
        <v>0.0</v>
      </c>
      <c r="R1175" s="50">
        <v>0.0</v>
      </c>
      <c r="S1175" s="50">
        <v>0.0</v>
      </c>
      <c r="T1175" s="50">
        <v>2.8125</v>
      </c>
      <c r="U1175" s="50">
        <v>0.0</v>
      </c>
      <c r="V1175" s="50">
        <v>0.0</v>
      </c>
      <c r="W1175" s="50">
        <v>0.0</v>
      </c>
      <c r="X1175" s="50">
        <v>2.8125</v>
      </c>
      <c r="Y1175" s="50">
        <v>5.625</v>
      </c>
    </row>
    <row r="1176">
      <c r="A1176" s="26">
        <v>1170.0</v>
      </c>
      <c r="B1176" s="65">
        <v>0.5702349735966756</v>
      </c>
      <c r="C1176" s="65">
        <v>0.5579455781276097</v>
      </c>
      <c r="D1176" s="65">
        <v>-2.450638189625048</v>
      </c>
      <c r="E1176" s="65">
        <v>1.9287679323629665</v>
      </c>
      <c r="F1176" s="65">
        <v>5.202825141295411</v>
      </c>
      <c r="G1176" s="50">
        <v>0.0</v>
      </c>
      <c r="H1176" s="50">
        <v>0.0</v>
      </c>
      <c r="I1176" s="50">
        <v>0.0</v>
      </c>
      <c r="J1176" s="50">
        <v>0.0</v>
      </c>
      <c r="K1176" s="50">
        <v>0.0</v>
      </c>
      <c r="L1176" s="50">
        <v>0.0</v>
      </c>
      <c r="M1176" s="50">
        <v>0.0</v>
      </c>
      <c r="N1176" s="50">
        <v>0.0</v>
      </c>
      <c r="O1176" s="50">
        <v>0.0</v>
      </c>
      <c r="P1176" s="50">
        <v>2.475</v>
      </c>
      <c r="Q1176" s="50">
        <v>0.0</v>
      </c>
      <c r="R1176" s="50">
        <v>0.0</v>
      </c>
      <c r="S1176" s="50">
        <v>0.0</v>
      </c>
      <c r="T1176" s="50">
        <v>2.8125</v>
      </c>
      <c r="U1176" s="50">
        <v>0.0</v>
      </c>
      <c r="V1176" s="50">
        <v>0.0</v>
      </c>
      <c r="W1176" s="50">
        <v>0.0</v>
      </c>
      <c r="X1176" s="50">
        <v>2.8125</v>
      </c>
      <c r="Y1176" s="50">
        <v>8.1</v>
      </c>
    </row>
    <row r="1177">
      <c r="A1177" s="26">
        <v>1171.0</v>
      </c>
      <c r="B1177" s="65">
        <v>0.521415719786464</v>
      </c>
      <c r="C1177" s="65">
        <v>-0.5483735105064179</v>
      </c>
      <c r="D1177" s="65">
        <v>1.35918120586251</v>
      </c>
      <c r="E1177" s="65">
        <v>-0.030545999304982512</v>
      </c>
      <c r="F1177" s="65">
        <v>7.575342694425275</v>
      </c>
      <c r="G1177" s="50">
        <v>0.0</v>
      </c>
      <c r="H1177" s="50">
        <v>0.0</v>
      </c>
      <c r="I1177" s="50">
        <v>0.0</v>
      </c>
      <c r="J1177" s="50">
        <v>0.0</v>
      </c>
      <c r="K1177" s="50">
        <v>0.0</v>
      </c>
      <c r="L1177" s="50">
        <v>0.0</v>
      </c>
      <c r="M1177" s="50">
        <v>0.0</v>
      </c>
      <c r="N1177" s="50">
        <v>0.0</v>
      </c>
      <c r="O1177" s="50">
        <v>0.0</v>
      </c>
      <c r="P1177" s="50">
        <v>0.0</v>
      </c>
      <c r="Q1177" s="50">
        <v>0.0</v>
      </c>
      <c r="R1177" s="50">
        <v>0.0</v>
      </c>
      <c r="S1177" s="50">
        <v>0.0</v>
      </c>
      <c r="T1177" s="50">
        <v>2.8125</v>
      </c>
      <c r="U1177" s="50">
        <v>0.0</v>
      </c>
      <c r="V1177" s="50">
        <v>0.0</v>
      </c>
      <c r="W1177" s="50">
        <v>0.0</v>
      </c>
      <c r="X1177" s="50">
        <v>2.8125</v>
      </c>
      <c r="Y1177" s="50">
        <v>5.625</v>
      </c>
    </row>
    <row r="1178">
      <c r="A1178" s="26">
        <v>1172.0</v>
      </c>
      <c r="B1178" s="65">
        <v>-0.30280670450860264</v>
      </c>
      <c r="C1178" s="65">
        <v>-1.1619264420498445</v>
      </c>
      <c r="D1178" s="65">
        <v>0.4104485140081724</v>
      </c>
      <c r="E1178" s="65">
        <v>0.5288385368238464</v>
      </c>
      <c r="F1178" s="65">
        <v>6.550484835356976</v>
      </c>
      <c r="G1178" s="50">
        <v>0.0</v>
      </c>
      <c r="H1178" s="50">
        <v>0.0</v>
      </c>
      <c r="I1178" s="50">
        <v>0.0</v>
      </c>
      <c r="J1178" s="50">
        <v>0.0</v>
      </c>
      <c r="K1178" s="50">
        <v>0.0</v>
      </c>
      <c r="L1178" s="50">
        <v>0.0</v>
      </c>
      <c r="M1178" s="50">
        <v>0.0</v>
      </c>
      <c r="N1178" s="50">
        <v>0.0</v>
      </c>
      <c r="O1178" s="50">
        <v>0.0</v>
      </c>
      <c r="P1178" s="50">
        <v>0.0</v>
      </c>
      <c r="Q1178" s="50">
        <v>0.0</v>
      </c>
      <c r="R1178" s="50">
        <v>0.0</v>
      </c>
      <c r="S1178" s="50">
        <v>0.0</v>
      </c>
      <c r="T1178" s="50">
        <v>2.8125</v>
      </c>
      <c r="U1178" s="50">
        <v>0.0</v>
      </c>
      <c r="V1178" s="50">
        <v>5.625</v>
      </c>
      <c r="W1178" s="50">
        <v>4.95</v>
      </c>
      <c r="X1178" s="50">
        <v>2.8125</v>
      </c>
      <c r="Y1178" s="50">
        <v>16.2</v>
      </c>
    </row>
    <row r="1179">
      <c r="A1179" s="26">
        <v>1173.0</v>
      </c>
      <c r="B1179" s="65">
        <v>1.0562153608763563</v>
      </c>
      <c r="C1179" s="65">
        <v>-0.8152973488241948</v>
      </c>
      <c r="D1179" s="65">
        <v>-1.8465481593797062</v>
      </c>
      <c r="E1179" s="65">
        <v>-0.7213821957065482</v>
      </c>
      <c r="F1179" s="65">
        <v>4.40772568165454</v>
      </c>
      <c r="G1179" s="50">
        <v>0.0</v>
      </c>
      <c r="H1179" s="50">
        <v>0.0</v>
      </c>
      <c r="I1179" s="50">
        <v>0.0</v>
      </c>
      <c r="J1179" s="50">
        <v>0.0</v>
      </c>
      <c r="K1179" s="50">
        <v>0.0</v>
      </c>
      <c r="L1179" s="50">
        <v>0.0</v>
      </c>
      <c r="M1179" s="50">
        <v>0.0</v>
      </c>
      <c r="N1179" s="50">
        <v>0.0</v>
      </c>
      <c r="O1179" s="50">
        <v>0.0</v>
      </c>
      <c r="P1179" s="50">
        <v>0.0</v>
      </c>
      <c r="Q1179" s="50">
        <v>0.0</v>
      </c>
      <c r="R1179" s="50">
        <v>0.0</v>
      </c>
      <c r="S1179" s="50">
        <v>0.0</v>
      </c>
      <c r="T1179" s="50">
        <v>2.8125</v>
      </c>
      <c r="U1179" s="50">
        <v>0.0</v>
      </c>
      <c r="V1179" s="50">
        <v>0.0</v>
      </c>
      <c r="W1179" s="50">
        <v>0.0</v>
      </c>
      <c r="X1179" s="50">
        <v>2.8125</v>
      </c>
      <c r="Y1179" s="50">
        <v>5.625</v>
      </c>
    </row>
    <row r="1180">
      <c r="A1180" s="26">
        <v>1174.0</v>
      </c>
      <c r="B1180" s="65">
        <v>-0.7853205123104472</v>
      </c>
      <c r="C1180" s="65">
        <v>-1.5064770801460199</v>
      </c>
      <c r="D1180" s="65">
        <v>-0.10806920259040537</v>
      </c>
      <c r="E1180" s="65">
        <v>1.6134651438269876</v>
      </c>
      <c r="F1180" s="65">
        <v>3.9832150151162016</v>
      </c>
      <c r="G1180" s="50">
        <v>0.0</v>
      </c>
      <c r="H1180" s="50">
        <v>0.0</v>
      </c>
      <c r="I1180" s="50">
        <v>0.0</v>
      </c>
      <c r="J1180" s="50">
        <v>0.0</v>
      </c>
      <c r="K1180" s="50">
        <v>0.0</v>
      </c>
      <c r="L1180" s="50">
        <v>0.0</v>
      </c>
      <c r="M1180" s="50">
        <v>0.0</v>
      </c>
      <c r="N1180" s="50">
        <v>0.0</v>
      </c>
      <c r="O1180" s="50">
        <v>0.0</v>
      </c>
      <c r="P1180" s="50">
        <v>0.0</v>
      </c>
      <c r="Q1180" s="50">
        <v>0.0</v>
      </c>
      <c r="R1180" s="50">
        <v>0.0</v>
      </c>
      <c r="S1180" s="50">
        <v>0.0</v>
      </c>
      <c r="T1180" s="50">
        <v>2.8125</v>
      </c>
      <c r="U1180" s="50">
        <v>0.0</v>
      </c>
      <c r="V1180" s="50">
        <v>0.0</v>
      </c>
      <c r="W1180" s="50">
        <v>4.95</v>
      </c>
      <c r="X1180" s="50">
        <v>2.8125</v>
      </c>
      <c r="Y1180" s="50">
        <v>10.575</v>
      </c>
    </row>
    <row r="1181">
      <c r="A1181" s="26">
        <v>1175.0</v>
      </c>
      <c r="B1181" s="65">
        <v>-0.02530843146214028</v>
      </c>
      <c r="C1181" s="65">
        <v>-0.29043936849678764</v>
      </c>
      <c r="D1181" s="65">
        <v>1.5108751685782444</v>
      </c>
      <c r="E1181" s="65">
        <v>0.9611667559022481</v>
      </c>
      <c r="F1181" s="65">
        <v>1.6023951684298339</v>
      </c>
      <c r="G1181" s="50">
        <v>0.0</v>
      </c>
      <c r="H1181" s="50">
        <v>0.0</v>
      </c>
      <c r="I1181" s="50">
        <v>0.0</v>
      </c>
      <c r="J1181" s="50">
        <v>0.0</v>
      </c>
      <c r="K1181" s="50">
        <v>0.0</v>
      </c>
      <c r="L1181" s="50">
        <v>0.0</v>
      </c>
      <c r="M1181" s="50">
        <v>0.0</v>
      </c>
      <c r="N1181" s="50">
        <v>0.0</v>
      </c>
      <c r="O1181" s="50">
        <v>0.0</v>
      </c>
      <c r="P1181" s="50">
        <v>0.0</v>
      </c>
      <c r="Q1181" s="50">
        <v>0.0</v>
      </c>
      <c r="R1181" s="50">
        <v>0.0</v>
      </c>
      <c r="S1181" s="50">
        <v>0.0</v>
      </c>
      <c r="T1181" s="50">
        <v>2.8125</v>
      </c>
      <c r="U1181" s="50">
        <v>0.0</v>
      </c>
      <c r="V1181" s="50">
        <v>0.0</v>
      </c>
      <c r="W1181" s="50">
        <v>0.0</v>
      </c>
      <c r="X1181" s="50">
        <v>2.8125</v>
      </c>
      <c r="Y1181" s="50">
        <v>5.625</v>
      </c>
    </row>
    <row r="1182">
      <c r="A1182" s="26">
        <v>1176.0</v>
      </c>
      <c r="B1182" s="65">
        <v>0.8554972220954271</v>
      </c>
      <c r="C1182" s="65">
        <v>0.08757525928250061</v>
      </c>
      <c r="D1182" s="65">
        <v>0.14053624413088076</v>
      </c>
      <c r="E1182" s="65">
        <v>0.8557440173180058</v>
      </c>
      <c r="F1182" s="65">
        <v>1.53012087360799</v>
      </c>
      <c r="G1182" s="50">
        <v>0.0</v>
      </c>
      <c r="H1182" s="50">
        <v>0.0</v>
      </c>
      <c r="I1182" s="50">
        <v>0.0</v>
      </c>
      <c r="J1182" s="50">
        <v>0.0</v>
      </c>
      <c r="K1182" s="50">
        <v>0.0</v>
      </c>
      <c r="L1182" s="50">
        <v>0.0</v>
      </c>
      <c r="M1182" s="50">
        <v>0.0</v>
      </c>
      <c r="N1182" s="50">
        <v>0.0</v>
      </c>
      <c r="O1182" s="50">
        <v>7.425000000000001</v>
      </c>
      <c r="P1182" s="50">
        <v>0.0</v>
      </c>
      <c r="Q1182" s="50">
        <v>0.0</v>
      </c>
      <c r="R1182" s="50">
        <v>0.0</v>
      </c>
      <c r="S1182" s="50">
        <v>0.0</v>
      </c>
      <c r="T1182" s="50">
        <v>2.8125</v>
      </c>
      <c r="U1182" s="50">
        <v>0.0</v>
      </c>
      <c r="V1182" s="50">
        <v>0.0</v>
      </c>
      <c r="W1182" s="50">
        <v>0.0</v>
      </c>
      <c r="X1182" s="50">
        <v>2.8125</v>
      </c>
      <c r="Y1182" s="50">
        <v>13.05</v>
      </c>
    </row>
    <row r="1183">
      <c r="A1183" s="26">
        <v>1177.0</v>
      </c>
      <c r="B1183" s="65">
        <v>-0.130182795403353</v>
      </c>
      <c r="C1183" s="65">
        <v>0.31122861831761783</v>
      </c>
      <c r="D1183" s="65">
        <v>1.1361152471817282</v>
      </c>
      <c r="E1183" s="65">
        <v>-1.156759128235249</v>
      </c>
      <c r="F1183" s="65">
        <v>3.294918741626748</v>
      </c>
      <c r="G1183" s="50">
        <v>0.0</v>
      </c>
      <c r="H1183" s="50">
        <v>0.0</v>
      </c>
      <c r="I1183" s="50">
        <v>0.0</v>
      </c>
      <c r="J1183" s="50">
        <v>0.0</v>
      </c>
      <c r="K1183" s="50">
        <v>0.0</v>
      </c>
      <c r="L1183" s="50">
        <v>0.0</v>
      </c>
      <c r="M1183" s="50">
        <v>0.0</v>
      </c>
      <c r="N1183" s="50">
        <v>0.0</v>
      </c>
      <c r="O1183" s="50">
        <v>0.0</v>
      </c>
      <c r="P1183" s="50">
        <v>0.0</v>
      </c>
      <c r="Q1183" s="50">
        <v>0.0</v>
      </c>
      <c r="R1183" s="50">
        <v>0.0</v>
      </c>
      <c r="S1183" s="50">
        <v>0.0</v>
      </c>
      <c r="T1183" s="50">
        <v>2.8125</v>
      </c>
      <c r="U1183" s="50">
        <v>0.0</v>
      </c>
      <c r="V1183" s="50">
        <v>0.0</v>
      </c>
      <c r="W1183" s="50">
        <v>0.0</v>
      </c>
      <c r="X1183" s="50">
        <v>2.8125</v>
      </c>
      <c r="Y1183" s="50">
        <v>5.625</v>
      </c>
    </row>
    <row r="1184">
      <c r="A1184" s="26">
        <v>1178.0</v>
      </c>
      <c r="B1184" s="65">
        <v>0.4556958495387521</v>
      </c>
      <c r="C1184" s="65">
        <v>-0.6429545743609957</v>
      </c>
      <c r="D1184" s="65">
        <v>0.22874432300065894</v>
      </c>
      <c r="E1184" s="65">
        <v>0.7039113379772267</v>
      </c>
      <c r="F1184" s="65">
        <v>4.290907198029784</v>
      </c>
      <c r="G1184" s="50">
        <v>0.0</v>
      </c>
      <c r="H1184" s="50">
        <v>0.0</v>
      </c>
      <c r="I1184" s="50">
        <v>0.0</v>
      </c>
      <c r="J1184" s="50">
        <v>0.0</v>
      </c>
      <c r="K1184" s="50">
        <v>0.0</v>
      </c>
      <c r="L1184" s="50">
        <v>0.0</v>
      </c>
      <c r="M1184" s="50">
        <v>0.0</v>
      </c>
      <c r="N1184" s="50">
        <v>0.0</v>
      </c>
      <c r="O1184" s="50">
        <v>7.425000000000001</v>
      </c>
      <c r="P1184" s="50">
        <v>0.0</v>
      </c>
      <c r="Q1184" s="50">
        <v>0.0</v>
      </c>
      <c r="R1184" s="50">
        <v>0.0</v>
      </c>
      <c r="S1184" s="50">
        <v>0.0</v>
      </c>
      <c r="T1184" s="50">
        <v>2.8125</v>
      </c>
      <c r="U1184" s="50">
        <v>0.0</v>
      </c>
      <c r="V1184" s="50">
        <v>0.0</v>
      </c>
      <c r="W1184" s="50">
        <v>0.0</v>
      </c>
      <c r="X1184" s="50">
        <v>2.8125</v>
      </c>
      <c r="Y1184" s="50">
        <v>13.05</v>
      </c>
    </row>
    <row r="1185">
      <c r="A1185" s="26">
        <v>1179.0</v>
      </c>
      <c r="B1185" s="65">
        <v>-1.682942484391675</v>
      </c>
      <c r="C1185" s="65">
        <v>-1.9675794546259924</v>
      </c>
      <c r="D1185" s="65">
        <v>2.99292970892427</v>
      </c>
      <c r="E1185" s="65">
        <v>0.876475158903304</v>
      </c>
      <c r="F1185" s="65">
        <v>6.76446163658893</v>
      </c>
      <c r="G1185" s="50">
        <v>0.0</v>
      </c>
      <c r="H1185" s="50">
        <v>0.0</v>
      </c>
      <c r="I1185" s="50">
        <v>0.0</v>
      </c>
      <c r="J1185" s="50">
        <v>0.0</v>
      </c>
      <c r="K1185" s="50">
        <v>0.0</v>
      </c>
      <c r="L1185" s="50">
        <v>0.0</v>
      </c>
      <c r="M1185" s="50">
        <v>0.0</v>
      </c>
      <c r="N1185" s="50">
        <v>0.0</v>
      </c>
      <c r="O1185" s="50">
        <v>0.0</v>
      </c>
      <c r="P1185" s="50">
        <v>0.0</v>
      </c>
      <c r="Q1185" s="50">
        <v>0.0</v>
      </c>
      <c r="R1185" s="50">
        <v>0.0</v>
      </c>
      <c r="S1185" s="50">
        <v>0.0</v>
      </c>
      <c r="T1185" s="50">
        <v>2.8125</v>
      </c>
      <c r="U1185" s="50">
        <v>0.0</v>
      </c>
      <c r="V1185" s="50">
        <v>5.625</v>
      </c>
      <c r="W1185" s="50">
        <v>0.0</v>
      </c>
      <c r="X1185" s="50">
        <v>2.8125</v>
      </c>
      <c r="Y1185" s="50">
        <v>11.25</v>
      </c>
    </row>
    <row r="1186">
      <c r="A1186" s="26">
        <v>1180.0</v>
      </c>
      <c r="B1186" s="65">
        <v>0.7932582642557006</v>
      </c>
      <c r="C1186" s="65">
        <v>0.9429040154930217</v>
      </c>
      <c r="D1186" s="65">
        <v>3.26498635350844</v>
      </c>
      <c r="E1186" s="65">
        <v>-0.6914363803734725</v>
      </c>
      <c r="F1186" s="65">
        <v>3.8014607946139827</v>
      </c>
      <c r="G1186" s="50">
        <v>0.0</v>
      </c>
      <c r="H1186" s="50">
        <v>0.0</v>
      </c>
      <c r="I1186" s="50">
        <v>0.0</v>
      </c>
      <c r="J1186" s="50">
        <v>0.0</v>
      </c>
      <c r="K1186" s="50">
        <v>0.0</v>
      </c>
      <c r="L1186" s="50">
        <v>0.0</v>
      </c>
      <c r="M1186" s="50">
        <v>0.0</v>
      </c>
      <c r="N1186" s="50">
        <v>0.0</v>
      </c>
      <c r="O1186" s="50">
        <v>0.0</v>
      </c>
      <c r="P1186" s="50">
        <v>0.0</v>
      </c>
      <c r="Q1186" s="50">
        <v>0.0</v>
      </c>
      <c r="R1186" s="50">
        <v>0.0</v>
      </c>
      <c r="S1186" s="50">
        <v>0.0</v>
      </c>
      <c r="T1186" s="50">
        <v>2.8125</v>
      </c>
      <c r="U1186" s="50">
        <v>0.0</v>
      </c>
      <c r="V1186" s="50">
        <v>0.0</v>
      </c>
      <c r="W1186" s="50">
        <v>0.0</v>
      </c>
      <c r="X1186" s="50">
        <v>2.8125</v>
      </c>
      <c r="Y1186" s="50">
        <v>5.625</v>
      </c>
    </row>
    <row r="1187">
      <c r="A1187" s="26">
        <v>1181.0</v>
      </c>
      <c r="B1187" s="65">
        <v>0.052096439822481126</v>
      </c>
      <c r="C1187" s="65">
        <v>0.6521881267141602</v>
      </c>
      <c r="D1187" s="65">
        <v>1.389067814964543</v>
      </c>
      <c r="E1187" s="65">
        <v>1.951649849479076</v>
      </c>
      <c r="F1187" s="65">
        <v>2.9190238937484003</v>
      </c>
      <c r="G1187" s="50">
        <v>0.0</v>
      </c>
      <c r="H1187" s="50">
        <v>0.0</v>
      </c>
      <c r="I1187" s="50">
        <v>0.0</v>
      </c>
      <c r="J1187" s="50">
        <v>0.0</v>
      </c>
      <c r="K1187" s="50">
        <v>0.0</v>
      </c>
      <c r="L1187" s="50">
        <v>0.0</v>
      </c>
      <c r="M1187" s="50">
        <v>0.0</v>
      </c>
      <c r="N1187" s="50">
        <v>0.0</v>
      </c>
      <c r="O1187" s="50">
        <v>0.0</v>
      </c>
      <c r="P1187" s="50">
        <v>0.0</v>
      </c>
      <c r="Q1187" s="50">
        <v>0.0</v>
      </c>
      <c r="R1187" s="50">
        <v>0.0</v>
      </c>
      <c r="S1187" s="50">
        <v>0.0</v>
      </c>
      <c r="T1187" s="50">
        <v>2.8125</v>
      </c>
      <c r="U1187" s="50">
        <v>0.0</v>
      </c>
      <c r="V1187" s="50">
        <v>0.0</v>
      </c>
      <c r="W1187" s="50">
        <v>0.0</v>
      </c>
      <c r="X1187" s="50">
        <v>2.8125</v>
      </c>
      <c r="Y1187" s="50">
        <v>5.625</v>
      </c>
    </row>
    <row r="1188">
      <c r="A1188" s="26">
        <v>1182.0</v>
      </c>
      <c r="B1188" s="65">
        <v>0.016447082472442243</v>
      </c>
      <c r="C1188" s="65">
        <v>0.5515899912861817</v>
      </c>
      <c r="D1188" s="65">
        <v>-0.8615284026173492</v>
      </c>
      <c r="E1188" s="65">
        <v>0.5600331334968633</v>
      </c>
      <c r="F1188" s="65">
        <v>3.2464290689177613</v>
      </c>
      <c r="G1188" s="50">
        <v>0.0</v>
      </c>
      <c r="H1188" s="50">
        <v>0.0</v>
      </c>
      <c r="I1188" s="50">
        <v>0.0</v>
      </c>
      <c r="J1188" s="50">
        <v>0.0</v>
      </c>
      <c r="K1188" s="50">
        <v>0.0</v>
      </c>
      <c r="L1188" s="50">
        <v>0.0</v>
      </c>
      <c r="M1188" s="50">
        <v>0.0</v>
      </c>
      <c r="N1188" s="50">
        <v>0.0</v>
      </c>
      <c r="O1188" s="50">
        <v>0.0</v>
      </c>
      <c r="P1188" s="50">
        <v>0.0</v>
      </c>
      <c r="Q1188" s="50">
        <v>0.0</v>
      </c>
      <c r="R1188" s="50">
        <v>0.0</v>
      </c>
      <c r="S1188" s="50">
        <v>0.0</v>
      </c>
      <c r="T1188" s="50">
        <v>2.8125</v>
      </c>
      <c r="U1188" s="50">
        <v>0.0</v>
      </c>
      <c r="V1188" s="50">
        <v>5.625</v>
      </c>
      <c r="W1188" s="50">
        <v>4.95</v>
      </c>
      <c r="X1188" s="50">
        <v>2.8125</v>
      </c>
      <c r="Y1188" s="50">
        <v>16.2</v>
      </c>
    </row>
    <row r="1189">
      <c r="A1189" s="26">
        <v>1183.0</v>
      </c>
      <c r="B1189" s="65">
        <v>-1.4570292555685858</v>
      </c>
      <c r="C1189" s="65">
        <v>-1.158268406745052</v>
      </c>
      <c r="D1189" s="65">
        <v>0.6120155622619672</v>
      </c>
      <c r="E1189" s="65">
        <v>0.9718432664553139</v>
      </c>
      <c r="F1189" s="65">
        <v>4.425980784141213</v>
      </c>
      <c r="G1189" s="50">
        <v>0.0</v>
      </c>
      <c r="H1189" s="50">
        <v>0.0</v>
      </c>
      <c r="I1189" s="50">
        <v>0.0</v>
      </c>
      <c r="J1189" s="50">
        <v>0.0</v>
      </c>
      <c r="K1189" s="50">
        <v>0.0</v>
      </c>
      <c r="L1189" s="50">
        <v>0.0</v>
      </c>
      <c r="M1189" s="50">
        <v>0.0</v>
      </c>
      <c r="N1189" s="50">
        <v>0.0</v>
      </c>
      <c r="O1189" s="50">
        <v>0.0</v>
      </c>
      <c r="P1189" s="50">
        <v>2.475</v>
      </c>
      <c r="Q1189" s="50">
        <v>0.0</v>
      </c>
      <c r="R1189" s="50">
        <v>0.0</v>
      </c>
      <c r="S1189" s="50">
        <v>0.0</v>
      </c>
      <c r="T1189" s="50">
        <v>2.8125</v>
      </c>
      <c r="U1189" s="50">
        <v>0.0</v>
      </c>
      <c r="V1189" s="50">
        <v>0.0</v>
      </c>
      <c r="W1189" s="50">
        <v>4.95</v>
      </c>
      <c r="X1189" s="50">
        <v>2.8125</v>
      </c>
      <c r="Y1189" s="50">
        <v>13.05</v>
      </c>
    </row>
    <row r="1190">
      <c r="A1190" s="26">
        <v>1184.0</v>
      </c>
      <c r="B1190" s="65">
        <v>-0.7535132824584296</v>
      </c>
      <c r="C1190" s="65">
        <v>1.131771658087911</v>
      </c>
      <c r="D1190" s="65">
        <v>2.170486551603983</v>
      </c>
      <c r="E1190" s="65">
        <v>1.3624334576268073</v>
      </c>
      <c r="F1190" s="65">
        <v>10.234226266747141</v>
      </c>
      <c r="G1190" s="50">
        <v>0.0</v>
      </c>
      <c r="H1190" s="50">
        <v>0.0</v>
      </c>
      <c r="I1190" s="50">
        <v>0.0</v>
      </c>
      <c r="J1190" s="50">
        <v>0.0</v>
      </c>
      <c r="K1190" s="50">
        <v>0.0</v>
      </c>
      <c r="L1190" s="50">
        <v>0.0</v>
      </c>
      <c r="M1190" s="50">
        <v>0.0</v>
      </c>
      <c r="N1190" s="50">
        <v>0.0</v>
      </c>
      <c r="O1190" s="50">
        <v>0.0</v>
      </c>
      <c r="P1190" s="50">
        <v>0.0</v>
      </c>
      <c r="Q1190" s="50">
        <v>0.0</v>
      </c>
      <c r="R1190" s="50">
        <v>0.0</v>
      </c>
      <c r="S1190" s="50">
        <v>0.0</v>
      </c>
      <c r="T1190" s="50">
        <v>2.8125</v>
      </c>
      <c r="U1190" s="50">
        <v>0.0</v>
      </c>
      <c r="V1190" s="50">
        <v>5.625</v>
      </c>
      <c r="W1190" s="50">
        <v>0.0</v>
      </c>
      <c r="X1190" s="50">
        <v>2.8125</v>
      </c>
      <c r="Y1190" s="50">
        <v>11.25</v>
      </c>
    </row>
    <row r="1191">
      <c r="A1191" s="26">
        <v>1185.0</v>
      </c>
      <c r="B1191" s="65">
        <v>0.9928177544002127</v>
      </c>
      <c r="C1191" s="65">
        <v>0.37119317990989625</v>
      </c>
      <c r="D1191" s="65">
        <v>-0.32734241748219645</v>
      </c>
      <c r="E1191" s="65">
        <v>-2.187336392241864</v>
      </c>
      <c r="F1191" s="65">
        <v>12.389184048777546</v>
      </c>
      <c r="G1191" s="50">
        <v>0.0</v>
      </c>
      <c r="H1191" s="50">
        <v>0.0</v>
      </c>
      <c r="I1191" s="50">
        <v>0.0</v>
      </c>
      <c r="J1191" s="50">
        <v>0.0</v>
      </c>
      <c r="K1191" s="50">
        <v>0.0</v>
      </c>
      <c r="L1191" s="50">
        <v>0.0</v>
      </c>
      <c r="M1191" s="50">
        <v>0.0</v>
      </c>
      <c r="N1191" s="50">
        <v>0.0</v>
      </c>
      <c r="O1191" s="50">
        <v>0.0</v>
      </c>
      <c r="P1191" s="50">
        <v>0.0</v>
      </c>
      <c r="Q1191" s="50">
        <v>0.0</v>
      </c>
      <c r="R1191" s="50">
        <v>0.0</v>
      </c>
      <c r="S1191" s="50">
        <v>0.0</v>
      </c>
      <c r="T1191" s="50">
        <v>2.8125</v>
      </c>
      <c r="U1191" s="50">
        <v>0.0</v>
      </c>
      <c r="V1191" s="50">
        <v>0.0</v>
      </c>
      <c r="W1191" s="50">
        <v>0.0</v>
      </c>
      <c r="X1191" s="50">
        <v>2.8125</v>
      </c>
      <c r="Y1191" s="50">
        <v>5.625</v>
      </c>
    </row>
    <row r="1192">
      <c r="A1192" s="26">
        <v>1186.0</v>
      </c>
      <c r="B1192" s="65">
        <v>0.35054723775476554</v>
      </c>
      <c r="C1192" s="65">
        <v>0.1183460804343827</v>
      </c>
      <c r="D1192" s="65">
        <v>-0.8150163071272137</v>
      </c>
      <c r="E1192" s="65">
        <v>0.7591135253771392</v>
      </c>
      <c r="F1192" s="65">
        <v>1.5092189883985654</v>
      </c>
      <c r="G1192" s="50">
        <v>0.0</v>
      </c>
      <c r="H1192" s="50">
        <v>0.0</v>
      </c>
      <c r="I1192" s="50">
        <v>0.0</v>
      </c>
      <c r="J1192" s="50">
        <v>0.0</v>
      </c>
      <c r="K1192" s="50">
        <v>0.0</v>
      </c>
      <c r="L1192" s="50">
        <v>0.0</v>
      </c>
      <c r="M1192" s="50">
        <v>0.0</v>
      </c>
      <c r="N1192" s="50">
        <v>0.0</v>
      </c>
      <c r="O1192" s="50">
        <v>0.0</v>
      </c>
      <c r="P1192" s="50">
        <v>0.0</v>
      </c>
      <c r="Q1192" s="50">
        <v>0.0</v>
      </c>
      <c r="R1192" s="50">
        <v>0.0</v>
      </c>
      <c r="S1192" s="50">
        <v>0.0</v>
      </c>
      <c r="T1192" s="50">
        <v>2.8125</v>
      </c>
      <c r="U1192" s="50">
        <v>0.0</v>
      </c>
      <c r="V1192" s="50">
        <v>0.0</v>
      </c>
      <c r="W1192" s="50">
        <v>0.0</v>
      </c>
      <c r="X1192" s="50">
        <v>2.8125</v>
      </c>
      <c r="Y1192" s="50">
        <v>5.625</v>
      </c>
    </row>
    <row r="1193">
      <c r="A1193" s="26">
        <v>1187.0</v>
      </c>
      <c r="B1193" s="65">
        <v>0.7717309409519004</v>
      </c>
      <c r="C1193" s="65">
        <v>-0.3024261142280639</v>
      </c>
      <c r="D1193" s="65">
        <v>0.5715975657175567</v>
      </c>
      <c r="E1193" s="65">
        <v>-0.18415801238951846</v>
      </c>
      <c r="F1193" s="65">
        <v>2.909812927239005</v>
      </c>
      <c r="G1193" s="50">
        <v>0.0</v>
      </c>
      <c r="H1193" s="50">
        <v>0.0</v>
      </c>
      <c r="I1193" s="50">
        <v>0.0</v>
      </c>
      <c r="J1193" s="50">
        <v>0.0</v>
      </c>
      <c r="K1193" s="50">
        <v>0.0</v>
      </c>
      <c r="L1193" s="50">
        <v>0.0</v>
      </c>
      <c r="M1193" s="50">
        <v>0.0</v>
      </c>
      <c r="N1193" s="50">
        <v>0.0</v>
      </c>
      <c r="O1193" s="50">
        <v>0.0</v>
      </c>
      <c r="P1193" s="50">
        <v>0.0</v>
      </c>
      <c r="Q1193" s="50">
        <v>0.0</v>
      </c>
      <c r="R1193" s="50">
        <v>0.0</v>
      </c>
      <c r="S1193" s="50">
        <v>0.0</v>
      </c>
      <c r="T1193" s="50">
        <v>2.8125</v>
      </c>
      <c r="U1193" s="50">
        <v>0.0</v>
      </c>
      <c r="V1193" s="50">
        <v>5.625</v>
      </c>
      <c r="W1193" s="50">
        <v>0.0</v>
      </c>
      <c r="X1193" s="50">
        <v>2.8125</v>
      </c>
      <c r="Y1193" s="50">
        <v>11.25</v>
      </c>
    </row>
    <row r="1194">
      <c r="A1194" s="26">
        <v>1188.0</v>
      </c>
      <c r="B1194" s="65">
        <v>-0.38071641079288376</v>
      </c>
      <c r="C1194" s="65">
        <v>0.9140655476000319</v>
      </c>
      <c r="D1194" s="65">
        <v>-0.4446235468637219</v>
      </c>
      <c r="E1194" s="65">
        <v>-0.15304869116862407</v>
      </c>
      <c r="F1194" s="65">
        <v>13.272120236543158</v>
      </c>
      <c r="G1194" s="50">
        <v>0.0</v>
      </c>
      <c r="H1194" s="50">
        <v>0.0</v>
      </c>
      <c r="I1194" s="50">
        <v>0.0</v>
      </c>
      <c r="J1194" s="50">
        <v>0.0</v>
      </c>
      <c r="K1194" s="50">
        <v>0.0</v>
      </c>
      <c r="L1194" s="50">
        <v>0.0</v>
      </c>
      <c r="M1194" s="50">
        <v>0.0</v>
      </c>
      <c r="N1194" s="50">
        <v>0.0</v>
      </c>
      <c r="O1194" s="50">
        <v>0.0</v>
      </c>
      <c r="P1194" s="50">
        <v>0.0</v>
      </c>
      <c r="Q1194" s="50">
        <v>0.0</v>
      </c>
      <c r="R1194" s="50">
        <v>0.0</v>
      </c>
      <c r="S1194" s="50">
        <v>0.0</v>
      </c>
      <c r="T1194" s="50">
        <v>2.8125</v>
      </c>
      <c r="U1194" s="50">
        <v>0.0</v>
      </c>
      <c r="V1194" s="50">
        <v>5.625</v>
      </c>
      <c r="W1194" s="50">
        <v>0.0</v>
      </c>
      <c r="X1194" s="50">
        <v>2.8125</v>
      </c>
      <c r="Y1194" s="50">
        <v>11.25</v>
      </c>
    </row>
    <row r="1195">
      <c r="A1195" s="26">
        <v>1189.0</v>
      </c>
      <c r="B1195" s="65">
        <v>1.144942094069053</v>
      </c>
      <c r="C1195" s="65">
        <v>-1.867612856492217</v>
      </c>
      <c r="D1195" s="65">
        <v>0.01667760858456593</v>
      </c>
      <c r="E1195" s="65">
        <v>0.11731055778016931</v>
      </c>
      <c r="F1195" s="65">
        <v>8.49916827327457</v>
      </c>
      <c r="G1195" s="50">
        <v>0.0</v>
      </c>
      <c r="H1195" s="50">
        <v>0.0</v>
      </c>
      <c r="I1195" s="50">
        <v>0.0</v>
      </c>
      <c r="J1195" s="50">
        <v>0.0</v>
      </c>
      <c r="K1195" s="50">
        <v>0.0</v>
      </c>
      <c r="L1195" s="50">
        <v>0.0</v>
      </c>
      <c r="M1195" s="50">
        <v>0.0</v>
      </c>
      <c r="N1195" s="50">
        <v>0.0</v>
      </c>
      <c r="O1195" s="50">
        <v>0.0</v>
      </c>
      <c r="P1195" s="50">
        <v>0.0</v>
      </c>
      <c r="Q1195" s="50">
        <v>0.0</v>
      </c>
      <c r="R1195" s="50">
        <v>0.0</v>
      </c>
      <c r="S1195" s="50">
        <v>0.0</v>
      </c>
      <c r="T1195" s="50">
        <v>2.8125</v>
      </c>
      <c r="U1195" s="50">
        <v>0.0</v>
      </c>
      <c r="V1195" s="50">
        <v>0.0</v>
      </c>
      <c r="W1195" s="50">
        <v>0.0</v>
      </c>
      <c r="X1195" s="50">
        <v>2.8125</v>
      </c>
      <c r="Y1195" s="50">
        <v>5.625</v>
      </c>
    </row>
    <row r="1196">
      <c r="A1196" s="26">
        <v>1190.0</v>
      </c>
      <c r="B1196" s="65">
        <v>0.8165902954093859</v>
      </c>
      <c r="C1196" s="65">
        <v>0.5616482736914886</v>
      </c>
      <c r="D1196" s="65">
        <v>0.9151592673534008</v>
      </c>
      <c r="E1196" s="65">
        <v>-0.978929947245629</v>
      </c>
      <c r="F1196" s="65">
        <v>5.477732517062251</v>
      </c>
      <c r="G1196" s="50">
        <v>0.0</v>
      </c>
      <c r="H1196" s="50">
        <v>0.0</v>
      </c>
      <c r="I1196" s="50">
        <v>0.0</v>
      </c>
      <c r="J1196" s="50">
        <v>0.0</v>
      </c>
      <c r="K1196" s="50">
        <v>0.0</v>
      </c>
      <c r="L1196" s="50">
        <v>0.0</v>
      </c>
      <c r="M1196" s="50">
        <v>0.0</v>
      </c>
      <c r="N1196" s="50">
        <v>0.0</v>
      </c>
      <c r="O1196" s="50">
        <v>0.0</v>
      </c>
      <c r="P1196" s="50">
        <v>0.0</v>
      </c>
      <c r="Q1196" s="50">
        <v>0.0</v>
      </c>
      <c r="R1196" s="50">
        <v>0.0</v>
      </c>
      <c r="S1196" s="50">
        <v>0.0</v>
      </c>
      <c r="T1196" s="50">
        <v>2.8125</v>
      </c>
      <c r="U1196" s="50">
        <v>0.0</v>
      </c>
      <c r="V1196" s="50">
        <v>0.0</v>
      </c>
      <c r="W1196" s="50">
        <v>4.95</v>
      </c>
      <c r="X1196" s="50">
        <v>2.8125</v>
      </c>
      <c r="Y1196" s="50">
        <v>10.575</v>
      </c>
    </row>
    <row r="1197">
      <c r="A1197" s="26">
        <v>1191.0</v>
      </c>
      <c r="B1197" s="65">
        <v>0.4364896996401674</v>
      </c>
      <c r="C1197" s="65">
        <v>-0.6626338854939067</v>
      </c>
      <c r="D1197" s="65">
        <v>-1.9026001059991065</v>
      </c>
      <c r="E1197" s="65">
        <v>-1.203056170462955</v>
      </c>
      <c r="F1197" s="65">
        <v>7.178007053380934</v>
      </c>
      <c r="G1197" s="50">
        <v>0.0</v>
      </c>
      <c r="H1197" s="50">
        <v>0.0</v>
      </c>
      <c r="I1197" s="50">
        <v>0.0</v>
      </c>
      <c r="J1197" s="50">
        <v>0.0</v>
      </c>
      <c r="K1197" s="50">
        <v>0.0</v>
      </c>
      <c r="L1197" s="50">
        <v>0.0</v>
      </c>
      <c r="M1197" s="50">
        <v>0.0</v>
      </c>
      <c r="N1197" s="50">
        <v>0.0</v>
      </c>
      <c r="O1197" s="50">
        <v>0.0</v>
      </c>
      <c r="P1197" s="50">
        <v>0.0</v>
      </c>
      <c r="Q1197" s="50">
        <v>0.0</v>
      </c>
      <c r="R1197" s="50">
        <v>0.0</v>
      </c>
      <c r="S1197" s="50">
        <v>0.0</v>
      </c>
      <c r="T1197" s="50">
        <v>2.8125</v>
      </c>
      <c r="U1197" s="50">
        <v>0.0</v>
      </c>
      <c r="V1197" s="50">
        <v>0.0</v>
      </c>
      <c r="W1197" s="50">
        <v>0.0</v>
      </c>
      <c r="X1197" s="50">
        <v>2.8125</v>
      </c>
      <c r="Y1197" s="50">
        <v>5.625</v>
      </c>
    </row>
    <row r="1198">
      <c r="A1198" s="26">
        <v>1192.0</v>
      </c>
      <c r="B1198" s="65">
        <v>0.8924206716285423</v>
      </c>
      <c r="C1198" s="65">
        <v>-1.666767505238902</v>
      </c>
      <c r="D1198" s="65">
        <v>0.7073972671009429</v>
      </c>
      <c r="E1198" s="65">
        <v>-1.408991081947028</v>
      </c>
      <c r="F1198" s="65">
        <v>1.8355303138850678</v>
      </c>
      <c r="G1198" s="50">
        <v>0.0</v>
      </c>
      <c r="H1198" s="50">
        <v>0.0</v>
      </c>
      <c r="I1198" s="50">
        <v>0.0</v>
      </c>
      <c r="J1198" s="50">
        <v>0.0</v>
      </c>
      <c r="K1198" s="50">
        <v>0.0</v>
      </c>
      <c r="L1198" s="50">
        <v>0.0</v>
      </c>
      <c r="M1198" s="50">
        <v>0.0</v>
      </c>
      <c r="N1198" s="50">
        <v>0.0</v>
      </c>
      <c r="O1198" s="50">
        <v>0.0</v>
      </c>
      <c r="P1198" s="50">
        <v>0.0</v>
      </c>
      <c r="Q1198" s="50">
        <v>0.0</v>
      </c>
      <c r="R1198" s="50">
        <v>0.0</v>
      </c>
      <c r="S1198" s="50">
        <v>0.0</v>
      </c>
      <c r="T1198" s="50">
        <v>2.8125</v>
      </c>
      <c r="U1198" s="50">
        <v>0.0</v>
      </c>
      <c r="V1198" s="50">
        <v>0.0</v>
      </c>
      <c r="W1198" s="50">
        <v>0.0</v>
      </c>
      <c r="X1198" s="50">
        <v>2.8125</v>
      </c>
      <c r="Y1198" s="50">
        <v>5.625</v>
      </c>
    </row>
    <row r="1199">
      <c r="A1199" s="26">
        <v>1193.0</v>
      </c>
      <c r="B1199" s="65">
        <v>-0.8750061099472771</v>
      </c>
      <c r="C1199" s="65">
        <v>-1.0338596970076175</v>
      </c>
      <c r="D1199" s="65">
        <v>-0.6481891591302174</v>
      </c>
      <c r="E1199" s="65">
        <v>-0.2483936591493486</v>
      </c>
      <c r="F1199" s="65">
        <v>6.150122880094495</v>
      </c>
      <c r="G1199" s="50">
        <v>0.0</v>
      </c>
      <c r="H1199" s="50">
        <v>0.0</v>
      </c>
      <c r="I1199" s="50">
        <v>0.0</v>
      </c>
      <c r="J1199" s="50">
        <v>0.0</v>
      </c>
      <c r="K1199" s="50">
        <v>0.0</v>
      </c>
      <c r="L1199" s="50">
        <v>0.0</v>
      </c>
      <c r="M1199" s="50">
        <v>0.0</v>
      </c>
      <c r="N1199" s="50">
        <v>0.0</v>
      </c>
      <c r="O1199" s="50">
        <v>7.425000000000001</v>
      </c>
      <c r="P1199" s="50">
        <v>0.0</v>
      </c>
      <c r="Q1199" s="50">
        <v>0.0</v>
      </c>
      <c r="R1199" s="50">
        <v>0.0</v>
      </c>
      <c r="S1199" s="50">
        <v>0.0</v>
      </c>
      <c r="T1199" s="50">
        <v>2.8125</v>
      </c>
      <c r="U1199" s="50">
        <v>0.0</v>
      </c>
      <c r="V1199" s="50">
        <v>0.0</v>
      </c>
      <c r="W1199" s="50">
        <v>4.95</v>
      </c>
      <c r="X1199" s="50">
        <v>2.8125</v>
      </c>
      <c r="Y1199" s="50">
        <v>18.0</v>
      </c>
    </row>
    <row r="1200">
      <c r="A1200" s="26">
        <v>1194.0</v>
      </c>
      <c r="B1200" s="65">
        <v>0.9087243062976611</v>
      </c>
      <c r="C1200" s="65">
        <v>0.1868721222272663</v>
      </c>
      <c r="D1200" s="65">
        <v>-0.8339101299403153</v>
      </c>
      <c r="E1200" s="65">
        <v>1.0895729065150037</v>
      </c>
      <c r="F1200" s="65">
        <v>1.3405152349354108</v>
      </c>
      <c r="G1200" s="50">
        <v>0.0</v>
      </c>
      <c r="H1200" s="50">
        <v>0.0</v>
      </c>
      <c r="I1200" s="50">
        <v>0.0</v>
      </c>
      <c r="J1200" s="50">
        <v>0.0</v>
      </c>
      <c r="K1200" s="50">
        <v>0.0</v>
      </c>
      <c r="L1200" s="50">
        <v>0.0</v>
      </c>
      <c r="M1200" s="50">
        <v>0.0</v>
      </c>
      <c r="N1200" s="50">
        <v>0.0</v>
      </c>
      <c r="O1200" s="50">
        <v>0.0</v>
      </c>
      <c r="P1200" s="50">
        <v>0.0</v>
      </c>
      <c r="Q1200" s="50">
        <v>0.0</v>
      </c>
      <c r="R1200" s="50">
        <v>0.0</v>
      </c>
      <c r="S1200" s="50">
        <v>0.0</v>
      </c>
      <c r="T1200" s="50">
        <v>2.8125</v>
      </c>
      <c r="U1200" s="50">
        <v>0.0</v>
      </c>
      <c r="V1200" s="50">
        <v>0.0</v>
      </c>
      <c r="W1200" s="50">
        <v>0.0</v>
      </c>
      <c r="X1200" s="50">
        <v>2.8125</v>
      </c>
      <c r="Y1200" s="50">
        <v>5.625</v>
      </c>
    </row>
    <row r="1201">
      <c r="A1201" s="26">
        <v>1195.0</v>
      </c>
      <c r="B1201" s="65">
        <v>0.26532127493410035</v>
      </c>
      <c r="C1201" s="65">
        <v>0.2646917827876396</v>
      </c>
      <c r="D1201" s="65">
        <v>-0.9730864571268802</v>
      </c>
      <c r="E1201" s="65">
        <v>-1.914563620222914</v>
      </c>
      <c r="F1201" s="65">
        <v>7.4744182996580415</v>
      </c>
      <c r="G1201" s="50">
        <v>0.0</v>
      </c>
      <c r="H1201" s="50">
        <v>0.0</v>
      </c>
      <c r="I1201" s="50">
        <v>0.0</v>
      </c>
      <c r="J1201" s="50">
        <v>0.0</v>
      </c>
      <c r="K1201" s="50">
        <v>0.0</v>
      </c>
      <c r="L1201" s="50">
        <v>0.0</v>
      </c>
      <c r="M1201" s="50">
        <v>0.0</v>
      </c>
      <c r="N1201" s="50">
        <v>0.0</v>
      </c>
      <c r="O1201" s="50">
        <v>0.0</v>
      </c>
      <c r="P1201" s="50">
        <v>0.0</v>
      </c>
      <c r="Q1201" s="50">
        <v>0.0</v>
      </c>
      <c r="R1201" s="50">
        <v>0.0</v>
      </c>
      <c r="S1201" s="50">
        <v>0.0</v>
      </c>
      <c r="T1201" s="50">
        <v>2.8125</v>
      </c>
      <c r="U1201" s="50">
        <v>0.0</v>
      </c>
      <c r="V1201" s="50">
        <v>5.625</v>
      </c>
      <c r="W1201" s="50">
        <v>0.0</v>
      </c>
      <c r="X1201" s="50">
        <v>2.8125</v>
      </c>
      <c r="Y1201" s="50">
        <v>11.25</v>
      </c>
    </row>
    <row r="1202">
      <c r="A1202" s="26">
        <v>1196.0</v>
      </c>
      <c r="B1202" s="65">
        <v>-0.5908657158191709</v>
      </c>
      <c r="C1202" s="65">
        <v>-1.5740406114566516</v>
      </c>
      <c r="D1202" s="65">
        <v>0.8269428569847916</v>
      </c>
      <c r="E1202" s="65">
        <v>-1.7133621038203117</v>
      </c>
      <c r="F1202" s="65">
        <v>4.656255868322044</v>
      </c>
      <c r="G1202" s="50">
        <v>0.0</v>
      </c>
      <c r="H1202" s="50">
        <v>0.0</v>
      </c>
      <c r="I1202" s="50">
        <v>0.0</v>
      </c>
      <c r="J1202" s="50">
        <v>0.0</v>
      </c>
      <c r="K1202" s="50">
        <v>0.0</v>
      </c>
      <c r="L1202" s="50">
        <v>0.0</v>
      </c>
      <c r="M1202" s="50">
        <v>0.0</v>
      </c>
      <c r="N1202" s="50">
        <v>0.0</v>
      </c>
      <c r="O1202" s="50">
        <v>0.0</v>
      </c>
      <c r="P1202" s="50">
        <v>0.0</v>
      </c>
      <c r="Q1202" s="50">
        <v>0.0</v>
      </c>
      <c r="R1202" s="50">
        <v>0.0</v>
      </c>
      <c r="S1202" s="50">
        <v>0.0</v>
      </c>
      <c r="T1202" s="50">
        <v>2.8125</v>
      </c>
      <c r="U1202" s="50">
        <v>9.9</v>
      </c>
      <c r="V1202" s="50">
        <v>5.625</v>
      </c>
      <c r="W1202" s="50">
        <v>4.95</v>
      </c>
      <c r="X1202" s="50">
        <v>2.8125</v>
      </c>
      <c r="Y1202" s="50">
        <v>26.099999999999998</v>
      </c>
    </row>
    <row r="1203">
      <c r="A1203" s="26">
        <v>1197.0</v>
      </c>
      <c r="B1203" s="65">
        <v>0.31026637487120073</v>
      </c>
      <c r="C1203" s="65">
        <v>-1.6398129150518015</v>
      </c>
      <c r="D1203" s="65">
        <v>-0.2032711056221693</v>
      </c>
      <c r="E1203" s="65">
        <v>1.216873296667792</v>
      </c>
      <c r="F1203" s="65">
        <v>2.451003594535592</v>
      </c>
      <c r="G1203" s="50">
        <v>0.0</v>
      </c>
      <c r="H1203" s="50">
        <v>0.0</v>
      </c>
      <c r="I1203" s="50">
        <v>0.0</v>
      </c>
      <c r="J1203" s="50">
        <v>0.0</v>
      </c>
      <c r="K1203" s="50">
        <v>0.0</v>
      </c>
      <c r="L1203" s="50">
        <v>0.0</v>
      </c>
      <c r="M1203" s="50">
        <v>0.0</v>
      </c>
      <c r="N1203" s="50">
        <v>0.0</v>
      </c>
      <c r="O1203" s="50">
        <v>0.0</v>
      </c>
      <c r="P1203" s="50">
        <v>0.0</v>
      </c>
      <c r="Q1203" s="50">
        <v>0.0</v>
      </c>
      <c r="R1203" s="50">
        <v>0.0</v>
      </c>
      <c r="S1203" s="50">
        <v>0.0</v>
      </c>
      <c r="T1203" s="50">
        <v>2.8125</v>
      </c>
      <c r="U1203" s="50">
        <v>0.0</v>
      </c>
      <c r="V1203" s="50">
        <v>0.0</v>
      </c>
      <c r="W1203" s="50">
        <v>0.0</v>
      </c>
      <c r="X1203" s="50">
        <v>2.8125</v>
      </c>
      <c r="Y1203" s="50">
        <v>5.625</v>
      </c>
    </row>
    <row r="1204">
      <c r="A1204" s="26">
        <v>1198.0</v>
      </c>
      <c r="B1204" s="65">
        <v>-1.0228686957868542</v>
      </c>
      <c r="C1204" s="65">
        <v>-0.7067016960986144</v>
      </c>
      <c r="D1204" s="65">
        <v>0.987800169446607</v>
      </c>
      <c r="E1204" s="65">
        <v>-1.013589205951472</v>
      </c>
      <c r="F1204" s="65">
        <v>13.33176431342518</v>
      </c>
      <c r="G1204" s="50">
        <v>0.0</v>
      </c>
      <c r="H1204" s="50">
        <v>0.0</v>
      </c>
      <c r="I1204" s="50">
        <v>0.0</v>
      </c>
      <c r="J1204" s="50">
        <v>0.0</v>
      </c>
      <c r="K1204" s="50">
        <v>0.0</v>
      </c>
      <c r="L1204" s="50">
        <v>0.0</v>
      </c>
      <c r="M1204" s="50">
        <v>0.0</v>
      </c>
      <c r="N1204" s="50">
        <v>0.0</v>
      </c>
      <c r="O1204" s="50">
        <v>0.0</v>
      </c>
      <c r="P1204" s="50">
        <v>0.0</v>
      </c>
      <c r="Q1204" s="50">
        <v>0.0</v>
      </c>
      <c r="R1204" s="50">
        <v>0.0</v>
      </c>
      <c r="S1204" s="50">
        <v>0.0</v>
      </c>
      <c r="T1204" s="50">
        <v>2.8125</v>
      </c>
      <c r="U1204" s="50">
        <v>0.0</v>
      </c>
      <c r="V1204" s="50">
        <v>0.0</v>
      </c>
      <c r="W1204" s="50">
        <v>4.95</v>
      </c>
      <c r="X1204" s="50">
        <v>2.8125</v>
      </c>
      <c r="Y1204" s="50">
        <v>10.575</v>
      </c>
    </row>
    <row r="1205">
      <c r="A1205" s="26">
        <v>1199.0</v>
      </c>
      <c r="B1205" s="65">
        <v>0.5713187285919363</v>
      </c>
      <c r="C1205" s="65">
        <v>1.2662908340777064</v>
      </c>
      <c r="D1205" s="65">
        <v>-1.4648424202864232</v>
      </c>
      <c r="E1205" s="65">
        <v>-1.4501233352550298</v>
      </c>
      <c r="F1205" s="65">
        <v>7.963693861128889</v>
      </c>
      <c r="G1205" s="50">
        <v>0.0</v>
      </c>
      <c r="H1205" s="50">
        <v>0.0</v>
      </c>
      <c r="I1205" s="50">
        <v>0.0</v>
      </c>
      <c r="J1205" s="50">
        <v>0.0</v>
      </c>
      <c r="K1205" s="50">
        <v>0.0</v>
      </c>
      <c r="L1205" s="50">
        <v>0.0</v>
      </c>
      <c r="M1205" s="50">
        <v>0.0</v>
      </c>
      <c r="N1205" s="50">
        <v>0.0</v>
      </c>
      <c r="O1205" s="50">
        <v>0.0</v>
      </c>
      <c r="P1205" s="50">
        <v>0.0</v>
      </c>
      <c r="Q1205" s="50">
        <v>0.0</v>
      </c>
      <c r="R1205" s="50">
        <v>0.0</v>
      </c>
      <c r="S1205" s="50">
        <v>0.0</v>
      </c>
      <c r="T1205" s="50">
        <v>2.8125</v>
      </c>
      <c r="U1205" s="50">
        <v>0.0</v>
      </c>
      <c r="V1205" s="50">
        <v>5.625</v>
      </c>
      <c r="W1205" s="50">
        <v>0.0</v>
      </c>
      <c r="X1205" s="50">
        <v>2.8125</v>
      </c>
      <c r="Y1205" s="50">
        <v>11.25</v>
      </c>
    </row>
    <row r="1206">
      <c r="A1206" s="26">
        <v>1200.0</v>
      </c>
      <c r="B1206" s="65">
        <v>0.3841141987001848</v>
      </c>
      <c r="C1206" s="65">
        <v>1.5973879845287853</v>
      </c>
      <c r="D1206" s="65">
        <v>0.08647788192059634</v>
      </c>
      <c r="E1206" s="65">
        <v>-1.4592033745940263</v>
      </c>
      <c r="F1206" s="65">
        <v>4.4034920339837775</v>
      </c>
      <c r="G1206" s="50">
        <v>0.0</v>
      </c>
      <c r="H1206" s="50">
        <v>0.0</v>
      </c>
      <c r="I1206" s="50">
        <v>0.0</v>
      </c>
      <c r="J1206" s="50">
        <v>0.0</v>
      </c>
      <c r="K1206" s="50">
        <v>0.0</v>
      </c>
      <c r="L1206" s="50">
        <v>0.0</v>
      </c>
      <c r="M1206" s="50">
        <v>0.0</v>
      </c>
      <c r="N1206" s="50">
        <v>0.0</v>
      </c>
      <c r="O1206" s="50">
        <v>0.0</v>
      </c>
      <c r="P1206" s="50">
        <v>0.0</v>
      </c>
      <c r="Q1206" s="50">
        <v>0.0</v>
      </c>
      <c r="R1206" s="50">
        <v>0.0</v>
      </c>
      <c r="S1206" s="50">
        <v>0.0</v>
      </c>
      <c r="T1206" s="50">
        <v>2.8125</v>
      </c>
      <c r="U1206" s="50">
        <v>9.9</v>
      </c>
      <c r="V1206" s="50">
        <v>5.625</v>
      </c>
      <c r="W1206" s="50">
        <v>0.0</v>
      </c>
      <c r="X1206" s="50">
        <v>2.8125</v>
      </c>
      <c r="Y1206" s="50">
        <v>21.15</v>
      </c>
    </row>
    <row r="1207">
      <c r="A1207" s="26">
        <v>1201.0</v>
      </c>
      <c r="B1207" s="65">
        <v>0.308797153905679</v>
      </c>
      <c r="C1207" s="65">
        <v>-1.6393941614305205</v>
      </c>
      <c r="D1207" s="65">
        <v>0.5312040029569184</v>
      </c>
      <c r="E1207" s="65">
        <v>-1.2615998420933316</v>
      </c>
      <c r="F1207" s="65">
        <v>5.873104172445046</v>
      </c>
      <c r="G1207" s="50">
        <v>0.0</v>
      </c>
      <c r="H1207" s="50">
        <v>0.0</v>
      </c>
      <c r="I1207" s="50">
        <v>0.0</v>
      </c>
      <c r="J1207" s="50">
        <v>0.0</v>
      </c>
      <c r="K1207" s="50">
        <v>0.0</v>
      </c>
      <c r="L1207" s="50">
        <v>0.0</v>
      </c>
      <c r="M1207" s="50">
        <v>0.0</v>
      </c>
      <c r="N1207" s="50">
        <v>0.0</v>
      </c>
      <c r="O1207" s="50">
        <v>0.0</v>
      </c>
      <c r="P1207" s="50">
        <v>0.0</v>
      </c>
      <c r="Q1207" s="50">
        <v>0.0</v>
      </c>
      <c r="R1207" s="50">
        <v>0.0</v>
      </c>
      <c r="S1207" s="50">
        <v>0.0</v>
      </c>
      <c r="T1207" s="50">
        <v>2.8125</v>
      </c>
      <c r="U1207" s="50">
        <v>0.0</v>
      </c>
      <c r="V1207" s="50">
        <v>5.625</v>
      </c>
      <c r="W1207" s="50">
        <v>0.0</v>
      </c>
      <c r="X1207" s="50">
        <v>2.8125</v>
      </c>
      <c r="Y1207" s="50">
        <v>11.25</v>
      </c>
    </row>
    <row r="1208">
      <c r="A1208" s="26">
        <v>1202.0</v>
      </c>
      <c r="B1208" s="65">
        <v>-0.6559037473318043</v>
      </c>
      <c r="C1208" s="65">
        <v>-0.7467262073049364</v>
      </c>
      <c r="D1208" s="65">
        <v>-0.49568565489308813</v>
      </c>
      <c r="E1208" s="65">
        <v>0.3630908668637999</v>
      </c>
      <c r="F1208" s="65">
        <v>1.2902010794655294</v>
      </c>
      <c r="G1208" s="50">
        <v>0.0</v>
      </c>
      <c r="H1208" s="50">
        <v>0.0</v>
      </c>
      <c r="I1208" s="50">
        <v>0.0</v>
      </c>
      <c r="J1208" s="50">
        <v>0.0</v>
      </c>
      <c r="K1208" s="50">
        <v>0.0</v>
      </c>
      <c r="L1208" s="50">
        <v>0.0</v>
      </c>
      <c r="M1208" s="50">
        <v>0.0</v>
      </c>
      <c r="N1208" s="50">
        <v>0.0</v>
      </c>
      <c r="O1208" s="50">
        <v>7.425000000000001</v>
      </c>
      <c r="P1208" s="50">
        <v>0.0</v>
      </c>
      <c r="Q1208" s="50">
        <v>0.0</v>
      </c>
      <c r="R1208" s="50">
        <v>0.0</v>
      </c>
      <c r="S1208" s="50">
        <v>0.0</v>
      </c>
      <c r="T1208" s="50">
        <v>2.8125</v>
      </c>
      <c r="U1208" s="50">
        <v>9.9</v>
      </c>
      <c r="V1208" s="50">
        <v>0.0</v>
      </c>
      <c r="W1208" s="50">
        <v>0.0</v>
      </c>
      <c r="X1208" s="50">
        <v>2.8125</v>
      </c>
      <c r="Y1208" s="50">
        <v>22.950000000000003</v>
      </c>
    </row>
    <row r="1209">
      <c r="A1209" s="26">
        <v>1203.0</v>
      </c>
      <c r="B1209" s="65">
        <v>0.001114454873680818</v>
      </c>
      <c r="C1209" s="65">
        <v>-0.7439814858627316</v>
      </c>
      <c r="D1209" s="65">
        <v>-0.16274070134178767</v>
      </c>
      <c r="E1209" s="65">
        <v>-0.7307888681056935</v>
      </c>
      <c r="F1209" s="65">
        <v>7.54220651858344</v>
      </c>
      <c r="G1209" s="50">
        <v>0.0</v>
      </c>
      <c r="H1209" s="50">
        <v>0.0</v>
      </c>
      <c r="I1209" s="50">
        <v>0.0</v>
      </c>
      <c r="J1209" s="50">
        <v>0.0</v>
      </c>
      <c r="K1209" s="50">
        <v>0.0</v>
      </c>
      <c r="L1209" s="50">
        <v>0.0</v>
      </c>
      <c r="M1209" s="50">
        <v>0.0</v>
      </c>
      <c r="N1209" s="50">
        <v>0.0</v>
      </c>
      <c r="O1209" s="50">
        <v>7.425000000000001</v>
      </c>
      <c r="P1209" s="50">
        <v>0.0</v>
      </c>
      <c r="Q1209" s="50">
        <v>0.0</v>
      </c>
      <c r="R1209" s="50">
        <v>0.0</v>
      </c>
      <c r="S1209" s="50">
        <v>0.0</v>
      </c>
      <c r="T1209" s="50">
        <v>2.8125</v>
      </c>
      <c r="U1209" s="50">
        <v>0.0</v>
      </c>
      <c r="V1209" s="50">
        <v>0.0</v>
      </c>
      <c r="W1209" s="50">
        <v>0.0</v>
      </c>
      <c r="X1209" s="50">
        <v>2.8125</v>
      </c>
      <c r="Y1209" s="50">
        <v>13.05</v>
      </c>
    </row>
    <row r="1210">
      <c r="A1210" s="26">
        <v>1204.0</v>
      </c>
      <c r="B1210" s="65">
        <v>0.7663722649501272</v>
      </c>
      <c r="C1210" s="65">
        <v>-1.1694385682018853</v>
      </c>
      <c r="D1210" s="65">
        <v>-0.7233030636981435</v>
      </c>
      <c r="E1210" s="65">
        <v>0.720892821752071</v>
      </c>
      <c r="F1210" s="65">
        <v>6.0143626880745416</v>
      </c>
      <c r="G1210" s="50">
        <v>0.0</v>
      </c>
      <c r="H1210" s="50">
        <v>0.0</v>
      </c>
      <c r="I1210" s="50">
        <v>0.0</v>
      </c>
      <c r="J1210" s="50">
        <v>0.0</v>
      </c>
      <c r="K1210" s="50">
        <v>0.0</v>
      </c>
      <c r="L1210" s="50">
        <v>0.0</v>
      </c>
      <c r="M1210" s="50">
        <v>0.0</v>
      </c>
      <c r="N1210" s="50">
        <v>0.0</v>
      </c>
      <c r="O1210" s="50">
        <v>0.0</v>
      </c>
      <c r="P1210" s="50">
        <v>0.0</v>
      </c>
      <c r="Q1210" s="50">
        <v>0.0</v>
      </c>
      <c r="R1210" s="50">
        <v>0.0</v>
      </c>
      <c r="S1210" s="50">
        <v>0.0</v>
      </c>
      <c r="T1210" s="50">
        <v>2.8125</v>
      </c>
      <c r="U1210" s="50">
        <v>0.0</v>
      </c>
      <c r="V1210" s="50">
        <v>0.0</v>
      </c>
      <c r="W1210" s="50">
        <v>0.0</v>
      </c>
      <c r="X1210" s="50">
        <v>2.8125</v>
      </c>
      <c r="Y1210" s="50">
        <v>5.625</v>
      </c>
    </row>
    <row r="1211">
      <c r="A1211" s="26">
        <v>1205.0</v>
      </c>
      <c r="B1211" s="65">
        <v>-0.5463589814018724</v>
      </c>
      <c r="C1211" s="65">
        <v>-1.2718780939657275</v>
      </c>
      <c r="D1211" s="65">
        <v>0.165644308860905</v>
      </c>
      <c r="E1211" s="65">
        <v>-2.76350807378461</v>
      </c>
      <c r="F1211" s="65">
        <v>1.196344520550217</v>
      </c>
      <c r="G1211" s="50">
        <v>0.0</v>
      </c>
      <c r="H1211" s="50">
        <v>0.0</v>
      </c>
      <c r="I1211" s="50">
        <v>0.0</v>
      </c>
      <c r="J1211" s="50">
        <v>0.0</v>
      </c>
      <c r="K1211" s="50">
        <v>0.0</v>
      </c>
      <c r="L1211" s="50">
        <v>0.0</v>
      </c>
      <c r="M1211" s="50">
        <v>0.0</v>
      </c>
      <c r="N1211" s="50">
        <v>0.0</v>
      </c>
      <c r="O1211" s="50">
        <v>0.0</v>
      </c>
      <c r="P1211" s="50">
        <v>0.0</v>
      </c>
      <c r="Q1211" s="50">
        <v>0.0</v>
      </c>
      <c r="R1211" s="50">
        <v>9.9</v>
      </c>
      <c r="S1211" s="50">
        <v>0.0</v>
      </c>
      <c r="T1211" s="50">
        <v>2.8125</v>
      </c>
      <c r="U1211" s="50">
        <v>9.9</v>
      </c>
      <c r="V1211" s="50">
        <v>5.625</v>
      </c>
      <c r="W1211" s="50">
        <v>4.95</v>
      </c>
      <c r="X1211" s="50">
        <v>2.8125</v>
      </c>
      <c r="Y1211" s="50">
        <v>36.0</v>
      </c>
    </row>
    <row r="1212">
      <c r="A1212" s="26">
        <v>1206.0</v>
      </c>
      <c r="B1212" s="65">
        <v>-0.45853703738008955</v>
      </c>
      <c r="C1212" s="65">
        <v>0.22717982702304515</v>
      </c>
      <c r="D1212" s="65">
        <v>-2.5701672985995545</v>
      </c>
      <c r="E1212" s="65">
        <v>2.2266821003332167</v>
      </c>
      <c r="F1212" s="65">
        <v>4.607004721692967</v>
      </c>
      <c r="G1212" s="50">
        <v>0.0</v>
      </c>
      <c r="H1212" s="50">
        <v>0.0</v>
      </c>
      <c r="I1212" s="50">
        <v>0.0</v>
      </c>
      <c r="J1212" s="50">
        <v>0.0</v>
      </c>
      <c r="K1212" s="50">
        <v>0.0</v>
      </c>
      <c r="L1212" s="50">
        <v>0.0</v>
      </c>
      <c r="M1212" s="50">
        <v>0.0</v>
      </c>
      <c r="N1212" s="50">
        <v>0.0</v>
      </c>
      <c r="O1212" s="50">
        <v>0.0</v>
      </c>
      <c r="P1212" s="50">
        <v>0.0</v>
      </c>
      <c r="Q1212" s="50">
        <v>0.0</v>
      </c>
      <c r="R1212" s="50">
        <v>0.0</v>
      </c>
      <c r="S1212" s="50">
        <v>0.0</v>
      </c>
      <c r="T1212" s="50">
        <v>2.8125</v>
      </c>
      <c r="U1212" s="50">
        <v>0.0</v>
      </c>
      <c r="V1212" s="50">
        <v>0.0</v>
      </c>
      <c r="W1212" s="50">
        <v>0.0</v>
      </c>
      <c r="X1212" s="50">
        <v>2.8125</v>
      </c>
      <c r="Y1212" s="50">
        <v>5.625</v>
      </c>
    </row>
    <row r="1213">
      <c r="A1213" s="26">
        <v>1207.0</v>
      </c>
      <c r="B1213" s="65">
        <v>-0.8128781871761086</v>
      </c>
      <c r="C1213" s="65">
        <v>0.5369214130944732</v>
      </c>
      <c r="D1213" s="65">
        <v>0.5154653629966084</v>
      </c>
      <c r="E1213" s="65">
        <v>1.0920495733838362</v>
      </c>
      <c r="F1213" s="65">
        <v>7.814869180076858</v>
      </c>
      <c r="G1213" s="50">
        <v>0.0</v>
      </c>
      <c r="H1213" s="50">
        <v>0.0</v>
      </c>
      <c r="I1213" s="50">
        <v>0.0</v>
      </c>
      <c r="J1213" s="50">
        <v>0.0</v>
      </c>
      <c r="K1213" s="50">
        <v>0.0</v>
      </c>
      <c r="L1213" s="50">
        <v>0.0</v>
      </c>
      <c r="M1213" s="50">
        <v>0.0</v>
      </c>
      <c r="N1213" s="50">
        <v>0.0</v>
      </c>
      <c r="O1213" s="50">
        <v>0.0</v>
      </c>
      <c r="P1213" s="50">
        <v>0.0</v>
      </c>
      <c r="Q1213" s="50">
        <v>0.0</v>
      </c>
      <c r="R1213" s="50">
        <v>0.0</v>
      </c>
      <c r="S1213" s="50">
        <v>0.0</v>
      </c>
      <c r="T1213" s="50">
        <v>2.8125</v>
      </c>
      <c r="U1213" s="50">
        <v>0.0</v>
      </c>
      <c r="V1213" s="50">
        <v>0.0</v>
      </c>
      <c r="W1213" s="50">
        <v>0.0</v>
      </c>
      <c r="X1213" s="50">
        <v>2.8125</v>
      </c>
      <c r="Y1213" s="50">
        <v>5.625</v>
      </c>
    </row>
    <row r="1214">
      <c r="A1214" s="26">
        <v>1208.0</v>
      </c>
      <c r="B1214" s="65">
        <v>-1.2011834549297637</v>
      </c>
      <c r="C1214" s="65">
        <v>0.3396603329086556</v>
      </c>
      <c r="D1214" s="65">
        <v>0.19859331945484884</v>
      </c>
      <c r="E1214" s="65">
        <v>0.943247815368814</v>
      </c>
      <c r="F1214" s="65">
        <v>5.984465808192698</v>
      </c>
      <c r="G1214" s="50">
        <v>0.0</v>
      </c>
      <c r="H1214" s="50">
        <v>0.0</v>
      </c>
      <c r="I1214" s="50">
        <v>0.0</v>
      </c>
      <c r="J1214" s="50">
        <v>0.0</v>
      </c>
      <c r="K1214" s="50">
        <v>0.0</v>
      </c>
      <c r="L1214" s="50">
        <v>0.0</v>
      </c>
      <c r="M1214" s="50">
        <v>0.0</v>
      </c>
      <c r="N1214" s="50">
        <v>0.0</v>
      </c>
      <c r="O1214" s="50">
        <v>7.425000000000001</v>
      </c>
      <c r="P1214" s="50">
        <v>0.0</v>
      </c>
      <c r="Q1214" s="50">
        <v>0.0</v>
      </c>
      <c r="R1214" s="50">
        <v>0.0</v>
      </c>
      <c r="S1214" s="50">
        <v>0.0</v>
      </c>
      <c r="T1214" s="50">
        <v>2.8125</v>
      </c>
      <c r="U1214" s="50">
        <v>0.0</v>
      </c>
      <c r="V1214" s="50">
        <v>0.0</v>
      </c>
      <c r="W1214" s="50">
        <v>0.0</v>
      </c>
      <c r="X1214" s="50">
        <v>2.8125</v>
      </c>
      <c r="Y1214" s="50">
        <v>13.05</v>
      </c>
    </row>
    <row r="1215">
      <c r="A1215" s="26">
        <v>1209.0</v>
      </c>
      <c r="B1215" s="65">
        <v>-0.41268244186786746</v>
      </c>
      <c r="C1215" s="65">
        <v>1.1992926519498508</v>
      </c>
      <c r="D1215" s="65">
        <v>-0.9909159281531261</v>
      </c>
      <c r="E1215" s="65">
        <v>-0.9162665675131576</v>
      </c>
      <c r="F1215" s="65">
        <v>4.157210493297939</v>
      </c>
      <c r="G1215" s="50">
        <v>0.0</v>
      </c>
      <c r="H1215" s="50">
        <v>0.0</v>
      </c>
      <c r="I1215" s="50">
        <v>0.0</v>
      </c>
      <c r="J1215" s="50">
        <v>0.0</v>
      </c>
      <c r="K1215" s="50">
        <v>0.0</v>
      </c>
      <c r="L1215" s="50">
        <v>0.0</v>
      </c>
      <c r="M1215" s="50">
        <v>0.0</v>
      </c>
      <c r="N1215" s="50">
        <v>0.0</v>
      </c>
      <c r="O1215" s="50">
        <v>0.0</v>
      </c>
      <c r="P1215" s="50">
        <v>2.475</v>
      </c>
      <c r="Q1215" s="50">
        <v>0.0</v>
      </c>
      <c r="R1215" s="50">
        <v>9.9</v>
      </c>
      <c r="S1215" s="50">
        <v>0.0</v>
      </c>
      <c r="T1215" s="50">
        <v>2.8125</v>
      </c>
      <c r="U1215" s="50">
        <v>0.0</v>
      </c>
      <c r="V1215" s="50">
        <v>0.0</v>
      </c>
      <c r="W1215" s="50">
        <v>4.95</v>
      </c>
      <c r="X1215" s="50">
        <v>2.8125</v>
      </c>
      <c r="Y1215" s="50">
        <v>22.95</v>
      </c>
    </row>
    <row r="1216">
      <c r="A1216" s="26">
        <v>1210.0</v>
      </c>
      <c r="B1216" s="65">
        <v>1.5591726996401765</v>
      </c>
      <c r="C1216" s="65">
        <v>-0.8065100553420994</v>
      </c>
      <c r="D1216" s="65">
        <v>-0.8240661330072807</v>
      </c>
      <c r="E1216" s="65">
        <v>-0.19643927687313148</v>
      </c>
      <c r="F1216" s="65">
        <v>4.0285181324326205</v>
      </c>
      <c r="G1216" s="50">
        <v>0.0</v>
      </c>
      <c r="H1216" s="50">
        <v>0.0</v>
      </c>
      <c r="I1216" s="50">
        <v>0.0</v>
      </c>
      <c r="J1216" s="50">
        <v>0.0</v>
      </c>
      <c r="K1216" s="50">
        <v>0.0</v>
      </c>
      <c r="L1216" s="50">
        <v>0.0</v>
      </c>
      <c r="M1216" s="50">
        <v>0.0</v>
      </c>
      <c r="N1216" s="50">
        <v>0.0</v>
      </c>
      <c r="O1216" s="50">
        <v>0.0</v>
      </c>
      <c r="P1216" s="50">
        <v>0.0</v>
      </c>
      <c r="Q1216" s="50">
        <v>0.0</v>
      </c>
      <c r="R1216" s="50">
        <v>0.0</v>
      </c>
      <c r="S1216" s="50">
        <v>0.0</v>
      </c>
      <c r="T1216" s="50">
        <v>2.8125</v>
      </c>
      <c r="U1216" s="50">
        <v>0.0</v>
      </c>
      <c r="V1216" s="50">
        <v>0.0</v>
      </c>
      <c r="W1216" s="50">
        <v>0.0</v>
      </c>
      <c r="X1216" s="50">
        <v>2.8125</v>
      </c>
      <c r="Y1216" s="50">
        <v>5.625</v>
      </c>
    </row>
    <row r="1217">
      <c r="A1217" s="26">
        <v>1211.0</v>
      </c>
      <c r="B1217" s="65">
        <v>-0.49820500318028604</v>
      </c>
      <c r="C1217" s="65">
        <v>1.3736970873119028</v>
      </c>
      <c r="D1217" s="65">
        <v>-2.171018404239366</v>
      </c>
      <c r="E1217" s="65">
        <v>0.9046070274603859</v>
      </c>
      <c r="F1217" s="65">
        <v>0.5628933551168845</v>
      </c>
      <c r="G1217" s="50">
        <v>0.0</v>
      </c>
      <c r="H1217" s="50">
        <v>0.0</v>
      </c>
      <c r="I1217" s="50">
        <v>0.0</v>
      </c>
      <c r="J1217" s="50">
        <v>0.0</v>
      </c>
      <c r="K1217" s="50">
        <v>0.0</v>
      </c>
      <c r="L1217" s="50">
        <v>0.0</v>
      </c>
      <c r="M1217" s="50">
        <v>0.0</v>
      </c>
      <c r="N1217" s="50">
        <v>0.0</v>
      </c>
      <c r="O1217" s="50">
        <v>0.0</v>
      </c>
      <c r="P1217" s="50">
        <v>0.0</v>
      </c>
      <c r="Q1217" s="50">
        <v>13.5</v>
      </c>
      <c r="R1217" s="50">
        <v>0.0</v>
      </c>
      <c r="S1217" s="50">
        <v>0.0</v>
      </c>
      <c r="T1217" s="50">
        <v>2.8125</v>
      </c>
      <c r="U1217" s="50">
        <v>0.0</v>
      </c>
      <c r="V1217" s="50">
        <v>0.0</v>
      </c>
      <c r="W1217" s="50">
        <v>0.0</v>
      </c>
      <c r="X1217" s="50">
        <v>2.8125</v>
      </c>
      <c r="Y1217" s="50">
        <v>19.125</v>
      </c>
    </row>
    <row r="1218">
      <c r="A1218" s="26">
        <v>1212.0</v>
      </c>
      <c r="B1218" s="65">
        <v>0.1638477268644694</v>
      </c>
      <c r="C1218" s="65">
        <v>-0.11364913243957844</v>
      </c>
      <c r="D1218" s="65">
        <v>1.222039767974776</v>
      </c>
      <c r="E1218" s="65">
        <v>-0.9110253556886233</v>
      </c>
      <c r="F1218" s="65">
        <v>2.8028474441571816</v>
      </c>
      <c r="G1218" s="50">
        <v>0.0</v>
      </c>
      <c r="H1218" s="50">
        <v>0.0</v>
      </c>
      <c r="I1218" s="50">
        <v>0.0</v>
      </c>
      <c r="J1218" s="50">
        <v>0.0</v>
      </c>
      <c r="K1218" s="50">
        <v>0.0</v>
      </c>
      <c r="L1218" s="50">
        <v>0.0</v>
      </c>
      <c r="M1218" s="50">
        <v>0.0</v>
      </c>
      <c r="N1218" s="50">
        <v>0.0</v>
      </c>
      <c r="O1218" s="50">
        <v>0.0</v>
      </c>
      <c r="P1218" s="50">
        <v>0.0</v>
      </c>
      <c r="Q1218" s="50">
        <v>0.0</v>
      </c>
      <c r="R1218" s="50">
        <v>0.0</v>
      </c>
      <c r="S1218" s="50">
        <v>0.0</v>
      </c>
      <c r="T1218" s="50">
        <v>2.8125</v>
      </c>
      <c r="U1218" s="50">
        <v>0.0</v>
      </c>
      <c r="V1218" s="50">
        <v>0.0</v>
      </c>
      <c r="W1218" s="50">
        <v>0.0</v>
      </c>
      <c r="X1218" s="50">
        <v>2.8125</v>
      </c>
      <c r="Y1218" s="50">
        <v>5.625</v>
      </c>
    </row>
    <row r="1219">
      <c r="A1219" s="26">
        <v>1213.0</v>
      </c>
      <c r="B1219" s="65">
        <v>-2.021925039226759</v>
      </c>
      <c r="C1219" s="65">
        <v>0.40966573677546997</v>
      </c>
      <c r="D1219" s="65">
        <v>-0.1971672514394448</v>
      </c>
      <c r="E1219" s="65">
        <v>0.963955961881602</v>
      </c>
      <c r="F1219" s="65">
        <v>3.6909233154680425</v>
      </c>
      <c r="G1219" s="50">
        <v>0.0</v>
      </c>
      <c r="H1219" s="50">
        <v>0.0</v>
      </c>
      <c r="I1219" s="50">
        <v>0.0</v>
      </c>
      <c r="J1219" s="50">
        <v>0.0</v>
      </c>
      <c r="K1219" s="50">
        <v>0.0</v>
      </c>
      <c r="L1219" s="50">
        <v>0.0</v>
      </c>
      <c r="M1219" s="50">
        <v>0.0</v>
      </c>
      <c r="N1219" s="50">
        <v>0.0</v>
      </c>
      <c r="O1219" s="50">
        <v>7.425000000000001</v>
      </c>
      <c r="P1219" s="50">
        <v>0.0</v>
      </c>
      <c r="Q1219" s="50">
        <v>0.0</v>
      </c>
      <c r="R1219" s="50">
        <v>9.9</v>
      </c>
      <c r="S1219" s="50">
        <v>0.0</v>
      </c>
      <c r="T1219" s="50">
        <v>2.8125</v>
      </c>
      <c r="U1219" s="50">
        <v>0.0</v>
      </c>
      <c r="V1219" s="50">
        <v>5.625</v>
      </c>
      <c r="W1219" s="50">
        <v>0.0</v>
      </c>
      <c r="X1219" s="50">
        <v>2.8125</v>
      </c>
      <c r="Y1219" s="50">
        <v>28.575000000000003</v>
      </c>
    </row>
    <row r="1220">
      <c r="A1220" s="26">
        <v>1214.0</v>
      </c>
      <c r="B1220" s="65">
        <v>-0.5204104707944205</v>
      </c>
      <c r="C1220" s="65">
        <v>0.26239242667339807</v>
      </c>
      <c r="D1220" s="65">
        <v>-0.0642836421160895</v>
      </c>
      <c r="E1220" s="65">
        <v>1.116793870442398</v>
      </c>
      <c r="F1220" s="65">
        <v>3.275976078475749</v>
      </c>
      <c r="G1220" s="50">
        <v>0.0</v>
      </c>
      <c r="H1220" s="50">
        <v>0.0</v>
      </c>
      <c r="I1220" s="50">
        <v>0.0</v>
      </c>
      <c r="J1220" s="50">
        <v>0.0</v>
      </c>
      <c r="K1220" s="50">
        <v>0.0</v>
      </c>
      <c r="L1220" s="50">
        <v>0.0</v>
      </c>
      <c r="M1220" s="50">
        <v>0.0</v>
      </c>
      <c r="N1220" s="50">
        <v>0.0</v>
      </c>
      <c r="O1220" s="50">
        <v>0.0</v>
      </c>
      <c r="P1220" s="50">
        <v>0.0</v>
      </c>
      <c r="Q1220" s="50">
        <v>0.0</v>
      </c>
      <c r="R1220" s="50">
        <v>0.0</v>
      </c>
      <c r="S1220" s="50">
        <v>0.0</v>
      </c>
      <c r="T1220" s="50">
        <v>2.8125</v>
      </c>
      <c r="U1220" s="50">
        <v>0.0</v>
      </c>
      <c r="V1220" s="50">
        <v>5.625</v>
      </c>
      <c r="W1220" s="50">
        <v>0.0</v>
      </c>
      <c r="X1220" s="50">
        <v>2.8125</v>
      </c>
      <c r="Y1220" s="50">
        <v>11.25</v>
      </c>
    </row>
    <row r="1221">
      <c r="A1221" s="26">
        <v>1215.0</v>
      </c>
      <c r="B1221" s="65">
        <v>0.3454022296386171</v>
      </c>
      <c r="C1221" s="65">
        <v>-0.8368331465074506</v>
      </c>
      <c r="D1221" s="65">
        <v>1.1584756491677737</v>
      </c>
      <c r="E1221" s="65">
        <v>-0.49064038958416895</v>
      </c>
      <c r="F1221" s="65">
        <v>1.993770166069594</v>
      </c>
      <c r="G1221" s="50">
        <v>0.0</v>
      </c>
      <c r="H1221" s="50">
        <v>0.0</v>
      </c>
      <c r="I1221" s="50">
        <v>0.0</v>
      </c>
      <c r="J1221" s="50">
        <v>0.0</v>
      </c>
      <c r="K1221" s="50">
        <v>0.0</v>
      </c>
      <c r="L1221" s="50">
        <v>0.0</v>
      </c>
      <c r="M1221" s="50">
        <v>0.0</v>
      </c>
      <c r="N1221" s="50">
        <v>0.0</v>
      </c>
      <c r="O1221" s="50">
        <v>7.425000000000001</v>
      </c>
      <c r="P1221" s="50">
        <v>0.0</v>
      </c>
      <c r="Q1221" s="50">
        <v>0.0</v>
      </c>
      <c r="R1221" s="50">
        <v>0.0</v>
      </c>
      <c r="S1221" s="50">
        <v>0.0</v>
      </c>
      <c r="T1221" s="50">
        <v>2.8125</v>
      </c>
      <c r="U1221" s="50">
        <v>0.0</v>
      </c>
      <c r="V1221" s="50">
        <v>0.0</v>
      </c>
      <c r="W1221" s="50">
        <v>0.0</v>
      </c>
      <c r="X1221" s="50">
        <v>2.8125</v>
      </c>
      <c r="Y1221" s="50">
        <v>13.05</v>
      </c>
    </row>
    <row r="1222">
      <c r="A1222" s="26">
        <v>1216.0</v>
      </c>
      <c r="B1222" s="65">
        <v>2.0581900781884728</v>
      </c>
      <c r="C1222" s="65">
        <v>1.1803795816443883</v>
      </c>
      <c r="D1222" s="65">
        <v>-0.23723778964791858</v>
      </c>
      <c r="E1222" s="65">
        <v>1.8567067971998241</v>
      </c>
      <c r="F1222" s="65">
        <v>4.161109493984593</v>
      </c>
      <c r="G1222" s="50">
        <v>0.0</v>
      </c>
      <c r="H1222" s="50">
        <v>0.0</v>
      </c>
      <c r="I1222" s="50">
        <v>0.0</v>
      </c>
      <c r="J1222" s="50">
        <v>0.0</v>
      </c>
      <c r="K1222" s="50">
        <v>0.0</v>
      </c>
      <c r="L1222" s="50">
        <v>0.0</v>
      </c>
      <c r="M1222" s="50">
        <v>0.0</v>
      </c>
      <c r="N1222" s="50">
        <v>0.0</v>
      </c>
      <c r="O1222" s="50">
        <v>0.0</v>
      </c>
      <c r="P1222" s="50">
        <v>0.0</v>
      </c>
      <c r="Q1222" s="50">
        <v>0.0</v>
      </c>
      <c r="R1222" s="50">
        <v>0.0</v>
      </c>
      <c r="S1222" s="50">
        <v>0.0</v>
      </c>
      <c r="T1222" s="50">
        <v>2.8125</v>
      </c>
      <c r="U1222" s="50">
        <v>0.0</v>
      </c>
      <c r="V1222" s="50">
        <v>0.0</v>
      </c>
      <c r="W1222" s="50">
        <v>0.0</v>
      </c>
      <c r="X1222" s="50">
        <v>2.8125</v>
      </c>
      <c r="Y1222" s="50">
        <v>5.625</v>
      </c>
    </row>
    <row r="1223">
      <c r="A1223" s="26">
        <v>1217.0</v>
      </c>
      <c r="B1223" s="65">
        <v>0.16519873308654293</v>
      </c>
      <c r="C1223" s="65">
        <v>0.17618228875180322</v>
      </c>
      <c r="D1223" s="65">
        <v>-1.1014193227688391</v>
      </c>
      <c r="E1223" s="65">
        <v>1.0605445952417984</v>
      </c>
      <c r="F1223" s="65">
        <v>7.6233610294683</v>
      </c>
      <c r="G1223" s="50">
        <v>0.0</v>
      </c>
      <c r="H1223" s="50">
        <v>0.0</v>
      </c>
      <c r="I1223" s="50">
        <v>0.0</v>
      </c>
      <c r="J1223" s="50">
        <v>0.0</v>
      </c>
      <c r="K1223" s="50">
        <v>0.0</v>
      </c>
      <c r="L1223" s="50">
        <v>0.0</v>
      </c>
      <c r="M1223" s="50">
        <v>0.0</v>
      </c>
      <c r="N1223" s="50">
        <v>0.0</v>
      </c>
      <c r="O1223" s="50">
        <v>0.0</v>
      </c>
      <c r="P1223" s="50">
        <v>0.0</v>
      </c>
      <c r="Q1223" s="50">
        <v>0.0</v>
      </c>
      <c r="R1223" s="50">
        <v>0.0</v>
      </c>
      <c r="S1223" s="50">
        <v>0.0</v>
      </c>
      <c r="T1223" s="50">
        <v>2.8125</v>
      </c>
      <c r="U1223" s="50">
        <v>0.0</v>
      </c>
      <c r="V1223" s="50">
        <v>0.0</v>
      </c>
      <c r="W1223" s="50">
        <v>0.0</v>
      </c>
      <c r="X1223" s="50">
        <v>2.8125</v>
      </c>
      <c r="Y1223" s="50">
        <v>5.625</v>
      </c>
    </row>
    <row r="1224">
      <c r="A1224" s="26">
        <v>1218.0</v>
      </c>
      <c r="B1224" s="65">
        <v>-1.2008784480918515</v>
      </c>
      <c r="C1224" s="65">
        <v>-0.04900686918994498</v>
      </c>
      <c r="D1224" s="65">
        <v>0.7988970528541579</v>
      </c>
      <c r="E1224" s="65">
        <v>1.4713132593270037</v>
      </c>
      <c r="F1224" s="65">
        <v>1.5438463453971463</v>
      </c>
      <c r="G1224" s="50">
        <v>0.0</v>
      </c>
      <c r="H1224" s="50">
        <v>0.0</v>
      </c>
      <c r="I1224" s="50">
        <v>0.0</v>
      </c>
      <c r="J1224" s="50">
        <v>0.0</v>
      </c>
      <c r="K1224" s="50">
        <v>0.0</v>
      </c>
      <c r="L1224" s="50">
        <v>0.0</v>
      </c>
      <c r="M1224" s="50">
        <v>0.0</v>
      </c>
      <c r="N1224" s="50">
        <v>0.0</v>
      </c>
      <c r="O1224" s="50">
        <v>0.0</v>
      </c>
      <c r="P1224" s="50">
        <v>0.0</v>
      </c>
      <c r="Q1224" s="50">
        <v>0.0</v>
      </c>
      <c r="R1224" s="50">
        <v>0.0</v>
      </c>
      <c r="S1224" s="50">
        <v>0.0</v>
      </c>
      <c r="T1224" s="50">
        <v>2.8125</v>
      </c>
      <c r="U1224" s="50">
        <v>0.0</v>
      </c>
      <c r="V1224" s="50">
        <v>5.625</v>
      </c>
      <c r="W1224" s="50">
        <v>4.95</v>
      </c>
      <c r="X1224" s="50">
        <v>2.8125</v>
      </c>
      <c r="Y1224" s="50">
        <v>16.2</v>
      </c>
    </row>
    <row r="1225">
      <c r="A1225" s="26">
        <v>1219.0</v>
      </c>
      <c r="B1225" s="65">
        <v>0.5664932310396045</v>
      </c>
      <c r="C1225" s="65">
        <v>1.4328132544113388</v>
      </c>
      <c r="D1225" s="65">
        <v>1.0595388629000941</v>
      </c>
      <c r="E1225" s="65">
        <v>-0.03302529779641682</v>
      </c>
      <c r="F1225" s="65">
        <v>7.970796177385322</v>
      </c>
      <c r="G1225" s="50">
        <v>0.0</v>
      </c>
      <c r="H1225" s="50">
        <v>0.0</v>
      </c>
      <c r="I1225" s="50">
        <v>0.0</v>
      </c>
      <c r="J1225" s="50">
        <v>0.0</v>
      </c>
      <c r="K1225" s="50">
        <v>0.0</v>
      </c>
      <c r="L1225" s="50">
        <v>0.0</v>
      </c>
      <c r="M1225" s="50">
        <v>0.0</v>
      </c>
      <c r="N1225" s="50">
        <v>0.0</v>
      </c>
      <c r="O1225" s="50">
        <v>0.0</v>
      </c>
      <c r="P1225" s="50">
        <v>0.0</v>
      </c>
      <c r="Q1225" s="50">
        <v>0.0</v>
      </c>
      <c r="R1225" s="50">
        <v>0.0</v>
      </c>
      <c r="S1225" s="50">
        <v>0.0</v>
      </c>
      <c r="T1225" s="50">
        <v>2.8125</v>
      </c>
      <c r="U1225" s="50">
        <v>0.0</v>
      </c>
      <c r="V1225" s="50">
        <v>0.0</v>
      </c>
      <c r="W1225" s="50">
        <v>0.0</v>
      </c>
      <c r="X1225" s="50">
        <v>2.8125</v>
      </c>
      <c r="Y1225" s="50">
        <v>5.625</v>
      </c>
    </row>
    <row r="1226">
      <c r="A1226" s="26">
        <v>1220.0</v>
      </c>
      <c r="B1226" s="65">
        <v>0.43171573093019716</v>
      </c>
      <c r="C1226" s="65">
        <v>-1.0240428955737202</v>
      </c>
      <c r="D1226" s="65">
        <v>-0.3533600811651798</v>
      </c>
      <c r="E1226" s="65">
        <v>0.23185145961756592</v>
      </c>
      <c r="F1226" s="65">
        <v>5.049705419167333</v>
      </c>
      <c r="G1226" s="50">
        <v>0.0</v>
      </c>
      <c r="H1226" s="50">
        <v>0.0</v>
      </c>
      <c r="I1226" s="50">
        <v>0.0</v>
      </c>
      <c r="J1226" s="50">
        <v>0.0</v>
      </c>
      <c r="K1226" s="50">
        <v>0.0</v>
      </c>
      <c r="L1226" s="50">
        <v>0.0</v>
      </c>
      <c r="M1226" s="50">
        <v>0.0</v>
      </c>
      <c r="N1226" s="50">
        <v>0.0</v>
      </c>
      <c r="O1226" s="50">
        <v>0.0</v>
      </c>
      <c r="P1226" s="50">
        <v>0.0</v>
      </c>
      <c r="Q1226" s="50">
        <v>0.0</v>
      </c>
      <c r="R1226" s="50">
        <v>0.0</v>
      </c>
      <c r="S1226" s="50">
        <v>0.0</v>
      </c>
      <c r="T1226" s="50">
        <v>2.8125</v>
      </c>
      <c r="U1226" s="50">
        <v>0.0</v>
      </c>
      <c r="V1226" s="50">
        <v>0.0</v>
      </c>
      <c r="W1226" s="50">
        <v>0.0</v>
      </c>
      <c r="X1226" s="50">
        <v>2.8125</v>
      </c>
      <c r="Y1226" s="50">
        <v>5.625</v>
      </c>
    </row>
    <row r="1227">
      <c r="A1227" s="26">
        <v>1221.0</v>
      </c>
      <c r="B1227" s="65">
        <v>-0.6345923274703347</v>
      </c>
      <c r="C1227" s="65">
        <v>0.761137451556066</v>
      </c>
      <c r="D1227" s="65">
        <v>0.09510312236608959</v>
      </c>
      <c r="E1227" s="65">
        <v>-1.8176957343697075</v>
      </c>
      <c r="F1227" s="65">
        <v>3.894315695920168</v>
      </c>
      <c r="G1227" s="50">
        <v>0.0</v>
      </c>
      <c r="H1227" s="50">
        <v>0.0</v>
      </c>
      <c r="I1227" s="50">
        <v>0.0</v>
      </c>
      <c r="J1227" s="50">
        <v>0.0</v>
      </c>
      <c r="K1227" s="50">
        <v>0.0</v>
      </c>
      <c r="L1227" s="50">
        <v>0.0</v>
      </c>
      <c r="M1227" s="50">
        <v>0.0</v>
      </c>
      <c r="N1227" s="50">
        <v>0.0</v>
      </c>
      <c r="O1227" s="50">
        <v>0.0</v>
      </c>
      <c r="P1227" s="50">
        <v>0.0</v>
      </c>
      <c r="Q1227" s="50">
        <v>0.0</v>
      </c>
      <c r="R1227" s="50">
        <v>0.0</v>
      </c>
      <c r="S1227" s="50">
        <v>0.0</v>
      </c>
      <c r="T1227" s="50">
        <v>2.8125</v>
      </c>
      <c r="U1227" s="50">
        <v>9.9</v>
      </c>
      <c r="V1227" s="50">
        <v>5.625</v>
      </c>
      <c r="W1227" s="50">
        <v>0.0</v>
      </c>
      <c r="X1227" s="50">
        <v>2.8125</v>
      </c>
      <c r="Y1227" s="50">
        <v>21.15</v>
      </c>
    </row>
    <row r="1228">
      <c r="A1228" s="26">
        <v>1222.0</v>
      </c>
      <c r="B1228" s="65">
        <v>0.8362465826061483</v>
      </c>
      <c r="C1228" s="65">
        <v>-0.7758537482187366</v>
      </c>
      <c r="D1228" s="65">
        <v>0.3681773014973939</v>
      </c>
      <c r="E1228" s="65">
        <v>1.2502965563548152</v>
      </c>
      <c r="F1228" s="65">
        <v>5.954500924575158</v>
      </c>
      <c r="G1228" s="50">
        <v>0.0</v>
      </c>
      <c r="H1228" s="50">
        <v>0.0</v>
      </c>
      <c r="I1228" s="50">
        <v>0.0</v>
      </c>
      <c r="J1228" s="50">
        <v>0.0</v>
      </c>
      <c r="K1228" s="50">
        <v>0.0</v>
      </c>
      <c r="L1228" s="50">
        <v>0.0</v>
      </c>
      <c r="M1228" s="50">
        <v>0.0</v>
      </c>
      <c r="N1228" s="50">
        <v>0.0</v>
      </c>
      <c r="O1228" s="50">
        <v>0.0</v>
      </c>
      <c r="P1228" s="50">
        <v>0.0</v>
      </c>
      <c r="Q1228" s="50">
        <v>0.0</v>
      </c>
      <c r="R1228" s="50">
        <v>0.0</v>
      </c>
      <c r="S1228" s="50">
        <v>0.0</v>
      </c>
      <c r="T1228" s="50">
        <v>2.8125</v>
      </c>
      <c r="U1228" s="50">
        <v>0.0</v>
      </c>
      <c r="V1228" s="50">
        <v>0.0</v>
      </c>
      <c r="W1228" s="50">
        <v>0.0</v>
      </c>
      <c r="X1228" s="50">
        <v>2.8125</v>
      </c>
      <c r="Y1228" s="50">
        <v>5.625</v>
      </c>
    </row>
    <row r="1229">
      <c r="A1229" s="26">
        <v>1223.0</v>
      </c>
      <c r="B1229" s="65">
        <v>-0.47381064638763176</v>
      </c>
      <c r="C1229" s="65">
        <v>-0.2970563923221629</v>
      </c>
      <c r="D1229" s="65">
        <v>-0.15778700853751654</v>
      </c>
      <c r="E1229" s="65">
        <v>1.221196081268791</v>
      </c>
      <c r="F1229" s="65">
        <v>3.0439344954298075</v>
      </c>
      <c r="G1229" s="50">
        <v>0.0</v>
      </c>
      <c r="H1229" s="50">
        <v>0.0</v>
      </c>
      <c r="I1229" s="50">
        <v>0.0</v>
      </c>
      <c r="J1229" s="50">
        <v>0.0</v>
      </c>
      <c r="K1229" s="50">
        <v>0.0</v>
      </c>
      <c r="L1229" s="50">
        <v>0.0</v>
      </c>
      <c r="M1229" s="50">
        <v>0.0</v>
      </c>
      <c r="N1229" s="50">
        <v>0.0</v>
      </c>
      <c r="O1229" s="50">
        <v>0.0</v>
      </c>
      <c r="P1229" s="50">
        <v>0.0</v>
      </c>
      <c r="Q1229" s="50">
        <v>0.0</v>
      </c>
      <c r="R1229" s="50">
        <v>9.9</v>
      </c>
      <c r="S1229" s="50">
        <v>0.0</v>
      </c>
      <c r="T1229" s="50">
        <v>2.8125</v>
      </c>
      <c r="U1229" s="50">
        <v>0.0</v>
      </c>
      <c r="V1229" s="50">
        <v>0.0</v>
      </c>
      <c r="W1229" s="50">
        <v>0.0</v>
      </c>
      <c r="X1229" s="50">
        <v>2.8125</v>
      </c>
      <c r="Y1229" s="50">
        <v>15.525</v>
      </c>
    </row>
    <row r="1230">
      <c r="A1230" s="26">
        <v>1224.0</v>
      </c>
      <c r="B1230" s="65">
        <v>-0.8186879456362808</v>
      </c>
      <c r="C1230" s="65">
        <v>-0.13736270085730276</v>
      </c>
      <c r="D1230" s="65">
        <v>-1.1852553641955295</v>
      </c>
      <c r="E1230" s="65">
        <v>-2.0983160636395555</v>
      </c>
      <c r="F1230" s="65">
        <v>8.503562970634023</v>
      </c>
      <c r="G1230" s="50">
        <v>0.0</v>
      </c>
      <c r="H1230" s="50">
        <v>0.0</v>
      </c>
      <c r="I1230" s="50">
        <v>0.0</v>
      </c>
      <c r="J1230" s="50">
        <v>0.0</v>
      </c>
      <c r="K1230" s="50">
        <v>0.0</v>
      </c>
      <c r="L1230" s="50">
        <v>0.0</v>
      </c>
      <c r="M1230" s="50">
        <v>0.0</v>
      </c>
      <c r="N1230" s="50">
        <v>0.0</v>
      </c>
      <c r="O1230" s="50">
        <v>0.0</v>
      </c>
      <c r="P1230" s="50">
        <v>2.475</v>
      </c>
      <c r="Q1230" s="50">
        <v>0.0</v>
      </c>
      <c r="R1230" s="50">
        <v>0.0</v>
      </c>
      <c r="S1230" s="50">
        <v>0.0</v>
      </c>
      <c r="T1230" s="50">
        <v>2.8125</v>
      </c>
      <c r="U1230" s="50">
        <v>0.0</v>
      </c>
      <c r="V1230" s="50">
        <v>5.625</v>
      </c>
      <c r="W1230" s="50">
        <v>4.95</v>
      </c>
      <c r="X1230" s="50">
        <v>2.8125</v>
      </c>
      <c r="Y1230" s="50">
        <v>18.675</v>
      </c>
    </row>
    <row r="1231">
      <c r="A1231" s="26">
        <v>1225.0</v>
      </c>
      <c r="B1231" s="65">
        <v>-1.1444497171918975</v>
      </c>
      <c r="C1231" s="65">
        <v>0.47468699035519923</v>
      </c>
      <c r="D1231" s="65">
        <v>-0.8205636673982722</v>
      </c>
      <c r="E1231" s="65">
        <v>-0.5959419987693131</v>
      </c>
      <c r="F1231" s="65">
        <v>1.2965580770204428</v>
      </c>
      <c r="G1231" s="50">
        <v>0.0</v>
      </c>
      <c r="H1231" s="50">
        <v>0.0</v>
      </c>
      <c r="I1231" s="50">
        <v>0.0</v>
      </c>
      <c r="J1231" s="50">
        <v>0.0</v>
      </c>
      <c r="K1231" s="50">
        <v>0.0</v>
      </c>
      <c r="L1231" s="50">
        <v>0.0</v>
      </c>
      <c r="M1231" s="50">
        <v>0.0</v>
      </c>
      <c r="N1231" s="50">
        <v>0.0</v>
      </c>
      <c r="O1231" s="50">
        <v>0.0</v>
      </c>
      <c r="P1231" s="50">
        <v>0.0</v>
      </c>
      <c r="Q1231" s="50">
        <v>0.0</v>
      </c>
      <c r="R1231" s="50">
        <v>0.0</v>
      </c>
      <c r="S1231" s="50">
        <v>0.0</v>
      </c>
      <c r="T1231" s="50">
        <v>2.8125</v>
      </c>
      <c r="U1231" s="50">
        <v>0.0</v>
      </c>
      <c r="V1231" s="50">
        <v>5.625</v>
      </c>
      <c r="W1231" s="50">
        <v>0.0</v>
      </c>
      <c r="X1231" s="50">
        <v>2.8125</v>
      </c>
      <c r="Y1231" s="50">
        <v>11.25</v>
      </c>
    </row>
    <row r="1232">
      <c r="A1232" s="26">
        <v>1226.0</v>
      </c>
      <c r="B1232" s="65">
        <v>1.0836160071113892</v>
      </c>
      <c r="C1232" s="65">
        <v>0.4137171204147549</v>
      </c>
      <c r="D1232" s="65">
        <v>1.7639835360270248</v>
      </c>
      <c r="E1232" s="65">
        <v>1.5557377339373004</v>
      </c>
      <c r="F1232" s="65">
        <v>2.09777816981948</v>
      </c>
      <c r="G1232" s="50">
        <v>0.0</v>
      </c>
      <c r="H1232" s="50">
        <v>0.0</v>
      </c>
      <c r="I1232" s="50">
        <v>0.0</v>
      </c>
      <c r="J1232" s="50">
        <v>0.0</v>
      </c>
      <c r="K1232" s="50">
        <v>0.0</v>
      </c>
      <c r="L1232" s="50">
        <v>0.0</v>
      </c>
      <c r="M1232" s="50">
        <v>0.0</v>
      </c>
      <c r="N1232" s="50">
        <v>0.0</v>
      </c>
      <c r="O1232" s="50">
        <v>0.0</v>
      </c>
      <c r="P1232" s="50">
        <v>0.0</v>
      </c>
      <c r="Q1232" s="50">
        <v>0.0</v>
      </c>
      <c r="R1232" s="50">
        <v>0.0</v>
      </c>
      <c r="S1232" s="50">
        <v>0.0</v>
      </c>
      <c r="T1232" s="50">
        <v>2.8125</v>
      </c>
      <c r="U1232" s="50">
        <v>0.0</v>
      </c>
      <c r="V1232" s="50">
        <v>0.0</v>
      </c>
      <c r="W1232" s="50">
        <v>0.0</v>
      </c>
      <c r="X1232" s="50">
        <v>0.0</v>
      </c>
      <c r="Y1232" s="50">
        <v>2.8125</v>
      </c>
    </row>
    <row r="1233">
      <c r="A1233" s="26">
        <v>1227.0</v>
      </c>
      <c r="B1233" s="65">
        <v>0.0483022065119084</v>
      </c>
      <c r="C1233" s="65">
        <v>0.17607562585003103</v>
      </c>
      <c r="D1233" s="65">
        <v>0.8682240832179815</v>
      </c>
      <c r="E1233" s="65">
        <v>-0.8023526709562171</v>
      </c>
      <c r="F1233" s="65">
        <v>5.446438715509926</v>
      </c>
      <c r="G1233" s="50">
        <v>0.0</v>
      </c>
      <c r="H1233" s="50">
        <v>0.0</v>
      </c>
      <c r="I1233" s="50">
        <v>0.0</v>
      </c>
      <c r="J1233" s="50">
        <v>0.0</v>
      </c>
      <c r="K1233" s="50">
        <v>0.0</v>
      </c>
      <c r="L1233" s="50">
        <v>0.0</v>
      </c>
      <c r="M1233" s="50">
        <v>0.0</v>
      </c>
      <c r="N1233" s="50">
        <v>0.0</v>
      </c>
      <c r="O1233" s="50">
        <v>0.0</v>
      </c>
      <c r="P1233" s="50">
        <v>0.0</v>
      </c>
      <c r="Q1233" s="50">
        <v>0.0</v>
      </c>
      <c r="R1233" s="50">
        <v>0.0</v>
      </c>
      <c r="S1233" s="50">
        <v>0.0</v>
      </c>
      <c r="T1233" s="50">
        <v>2.8125</v>
      </c>
      <c r="U1233" s="50">
        <v>0.0</v>
      </c>
      <c r="V1233" s="50">
        <v>5.625</v>
      </c>
      <c r="W1233" s="50">
        <v>0.0</v>
      </c>
      <c r="X1233" s="50">
        <v>2.8125</v>
      </c>
      <c r="Y1233" s="50">
        <v>11.25</v>
      </c>
    </row>
    <row r="1234">
      <c r="A1234" s="26">
        <v>1228.0</v>
      </c>
      <c r="B1234" s="65">
        <v>0.6083480851622314</v>
      </c>
      <c r="C1234" s="65">
        <v>0.9978205379470352</v>
      </c>
      <c r="D1234" s="65">
        <v>0.3961665615691676</v>
      </c>
      <c r="E1234" s="65">
        <v>0.7140677187875241</v>
      </c>
      <c r="F1234" s="65">
        <v>4.428401446869728</v>
      </c>
      <c r="G1234" s="50">
        <v>0.0</v>
      </c>
      <c r="H1234" s="50">
        <v>0.0</v>
      </c>
      <c r="I1234" s="50">
        <v>0.0</v>
      </c>
      <c r="J1234" s="50">
        <v>0.0</v>
      </c>
      <c r="K1234" s="50">
        <v>0.0</v>
      </c>
      <c r="L1234" s="50">
        <v>0.0</v>
      </c>
      <c r="M1234" s="50">
        <v>0.0</v>
      </c>
      <c r="N1234" s="50">
        <v>0.0</v>
      </c>
      <c r="O1234" s="50">
        <v>0.0</v>
      </c>
      <c r="P1234" s="50">
        <v>0.0</v>
      </c>
      <c r="Q1234" s="50">
        <v>0.0</v>
      </c>
      <c r="R1234" s="50">
        <v>0.0</v>
      </c>
      <c r="S1234" s="50">
        <v>0.0</v>
      </c>
      <c r="T1234" s="50">
        <v>2.8125</v>
      </c>
      <c r="U1234" s="50">
        <v>0.0</v>
      </c>
      <c r="V1234" s="50">
        <v>5.625</v>
      </c>
      <c r="W1234" s="50">
        <v>0.0</v>
      </c>
      <c r="X1234" s="50">
        <v>2.8125</v>
      </c>
      <c r="Y1234" s="50">
        <v>11.25</v>
      </c>
    </row>
    <row r="1235">
      <c r="A1235" s="26">
        <v>1229.0</v>
      </c>
      <c r="B1235" s="65">
        <v>-2.305948044739718</v>
      </c>
      <c r="C1235" s="65">
        <v>1.6384582049637757</v>
      </c>
      <c r="D1235" s="65">
        <v>-1.2006244444768088</v>
      </c>
      <c r="E1235" s="65">
        <v>0.18742060051467027</v>
      </c>
      <c r="F1235" s="65">
        <v>8.074166305503297</v>
      </c>
      <c r="G1235" s="50">
        <v>0.0</v>
      </c>
      <c r="H1235" s="50">
        <v>0.0</v>
      </c>
      <c r="I1235" s="50">
        <v>0.0</v>
      </c>
      <c r="J1235" s="50">
        <v>0.0</v>
      </c>
      <c r="K1235" s="50">
        <v>0.0</v>
      </c>
      <c r="L1235" s="50">
        <v>0.0</v>
      </c>
      <c r="M1235" s="50">
        <v>0.0</v>
      </c>
      <c r="N1235" s="50">
        <v>0.0</v>
      </c>
      <c r="O1235" s="50">
        <v>0.0</v>
      </c>
      <c r="P1235" s="50">
        <v>0.0</v>
      </c>
      <c r="Q1235" s="50">
        <v>0.0</v>
      </c>
      <c r="R1235" s="50">
        <v>0.0</v>
      </c>
      <c r="S1235" s="50">
        <v>0.0</v>
      </c>
      <c r="T1235" s="50">
        <v>2.8125</v>
      </c>
      <c r="U1235" s="50">
        <v>9.9</v>
      </c>
      <c r="V1235" s="50">
        <v>5.625</v>
      </c>
      <c r="W1235" s="50">
        <v>0.0</v>
      </c>
      <c r="X1235" s="50">
        <v>2.8125</v>
      </c>
      <c r="Y1235" s="50">
        <v>21.15</v>
      </c>
    </row>
    <row r="1236">
      <c r="A1236" s="26">
        <v>1230.0</v>
      </c>
      <c r="B1236" s="65">
        <v>-0.8005896026703769</v>
      </c>
      <c r="C1236" s="65">
        <v>0.9276287368449092</v>
      </c>
      <c r="D1236" s="65">
        <v>-0.21013570408954596</v>
      </c>
      <c r="E1236" s="65">
        <v>-0.544208261248563</v>
      </c>
      <c r="F1236" s="65">
        <v>2.082314405268967</v>
      </c>
      <c r="G1236" s="50">
        <v>0.0</v>
      </c>
      <c r="H1236" s="50">
        <v>0.0</v>
      </c>
      <c r="I1236" s="50">
        <v>0.0</v>
      </c>
      <c r="J1236" s="50">
        <v>0.0</v>
      </c>
      <c r="K1236" s="50">
        <v>0.0</v>
      </c>
      <c r="L1236" s="50">
        <v>0.0</v>
      </c>
      <c r="M1236" s="50">
        <v>0.0</v>
      </c>
      <c r="N1236" s="50">
        <v>0.0</v>
      </c>
      <c r="O1236" s="50">
        <v>7.425000000000001</v>
      </c>
      <c r="P1236" s="50">
        <v>2.475</v>
      </c>
      <c r="Q1236" s="50">
        <v>0.0</v>
      </c>
      <c r="R1236" s="50">
        <v>0.0</v>
      </c>
      <c r="S1236" s="50">
        <v>0.0</v>
      </c>
      <c r="T1236" s="50">
        <v>2.8125</v>
      </c>
      <c r="U1236" s="50">
        <v>9.9</v>
      </c>
      <c r="V1236" s="50">
        <v>5.625</v>
      </c>
      <c r="W1236" s="50">
        <v>0.0</v>
      </c>
      <c r="X1236" s="50">
        <v>2.8125</v>
      </c>
      <c r="Y1236" s="50">
        <v>31.05</v>
      </c>
    </row>
    <row r="1237">
      <c r="A1237" s="26">
        <v>1231.0</v>
      </c>
      <c r="B1237" s="65">
        <v>1.9129299913211952</v>
      </c>
      <c r="C1237" s="65">
        <v>-1.542702333355444</v>
      </c>
      <c r="D1237" s="65">
        <v>-0.8493862315720901</v>
      </c>
      <c r="E1237" s="65">
        <v>0.21035970048703728</v>
      </c>
      <c r="F1237" s="65">
        <v>7.804893046476628</v>
      </c>
      <c r="G1237" s="50">
        <v>0.0</v>
      </c>
      <c r="H1237" s="50">
        <v>0.0</v>
      </c>
      <c r="I1237" s="50">
        <v>0.0</v>
      </c>
      <c r="J1237" s="50">
        <v>0.0</v>
      </c>
      <c r="K1237" s="50">
        <v>0.0</v>
      </c>
      <c r="L1237" s="50">
        <v>0.0</v>
      </c>
      <c r="M1237" s="50">
        <v>0.0</v>
      </c>
      <c r="N1237" s="50">
        <v>0.0</v>
      </c>
      <c r="O1237" s="50">
        <v>0.0</v>
      </c>
      <c r="P1237" s="50">
        <v>0.0</v>
      </c>
      <c r="Q1237" s="50">
        <v>0.0</v>
      </c>
      <c r="R1237" s="50">
        <v>0.0</v>
      </c>
      <c r="S1237" s="50">
        <v>0.0</v>
      </c>
      <c r="T1237" s="50">
        <v>2.8125</v>
      </c>
      <c r="U1237" s="50">
        <v>0.0</v>
      </c>
      <c r="V1237" s="50">
        <v>0.0</v>
      </c>
      <c r="W1237" s="50">
        <v>0.0</v>
      </c>
      <c r="X1237" s="50">
        <v>2.8125</v>
      </c>
      <c r="Y1237" s="50">
        <v>5.625</v>
      </c>
    </row>
    <row r="1238">
      <c r="A1238" s="26">
        <v>1232.0</v>
      </c>
      <c r="B1238" s="65">
        <v>-0.7244954447784588</v>
      </c>
      <c r="C1238" s="65">
        <v>-0.7817425545554757</v>
      </c>
      <c r="D1238" s="65">
        <v>0.9764509961849732</v>
      </c>
      <c r="E1238" s="65">
        <v>-0.03466166156733386</v>
      </c>
      <c r="F1238" s="65">
        <v>1.4902704780930605</v>
      </c>
      <c r="G1238" s="50">
        <v>0.0</v>
      </c>
      <c r="H1238" s="50">
        <v>0.0</v>
      </c>
      <c r="I1238" s="50">
        <v>0.0</v>
      </c>
      <c r="J1238" s="50">
        <v>0.0</v>
      </c>
      <c r="K1238" s="50">
        <v>0.0</v>
      </c>
      <c r="L1238" s="50">
        <v>0.0</v>
      </c>
      <c r="M1238" s="50">
        <v>0.0</v>
      </c>
      <c r="N1238" s="50">
        <v>0.0</v>
      </c>
      <c r="O1238" s="50">
        <v>0.0</v>
      </c>
      <c r="P1238" s="50">
        <v>2.475</v>
      </c>
      <c r="Q1238" s="50">
        <v>0.0</v>
      </c>
      <c r="R1238" s="50">
        <v>0.0</v>
      </c>
      <c r="S1238" s="50">
        <v>0.0</v>
      </c>
      <c r="T1238" s="50">
        <v>2.8125</v>
      </c>
      <c r="U1238" s="50">
        <v>0.0</v>
      </c>
      <c r="V1238" s="50">
        <v>5.625</v>
      </c>
      <c r="W1238" s="50">
        <v>0.0</v>
      </c>
      <c r="X1238" s="50">
        <v>2.8125</v>
      </c>
      <c r="Y1238" s="50">
        <v>13.725</v>
      </c>
    </row>
    <row r="1239">
      <c r="A1239" s="26">
        <v>1233.0</v>
      </c>
      <c r="B1239" s="65">
        <v>-0.04504266064487652</v>
      </c>
      <c r="C1239" s="65">
        <v>-0.46314829535084895</v>
      </c>
      <c r="D1239" s="65">
        <v>0.4685708235242098</v>
      </c>
      <c r="E1239" s="65">
        <v>0.7905898667329362</v>
      </c>
      <c r="F1239" s="65">
        <v>7.44954845008368</v>
      </c>
      <c r="G1239" s="50">
        <v>0.0</v>
      </c>
      <c r="H1239" s="50">
        <v>0.0</v>
      </c>
      <c r="I1239" s="50">
        <v>0.0</v>
      </c>
      <c r="J1239" s="50">
        <v>0.0</v>
      </c>
      <c r="K1239" s="50">
        <v>0.0</v>
      </c>
      <c r="L1239" s="50">
        <v>0.0</v>
      </c>
      <c r="M1239" s="50">
        <v>0.0</v>
      </c>
      <c r="N1239" s="50">
        <v>0.0</v>
      </c>
      <c r="O1239" s="50">
        <v>0.0</v>
      </c>
      <c r="P1239" s="50">
        <v>0.0</v>
      </c>
      <c r="Q1239" s="50">
        <v>0.0</v>
      </c>
      <c r="R1239" s="50">
        <v>0.0</v>
      </c>
      <c r="S1239" s="50">
        <v>0.0</v>
      </c>
      <c r="T1239" s="50">
        <v>2.8125</v>
      </c>
      <c r="U1239" s="50">
        <v>0.0</v>
      </c>
      <c r="V1239" s="50">
        <v>0.0</v>
      </c>
      <c r="W1239" s="50">
        <v>4.95</v>
      </c>
      <c r="X1239" s="50">
        <v>2.8125</v>
      </c>
      <c r="Y1239" s="50">
        <v>10.575</v>
      </c>
    </row>
    <row r="1240">
      <c r="A1240" s="26">
        <v>1234.0</v>
      </c>
      <c r="B1240" s="65">
        <v>-0.15259274161957584</v>
      </c>
      <c r="C1240" s="65">
        <v>-0.2506188076828999</v>
      </c>
      <c r="D1240" s="65">
        <v>-0.8333132845730247</v>
      </c>
      <c r="E1240" s="65">
        <v>-0.2319253771877265</v>
      </c>
      <c r="F1240" s="65">
        <v>1.9706749605541514</v>
      </c>
      <c r="G1240" s="50">
        <v>0.0</v>
      </c>
      <c r="H1240" s="50">
        <v>0.0</v>
      </c>
      <c r="I1240" s="50">
        <v>0.0</v>
      </c>
      <c r="J1240" s="50">
        <v>0.0</v>
      </c>
      <c r="K1240" s="50">
        <v>0.0</v>
      </c>
      <c r="L1240" s="50">
        <v>0.0</v>
      </c>
      <c r="M1240" s="50">
        <v>0.0</v>
      </c>
      <c r="N1240" s="50">
        <v>0.0</v>
      </c>
      <c r="O1240" s="50">
        <v>7.425000000000001</v>
      </c>
      <c r="P1240" s="50">
        <v>0.0</v>
      </c>
      <c r="Q1240" s="50">
        <v>0.0</v>
      </c>
      <c r="R1240" s="50">
        <v>0.0</v>
      </c>
      <c r="S1240" s="50">
        <v>0.0</v>
      </c>
      <c r="T1240" s="50">
        <v>2.8125</v>
      </c>
      <c r="U1240" s="50">
        <v>0.0</v>
      </c>
      <c r="V1240" s="50">
        <v>0.0</v>
      </c>
      <c r="W1240" s="50">
        <v>0.0</v>
      </c>
      <c r="X1240" s="50">
        <v>2.8125</v>
      </c>
      <c r="Y1240" s="50">
        <v>13.05</v>
      </c>
    </row>
    <row r="1241">
      <c r="A1241" s="26">
        <v>1235.0</v>
      </c>
      <c r="B1241" s="65">
        <v>1.2741976399737325</v>
      </c>
      <c r="C1241" s="65">
        <v>0.1341499386830338</v>
      </c>
      <c r="D1241" s="65">
        <v>0.434434964956372</v>
      </c>
      <c r="E1241" s="65">
        <v>0.5390247385323078</v>
      </c>
      <c r="F1241" s="65">
        <v>2.582207874783986</v>
      </c>
      <c r="G1241" s="50">
        <v>0.0</v>
      </c>
      <c r="H1241" s="50">
        <v>0.0</v>
      </c>
      <c r="I1241" s="50">
        <v>0.0</v>
      </c>
      <c r="J1241" s="50">
        <v>0.0</v>
      </c>
      <c r="K1241" s="50">
        <v>0.0</v>
      </c>
      <c r="L1241" s="50">
        <v>0.0</v>
      </c>
      <c r="M1241" s="50">
        <v>0.0</v>
      </c>
      <c r="N1241" s="50">
        <v>0.0</v>
      </c>
      <c r="O1241" s="50">
        <v>7.425000000000001</v>
      </c>
      <c r="P1241" s="50">
        <v>0.0</v>
      </c>
      <c r="Q1241" s="50">
        <v>0.0</v>
      </c>
      <c r="R1241" s="50">
        <v>0.0</v>
      </c>
      <c r="S1241" s="50">
        <v>0.0</v>
      </c>
      <c r="T1241" s="50">
        <v>2.8125</v>
      </c>
      <c r="U1241" s="50">
        <v>0.0</v>
      </c>
      <c r="V1241" s="50">
        <v>0.0</v>
      </c>
      <c r="W1241" s="50">
        <v>0.0</v>
      </c>
      <c r="X1241" s="50">
        <v>2.8125</v>
      </c>
      <c r="Y1241" s="50">
        <v>13.05</v>
      </c>
    </row>
    <row r="1242">
      <c r="A1242" s="26">
        <v>1236.0</v>
      </c>
      <c r="B1242" s="65">
        <v>0.3288338562175764</v>
      </c>
      <c r="C1242" s="65">
        <v>-0.11608416611093034</v>
      </c>
      <c r="D1242" s="65">
        <v>1.3977901873393022</v>
      </c>
      <c r="E1242" s="65">
        <v>-1.8482089144620357</v>
      </c>
      <c r="F1242" s="65">
        <v>1.1552168502817768</v>
      </c>
      <c r="G1242" s="50">
        <v>0.0</v>
      </c>
      <c r="H1242" s="50">
        <v>0.0</v>
      </c>
      <c r="I1242" s="50">
        <v>0.0</v>
      </c>
      <c r="J1242" s="50">
        <v>0.0</v>
      </c>
      <c r="K1242" s="50">
        <v>0.0</v>
      </c>
      <c r="L1242" s="50">
        <v>0.0</v>
      </c>
      <c r="M1242" s="50">
        <v>0.0</v>
      </c>
      <c r="N1242" s="50">
        <v>0.0</v>
      </c>
      <c r="O1242" s="50">
        <v>0.0</v>
      </c>
      <c r="P1242" s="50">
        <v>0.0</v>
      </c>
      <c r="Q1242" s="50">
        <v>0.0</v>
      </c>
      <c r="R1242" s="50">
        <v>0.0</v>
      </c>
      <c r="S1242" s="50">
        <v>0.0</v>
      </c>
      <c r="T1242" s="50">
        <v>2.8125</v>
      </c>
      <c r="U1242" s="50">
        <v>9.9</v>
      </c>
      <c r="V1242" s="50">
        <v>5.625</v>
      </c>
      <c r="W1242" s="50">
        <v>0.0</v>
      </c>
      <c r="X1242" s="50">
        <v>2.8125</v>
      </c>
      <c r="Y1242" s="50">
        <v>21.15</v>
      </c>
    </row>
    <row r="1243">
      <c r="A1243" s="26">
        <v>1237.0</v>
      </c>
      <c r="B1243" s="65">
        <v>0.32434340572384374</v>
      </c>
      <c r="C1243" s="65">
        <v>1.5637980996154797</v>
      </c>
      <c r="D1243" s="65">
        <v>-1.5107579763375578</v>
      </c>
      <c r="E1243" s="65">
        <v>0.9636560626341039</v>
      </c>
      <c r="F1243" s="65">
        <v>4.616798086152107</v>
      </c>
      <c r="G1243" s="50">
        <v>0.0</v>
      </c>
      <c r="H1243" s="50">
        <v>0.0</v>
      </c>
      <c r="I1243" s="50">
        <v>0.0</v>
      </c>
      <c r="J1243" s="50">
        <v>0.0</v>
      </c>
      <c r="K1243" s="50">
        <v>0.0</v>
      </c>
      <c r="L1243" s="50">
        <v>0.0</v>
      </c>
      <c r="M1243" s="50">
        <v>0.0</v>
      </c>
      <c r="N1243" s="50">
        <v>0.0</v>
      </c>
      <c r="O1243" s="50">
        <v>0.0</v>
      </c>
      <c r="P1243" s="50">
        <v>0.0</v>
      </c>
      <c r="Q1243" s="50">
        <v>0.0</v>
      </c>
      <c r="R1243" s="50">
        <v>9.9</v>
      </c>
      <c r="S1243" s="50">
        <v>0.0</v>
      </c>
      <c r="T1243" s="50">
        <v>2.8125</v>
      </c>
      <c r="U1243" s="50">
        <v>0.0</v>
      </c>
      <c r="V1243" s="50">
        <v>5.625</v>
      </c>
      <c r="W1243" s="50">
        <v>0.0</v>
      </c>
      <c r="X1243" s="50">
        <v>2.8125</v>
      </c>
      <c r="Y1243" s="50">
        <v>21.15</v>
      </c>
    </row>
    <row r="1244">
      <c r="A1244" s="26">
        <v>1238.0</v>
      </c>
      <c r="B1244" s="65">
        <v>0.3012935763680528</v>
      </c>
      <c r="C1244" s="65">
        <v>2.2898596806391915</v>
      </c>
      <c r="D1244" s="65">
        <v>0.023650441365342993</v>
      </c>
      <c r="E1244" s="65">
        <v>-1.8226950014597756</v>
      </c>
      <c r="F1244" s="65">
        <v>6.699479847921571</v>
      </c>
      <c r="G1244" s="50">
        <v>0.0</v>
      </c>
      <c r="H1244" s="50">
        <v>0.0</v>
      </c>
      <c r="I1244" s="50">
        <v>0.0</v>
      </c>
      <c r="J1244" s="50">
        <v>0.0</v>
      </c>
      <c r="K1244" s="50">
        <v>0.0</v>
      </c>
      <c r="L1244" s="50">
        <v>0.0</v>
      </c>
      <c r="M1244" s="50">
        <v>0.0</v>
      </c>
      <c r="N1244" s="50">
        <v>0.0</v>
      </c>
      <c r="O1244" s="50">
        <v>0.0</v>
      </c>
      <c r="P1244" s="50">
        <v>0.0</v>
      </c>
      <c r="Q1244" s="50">
        <v>0.0</v>
      </c>
      <c r="R1244" s="50">
        <v>0.0</v>
      </c>
      <c r="S1244" s="50">
        <v>0.0</v>
      </c>
      <c r="T1244" s="50">
        <v>2.8125</v>
      </c>
      <c r="U1244" s="50">
        <v>0.0</v>
      </c>
      <c r="V1244" s="50">
        <v>5.625</v>
      </c>
      <c r="W1244" s="50">
        <v>0.0</v>
      </c>
      <c r="X1244" s="50">
        <v>2.8125</v>
      </c>
      <c r="Y1244" s="50">
        <v>11.25</v>
      </c>
    </row>
    <row r="1245">
      <c r="A1245" s="26">
        <v>1239.0</v>
      </c>
      <c r="B1245" s="65">
        <v>1.1193702293995527</v>
      </c>
      <c r="C1245" s="65">
        <v>0.4794797374397069</v>
      </c>
      <c r="D1245" s="65">
        <v>-0.6658211908213365</v>
      </c>
      <c r="E1245" s="65">
        <v>-0.05791837563782815</v>
      </c>
      <c r="F1245" s="65">
        <v>7.775757991619553</v>
      </c>
      <c r="G1245" s="50">
        <v>0.0</v>
      </c>
      <c r="H1245" s="50">
        <v>0.0</v>
      </c>
      <c r="I1245" s="50">
        <v>0.0</v>
      </c>
      <c r="J1245" s="50">
        <v>0.0</v>
      </c>
      <c r="K1245" s="50">
        <v>0.0</v>
      </c>
      <c r="L1245" s="50">
        <v>0.0</v>
      </c>
      <c r="M1245" s="50">
        <v>0.0</v>
      </c>
      <c r="N1245" s="50">
        <v>0.0</v>
      </c>
      <c r="O1245" s="50">
        <v>0.0</v>
      </c>
      <c r="P1245" s="50">
        <v>0.0</v>
      </c>
      <c r="Q1245" s="50">
        <v>0.0</v>
      </c>
      <c r="R1245" s="50">
        <v>0.0</v>
      </c>
      <c r="S1245" s="50">
        <v>0.0</v>
      </c>
      <c r="T1245" s="50">
        <v>2.8125</v>
      </c>
      <c r="U1245" s="50">
        <v>0.0</v>
      </c>
      <c r="V1245" s="50">
        <v>0.0</v>
      </c>
      <c r="W1245" s="50">
        <v>0.0</v>
      </c>
      <c r="X1245" s="50">
        <v>2.8125</v>
      </c>
      <c r="Y1245" s="50">
        <v>5.625</v>
      </c>
    </row>
    <row r="1246">
      <c r="A1246" s="26">
        <v>1240.0</v>
      </c>
      <c r="B1246" s="65">
        <v>-1.254680293476716</v>
      </c>
      <c r="C1246" s="65">
        <v>1.0899331085151152</v>
      </c>
      <c r="D1246" s="65">
        <v>-0.9413553929736032</v>
      </c>
      <c r="E1246" s="65">
        <v>-0.29507100564421507</v>
      </c>
      <c r="F1246" s="65">
        <v>2.661650679412497</v>
      </c>
      <c r="G1246" s="50">
        <v>0.0</v>
      </c>
      <c r="H1246" s="50">
        <v>0.0</v>
      </c>
      <c r="I1246" s="50">
        <v>0.0</v>
      </c>
      <c r="J1246" s="50">
        <v>0.0</v>
      </c>
      <c r="K1246" s="50">
        <v>0.0</v>
      </c>
      <c r="L1246" s="50">
        <v>0.0</v>
      </c>
      <c r="M1246" s="50">
        <v>0.0</v>
      </c>
      <c r="N1246" s="50">
        <v>0.0</v>
      </c>
      <c r="O1246" s="50">
        <v>0.0</v>
      </c>
      <c r="P1246" s="50">
        <v>0.0</v>
      </c>
      <c r="Q1246" s="50">
        <v>0.0</v>
      </c>
      <c r="R1246" s="50">
        <v>9.9</v>
      </c>
      <c r="S1246" s="50">
        <v>0.0</v>
      </c>
      <c r="T1246" s="50">
        <v>2.8125</v>
      </c>
      <c r="U1246" s="50">
        <v>9.9</v>
      </c>
      <c r="V1246" s="50">
        <v>5.625</v>
      </c>
      <c r="W1246" s="50">
        <v>4.95</v>
      </c>
      <c r="X1246" s="50">
        <v>2.8125</v>
      </c>
      <c r="Y1246" s="50">
        <v>36.0</v>
      </c>
    </row>
    <row r="1247">
      <c r="A1247" s="26">
        <v>1241.0</v>
      </c>
      <c r="B1247" s="65">
        <v>-0.1643451103242343</v>
      </c>
      <c r="C1247" s="65">
        <v>-0.991799080504353</v>
      </c>
      <c r="D1247" s="65">
        <v>0.6988774856985692</v>
      </c>
      <c r="E1247" s="65">
        <v>1.5503083579189814</v>
      </c>
      <c r="F1247" s="65">
        <v>3.7787089958896836</v>
      </c>
      <c r="G1247" s="50">
        <v>0.0</v>
      </c>
      <c r="H1247" s="50">
        <v>0.0</v>
      </c>
      <c r="I1247" s="50">
        <v>0.0</v>
      </c>
      <c r="J1247" s="50">
        <v>0.0</v>
      </c>
      <c r="K1247" s="50">
        <v>0.0</v>
      </c>
      <c r="L1247" s="50">
        <v>0.0</v>
      </c>
      <c r="M1247" s="50">
        <v>0.0</v>
      </c>
      <c r="N1247" s="50">
        <v>0.0</v>
      </c>
      <c r="O1247" s="50">
        <v>0.0</v>
      </c>
      <c r="P1247" s="50">
        <v>0.0</v>
      </c>
      <c r="Q1247" s="50">
        <v>0.0</v>
      </c>
      <c r="R1247" s="50">
        <v>0.0</v>
      </c>
      <c r="S1247" s="50">
        <v>0.0</v>
      </c>
      <c r="T1247" s="50">
        <v>2.8125</v>
      </c>
      <c r="U1247" s="50">
        <v>0.0</v>
      </c>
      <c r="V1247" s="50">
        <v>0.0</v>
      </c>
      <c r="W1247" s="50">
        <v>0.0</v>
      </c>
      <c r="X1247" s="50">
        <v>2.8125</v>
      </c>
      <c r="Y1247" s="50">
        <v>5.625</v>
      </c>
    </row>
    <row r="1248">
      <c r="A1248" s="26">
        <v>1242.0</v>
      </c>
      <c r="B1248" s="65">
        <v>0.8668329368340679</v>
      </c>
      <c r="C1248" s="65">
        <v>-0.8630441206506142</v>
      </c>
      <c r="D1248" s="65">
        <v>0.8569465390276984</v>
      </c>
      <c r="E1248" s="65">
        <v>-0.6408982362381977</v>
      </c>
      <c r="F1248" s="65">
        <v>2.9357492560671017</v>
      </c>
      <c r="G1248" s="50">
        <v>0.0</v>
      </c>
      <c r="H1248" s="50">
        <v>0.0</v>
      </c>
      <c r="I1248" s="50">
        <v>0.0</v>
      </c>
      <c r="J1248" s="50">
        <v>0.0</v>
      </c>
      <c r="K1248" s="50">
        <v>0.0</v>
      </c>
      <c r="L1248" s="50">
        <v>0.0</v>
      </c>
      <c r="M1248" s="50">
        <v>0.0</v>
      </c>
      <c r="N1248" s="50">
        <v>0.0</v>
      </c>
      <c r="O1248" s="50">
        <v>7.425000000000001</v>
      </c>
      <c r="P1248" s="50">
        <v>0.0</v>
      </c>
      <c r="Q1248" s="50">
        <v>0.0</v>
      </c>
      <c r="R1248" s="50">
        <v>9.9</v>
      </c>
      <c r="S1248" s="50">
        <v>0.0</v>
      </c>
      <c r="T1248" s="50">
        <v>2.8125</v>
      </c>
      <c r="U1248" s="50">
        <v>0.0</v>
      </c>
      <c r="V1248" s="50">
        <v>5.625</v>
      </c>
      <c r="W1248" s="50">
        <v>4.95</v>
      </c>
      <c r="X1248" s="50">
        <v>2.8125</v>
      </c>
      <c r="Y1248" s="50">
        <v>33.525000000000006</v>
      </c>
    </row>
    <row r="1249">
      <c r="A1249" s="26">
        <v>1243.0</v>
      </c>
      <c r="B1249" s="65">
        <v>0.9852214539613949</v>
      </c>
      <c r="C1249" s="65">
        <v>-0.016360967449213004</v>
      </c>
      <c r="D1249" s="65">
        <v>-0.04253412027469619</v>
      </c>
      <c r="E1249" s="65">
        <v>-0.9670180041147162</v>
      </c>
      <c r="F1249" s="65">
        <v>5.1081822885764465</v>
      </c>
      <c r="G1249" s="50">
        <v>0.0</v>
      </c>
      <c r="H1249" s="50">
        <v>0.0</v>
      </c>
      <c r="I1249" s="50">
        <v>0.0</v>
      </c>
      <c r="J1249" s="50">
        <v>0.0</v>
      </c>
      <c r="K1249" s="50">
        <v>0.0</v>
      </c>
      <c r="L1249" s="50">
        <v>0.0</v>
      </c>
      <c r="M1249" s="50">
        <v>0.0</v>
      </c>
      <c r="N1249" s="50">
        <v>0.0</v>
      </c>
      <c r="O1249" s="50">
        <v>0.0</v>
      </c>
      <c r="P1249" s="50">
        <v>0.0</v>
      </c>
      <c r="Q1249" s="50">
        <v>0.0</v>
      </c>
      <c r="R1249" s="50">
        <v>0.0</v>
      </c>
      <c r="S1249" s="50">
        <v>0.0</v>
      </c>
      <c r="T1249" s="50">
        <v>2.8125</v>
      </c>
      <c r="U1249" s="50">
        <v>0.0</v>
      </c>
      <c r="V1249" s="50">
        <v>0.0</v>
      </c>
      <c r="W1249" s="50">
        <v>0.0</v>
      </c>
      <c r="X1249" s="50">
        <v>2.8125</v>
      </c>
      <c r="Y1249" s="50">
        <v>5.625</v>
      </c>
    </row>
    <row r="1250">
      <c r="A1250" s="26">
        <v>1244.0</v>
      </c>
      <c r="B1250" s="65">
        <v>0.435849134145304</v>
      </c>
      <c r="C1250" s="65">
        <v>-0.007813031249385918</v>
      </c>
      <c r="D1250" s="65">
        <v>-0.6210032015899132</v>
      </c>
      <c r="E1250" s="65">
        <v>-0.338830134970379</v>
      </c>
      <c r="F1250" s="65">
        <v>15.362461699838544</v>
      </c>
      <c r="G1250" s="50">
        <v>0.0</v>
      </c>
      <c r="H1250" s="50">
        <v>0.0</v>
      </c>
      <c r="I1250" s="50">
        <v>0.0</v>
      </c>
      <c r="J1250" s="50">
        <v>0.0</v>
      </c>
      <c r="K1250" s="50">
        <v>0.0</v>
      </c>
      <c r="L1250" s="50">
        <v>0.0</v>
      </c>
      <c r="M1250" s="50">
        <v>0.0</v>
      </c>
      <c r="N1250" s="50">
        <v>0.0</v>
      </c>
      <c r="O1250" s="50">
        <v>0.0</v>
      </c>
      <c r="P1250" s="50">
        <v>0.0</v>
      </c>
      <c r="Q1250" s="50">
        <v>0.0</v>
      </c>
      <c r="R1250" s="50">
        <v>0.0</v>
      </c>
      <c r="S1250" s="50">
        <v>0.0</v>
      </c>
      <c r="T1250" s="50">
        <v>2.8125</v>
      </c>
      <c r="U1250" s="50">
        <v>0.0</v>
      </c>
      <c r="V1250" s="50">
        <v>0.0</v>
      </c>
      <c r="W1250" s="50">
        <v>0.0</v>
      </c>
      <c r="X1250" s="50">
        <v>2.8125</v>
      </c>
      <c r="Y1250" s="50">
        <v>5.625</v>
      </c>
    </row>
    <row r="1251">
      <c r="A1251" s="26">
        <v>1245.0</v>
      </c>
      <c r="B1251" s="65">
        <v>0.6209636309713261</v>
      </c>
      <c r="C1251" s="65">
        <v>-1.4746131247896346</v>
      </c>
      <c r="D1251" s="65">
        <v>1.0665539016914563</v>
      </c>
      <c r="E1251" s="65">
        <v>-1.8935123161454201</v>
      </c>
      <c r="F1251" s="65">
        <v>14.564245621073606</v>
      </c>
      <c r="G1251" s="50">
        <v>0.0</v>
      </c>
      <c r="H1251" s="50">
        <v>0.0</v>
      </c>
      <c r="I1251" s="50">
        <v>0.0</v>
      </c>
      <c r="J1251" s="50">
        <v>0.0</v>
      </c>
      <c r="K1251" s="50">
        <v>0.0</v>
      </c>
      <c r="L1251" s="50">
        <v>0.0</v>
      </c>
      <c r="M1251" s="50">
        <v>0.0</v>
      </c>
      <c r="N1251" s="50">
        <v>0.0</v>
      </c>
      <c r="O1251" s="50">
        <v>0.0</v>
      </c>
      <c r="P1251" s="50">
        <v>0.0</v>
      </c>
      <c r="Q1251" s="50">
        <v>0.0</v>
      </c>
      <c r="R1251" s="50">
        <v>0.0</v>
      </c>
      <c r="S1251" s="50">
        <v>0.0</v>
      </c>
      <c r="T1251" s="50">
        <v>2.8125</v>
      </c>
      <c r="U1251" s="50">
        <v>0.0</v>
      </c>
      <c r="V1251" s="50">
        <v>5.625</v>
      </c>
      <c r="W1251" s="50">
        <v>0.0</v>
      </c>
      <c r="X1251" s="50">
        <v>2.8125</v>
      </c>
      <c r="Y1251" s="50">
        <v>11.25</v>
      </c>
    </row>
    <row r="1252">
      <c r="A1252" s="26">
        <v>1246.0</v>
      </c>
      <c r="B1252" s="65">
        <v>0.7378450759796322</v>
      </c>
      <c r="C1252" s="65">
        <v>0.15835642363575345</v>
      </c>
      <c r="D1252" s="65">
        <v>1.0345709416415843</v>
      </c>
      <c r="E1252" s="65">
        <v>1.384911547175389</v>
      </c>
      <c r="F1252" s="65">
        <v>5.7950006805840655</v>
      </c>
      <c r="G1252" s="50">
        <v>0.0</v>
      </c>
      <c r="H1252" s="50">
        <v>0.0</v>
      </c>
      <c r="I1252" s="50">
        <v>0.0</v>
      </c>
      <c r="J1252" s="50">
        <v>0.0</v>
      </c>
      <c r="K1252" s="50">
        <v>0.0</v>
      </c>
      <c r="L1252" s="50">
        <v>0.0</v>
      </c>
      <c r="M1252" s="50">
        <v>0.0</v>
      </c>
      <c r="N1252" s="50">
        <v>0.0</v>
      </c>
      <c r="O1252" s="50">
        <v>0.0</v>
      </c>
      <c r="P1252" s="50">
        <v>0.0</v>
      </c>
      <c r="Q1252" s="50">
        <v>0.0</v>
      </c>
      <c r="R1252" s="50">
        <v>0.0</v>
      </c>
      <c r="S1252" s="50">
        <v>0.0</v>
      </c>
      <c r="T1252" s="50">
        <v>2.8125</v>
      </c>
      <c r="U1252" s="50">
        <v>0.0</v>
      </c>
      <c r="V1252" s="50">
        <v>0.0</v>
      </c>
      <c r="W1252" s="50">
        <v>0.0</v>
      </c>
      <c r="X1252" s="50">
        <v>2.8125</v>
      </c>
      <c r="Y1252" s="50">
        <v>5.625</v>
      </c>
    </row>
    <row r="1253">
      <c r="A1253" s="26">
        <v>1247.0</v>
      </c>
      <c r="B1253" s="65">
        <v>0.04330776913452725</v>
      </c>
      <c r="C1253" s="65">
        <v>1.0679624574357836</v>
      </c>
      <c r="D1253" s="65">
        <v>-3.6002436026776965</v>
      </c>
      <c r="E1253" s="65">
        <v>1.1560680349784742</v>
      </c>
      <c r="F1253" s="65">
        <v>2.3436258254649553</v>
      </c>
      <c r="G1253" s="50">
        <v>0.0</v>
      </c>
      <c r="H1253" s="50">
        <v>0.0</v>
      </c>
      <c r="I1253" s="50">
        <v>0.0</v>
      </c>
      <c r="J1253" s="50">
        <v>0.0</v>
      </c>
      <c r="K1253" s="50">
        <v>0.0</v>
      </c>
      <c r="L1253" s="50">
        <v>0.0</v>
      </c>
      <c r="M1253" s="50">
        <v>0.0</v>
      </c>
      <c r="N1253" s="50">
        <v>0.0</v>
      </c>
      <c r="O1253" s="50">
        <v>0.0</v>
      </c>
      <c r="P1253" s="50">
        <v>0.0</v>
      </c>
      <c r="Q1253" s="50">
        <v>0.0</v>
      </c>
      <c r="R1253" s="50">
        <v>9.9</v>
      </c>
      <c r="S1253" s="50">
        <v>0.0</v>
      </c>
      <c r="T1253" s="50">
        <v>2.8125</v>
      </c>
      <c r="U1253" s="50">
        <v>0.0</v>
      </c>
      <c r="V1253" s="50">
        <v>0.0</v>
      </c>
      <c r="W1253" s="50">
        <v>0.0</v>
      </c>
      <c r="X1253" s="50">
        <v>2.8125</v>
      </c>
      <c r="Y1253" s="50">
        <v>15.525</v>
      </c>
    </row>
    <row r="1254">
      <c r="A1254" s="26">
        <v>1248.0</v>
      </c>
      <c r="B1254" s="65">
        <v>-0.5116492798433075</v>
      </c>
      <c r="C1254" s="65">
        <v>-1.0288080043117924</v>
      </c>
      <c r="D1254" s="65">
        <v>-0.7110220490816644</v>
      </c>
      <c r="E1254" s="65">
        <v>2.212919119633473</v>
      </c>
      <c r="F1254" s="65">
        <v>9.886080926438284</v>
      </c>
      <c r="G1254" s="50">
        <v>0.0</v>
      </c>
      <c r="H1254" s="50">
        <v>0.0</v>
      </c>
      <c r="I1254" s="50">
        <v>0.0</v>
      </c>
      <c r="J1254" s="50">
        <v>0.0</v>
      </c>
      <c r="K1254" s="50">
        <v>0.0</v>
      </c>
      <c r="L1254" s="50">
        <v>0.0</v>
      </c>
      <c r="M1254" s="50">
        <v>0.0</v>
      </c>
      <c r="N1254" s="50">
        <v>0.0</v>
      </c>
      <c r="O1254" s="50">
        <v>0.0</v>
      </c>
      <c r="P1254" s="50">
        <v>0.0</v>
      </c>
      <c r="Q1254" s="50">
        <v>0.0</v>
      </c>
      <c r="R1254" s="50">
        <v>0.0</v>
      </c>
      <c r="S1254" s="50">
        <v>0.0</v>
      </c>
      <c r="T1254" s="50">
        <v>2.8125</v>
      </c>
      <c r="U1254" s="50">
        <v>0.0</v>
      </c>
      <c r="V1254" s="50">
        <v>0.0</v>
      </c>
      <c r="W1254" s="50">
        <v>0.0</v>
      </c>
      <c r="X1254" s="50">
        <v>2.8125</v>
      </c>
      <c r="Y1254" s="50">
        <v>5.625</v>
      </c>
    </row>
    <row r="1255">
      <c r="A1255" s="26">
        <v>1249.0</v>
      </c>
      <c r="B1255" s="65">
        <v>0.7610791769711663</v>
      </c>
      <c r="C1255" s="65">
        <v>0.9425099089159942</v>
      </c>
      <c r="D1255" s="65">
        <v>0.46535596838408283</v>
      </c>
      <c r="E1255" s="65">
        <v>2.629095846813445</v>
      </c>
      <c r="F1255" s="65">
        <v>3.3158201592073726</v>
      </c>
      <c r="G1255" s="50">
        <v>0.0</v>
      </c>
      <c r="H1255" s="50">
        <v>0.0</v>
      </c>
      <c r="I1255" s="50">
        <v>0.0</v>
      </c>
      <c r="J1255" s="50">
        <v>0.0</v>
      </c>
      <c r="K1255" s="50">
        <v>0.0</v>
      </c>
      <c r="L1255" s="50">
        <v>0.0</v>
      </c>
      <c r="M1255" s="50">
        <v>0.0</v>
      </c>
      <c r="N1255" s="50">
        <v>0.0</v>
      </c>
      <c r="O1255" s="50">
        <v>0.0</v>
      </c>
      <c r="P1255" s="50">
        <v>0.0</v>
      </c>
      <c r="Q1255" s="50">
        <v>0.0</v>
      </c>
      <c r="R1255" s="50">
        <v>0.0</v>
      </c>
      <c r="S1255" s="50">
        <v>0.0</v>
      </c>
      <c r="T1255" s="50">
        <v>2.8125</v>
      </c>
      <c r="U1255" s="50">
        <v>0.0</v>
      </c>
      <c r="V1255" s="50">
        <v>0.0</v>
      </c>
      <c r="W1255" s="50">
        <v>0.0</v>
      </c>
      <c r="X1255" s="50">
        <v>2.8125</v>
      </c>
      <c r="Y1255" s="50">
        <v>5.625</v>
      </c>
    </row>
    <row r="1256">
      <c r="A1256" s="26">
        <v>1250.0</v>
      </c>
      <c r="B1256" s="65">
        <v>-0.43084965911291545</v>
      </c>
      <c r="C1256" s="65">
        <v>-0.005410506782418275</v>
      </c>
      <c r="D1256" s="65">
        <v>-1.0322849911607357</v>
      </c>
      <c r="E1256" s="65">
        <v>0.2406271982756629</v>
      </c>
      <c r="F1256" s="65">
        <v>5.9105071899441075</v>
      </c>
      <c r="G1256" s="50">
        <v>0.0</v>
      </c>
      <c r="H1256" s="50">
        <v>0.0</v>
      </c>
      <c r="I1256" s="50">
        <v>0.0</v>
      </c>
      <c r="J1256" s="50">
        <v>0.0</v>
      </c>
      <c r="K1256" s="50">
        <v>0.0</v>
      </c>
      <c r="L1256" s="50">
        <v>0.0</v>
      </c>
      <c r="M1256" s="50">
        <v>0.0</v>
      </c>
      <c r="N1256" s="50">
        <v>0.0</v>
      </c>
      <c r="O1256" s="50">
        <v>0.0</v>
      </c>
      <c r="P1256" s="50">
        <v>0.0</v>
      </c>
      <c r="Q1256" s="50">
        <v>0.0</v>
      </c>
      <c r="R1256" s="50">
        <v>0.0</v>
      </c>
      <c r="S1256" s="50">
        <v>0.0</v>
      </c>
      <c r="T1256" s="50">
        <v>2.8125</v>
      </c>
      <c r="U1256" s="50">
        <v>0.0</v>
      </c>
      <c r="V1256" s="50">
        <v>0.0</v>
      </c>
      <c r="W1256" s="50">
        <v>0.0</v>
      </c>
      <c r="X1256" s="50">
        <v>2.8125</v>
      </c>
      <c r="Y1256" s="50">
        <v>5.625</v>
      </c>
    </row>
    <row r="1257">
      <c r="A1257" s="26">
        <v>1251.0</v>
      </c>
      <c r="B1257" s="65">
        <v>-0.6599719028744147</v>
      </c>
      <c r="C1257" s="65">
        <v>0.5946568943877519</v>
      </c>
      <c r="D1257" s="65">
        <v>0.3365558771153858</v>
      </c>
      <c r="E1257" s="65">
        <v>-1.051244284226352</v>
      </c>
      <c r="F1257" s="65">
        <v>3.1003153049108065</v>
      </c>
      <c r="G1257" s="50">
        <v>0.0</v>
      </c>
      <c r="H1257" s="50">
        <v>0.0</v>
      </c>
      <c r="I1257" s="50">
        <v>0.0</v>
      </c>
      <c r="J1257" s="50">
        <v>0.0</v>
      </c>
      <c r="K1257" s="50">
        <v>0.0</v>
      </c>
      <c r="L1257" s="50">
        <v>0.0</v>
      </c>
      <c r="M1257" s="50">
        <v>0.0</v>
      </c>
      <c r="N1257" s="50">
        <v>0.0</v>
      </c>
      <c r="O1257" s="50">
        <v>0.0</v>
      </c>
      <c r="P1257" s="50">
        <v>0.0</v>
      </c>
      <c r="Q1257" s="50">
        <v>0.0</v>
      </c>
      <c r="R1257" s="50">
        <v>0.0</v>
      </c>
      <c r="S1257" s="50">
        <v>0.0</v>
      </c>
      <c r="T1257" s="50">
        <v>2.8125</v>
      </c>
      <c r="U1257" s="50">
        <v>0.0</v>
      </c>
      <c r="V1257" s="50">
        <v>5.625</v>
      </c>
      <c r="W1257" s="50">
        <v>4.95</v>
      </c>
      <c r="X1257" s="50">
        <v>2.8125</v>
      </c>
      <c r="Y1257" s="50">
        <v>16.2</v>
      </c>
    </row>
    <row r="1258">
      <c r="A1258" s="26">
        <v>1252.0</v>
      </c>
      <c r="B1258" s="65">
        <v>0.34258188232103043</v>
      </c>
      <c r="C1258" s="65">
        <v>2.122961447388196</v>
      </c>
      <c r="D1258" s="65">
        <v>2.138336293914665</v>
      </c>
      <c r="E1258" s="65">
        <v>0.33869534839128956</v>
      </c>
      <c r="F1258" s="65">
        <v>7.506726570991072</v>
      </c>
      <c r="G1258" s="50">
        <v>0.0</v>
      </c>
      <c r="H1258" s="50">
        <v>0.0</v>
      </c>
      <c r="I1258" s="50">
        <v>0.0</v>
      </c>
      <c r="J1258" s="50">
        <v>0.0</v>
      </c>
      <c r="K1258" s="50">
        <v>0.0</v>
      </c>
      <c r="L1258" s="50">
        <v>0.0</v>
      </c>
      <c r="M1258" s="50">
        <v>0.0</v>
      </c>
      <c r="N1258" s="50">
        <v>0.0</v>
      </c>
      <c r="O1258" s="50">
        <v>0.0</v>
      </c>
      <c r="P1258" s="50">
        <v>0.0</v>
      </c>
      <c r="Q1258" s="50">
        <v>0.0</v>
      </c>
      <c r="R1258" s="50">
        <v>0.0</v>
      </c>
      <c r="S1258" s="50">
        <v>0.0</v>
      </c>
      <c r="T1258" s="50">
        <v>2.8125</v>
      </c>
      <c r="U1258" s="50">
        <v>0.0</v>
      </c>
      <c r="V1258" s="50">
        <v>0.0</v>
      </c>
      <c r="W1258" s="50">
        <v>0.0</v>
      </c>
      <c r="X1258" s="50">
        <v>2.8125</v>
      </c>
      <c r="Y1258" s="50">
        <v>5.625</v>
      </c>
    </row>
    <row r="1259">
      <c r="A1259" s="26">
        <v>1253.0</v>
      </c>
      <c r="B1259" s="65">
        <v>0.7728874565773528</v>
      </c>
      <c r="C1259" s="65">
        <v>1.8153044303317978</v>
      </c>
      <c r="D1259" s="65">
        <v>-0.5429994922339025</v>
      </c>
      <c r="E1259" s="65">
        <v>-0.37995591283484126</v>
      </c>
      <c r="F1259" s="65">
        <v>5.532727185319107</v>
      </c>
      <c r="G1259" s="50">
        <v>0.0</v>
      </c>
      <c r="H1259" s="50">
        <v>0.0</v>
      </c>
      <c r="I1259" s="50">
        <v>0.0</v>
      </c>
      <c r="J1259" s="50">
        <v>0.0</v>
      </c>
      <c r="K1259" s="50">
        <v>0.0</v>
      </c>
      <c r="L1259" s="50">
        <v>0.0</v>
      </c>
      <c r="M1259" s="50">
        <v>0.0</v>
      </c>
      <c r="N1259" s="50">
        <v>0.0</v>
      </c>
      <c r="O1259" s="50">
        <v>0.0</v>
      </c>
      <c r="P1259" s="50">
        <v>0.0</v>
      </c>
      <c r="Q1259" s="50">
        <v>0.0</v>
      </c>
      <c r="R1259" s="50">
        <v>0.0</v>
      </c>
      <c r="S1259" s="50">
        <v>0.0</v>
      </c>
      <c r="T1259" s="50">
        <v>2.8125</v>
      </c>
      <c r="U1259" s="50">
        <v>0.0</v>
      </c>
      <c r="V1259" s="50">
        <v>0.0</v>
      </c>
      <c r="W1259" s="50">
        <v>0.0</v>
      </c>
      <c r="X1259" s="50">
        <v>2.8125</v>
      </c>
      <c r="Y1259" s="50">
        <v>5.625</v>
      </c>
    </row>
    <row r="1260">
      <c r="A1260" s="26">
        <v>1254.0</v>
      </c>
      <c r="B1260" s="65">
        <v>0.25803555644983206</v>
      </c>
      <c r="C1260" s="65">
        <v>1.726449528831137</v>
      </c>
      <c r="D1260" s="65">
        <v>0.4933931071221348</v>
      </c>
      <c r="E1260" s="65">
        <v>0.07432964416756298</v>
      </c>
      <c r="F1260" s="65">
        <v>5.565769855597515</v>
      </c>
      <c r="G1260" s="50">
        <v>0.0</v>
      </c>
      <c r="H1260" s="50">
        <v>0.0</v>
      </c>
      <c r="I1260" s="50">
        <v>0.0</v>
      </c>
      <c r="J1260" s="50">
        <v>0.0</v>
      </c>
      <c r="K1260" s="50">
        <v>0.0</v>
      </c>
      <c r="L1260" s="50">
        <v>0.0</v>
      </c>
      <c r="M1260" s="50">
        <v>0.0</v>
      </c>
      <c r="N1260" s="50">
        <v>0.0</v>
      </c>
      <c r="O1260" s="50">
        <v>0.0</v>
      </c>
      <c r="P1260" s="50">
        <v>0.0</v>
      </c>
      <c r="Q1260" s="50">
        <v>0.0</v>
      </c>
      <c r="R1260" s="50">
        <v>0.0</v>
      </c>
      <c r="S1260" s="50">
        <v>0.0</v>
      </c>
      <c r="T1260" s="50">
        <v>2.8125</v>
      </c>
      <c r="U1260" s="50">
        <v>0.0</v>
      </c>
      <c r="V1260" s="50">
        <v>5.625</v>
      </c>
      <c r="W1260" s="50">
        <v>0.0</v>
      </c>
      <c r="X1260" s="50">
        <v>2.8125</v>
      </c>
      <c r="Y1260" s="50">
        <v>11.25</v>
      </c>
    </row>
    <row r="1261">
      <c r="A1261" s="26">
        <v>1255.0</v>
      </c>
      <c r="B1261" s="65">
        <v>-0.3077064100954559</v>
      </c>
      <c r="C1261" s="65">
        <v>-0.37406442702126924</v>
      </c>
      <c r="D1261" s="65">
        <v>-2.294954844044107</v>
      </c>
      <c r="E1261" s="65">
        <v>-0.020462309956600894</v>
      </c>
      <c r="F1261" s="65">
        <v>4.501492955298637</v>
      </c>
      <c r="G1261" s="50">
        <v>0.0</v>
      </c>
      <c r="H1261" s="50">
        <v>0.0</v>
      </c>
      <c r="I1261" s="50">
        <v>0.0</v>
      </c>
      <c r="J1261" s="50">
        <v>0.0</v>
      </c>
      <c r="K1261" s="50">
        <v>0.0</v>
      </c>
      <c r="L1261" s="50">
        <v>0.0</v>
      </c>
      <c r="M1261" s="50">
        <v>0.0</v>
      </c>
      <c r="N1261" s="50">
        <v>0.0</v>
      </c>
      <c r="O1261" s="50">
        <v>0.0</v>
      </c>
      <c r="P1261" s="50">
        <v>0.0</v>
      </c>
      <c r="Q1261" s="50">
        <v>0.0</v>
      </c>
      <c r="R1261" s="50">
        <v>0.0</v>
      </c>
      <c r="S1261" s="50">
        <v>0.0</v>
      </c>
      <c r="T1261" s="50">
        <v>2.8125</v>
      </c>
      <c r="U1261" s="50">
        <v>0.0</v>
      </c>
      <c r="V1261" s="50">
        <v>5.625</v>
      </c>
      <c r="W1261" s="50">
        <v>0.0</v>
      </c>
      <c r="X1261" s="50">
        <v>2.8125</v>
      </c>
      <c r="Y1261" s="50">
        <v>11.25</v>
      </c>
    </row>
    <row r="1262">
      <c r="A1262" s="26">
        <v>1256.0</v>
      </c>
      <c r="B1262" s="65">
        <v>0.6109622872159879</v>
      </c>
      <c r="C1262" s="65">
        <v>0.6740664891787952</v>
      </c>
      <c r="D1262" s="65">
        <v>-0.7636727830894531</v>
      </c>
      <c r="E1262" s="65">
        <v>-0.8417285823570518</v>
      </c>
      <c r="F1262" s="65">
        <v>1.8226920072787232</v>
      </c>
      <c r="G1262" s="50">
        <v>0.0</v>
      </c>
      <c r="H1262" s="50">
        <v>0.0</v>
      </c>
      <c r="I1262" s="50">
        <v>0.0</v>
      </c>
      <c r="J1262" s="50">
        <v>0.0</v>
      </c>
      <c r="K1262" s="50">
        <v>0.0</v>
      </c>
      <c r="L1262" s="50">
        <v>0.0</v>
      </c>
      <c r="M1262" s="50">
        <v>0.0</v>
      </c>
      <c r="N1262" s="50">
        <v>0.0</v>
      </c>
      <c r="O1262" s="50">
        <v>0.0</v>
      </c>
      <c r="P1262" s="50">
        <v>0.0</v>
      </c>
      <c r="Q1262" s="50">
        <v>0.0</v>
      </c>
      <c r="R1262" s="50">
        <v>0.0</v>
      </c>
      <c r="S1262" s="50">
        <v>0.0</v>
      </c>
      <c r="T1262" s="50">
        <v>2.8125</v>
      </c>
      <c r="U1262" s="50">
        <v>0.0</v>
      </c>
      <c r="V1262" s="50">
        <v>0.0</v>
      </c>
      <c r="W1262" s="50">
        <v>0.0</v>
      </c>
      <c r="X1262" s="50">
        <v>2.8125</v>
      </c>
      <c r="Y1262" s="50">
        <v>5.625</v>
      </c>
    </row>
    <row r="1263">
      <c r="A1263" s="26">
        <v>1257.0</v>
      </c>
      <c r="B1263" s="65">
        <v>1.6869261126595791</v>
      </c>
      <c r="C1263" s="65">
        <v>0.8010474791939842</v>
      </c>
      <c r="D1263" s="65">
        <v>1.1628556365014961</v>
      </c>
      <c r="E1263" s="65">
        <v>-0.7482529088315164</v>
      </c>
      <c r="F1263" s="65">
        <v>0.5625739535021164</v>
      </c>
      <c r="G1263" s="50">
        <v>0.0</v>
      </c>
      <c r="H1263" s="50">
        <v>0.0</v>
      </c>
      <c r="I1263" s="50">
        <v>0.0</v>
      </c>
      <c r="J1263" s="50">
        <v>0.0</v>
      </c>
      <c r="K1263" s="50">
        <v>0.0</v>
      </c>
      <c r="L1263" s="50">
        <v>0.0</v>
      </c>
      <c r="M1263" s="50">
        <v>0.0</v>
      </c>
      <c r="N1263" s="50">
        <v>0.0</v>
      </c>
      <c r="O1263" s="50">
        <v>0.0</v>
      </c>
      <c r="P1263" s="50">
        <v>0.0</v>
      </c>
      <c r="Q1263" s="50">
        <v>0.0</v>
      </c>
      <c r="R1263" s="50">
        <v>0.0</v>
      </c>
      <c r="S1263" s="50">
        <v>0.0</v>
      </c>
      <c r="T1263" s="50">
        <v>0.0</v>
      </c>
      <c r="U1263" s="50">
        <v>9.9</v>
      </c>
      <c r="V1263" s="50">
        <v>0.0</v>
      </c>
      <c r="W1263" s="50">
        <v>0.0</v>
      </c>
      <c r="X1263" s="50">
        <v>2.8125</v>
      </c>
      <c r="Y1263" s="50">
        <v>12.7125</v>
      </c>
    </row>
    <row r="1264">
      <c r="A1264" s="26">
        <v>1258.0</v>
      </c>
      <c r="B1264" s="65">
        <v>-0.051902159377562984</v>
      </c>
      <c r="C1264" s="65">
        <v>0.34470080176686835</v>
      </c>
      <c r="D1264" s="65">
        <v>-0.9020758269939657</v>
      </c>
      <c r="E1264" s="65">
        <v>0.07612626994853983</v>
      </c>
      <c r="F1264" s="65">
        <v>4.306103661713904</v>
      </c>
      <c r="G1264" s="50">
        <v>0.0</v>
      </c>
      <c r="H1264" s="50">
        <v>0.0</v>
      </c>
      <c r="I1264" s="50">
        <v>0.0</v>
      </c>
      <c r="J1264" s="50">
        <v>0.0</v>
      </c>
      <c r="K1264" s="50">
        <v>0.0</v>
      </c>
      <c r="L1264" s="50">
        <v>0.0</v>
      </c>
      <c r="M1264" s="50">
        <v>0.0</v>
      </c>
      <c r="N1264" s="50">
        <v>0.0</v>
      </c>
      <c r="O1264" s="50">
        <v>0.0</v>
      </c>
      <c r="P1264" s="50">
        <v>0.0</v>
      </c>
      <c r="Q1264" s="50">
        <v>0.0</v>
      </c>
      <c r="R1264" s="50">
        <v>9.9</v>
      </c>
      <c r="S1264" s="50">
        <v>0.0</v>
      </c>
      <c r="T1264" s="50">
        <v>2.8125</v>
      </c>
      <c r="U1264" s="50">
        <v>0.0</v>
      </c>
      <c r="V1264" s="50">
        <v>5.625</v>
      </c>
      <c r="W1264" s="50">
        <v>0.0</v>
      </c>
      <c r="X1264" s="50">
        <v>2.8125</v>
      </c>
      <c r="Y1264" s="50">
        <v>21.15</v>
      </c>
    </row>
    <row r="1265">
      <c r="A1265" s="26">
        <v>1259.0</v>
      </c>
      <c r="B1265" s="65">
        <v>1.4713267505042829</v>
      </c>
      <c r="C1265" s="65">
        <v>-0.10240295759227876</v>
      </c>
      <c r="D1265" s="65">
        <v>0.29918612226053576</v>
      </c>
      <c r="E1265" s="65">
        <v>0.14194960205366708</v>
      </c>
      <c r="F1265" s="65">
        <v>4.814125522602555</v>
      </c>
      <c r="G1265" s="50">
        <v>0.0</v>
      </c>
      <c r="H1265" s="50">
        <v>0.0</v>
      </c>
      <c r="I1265" s="50">
        <v>0.0</v>
      </c>
      <c r="J1265" s="50">
        <v>0.0</v>
      </c>
      <c r="K1265" s="50">
        <v>0.0</v>
      </c>
      <c r="L1265" s="50">
        <v>0.0</v>
      </c>
      <c r="M1265" s="50">
        <v>0.0</v>
      </c>
      <c r="N1265" s="50">
        <v>0.0</v>
      </c>
      <c r="O1265" s="50">
        <v>0.0</v>
      </c>
      <c r="P1265" s="50">
        <v>0.0</v>
      </c>
      <c r="Q1265" s="50">
        <v>0.0</v>
      </c>
      <c r="R1265" s="50">
        <v>0.0</v>
      </c>
      <c r="S1265" s="50">
        <v>0.0</v>
      </c>
      <c r="T1265" s="50">
        <v>2.8125</v>
      </c>
      <c r="U1265" s="50">
        <v>0.0</v>
      </c>
      <c r="V1265" s="50">
        <v>0.0</v>
      </c>
      <c r="W1265" s="50">
        <v>0.0</v>
      </c>
      <c r="X1265" s="50">
        <v>2.8125</v>
      </c>
      <c r="Y1265" s="50">
        <v>5.625</v>
      </c>
    </row>
    <row r="1266">
      <c r="A1266" s="26">
        <v>1260.0</v>
      </c>
      <c r="B1266" s="65">
        <v>-0.007173543805832762</v>
      </c>
      <c r="C1266" s="65">
        <v>-1.4107544596108823</v>
      </c>
      <c r="D1266" s="65">
        <v>0.32161977079476584</v>
      </c>
      <c r="E1266" s="65">
        <v>-1.7329961419991713</v>
      </c>
      <c r="F1266" s="65">
        <v>3.078908312801776</v>
      </c>
      <c r="G1266" s="50">
        <v>0.0</v>
      </c>
      <c r="H1266" s="50">
        <v>0.0</v>
      </c>
      <c r="I1266" s="50">
        <v>0.0</v>
      </c>
      <c r="J1266" s="50">
        <v>0.0</v>
      </c>
      <c r="K1266" s="50">
        <v>0.0</v>
      </c>
      <c r="L1266" s="50">
        <v>0.0</v>
      </c>
      <c r="M1266" s="50">
        <v>0.0</v>
      </c>
      <c r="N1266" s="50">
        <v>0.0</v>
      </c>
      <c r="O1266" s="50">
        <v>0.0</v>
      </c>
      <c r="P1266" s="50">
        <v>0.0</v>
      </c>
      <c r="Q1266" s="50">
        <v>0.0</v>
      </c>
      <c r="R1266" s="50">
        <v>0.0</v>
      </c>
      <c r="S1266" s="50">
        <v>0.0</v>
      </c>
      <c r="T1266" s="50">
        <v>2.8125</v>
      </c>
      <c r="U1266" s="50">
        <v>0.0</v>
      </c>
      <c r="V1266" s="50">
        <v>5.625</v>
      </c>
      <c r="W1266" s="50">
        <v>0.0</v>
      </c>
      <c r="X1266" s="50">
        <v>2.8125</v>
      </c>
      <c r="Y1266" s="50">
        <v>11.25</v>
      </c>
    </row>
    <row r="1267">
      <c r="A1267" s="26">
        <v>1261.0</v>
      </c>
      <c r="B1267" s="65">
        <v>-0.14920177200829998</v>
      </c>
      <c r="C1267" s="65">
        <v>-0.5094799130955666</v>
      </c>
      <c r="D1267" s="65">
        <v>-1.6719284195651274</v>
      </c>
      <c r="E1267" s="65">
        <v>0.6150835884305516</v>
      </c>
      <c r="F1267" s="65">
        <v>4.41479887846487</v>
      </c>
      <c r="G1267" s="50">
        <v>0.0</v>
      </c>
      <c r="H1267" s="50">
        <v>0.0</v>
      </c>
      <c r="I1267" s="50">
        <v>0.0</v>
      </c>
      <c r="J1267" s="50">
        <v>0.0</v>
      </c>
      <c r="K1267" s="50">
        <v>0.0</v>
      </c>
      <c r="L1267" s="50">
        <v>0.0</v>
      </c>
      <c r="M1267" s="50">
        <v>0.0</v>
      </c>
      <c r="N1267" s="50">
        <v>0.0</v>
      </c>
      <c r="O1267" s="50">
        <v>0.0</v>
      </c>
      <c r="P1267" s="50">
        <v>2.475</v>
      </c>
      <c r="Q1267" s="50">
        <v>0.0</v>
      </c>
      <c r="R1267" s="50">
        <v>0.0</v>
      </c>
      <c r="S1267" s="50">
        <v>0.0</v>
      </c>
      <c r="T1267" s="50">
        <v>2.8125</v>
      </c>
      <c r="U1267" s="50">
        <v>0.0</v>
      </c>
      <c r="V1267" s="50">
        <v>0.0</v>
      </c>
      <c r="W1267" s="50">
        <v>0.0</v>
      </c>
      <c r="X1267" s="50">
        <v>2.8125</v>
      </c>
      <c r="Y1267" s="50">
        <v>8.1</v>
      </c>
    </row>
    <row r="1268">
      <c r="A1268" s="26">
        <v>1262.0</v>
      </c>
      <c r="B1268" s="65">
        <v>-0.370082075085544</v>
      </c>
      <c r="C1268" s="65">
        <v>-1.8782089333153844</v>
      </c>
      <c r="D1268" s="65">
        <v>-1.0065273816584903</v>
      </c>
      <c r="E1268" s="65">
        <v>-0.5092246189404639</v>
      </c>
      <c r="F1268" s="65">
        <v>3.3708644760793844</v>
      </c>
      <c r="G1268" s="50">
        <v>0.0</v>
      </c>
      <c r="H1268" s="50">
        <v>0.0</v>
      </c>
      <c r="I1268" s="50">
        <v>0.0</v>
      </c>
      <c r="J1268" s="50">
        <v>0.0</v>
      </c>
      <c r="K1268" s="50">
        <v>0.0</v>
      </c>
      <c r="L1268" s="50">
        <v>0.0</v>
      </c>
      <c r="M1268" s="50">
        <v>0.0</v>
      </c>
      <c r="N1268" s="50">
        <v>0.0</v>
      </c>
      <c r="O1268" s="50">
        <v>0.0</v>
      </c>
      <c r="P1268" s="50">
        <v>0.0</v>
      </c>
      <c r="Q1268" s="50">
        <v>0.0</v>
      </c>
      <c r="R1268" s="50">
        <v>0.0</v>
      </c>
      <c r="S1268" s="50">
        <v>0.0</v>
      </c>
      <c r="T1268" s="50">
        <v>2.8125</v>
      </c>
      <c r="U1268" s="50">
        <v>9.9</v>
      </c>
      <c r="V1268" s="50">
        <v>5.625</v>
      </c>
      <c r="W1268" s="50">
        <v>4.95</v>
      </c>
      <c r="X1268" s="50">
        <v>2.8125</v>
      </c>
      <c r="Y1268" s="50">
        <v>26.099999999999998</v>
      </c>
    </row>
    <row r="1269">
      <c r="A1269" s="26">
        <v>1263.0</v>
      </c>
      <c r="B1269" s="65">
        <v>0.36165201589656737</v>
      </c>
      <c r="C1269" s="65">
        <v>1.9811150900803676</v>
      </c>
      <c r="D1269" s="65">
        <v>-0.2894648444341016</v>
      </c>
      <c r="E1269" s="65">
        <v>0.34432465509638177</v>
      </c>
      <c r="F1269" s="65">
        <v>3.1386238046633017</v>
      </c>
      <c r="G1269" s="50">
        <v>0.0</v>
      </c>
      <c r="H1269" s="50">
        <v>0.0</v>
      </c>
      <c r="I1269" s="50">
        <v>0.0</v>
      </c>
      <c r="J1269" s="50">
        <v>0.0</v>
      </c>
      <c r="K1269" s="50">
        <v>0.0</v>
      </c>
      <c r="L1269" s="50">
        <v>0.0</v>
      </c>
      <c r="M1269" s="50">
        <v>0.0</v>
      </c>
      <c r="N1269" s="50">
        <v>0.0</v>
      </c>
      <c r="O1269" s="50">
        <v>0.0</v>
      </c>
      <c r="P1269" s="50">
        <v>0.0</v>
      </c>
      <c r="Q1269" s="50">
        <v>0.0</v>
      </c>
      <c r="R1269" s="50">
        <v>0.0</v>
      </c>
      <c r="S1269" s="50">
        <v>0.0</v>
      </c>
      <c r="T1269" s="50">
        <v>2.8125</v>
      </c>
      <c r="U1269" s="50">
        <v>0.0</v>
      </c>
      <c r="V1269" s="50">
        <v>0.0</v>
      </c>
      <c r="W1269" s="50">
        <v>0.0</v>
      </c>
      <c r="X1269" s="50">
        <v>2.8125</v>
      </c>
      <c r="Y1269" s="50">
        <v>5.625</v>
      </c>
    </row>
    <row r="1270">
      <c r="A1270" s="26">
        <v>1264.0</v>
      </c>
      <c r="B1270" s="65">
        <v>-0.18296367386440227</v>
      </c>
      <c r="C1270" s="65">
        <v>0.6085540095366416</v>
      </c>
      <c r="D1270" s="65">
        <v>-0.8221002736895124</v>
      </c>
      <c r="E1270" s="65">
        <v>-0.1292210187716888</v>
      </c>
      <c r="F1270" s="65">
        <v>1.3235535382812866</v>
      </c>
      <c r="G1270" s="50">
        <v>0.0</v>
      </c>
      <c r="H1270" s="50">
        <v>0.0</v>
      </c>
      <c r="I1270" s="50">
        <v>0.0</v>
      </c>
      <c r="J1270" s="50">
        <v>0.0</v>
      </c>
      <c r="K1270" s="50">
        <v>0.0</v>
      </c>
      <c r="L1270" s="50">
        <v>0.0</v>
      </c>
      <c r="M1270" s="50">
        <v>0.0</v>
      </c>
      <c r="N1270" s="50">
        <v>0.0</v>
      </c>
      <c r="O1270" s="50">
        <v>0.0</v>
      </c>
      <c r="P1270" s="50">
        <v>0.0</v>
      </c>
      <c r="Q1270" s="50">
        <v>0.0</v>
      </c>
      <c r="R1270" s="50">
        <v>9.9</v>
      </c>
      <c r="S1270" s="50">
        <v>0.0</v>
      </c>
      <c r="T1270" s="50">
        <v>2.8125</v>
      </c>
      <c r="U1270" s="50">
        <v>0.0</v>
      </c>
      <c r="V1270" s="50">
        <v>5.625</v>
      </c>
      <c r="W1270" s="50">
        <v>0.0</v>
      </c>
      <c r="X1270" s="50">
        <v>2.8125</v>
      </c>
      <c r="Y1270" s="50">
        <v>21.15</v>
      </c>
    </row>
    <row r="1271">
      <c r="A1271" s="26">
        <v>1265.0</v>
      </c>
      <c r="B1271" s="65">
        <v>0.641718886932507</v>
      </c>
      <c r="C1271" s="65">
        <v>-0.44646543358448054</v>
      </c>
      <c r="D1271" s="65">
        <v>0.3086192222499508</v>
      </c>
      <c r="E1271" s="65">
        <v>1.5056856105697518</v>
      </c>
      <c r="F1271" s="65">
        <v>2.9201545521742633</v>
      </c>
      <c r="G1271" s="50">
        <v>0.0</v>
      </c>
      <c r="H1271" s="50">
        <v>0.0</v>
      </c>
      <c r="I1271" s="50">
        <v>0.0</v>
      </c>
      <c r="J1271" s="50">
        <v>0.0</v>
      </c>
      <c r="K1271" s="50">
        <v>0.0</v>
      </c>
      <c r="L1271" s="50">
        <v>0.0</v>
      </c>
      <c r="M1271" s="50">
        <v>0.0</v>
      </c>
      <c r="N1271" s="50">
        <v>0.0</v>
      </c>
      <c r="O1271" s="50">
        <v>0.0</v>
      </c>
      <c r="P1271" s="50">
        <v>0.0</v>
      </c>
      <c r="Q1271" s="50">
        <v>0.0</v>
      </c>
      <c r="R1271" s="50">
        <v>0.0</v>
      </c>
      <c r="S1271" s="50">
        <v>0.0</v>
      </c>
      <c r="T1271" s="50">
        <v>2.8125</v>
      </c>
      <c r="U1271" s="50">
        <v>0.0</v>
      </c>
      <c r="V1271" s="50">
        <v>0.0</v>
      </c>
      <c r="W1271" s="50">
        <v>0.0</v>
      </c>
      <c r="X1271" s="50">
        <v>2.8125</v>
      </c>
      <c r="Y1271" s="50">
        <v>5.625</v>
      </c>
    </row>
    <row r="1272">
      <c r="A1272" s="26">
        <v>1266.0</v>
      </c>
      <c r="B1272" s="65">
        <v>0.5478121544721246</v>
      </c>
      <c r="C1272" s="65">
        <v>-0.81020502878657</v>
      </c>
      <c r="D1272" s="65">
        <v>-0.21555719338204313</v>
      </c>
      <c r="E1272" s="65">
        <v>0.241412998794114</v>
      </c>
      <c r="F1272" s="65">
        <v>4.218514414229748</v>
      </c>
      <c r="G1272" s="50">
        <v>0.0</v>
      </c>
      <c r="H1272" s="50">
        <v>0.0</v>
      </c>
      <c r="I1272" s="50">
        <v>0.0</v>
      </c>
      <c r="J1272" s="50">
        <v>0.0</v>
      </c>
      <c r="K1272" s="50">
        <v>0.0</v>
      </c>
      <c r="L1272" s="50">
        <v>0.0</v>
      </c>
      <c r="M1272" s="50">
        <v>0.0</v>
      </c>
      <c r="N1272" s="50">
        <v>0.0</v>
      </c>
      <c r="O1272" s="50">
        <v>0.0</v>
      </c>
      <c r="P1272" s="50">
        <v>0.0</v>
      </c>
      <c r="Q1272" s="50">
        <v>0.0</v>
      </c>
      <c r="R1272" s="50">
        <v>0.0</v>
      </c>
      <c r="S1272" s="50">
        <v>0.0</v>
      </c>
      <c r="T1272" s="50">
        <v>2.8125</v>
      </c>
      <c r="U1272" s="50">
        <v>0.0</v>
      </c>
      <c r="V1272" s="50">
        <v>0.0</v>
      </c>
      <c r="W1272" s="50">
        <v>0.0</v>
      </c>
      <c r="X1272" s="50">
        <v>2.8125</v>
      </c>
      <c r="Y1272" s="50">
        <v>5.625</v>
      </c>
    </row>
    <row r="1273">
      <c r="A1273" s="26">
        <v>1267.0</v>
      </c>
      <c r="B1273" s="65">
        <v>0.4555167533726388</v>
      </c>
      <c r="C1273" s="65">
        <v>-0.6528480923646389</v>
      </c>
      <c r="D1273" s="65">
        <v>-1.9132555689204107</v>
      </c>
      <c r="E1273" s="65">
        <v>0.2799211671104618</v>
      </c>
      <c r="F1273" s="65">
        <v>6.189635615034476</v>
      </c>
      <c r="G1273" s="50">
        <v>0.0</v>
      </c>
      <c r="H1273" s="50">
        <v>0.0</v>
      </c>
      <c r="I1273" s="50">
        <v>0.0</v>
      </c>
      <c r="J1273" s="50">
        <v>0.0</v>
      </c>
      <c r="K1273" s="50">
        <v>0.0</v>
      </c>
      <c r="L1273" s="50">
        <v>0.0</v>
      </c>
      <c r="M1273" s="50">
        <v>0.0</v>
      </c>
      <c r="N1273" s="50">
        <v>0.0</v>
      </c>
      <c r="O1273" s="50">
        <v>0.0</v>
      </c>
      <c r="P1273" s="50">
        <v>0.0</v>
      </c>
      <c r="Q1273" s="50">
        <v>0.0</v>
      </c>
      <c r="R1273" s="50">
        <v>0.0</v>
      </c>
      <c r="S1273" s="50">
        <v>0.0</v>
      </c>
      <c r="T1273" s="50">
        <v>2.8125</v>
      </c>
      <c r="U1273" s="50">
        <v>0.0</v>
      </c>
      <c r="V1273" s="50">
        <v>0.0</v>
      </c>
      <c r="W1273" s="50">
        <v>0.0</v>
      </c>
      <c r="X1273" s="50">
        <v>2.8125</v>
      </c>
      <c r="Y1273" s="50">
        <v>5.625</v>
      </c>
    </row>
    <row r="1274">
      <c r="A1274" s="26">
        <v>1268.0</v>
      </c>
      <c r="B1274" s="65">
        <v>0.00884202763332679</v>
      </c>
      <c r="C1274" s="65">
        <v>0.7258221942831062</v>
      </c>
      <c r="D1274" s="65">
        <v>-1.072414511971556</v>
      </c>
      <c r="E1274" s="65">
        <v>0.30572637591250656</v>
      </c>
      <c r="F1274" s="65">
        <v>1.0336652240470487</v>
      </c>
      <c r="G1274" s="50">
        <v>0.0</v>
      </c>
      <c r="H1274" s="50">
        <v>0.0</v>
      </c>
      <c r="I1274" s="50">
        <v>0.0</v>
      </c>
      <c r="J1274" s="50">
        <v>0.0</v>
      </c>
      <c r="K1274" s="50">
        <v>0.0</v>
      </c>
      <c r="L1274" s="50">
        <v>0.0</v>
      </c>
      <c r="M1274" s="50">
        <v>0.0</v>
      </c>
      <c r="N1274" s="50">
        <v>0.0</v>
      </c>
      <c r="O1274" s="50">
        <v>7.425000000000001</v>
      </c>
      <c r="P1274" s="50">
        <v>0.0</v>
      </c>
      <c r="Q1274" s="50">
        <v>0.0</v>
      </c>
      <c r="R1274" s="50">
        <v>0.0</v>
      </c>
      <c r="S1274" s="50">
        <v>0.0</v>
      </c>
      <c r="T1274" s="50">
        <v>2.8125</v>
      </c>
      <c r="U1274" s="50">
        <v>0.0</v>
      </c>
      <c r="V1274" s="50">
        <v>0.0</v>
      </c>
      <c r="W1274" s="50">
        <v>0.0</v>
      </c>
      <c r="X1274" s="50">
        <v>2.8125</v>
      </c>
      <c r="Y1274" s="50">
        <v>13.05</v>
      </c>
    </row>
    <row r="1275">
      <c r="A1275" s="26">
        <v>1269.0</v>
      </c>
      <c r="B1275" s="65">
        <v>-0.06633511291662093</v>
      </c>
      <c r="C1275" s="65">
        <v>0.08926529771611369</v>
      </c>
      <c r="D1275" s="65">
        <v>-0.0011336815404500132</v>
      </c>
      <c r="E1275" s="65">
        <v>-1.69445071000028</v>
      </c>
      <c r="F1275" s="65">
        <v>3.492680138131663</v>
      </c>
      <c r="G1275" s="50">
        <v>0.0</v>
      </c>
      <c r="H1275" s="50">
        <v>0.0</v>
      </c>
      <c r="I1275" s="50">
        <v>0.0</v>
      </c>
      <c r="J1275" s="50">
        <v>0.0</v>
      </c>
      <c r="K1275" s="50">
        <v>0.0</v>
      </c>
      <c r="L1275" s="50">
        <v>0.0</v>
      </c>
      <c r="M1275" s="50">
        <v>0.0</v>
      </c>
      <c r="N1275" s="50">
        <v>0.0</v>
      </c>
      <c r="O1275" s="50">
        <v>0.0</v>
      </c>
      <c r="P1275" s="50">
        <v>0.0</v>
      </c>
      <c r="Q1275" s="50">
        <v>0.0</v>
      </c>
      <c r="R1275" s="50">
        <v>0.0</v>
      </c>
      <c r="S1275" s="50">
        <v>0.0</v>
      </c>
      <c r="T1275" s="50">
        <v>2.8125</v>
      </c>
      <c r="U1275" s="50">
        <v>0.0</v>
      </c>
      <c r="V1275" s="50">
        <v>5.625</v>
      </c>
      <c r="W1275" s="50">
        <v>4.95</v>
      </c>
      <c r="X1275" s="50">
        <v>2.8125</v>
      </c>
      <c r="Y1275" s="50">
        <v>16.2</v>
      </c>
    </row>
    <row r="1276">
      <c r="A1276" s="26">
        <v>1270.0</v>
      </c>
      <c r="B1276" s="65">
        <v>1.732579256431493</v>
      </c>
      <c r="C1276" s="65">
        <v>-0.027617492973147768</v>
      </c>
      <c r="D1276" s="65">
        <v>-0.002851639752469277</v>
      </c>
      <c r="E1276" s="65">
        <v>-0.5557271270704031</v>
      </c>
      <c r="F1276" s="65">
        <v>3.153287797863741</v>
      </c>
      <c r="G1276" s="50">
        <v>0.0</v>
      </c>
      <c r="H1276" s="50">
        <v>0.0</v>
      </c>
      <c r="I1276" s="50">
        <v>0.0</v>
      </c>
      <c r="J1276" s="50">
        <v>0.0</v>
      </c>
      <c r="K1276" s="50">
        <v>0.0</v>
      </c>
      <c r="L1276" s="50">
        <v>0.0</v>
      </c>
      <c r="M1276" s="50">
        <v>0.0</v>
      </c>
      <c r="N1276" s="50">
        <v>0.0</v>
      </c>
      <c r="O1276" s="50">
        <v>0.0</v>
      </c>
      <c r="P1276" s="50">
        <v>0.0</v>
      </c>
      <c r="Q1276" s="50">
        <v>0.0</v>
      </c>
      <c r="R1276" s="50">
        <v>0.0</v>
      </c>
      <c r="S1276" s="50">
        <v>0.0</v>
      </c>
      <c r="T1276" s="50">
        <v>2.8125</v>
      </c>
      <c r="U1276" s="50">
        <v>0.0</v>
      </c>
      <c r="V1276" s="50">
        <v>0.0</v>
      </c>
      <c r="W1276" s="50">
        <v>0.0</v>
      </c>
      <c r="X1276" s="50">
        <v>2.8125</v>
      </c>
      <c r="Y1276" s="50">
        <v>5.625</v>
      </c>
    </row>
    <row r="1277">
      <c r="A1277" s="26">
        <v>1271.0</v>
      </c>
      <c r="B1277" s="65">
        <v>0.18817274952515714</v>
      </c>
      <c r="C1277" s="65">
        <v>-0.9479302972687988</v>
      </c>
      <c r="D1277" s="65">
        <v>0.9247200324885958</v>
      </c>
      <c r="E1277" s="65">
        <v>1.507108196995267</v>
      </c>
      <c r="F1277" s="65">
        <v>4.924934465634699</v>
      </c>
      <c r="G1277" s="50">
        <v>0.0</v>
      </c>
      <c r="H1277" s="50">
        <v>0.0</v>
      </c>
      <c r="I1277" s="50">
        <v>0.0</v>
      </c>
      <c r="J1277" s="50">
        <v>0.0</v>
      </c>
      <c r="K1277" s="50">
        <v>0.0</v>
      </c>
      <c r="L1277" s="50">
        <v>0.0</v>
      </c>
      <c r="M1277" s="50">
        <v>0.0</v>
      </c>
      <c r="N1277" s="50">
        <v>0.0</v>
      </c>
      <c r="O1277" s="50">
        <v>7.425000000000001</v>
      </c>
      <c r="P1277" s="50">
        <v>0.0</v>
      </c>
      <c r="Q1277" s="50">
        <v>0.0</v>
      </c>
      <c r="R1277" s="50">
        <v>0.0</v>
      </c>
      <c r="S1277" s="50">
        <v>0.0</v>
      </c>
      <c r="T1277" s="50">
        <v>2.8125</v>
      </c>
      <c r="U1277" s="50">
        <v>0.0</v>
      </c>
      <c r="V1277" s="50">
        <v>0.0</v>
      </c>
      <c r="W1277" s="50">
        <v>0.0</v>
      </c>
      <c r="X1277" s="50">
        <v>2.8125</v>
      </c>
      <c r="Y1277" s="50">
        <v>13.05</v>
      </c>
    </row>
    <row r="1278">
      <c r="A1278" s="26">
        <v>1272.0</v>
      </c>
      <c r="B1278" s="65">
        <v>0.6837831422029934</v>
      </c>
      <c r="C1278" s="65">
        <v>-0.07048136652139667</v>
      </c>
      <c r="D1278" s="65">
        <v>-0.4345179166165296</v>
      </c>
      <c r="E1278" s="65">
        <v>0.1796607450653333</v>
      </c>
      <c r="F1278" s="65">
        <v>3.284346130538855</v>
      </c>
      <c r="G1278" s="50">
        <v>0.0</v>
      </c>
      <c r="H1278" s="50">
        <v>0.0</v>
      </c>
      <c r="I1278" s="50">
        <v>0.0</v>
      </c>
      <c r="J1278" s="50">
        <v>0.0</v>
      </c>
      <c r="K1278" s="50">
        <v>0.0</v>
      </c>
      <c r="L1278" s="50">
        <v>0.0</v>
      </c>
      <c r="M1278" s="50">
        <v>0.0</v>
      </c>
      <c r="N1278" s="50">
        <v>0.0</v>
      </c>
      <c r="O1278" s="50">
        <v>0.0</v>
      </c>
      <c r="P1278" s="50">
        <v>0.0</v>
      </c>
      <c r="Q1278" s="50">
        <v>0.0</v>
      </c>
      <c r="R1278" s="50">
        <v>0.0</v>
      </c>
      <c r="S1278" s="50">
        <v>0.0</v>
      </c>
      <c r="T1278" s="50">
        <v>2.8125</v>
      </c>
      <c r="U1278" s="50">
        <v>0.0</v>
      </c>
      <c r="V1278" s="50">
        <v>0.0</v>
      </c>
      <c r="W1278" s="50">
        <v>0.0</v>
      </c>
      <c r="X1278" s="50">
        <v>2.8125</v>
      </c>
      <c r="Y1278" s="50">
        <v>5.625</v>
      </c>
    </row>
    <row r="1279">
      <c r="A1279" s="26">
        <v>1273.0</v>
      </c>
      <c r="B1279" s="65">
        <v>-0.2529438509412961</v>
      </c>
      <c r="C1279" s="65">
        <v>0.3937003221479192</v>
      </c>
      <c r="D1279" s="65">
        <v>1.7838977360778054</v>
      </c>
      <c r="E1279" s="65">
        <v>0.09630804632542161</v>
      </c>
      <c r="F1279" s="65">
        <v>4.350396196586785</v>
      </c>
      <c r="G1279" s="50">
        <v>0.0</v>
      </c>
      <c r="H1279" s="50">
        <v>0.0</v>
      </c>
      <c r="I1279" s="50">
        <v>0.0</v>
      </c>
      <c r="J1279" s="50">
        <v>0.0</v>
      </c>
      <c r="K1279" s="50">
        <v>0.0</v>
      </c>
      <c r="L1279" s="50">
        <v>0.0</v>
      </c>
      <c r="M1279" s="50">
        <v>0.0</v>
      </c>
      <c r="N1279" s="50">
        <v>0.0</v>
      </c>
      <c r="O1279" s="50">
        <v>0.0</v>
      </c>
      <c r="P1279" s="50">
        <v>0.0</v>
      </c>
      <c r="Q1279" s="50">
        <v>0.0</v>
      </c>
      <c r="R1279" s="50">
        <v>0.0</v>
      </c>
      <c r="S1279" s="50">
        <v>0.0</v>
      </c>
      <c r="T1279" s="50">
        <v>2.8125</v>
      </c>
      <c r="U1279" s="50">
        <v>0.0</v>
      </c>
      <c r="V1279" s="50">
        <v>0.0</v>
      </c>
      <c r="W1279" s="50">
        <v>0.0</v>
      </c>
      <c r="X1279" s="50">
        <v>2.8125</v>
      </c>
      <c r="Y1279" s="50">
        <v>5.625</v>
      </c>
    </row>
    <row r="1280">
      <c r="A1280" s="26">
        <v>1274.0</v>
      </c>
      <c r="B1280" s="65">
        <v>-0.5071954479871235</v>
      </c>
      <c r="C1280" s="65">
        <v>0.6621134128571076</v>
      </c>
      <c r="D1280" s="65">
        <v>-0.46359752140439164</v>
      </c>
      <c r="E1280" s="65">
        <v>0.3835217035712393</v>
      </c>
      <c r="F1280" s="65">
        <v>4.825975773001897</v>
      </c>
      <c r="G1280" s="50">
        <v>0.0</v>
      </c>
      <c r="H1280" s="50">
        <v>0.0</v>
      </c>
      <c r="I1280" s="50">
        <v>0.0</v>
      </c>
      <c r="J1280" s="50">
        <v>0.0</v>
      </c>
      <c r="K1280" s="50">
        <v>0.0</v>
      </c>
      <c r="L1280" s="50">
        <v>0.0</v>
      </c>
      <c r="M1280" s="50">
        <v>0.0</v>
      </c>
      <c r="N1280" s="50">
        <v>0.0</v>
      </c>
      <c r="O1280" s="50">
        <v>0.0</v>
      </c>
      <c r="P1280" s="50">
        <v>0.0</v>
      </c>
      <c r="Q1280" s="50">
        <v>0.0</v>
      </c>
      <c r="R1280" s="50">
        <v>0.0</v>
      </c>
      <c r="S1280" s="50">
        <v>0.0</v>
      </c>
      <c r="T1280" s="50">
        <v>2.8125</v>
      </c>
      <c r="U1280" s="50">
        <v>0.0</v>
      </c>
      <c r="V1280" s="50">
        <v>0.0</v>
      </c>
      <c r="W1280" s="50">
        <v>4.95</v>
      </c>
      <c r="X1280" s="50">
        <v>2.8125</v>
      </c>
      <c r="Y1280" s="50">
        <v>10.575</v>
      </c>
    </row>
    <row r="1281">
      <c r="A1281" s="26">
        <v>1275.0</v>
      </c>
      <c r="B1281" s="65">
        <v>0.6838105256137855</v>
      </c>
      <c r="C1281" s="65">
        <v>1.2109884708223275</v>
      </c>
      <c r="D1281" s="65">
        <v>1.40756076265132</v>
      </c>
      <c r="E1281" s="65">
        <v>-0.21652592348813957</v>
      </c>
      <c r="F1281" s="65">
        <v>1.8276833129479702</v>
      </c>
      <c r="G1281" s="50">
        <v>0.0</v>
      </c>
      <c r="H1281" s="50">
        <v>0.0</v>
      </c>
      <c r="I1281" s="50">
        <v>0.0</v>
      </c>
      <c r="J1281" s="50">
        <v>0.0</v>
      </c>
      <c r="K1281" s="50">
        <v>0.0</v>
      </c>
      <c r="L1281" s="50">
        <v>0.0</v>
      </c>
      <c r="M1281" s="50">
        <v>0.0</v>
      </c>
      <c r="N1281" s="50">
        <v>0.0</v>
      </c>
      <c r="O1281" s="50">
        <v>0.0</v>
      </c>
      <c r="P1281" s="50">
        <v>0.0</v>
      </c>
      <c r="Q1281" s="50">
        <v>0.0</v>
      </c>
      <c r="R1281" s="50">
        <v>0.0</v>
      </c>
      <c r="S1281" s="50">
        <v>0.0</v>
      </c>
      <c r="T1281" s="50">
        <v>2.8125</v>
      </c>
      <c r="U1281" s="50">
        <v>0.0</v>
      </c>
      <c r="V1281" s="50">
        <v>0.0</v>
      </c>
      <c r="W1281" s="50">
        <v>0.0</v>
      </c>
      <c r="X1281" s="50">
        <v>2.8125</v>
      </c>
      <c r="Y1281" s="50">
        <v>5.625</v>
      </c>
    </row>
    <row r="1282">
      <c r="A1282" s="26">
        <v>1276.0</v>
      </c>
      <c r="B1282" s="65">
        <v>1.4348528269515466</v>
      </c>
      <c r="C1282" s="65">
        <v>-1.0264486171737401</v>
      </c>
      <c r="D1282" s="65">
        <v>-0.23877713313070373</v>
      </c>
      <c r="E1282" s="65">
        <v>0.2867605801401375</v>
      </c>
      <c r="F1282" s="65">
        <v>4.345268251451795</v>
      </c>
      <c r="G1282" s="50">
        <v>0.0</v>
      </c>
      <c r="H1282" s="50">
        <v>0.0</v>
      </c>
      <c r="I1282" s="50">
        <v>0.0</v>
      </c>
      <c r="J1282" s="50">
        <v>0.0</v>
      </c>
      <c r="K1282" s="50">
        <v>0.0</v>
      </c>
      <c r="L1282" s="50">
        <v>0.0</v>
      </c>
      <c r="M1282" s="50">
        <v>0.0</v>
      </c>
      <c r="N1282" s="50">
        <v>0.0</v>
      </c>
      <c r="O1282" s="50">
        <v>0.0</v>
      </c>
      <c r="P1282" s="50">
        <v>0.0</v>
      </c>
      <c r="Q1282" s="50">
        <v>0.0</v>
      </c>
      <c r="R1282" s="50">
        <v>0.0</v>
      </c>
      <c r="S1282" s="50">
        <v>0.0</v>
      </c>
      <c r="T1282" s="50">
        <v>2.8125</v>
      </c>
      <c r="U1282" s="50">
        <v>0.0</v>
      </c>
      <c r="V1282" s="50">
        <v>0.0</v>
      </c>
      <c r="W1282" s="50">
        <v>0.0</v>
      </c>
      <c r="X1282" s="50">
        <v>2.8125</v>
      </c>
      <c r="Y1282" s="50">
        <v>5.625</v>
      </c>
    </row>
    <row r="1283">
      <c r="A1283" s="26">
        <v>1277.0</v>
      </c>
      <c r="B1283" s="65">
        <v>-0.4371318294132564</v>
      </c>
      <c r="C1283" s="65">
        <v>-1.2934226374937785</v>
      </c>
      <c r="D1283" s="65">
        <v>0.7098779369966205</v>
      </c>
      <c r="E1283" s="65">
        <v>2.964920285539481</v>
      </c>
      <c r="F1283" s="65">
        <v>5.3365446913536</v>
      </c>
      <c r="G1283" s="50">
        <v>0.0</v>
      </c>
      <c r="H1283" s="50">
        <v>0.0</v>
      </c>
      <c r="I1283" s="50">
        <v>0.0</v>
      </c>
      <c r="J1283" s="50">
        <v>0.0</v>
      </c>
      <c r="K1283" s="50">
        <v>0.0</v>
      </c>
      <c r="L1283" s="50">
        <v>0.0</v>
      </c>
      <c r="M1283" s="50">
        <v>0.0</v>
      </c>
      <c r="N1283" s="50">
        <v>0.0</v>
      </c>
      <c r="O1283" s="50">
        <v>0.0</v>
      </c>
      <c r="P1283" s="50">
        <v>0.0</v>
      </c>
      <c r="Q1283" s="50">
        <v>0.0</v>
      </c>
      <c r="R1283" s="50">
        <v>0.0</v>
      </c>
      <c r="S1283" s="50">
        <v>0.0</v>
      </c>
      <c r="T1283" s="50">
        <v>2.8125</v>
      </c>
      <c r="U1283" s="50">
        <v>0.0</v>
      </c>
      <c r="V1283" s="50">
        <v>0.0</v>
      </c>
      <c r="W1283" s="50">
        <v>0.0</v>
      </c>
      <c r="X1283" s="50">
        <v>2.8125</v>
      </c>
      <c r="Y1283" s="50">
        <v>5.625</v>
      </c>
    </row>
    <row r="1284">
      <c r="A1284" s="26">
        <v>1278.0</v>
      </c>
      <c r="B1284" s="65">
        <v>1.0235937802601862</v>
      </c>
      <c r="C1284" s="65">
        <v>-0.37346157605713126</v>
      </c>
      <c r="D1284" s="65">
        <v>0.8693250595205119</v>
      </c>
      <c r="E1284" s="65">
        <v>0.6081659307372109</v>
      </c>
      <c r="F1284" s="65">
        <v>8.232667706959148</v>
      </c>
      <c r="G1284" s="50">
        <v>0.0</v>
      </c>
      <c r="H1284" s="50">
        <v>0.0</v>
      </c>
      <c r="I1284" s="50">
        <v>0.0</v>
      </c>
      <c r="J1284" s="50">
        <v>0.0</v>
      </c>
      <c r="K1284" s="50">
        <v>0.0</v>
      </c>
      <c r="L1284" s="50">
        <v>0.0</v>
      </c>
      <c r="M1284" s="50">
        <v>0.0</v>
      </c>
      <c r="N1284" s="50">
        <v>0.0</v>
      </c>
      <c r="O1284" s="50">
        <v>0.0</v>
      </c>
      <c r="P1284" s="50">
        <v>0.0</v>
      </c>
      <c r="Q1284" s="50">
        <v>0.0</v>
      </c>
      <c r="R1284" s="50">
        <v>0.0</v>
      </c>
      <c r="S1284" s="50">
        <v>0.0</v>
      </c>
      <c r="T1284" s="50">
        <v>2.8125</v>
      </c>
      <c r="U1284" s="50">
        <v>0.0</v>
      </c>
      <c r="V1284" s="50">
        <v>0.0</v>
      </c>
      <c r="W1284" s="50">
        <v>0.0</v>
      </c>
      <c r="X1284" s="50">
        <v>2.8125</v>
      </c>
      <c r="Y1284" s="50">
        <v>5.625</v>
      </c>
    </row>
    <row r="1285">
      <c r="A1285" s="26">
        <v>1279.0</v>
      </c>
      <c r="B1285" s="65">
        <v>0.31175412834781285</v>
      </c>
      <c r="C1285" s="65">
        <v>0.9193764256940606</v>
      </c>
      <c r="D1285" s="65">
        <v>-0.9866983422656952</v>
      </c>
      <c r="E1285" s="65">
        <v>0.4023229840702282</v>
      </c>
      <c r="F1285" s="65">
        <v>6.983730860953191</v>
      </c>
      <c r="G1285" s="50">
        <v>0.0</v>
      </c>
      <c r="H1285" s="50">
        <v>0.0</v>
      </c>
      <c r="I1285" s="50">
        <v>0.0</v>
      </c>
      <c r="J1285" s="50">
        <v>0.0</v>
      </c>
      <c r="K1285" s="50">
        <v>0.0</v>
      </c>
      <c r="L1285" s="50">
        <v>0.0</v>
      </c>
      <c r="M1285" s="50">
        <v>0.0</v>
      </c>
      <c r="N1285" s="50">
        <v>0.0</v>
      </c>
      <c r="O1285" s="50">
        <v>0.0</v>
      </c>
      <c r="P1285" s="50">
        <v>0.0</v>
      </c>
      <c r="Q1285" s="50">
        <v>0.0</v>
      </c>
      <c r="R1285" s="50">
        <v>0.0</v>
      </c>
      <c r="S1285" s="50">
        <v>0.0</v>
      </c>
      <c r="T1285" s="50">
        <v>2.8125</v>
      </c>
      <c r="U1285" s="50">
        <v>0.0</v>
      </c>
      <c r="V1285" s="50">
        <v>5.625</v>
      </c>
      <c r="W1285" s="50">
        <v>0.0</v>
      </c>
      <c r="X1285" s="50">
        <v>2.8125</v>
      </c>
      <c r="Y1285" s="50">
        <v>11.25</v>
      </c>
    </row>
    <row r="1286">
      <c r="A1286" s="26">
        <v>1280.0</v>
      </c>
      <c r="B1286" s="65">
        <v>-0.34314170615989814</v>
      </c>
      <c r="C1286" s="65">
        <v>0.2380951368707496</v>
      </c>
      <c r="D1286" s="65">
        <v>-1.8568753760990089</v>
      </c>
      <c r="E1286" s="65">
        <v>0.6902434724760192</v>
      </c>
      <c r="F1286" s="65">
        <v>0.3706273387489318</v>
      </c>
      <c r="G1286" s="50">
        <v>0.0</v>
      </c>
      <c r="H1286" s="50">
        <v>0.0</v>
      </c>
      <c r="I1286" s="50">
        <v>0.0</v>
      </c>
      <c r="J1286" s="50">
        <v>0.0</v>
      </c>
      <c r="K1286" s="50">
        <v>0.0</v>
      </c>
      <c r="L1286" s="50">
        <v>0.0</v>
      </c>
      <c r="M1286" s="50">
        <v>0.0</v>
      </c>
      <c r="N1286" s="50">
        <v>0.0</v>
      </c>
      <c r="O1286" s="50">
        <v>0.0</v>
      </c>
      <c r="P1286" s="50">
        <v>2.475</v>
      </c>
      <c r="Q1286" s="50">
        <v>0.0</v>
      </c>
      <c r="R1286" s="50">
        <v>0.0</v>
      </c>
      <c r="S1286" s="50">
        <v>11.25</v>
      </c>
      <c r="T1286" s="50">
        <v>2.8125</v>
      </c>
      <c r="U1286" s="50">
        <v>0.0</v>
      </c>
      <c r="V1286" s="50">
        <v>0.0</v>
      </c>
      <c r="W1286" s="50">
        <v>4.95</v>
      </c>
      <c r="X1286" s="50">
        <v>2.8125</v>
      </c>
      <c r="Y1286" s="50">
        <v>24.3</v>
      </c>
    </row>
    <row r="1287">
      <c r="A1287" s="26">
        <v>1281.0</v>
      </c>
      <c r="B1287" s="65">
        <v>-0.4371604686956944</v>
      </c>
      <c r="C1287" s="65">
        <v>-1.2694906731643714</v>
      </c>
      <c r="D1287" s="65">
        <v>-0.4617371190827744</v>
      </c>
      <c r="E1287" s="65">
        <v>-0.15390271175866627</v>
      </c>
      <c r="F1287" s="65">
        <v>1.234228495951361</v>
      </c>
      <c r="G1287" s="50">
        <v>0.0</v>
      </c>
      <c r="H1287" s="50">
        <v>0.0</v>
      </c>
      <c r="I1287" s="50">
        <v>0.0</v>
      </c>
      <c r="J1287" s="50">
        <v>0.0</v>
      </c>
      <c r="K1287" s="50">
        <v>0.0</v>
      </c>
      <c r="L1287" s="50">
        <v>0.0</v>
      </c>
      <c r="M1287" s="50">
        <v>0.0</v>
      </c>
      <c r="N1287" s="50">
        <v>0.0</v>
      </c>
      <c r="O1287" s="50">
        <v>0.0</v>
      </c>
      <c r="P1287" s="50">
        <v>0.0</v>
      </c>
      <c r="Q1287" s="50">
        <v>0.0</v>
      </c>
      <c r="R1287" s="50">
        <v>9.9</v>
      </c>
      <c r="S1287" s="50">
        <v>0.0</v>
      </c>
      <c r="T1287" s="50">
        <v>2.8125</v>
      </c>
      <c r="U1287" s="50">
        <v>0.0</v>
      </c>
      <c r="V1287" s="50">
        <v>5.625</v>
      </c>
      <c r="W1287" s="50">
        <v>0.0</v>
      </c>
      <c r="X1287" s="50">
        <v>2.8125</v>
      </c>
      <c r="Y1287" s="50">
        <v>21.15</v>
      </c>
    </row>
    <row r="1288">
      <c r="A1288" s="26">
        <v>1282.0</v>
      </c>
      <c r="B1288" s="65">
        <v>0.09956380961662606</v>
      </c>
      <c r="C1288" s="65">
        <v>0.017185973713816135</v>
      </c>
      <c r="D1288" s="65">
        <v>-0.042572741124174265</v>
      </c>
      <c r="E1288" s="65">
        <v>-0.002747367145023912</v>
      </c>
      <c r="F1288" s="65">
        <v>4.76913947887865</v>
      </c>
      <c r="G1288" s="50">
        <v>0.0</v>
      </c>
      <c r="H1288" s="50">
        <v>0.0</v>
      </c>
      <c r="I1288" s="50">
        <v>0.0</v>
      </c>
      <c r="J1288" s="50">
        <v>0.0</v>
      </c>
      <c r="K1288" s="50">
        <v>0.0</v>
      </c>
      <c r="L1288" s="50">
        <v>0.0</v>
      </c>
      <c r="M1288" s="50">
        <v>0.0</v>
      </c>
      <c r="N1288" s="50">
        <v>0.0</v>
      </c>
      <c r="O1288" s="50">
        <v>0.0</v>
      </c>
      <c r="P1288" s="50">
        <v>2.475</v>
      </c>
      <c r="Q1288" s="50">
        <v>0.0</v>
      </c>
      <c r="R1288" s="50">
        <v>0.0</v>
      </c>
      <c r="S1288" s="50">
        <v>0.0</v>
      </c>
      <c r="T1288" s="50">
        <v>2.8125</v>
      </c>
      <c r="U1288" s="50">
        <v>0.0</v>
      </c>
      <c r="V1288" s="50">
        <v>0.0</v>
      </c>
      <c r="W1288" s="50">
        <v>0.0</v>
      </c>
      <c r="X1288" s="50">
        <v>2.8125</v>
      </c>
      <c r="Y1288" s="50">
        <v>8.1</v>
      </c>
    </row>
    <row r="1289">
      <c r="A1289" s="26">
        <v>1283.0</v>
      </c>
      <c r="B1289" s="65">
        <v>-0.22033201204859942</v>
      </c>
      <c r="C1289" s="65">
        <v>0.8114762999332041</v>
      </c>
      <c r="D1289" s="65">
        <v>-0.5651762836679829</v>
      </c>
      <c r="E1289" s="65">
        <v>-0.3920105703484973</v>
      </c>
      <c r="F1289" s="65">
        <v>4.491093557346337</v>
      </c>
      <c r="G1289" s="50">
        <v>0.0</v>
      </c>
      <c r="H1289" s="50">
        <v>0.0</v>
      </c>
      <c r="I1289" s="50">
        <v>0.0</v>
      </c>
      <c r="J1289" s="50">
        <v>0.0</v>
      </c>
      <c r="K1289" s="50">
        <v>0.0</v>
      </c>
      <c r="L1289" s="50">
        <v>0.0</v>
      </c>
      <c r="M1289" s="50">
        <v>0.0</v>
      </c>
      <c r="N1289" s="50">
        <v>0.0</v>
      </c>
      <c r="O1289" s="50">
        <v>7.425000000000001</v>
      </c>
      <c r="P1289" s="50">
        <v>0.0</v>
      </c>
      <c r="Q1289" s="50">
        <v>0.0</v>
      </c>
      <c r="R1289" s="50">
        <v>0.0</v>
      </c>
      <c r="S1289" s="50">
        <v>0.0</v>
      </c>
      <c r="T1289" s="50">
        <v>2.8125</v>
      </c>
      <c r="U1289" s="50">
        <v>0.0</v>
      </c>
      <c r="V1289" s="50">
        <v>0.0</v>
      </c>
      <c r="W1289" s="50">
        <v>0.0</v>
      </c>
      <c r="X1289" s="50">
        <v>2.8125</v>
      </c>
      <c r="Y1289" s="50">
        <v>13.05</v>
      </c>
    </row>
    <row r="1290">
      <c r="A1290" s="26">
        <v>1284.0</v>
      </c>
      <c r="B1290" s="65">
        <v>-0.5109212279261371</v>
      </c>
      <c r="C1290" s="65">
        <v>0.19989612124553366</v>
      </c>
      <c r="D1290" s="65">
        <v>0.5381823528096868</v>
      </c>
      <c r="E1290" s="65">
        <v>0.8689647638644891</v>
      </c>
      <c r="F1290" s="65">
        <v>8.268660676568265</v>
      </c>
      <c r="G1290" s="50">
        <v>0.0</v>
      </c>
      <c r="H1290" s="50">
        <v>0.0</v>
      </c>
      <c r="I1290" s="50">
        <v>0.0</v>
      </c>
      <c r="J1290" s="50">
        <v>0.0</v>
      </c>
      <c r="K1290" s="50">
        <v>0.0</v>
      </c>
      <c r="L1290" s="50">
        <v>0.0</v>
      </c>
      <c r="M1290" s="50">
        <v>0.0</v>
      </c>
      <c r="N1290" s="50">
        <v>0.0</v>
      </c>
      <c r="O1290" s="50">
        <v>0.0</v>
      </c>
      <c r="P1290" s="50">
        <v>0.0</v>
      </c>
      <c r="Q1290" s="50">
        <v>0.0</v>
      </c>
      <c r="R1290" s="50">
        <v>0.0</v>
      </c>
      <c r="S1290" s="50">
        <v>0.0</v>
      </c>
      <c r="T1290" s="50">
        <v>2.8125</v>
      </c>
      <c r="U1290" s="50">
        <v>0.0</v>
      </c>
      <c r="V1290" s="50">
        <v>0.0</v>
      </c>
      <c r="W1290" s="50">
        <v>0.0</v>
      </c>
      <c r="X1290" s="50">
        <v>2.8125</v>
      </c>
      <c r="Y1290" s="50">
        <v>5.625</v>
      </c>
    </row>
    <row r="1291">
      <c r="A1291" s="26">
        <v>1285.0</v>
      </c>
      <c r="B1291" s="65">
        <v>-0.5185926358312505</v>
      </c>
      <c r="C1291" s="65">
        <v>-0.5873893942710262</v>
      </c>
      <c r="D1291" s="65">
        <v>-0.6233023698361562</v>
      </c>
      <c r="E1291" s="65">
        <v>-0.2441771813225688</v>
      </c>
      <c r="F1291" s="65">
        <v>1.0100941224465632</v>
      </c>
      <c r="G1291" s="50">
        <v>9.0</v>
      </c>
      <c r="H1291" s="50">
        <v>0.0</v>
      </c>
      <c r="I1291" s="50">
        <v>0.0</v>
      </c>
      <c r="J1291" s="50">
        <v>0.0</v>
      </c>
      <c r="K1291" s="50">
        <v>0.0</v>
      </c>
      <c r="L1291" s="50">
        <v>0.0</v>
      </c>
      <c r="M1291" s="50">
        <v>0.0</v>
      </c>
      <c r="N1291" s="50">
        <v>0.0</v>
      </c>
      <c r="O1291" s="50">
        <v>0.0</v>
      </c>
      <c r="P1291" s="50">
        <v>2.475</v>
      </c>
      <c r="Q1291" s="50">
        <v>0.0</v>
      </c>
      <c r="R1291" s="50">
        <v>0.0</v>
      </c>
      <c r="S1291" s="50">
        <v>0.0</v>
      </c>
      <c r="T1291" s="50">
        <v>2.8125</v>
      </c>
      <c r="U1291" s="50">
        <v>9.9</v>
      </c>
      <c r="V1291" s="50">
        <v>0.0</v>
      </c>
      <c r="W1291" s="50">
        <v>0.0</v>
      </c>
      <c r="X1291" s="50">
        <v>2.8125</v>
      </c>
      <c r="Y1291" s="50">
        <v>27.0</v>
      </c>
    </row>
    <row r="1292">
      <c r="A1292" s="26">
        <v>1286.0</v>
      </c>
      <c r="B1292" s="65">
        <v>-1.1154395262946115</v>
      </c>
      <c r="C1292" s="65">
        <v>0.048456908629558995</v>
      </c>
      <c r="D1292" s="65">
        <v>0.3168585186699595</v>
      </c>
      <c r="E1292" s="65">
        <v>-1.0428612784746385</v>
      </c>
      <c r="F1292" s="65">
        <v>11.695133881767756</v>
      </c>
      <c r="G1292" s="50">
        <v>0.0</v>
      </c>
      <c r="H1292" s="50">
        <v>0.0</v>
      </c>
      <c r="I1292" s="50">
        <v>0.0</v>
      </c>
      <c r="J1292" s="50">
        <v>0.0</v>
      </c>
      <c r="K1292" s="50">
        <v>0.0</v>
      </c>
      <c r="L1292" s="50">
        <v>0.0</v>
      </c>
      <c r="M1292" s="50">
        <v>0.0</v>
      </c>
      <c r="N1292" s="50">
        <v>0.0</v>
      </c>
      <c r="O1292" s="50">
        <v>0.0</v>
      </c>
      <c r="P1292" s="50">
        <v>0.0</v>
      </c>
      <c r="Q1292" s="50">
        <v>0.0</v>
      </c>
      <c r="R1292" s="50">
        <v>0.0</v>
      </c>
      <c r="S1292" s="50">
        <v>0.0</v>
      </c>
      <c r="T1292" s="50">
        <v>2.8125</v>
      </c>
      <c r="U1292" s="50">
        <v>0.0</v>
      </c>
      <c r="V1292" s="50">
        <v>0.0</v>
      </c>
      <c r="W1292" s="50">
        <v>0.0</v>
      </c>
      <c r="X1292" s="50">
        <v>2.8125</v>
      </c>
      <c r="Y1292" s="50">
        <v>5.625</v>
      </c>
    </row>
    <row r="1293">
      <c r="A1293" s="26">
        <v>1287.0</v>
      </c>
      <c r="B1293" s="65">
        <v>-0.4595724998234994</v>
      </c>
      <c r="C1293" s="65">
        <v>2.5060242941769206</v>
      </c>
      <c r="D1293" s="65">
        <v>0.5746105647401006</v>
      </c>
      <c r="E1293" s="65">
        <v>-0.6287583532082014</v>
      </c>
      <c r="F1293" s="65">
        <v>4.850032080336117</v>
      </c>
      <c r="G1293" s="50">
        <v>0.0</v>
      </c>
      <c r="H1293" s="50">
        <v>0.0</v>
      </c>
      <c r="I1293" s="50">
        <v>0.0</v>
      </c>
      <c r="J1293" s="50">
        <v>0.0</v>
      </c>
      <c r="K1293" s="50">
        <v>0.0</v>
      </c>
      <c r="L1293" s="50">
        <v>0.0</v>
      </c>
      <c r="M1293" s="50">
        <v>0.0</v>
      </c>
      <c r="N1293" s="50">
        <v>0.0</v>
      </c>
      <c r="O1293" s="50">
        <v>0.0</v>
      </c>
      <c r="P1293" s="50">
        <v>0.0</v>
      </c>
      <c r="Q1293" s="50">
        <v>0.0</v>
      </c>
      <c r="R1293" s="50">
        <v>0.0</v>
      </c>
      <c r="S1293" s="50">
        <v>0.0</v>
      </c>
      <c r="T1293" s="50">
        <v>2.8125</v>
      </c>
      <c r="U1293" s="50">
        <v>0.0</v>
      </c>
      <c r="V1293" s="50">
        <v>0.0</v>
      </c>
      <c r="W1293" s="50">
        <v>0.0</v>
      </c>
      <c r="X1293" s="50">
        <v>2.8125</v>
      </c>
      <c r="Y1293" s="50">
        <v>5.625</v>
      </c>
    </row>
    <row r="1294">
      <c r="A1294" s="26">
        <v>1288.0</v>
      </c>
      <c r="B1294" s="65">
        <v>-2.260280187237171</v>
      </c>
      <c r="C1294" s="65">
        <v>-0.34393564467405663</v>
      </c>
      <c r="D1294" s="65">
        <v>-0.9095831138849764</v>
      </c>
      <c r="E1294" s="65">
        <v>-2.232978480976864</v>
      </c>
      <c r="F1294" s="65">
        <v>3.188436895670762</v>
      </c>
      <c r="G1294" s="50">
        <v>0.0</v>
      </c>
      <c r="H1294" s="50">
        <v>0.0</v>
      </c>
      <c r="I1294" s="50">
        <v>0.0</v>
      </c>
      <c r="J1294" s="50">
        <v>0.0</v>
      </c>
      <c r="K1294" s="50">
        <v>0.0</v>
      </c>
      <c r="L1294" s="50">
        <v>0.0</v>
      </c>
      <c r="M1294" s="50">
        <v>0.0</v>
      </c>
      <c r="N1294" s="50">
        <v>0.0</v>
      </c>
      <c r="O1294" s="50">
        <v>7.425000000000001</v>
      </c>
      <c r="P1294" s="50">
        <v>2.475</v>
      </c>
      <c r="Q1294" s="50">
        <v>0.0</v>
      </c>
      <c r="R1294" s="50">
        <v>0.0</v>
      </c>
      <c r="S1294" s="50">
        <v>0.0</v>
      </c>
      <c r="T1294" s="50">
        <v>2.8125</v>
      </c>
      <c r="U1294" s="50">
        <v>0.0</v>
      </c>
      <c r="V1294" s="50">
        <v>5.625</v>
      </c>
      <c r="W1294" s="50">
        <v>4.95</v>
      </c>
      <c r="X1294" s="50">
        <v>2.8125</v>
      </c>
      <c r="Y1294" s="50">
        <v>26.099999999999998</v>
      </c>
    </row>
    <row r="1295">
      <c r="A1295" s="26">
        <v>1289.0</v>
      </c>
      <c r="B1295" s="65">
        <v>-0.8578556887665791</v>
      </c>
      <c r="C1295" s="65">
        <v>-2.509783817599725</v>
      </c>
      <c r="D1295" s="65">
        <v>-1.5623051905033236</v>
      </c>
      <c r="E1295" s="65">
        <v>-0.21450979524826866</v>
      </c>
      <c r="F1295" s="65">
        <v>4.158223107530829</v>
      </c>
      <c r="G1295" s="50">
        <v>0.0</v>
      </c>
      <c r="H1295" s="50">
        <v>0.0</v>
      </c>
      <c r="I1295" s="50">
        <v>0.0</v>
      </c>
      <c r="J1295" s="50">
        <v>0.0</v>
      </c>
      <c r="K1295" s="50">
        <v>0.0</v>
      </c>
      <c r="L1295" s="50">
        <v>0.0</v>
      </c>
      <c r="M1295" s="50">
        <v>0.0</v>
      </c>
      <c r="N1295" s="50">
        <v>0.0</v>
      </c>
      <c r="O1295" s="50">
        <v>7.425000000000001</v>
      </c>
      <c r="P1295" s="50">
        <v>2.475</v>
      </c>
      <c r="Q1295" s="50">
        <v>0.0</v>
      </c>
      <c r="R1295" s="50">
        <v>0.0</v>
      </c>
      <c r="S1295" s="50">
        <v>0.0</v>
      </c>
      <c r="T1295" s="50">
        <v>2.8125</v>
      </c>
      <c r="U1295" s="50">
        <v>9.9</v>
      </c>
      <c r="V1295" s="50">
        <v>0.0</v>
      </c>
      <c r="W1295" s="50">
        <v>0.0</v>
      </c>
      <c r="X1295" s="50">
        <v>2.8125</v>
      </c>
      <c r="Y1295" s="50">
        <v>25.425</v>
      </c>
    </row>
    <row r="1296">
      <c r="A1296" s="26">
        <v>1290.0</v>
      </c>
      <c r="B1296" s="65">
        <v>0.5123288652361382</v>
      </c>
      <c r="C1296" s="65">
        <v>-0.12806570173689455</v>
      </c>
      <c r="D1296" s="65">
        <v>0.6396155648033301</v>
      </c>
      <c r="E1296" s="65">
        <v>1.0124695711159122</v>
      </c>
      <c r="F1296" s="65">
        <v>7.158134623821624</v>
      </c>
      <c r="G1296" s="50">
        <v>0.0</v>
      </c>
      <c r="H1296" s="50">
        <v>0.0</v>
      </c>
      <c r="I1296" s="50">
        <v>0.0</v>
      </c>
      <c r="J1296" s="50">
        <v>0.0</v>
      </c>
      <c r="K1296" s="50">
        <v>0.0</v>
      </c>
      <c r="L1296" s="50">
        <v>0.0</v>
      </c>
      <c r="M1296" s="50">
        <v>0.0</v>
      </c>
      <c r="N1296" s="50">
        <v>0.0</v>
      </c>
      <c r="O1296" s="50">
        <v>0.0</v>
      </c>
      <c r="P1296" s="50">
        <v>0.0</v>
      </c>
      <c r="Q1296" s="50">
        <v>0.0</v>
      </c>
      <c r="R1296" s="50">
        <v>0.0</v>
      </c>
      <c r="S1296" s="50">
        <v>0.0</v>
      </c>
      <c r="T1296" s="50">
        <v>2.8125</v>
      </c>
      <c r="U1296" s="50">
        <v>0.0</v>
      </c>
      <c r="V1296" s="50">
        <v>0.0</v>
      </c>
      <c r="W1296" s="50">
        <v>0.0</v>
      </c>
      <c r="X1296" s="50">
        <v>2.8125</v>
      </c>
      <c r="Y1296" s="50">
        <v>5.625</v>
      </c>
    </row>
    <row r="1297">
      <c r="A1297" s="26">
        <v>1291.0</v>
      </c>
      <c r="B1297" s="65">
        <v>-2.6865344745294775</v>
      </c>
      <c r="C1297" s="65">
        <v>1.3039723169900344</v>
      </c>
      <c r="D1297" s="65">
        <v>-0.05182064529052058</v>
      </c>
      <c r="E1297" s="65">
        <v>-2.4083711826619103</v>
      </c>
      <c r="F1297" s="65">
        <v>4.340929623879066</v>
      </c>
      <c r="G1297" s="50">
        <v>0.0</v>
      </c>
      <c r="H1297" s="50">
        <v>0.0</v>
      </c>
      <c r="I1297" s="50">
        <v>0.0</v>
      </c>
      <c r="J1297" s="50">
        <v>0.0</v>
      </c>
      <c r="K1297" s="50">
        <v>0.0</v>
      </c>
      <c r="L1297" s="50">
        <v>0.0</v>
      </c>
      <c r="M1297" s="50">
        <v>0.0</v>
      </c>
      <c r="N1297" s="50">
        <v>0.0</v>
      </c>
      <c r="O1297" s="50">
        <v>0.0</v>
      </c>
      <c r="P1297" s="50">
        <v>2.475</v>
      </c>
      <c r="Q1297" s="50">
        <v>0.0</v>
      </c>
      <c r="R1297" s="50">
        <v>0.0</v>
      </c>
      <c r="S1297" s="50">
        <v>0.0</v>
      </c>
      <c r="T1297" s="50">
        <v>2.8125</v>
      </c>
      <c r="U1297" s="50">
        <v>9.9</v>
      </c>
      <c r="V1297" s="50">
        <v>5.625</v>
      </c>
      <c r="W1297" s="50">
        <v>4.95</v>
      </c>
      <c r="X1297" s="50">
        <v>2.8125</v>
      </c>
      <c r="Y1297" s="50">
        <v>28.575</v>
      </c>
    </row>
    <row r="1298">
      <c r="A1298" s="26">
        <v>1292.0</v>
      </c>
      <c r="B1298" s="65">
        <v>0.293881328301813</v>
      </c>
      <c r="C1298" s="65">
        <v>-0.8066383163245123</v>
      </c>
      <c r="D1298" s="65">
        <v>-0.9241617596875897</v>
      </c>
      <c r="E1298" s="65">
        <v>-1.1288638546940122</v>
      </c>
      <c r="F1298" s="65">
        <v>12.086730984882902</v>
      </c>
      <c r="G1298" s="50">
        <v>0.0</v>
      </c>
      <c r="H1298" s="50">
        <v>0.0</v>
      </c>
      <c r="I1298" s="50">
        <v>0.0</v>
      </c>
      <c r="J1298" s="50">
        <v>0.0</v>
      </c>
      <c r="K1298" s="50">
        <v>0.0</v>
      </c>
      <c r="L1298" s="50">
        <v>0.0</v>
      </c>
      <c r="M1298" s="50">
        <v>0.0</v>
      </c>
      <c r="N1298" s="50">
        <v>0.0</v>
      </c>
      <c r="O1298" s="50">
        <v>7.425000000000001</v>
      </c>
      <c r="P1298" s="50">
        <v>0.0</v>
      </c>
      <c r="Q1298" s="50">
        <v>0.0</v>
      </c>
      <c r="R1298" s="50">
        <v>0.0</v>
      </c>
      <c r="S1298" s="50">
        <v>0.0</v>
      </c>
      <c r="T1298" s="50">
        <v>2.8125</v>
      </c>
      <c r="U1298" s="50">
        <v>0.0</v>
      </c>
      <c r="V1298" s="50">
        <v>0.0</v>
      </c>
      <c r="W1298" s="50">
        <v>0.0</v>
      </c>
      <c r="X1298" s="50">
        <v>2.8125</v>
      </c>
      <c r="Y1298" s="50">
        <v>13.05</v>
      </c>
    </row>
    <row r="1299">
      <c r="A1299" s="26">
        <v>1293.0</v>
      </c>
      <c r="B1299" s="65">
        <v>0.025065259890006117</v>
      </c>
      <c r="C1299" s="65">
        <v>-0.3955096795606802</v>
      </c>
      <c r="D1299" s="65">
        <v>1.3308039195677925</v>
      </c>
      <c r="E1299" s="65">
        <v>-1.0808671937511154</v>
      </c>
      <c r="F1299" s="65">
        <v>3.104930623543611</v>
      </c>
      <c r="G1299" s="50">
        <v>0.0</v>
      </c>
      <c r="H1299" s="50">
        <v>0.0</v>
      </c>
      <c r="I1299" s="50">
        <v>0.0</v>
      </c>
      <c r="J1299" s="50">
        <v>0.0</v>
      </c>
      <c r="K1299" s="50">
        <v>0.0</v>
      </c>
      <c r="L1299" s="50">
        <v>0.0</v>
      </c>
      <c r="M1299" s="50">
        <v>0.0</v>
      </c>
      <c r="N1299" s="50">
        <v>0.0</v>
      </c>
      <c r="O1299" s="50">
        <v>7.425000000000001</v>
      </c>
      <c r="P1299" s="50">
        <v>2.475</v>
      </c>
      <c r="Q1299" s="50">
        <v>0.0</v>
      </c>
      <c r="R1299" s="50">
        <v>0.0</v>
      </c>
      <c r="S1299" s="50">
        <v>0.0</v>
      </c>
      <c r="T1299" s="50">
        <v>2.8125</v>
      </c>
      <c r="U1299" s="50">
        <v>0.0</v>
      </c>
      <c r="V1299" s="50">
        <v>5.625</v>
      </c>
      <c r="W1299" s="50">
        <v>4.95</v>
      </c>
      <c r="X1299" s="50">
        <v>2.8125</v>
      </c>
      <c r="Y1299" s="50">
        <v>26.099999999999998</v>
      </c>
    </row>
    <row r="1300">
      <c r="A1300" s="26">
        <v>1294.0</v>
      </c>
      <c r="B1300" s="65">
        <v>0.6986173321302191</v>
      </c>
      <c r="C1300" s="65">
        <v>-1.594559473313216</v>
      </c>
      <c r="D1300" s="65">
        <v>-0.43442348357537564</v>
      </c>
      <c r="E1300" s="65">
        <v>-1.0281216561902855</v>
      </c>
      <c r="F1300" s="65">
        <v>6.999975377554494</v>
      </c>
      <c r="G1300" s="50">
        <v>0.0</v>
      </c>
      <c r="H1300" s="50">
        <v>0.0</v>
      </c>
      <c r="I1300" s="50">
        <v>0.0</v>
      </c>
      <c r="J1300" s="50">
        <v>0.0</v>
      </c>
      <c r="K1300" s="50">
        <v>0.0</v>
      </c>
      <c r="L1300" s="50">
        <v>0.0</v>
      </c>
      <c r="M1300" s="50">
        <v>0.0</v>
      </c>
      <c r="N1300" s="50">
        <v>0.0</v>
      </c>
      <c r="O1300" s="50">
        <v>0.0</v>
      </c>
      <c r="P1300" s="50">
        <v>0.0</v>
      </c>
      <c r="Q1300" s="50">
        <v>0.0</v>
      </c>
      <c r="R1300" s="50">
        <v>0.0</v>
      </c>
      <c r="S1300" s="50">
        <v>0.0</v>
      </c>
      <c r="T1300" s="50">
        <v>2.8125</v>
      </c>
      <c r="U1300" s="50">
        <v>0.0</v>
      </c>
      <c r="V1300" s="50">
        <v>0.0</v>
      </c>
      <c r="W1300" s="50">
        <v>0.0</v>
      </c>
      <c r="X1300" s="50">
        <v>2.8125</v>
      </c>
      <c r="Y1300" s="50">
        <v>5.625</v>
      </c>
    </row>
    <row r="1301">
      <c r="A1301" s="26">
        <v>1295.0</v>
      </c>
      <c r="B1301" s="65">
        <v>2.585184056625595</v>
      </c>
      <c r="C1301" s="65">
        <v>-1.1683127581991573</v>
      </c>
      <c r="D1301" s="65">
        <v>1.3012694811140173</v>
      </c>
      <c r="E1301" s="65">
        <v>-0.2739349586918128</v>
      </c>
      <c r="F1301" s="65">
        <v>3.3358637829901676</v>
      </c>
      <c r="G1301" s="50">
        <v>0.0</v>
      </c>
      <c r="H1301" s="50">
        <v>0.0</v>
      </c>
      <c r="I1301" s="50">
        <v>0.0</v>
      </c>
      <c r="J1301" s="50">
        <v>0.0</v>
      </c>
      <c r="K1301" s="50">
        <v>0.0</v>
      </c>
      <c r="L1301" s="50">
        <v>0.0</v>
      </c>
      <c r="M1301" s="50">
        <v>0.0</v>
      </c>
      <c r="N1301" s="50">
        <v>0.0</v>
      </c>
      <c r="O1301" s="50">
        <v>0.0</v>
      </c>
      <c r="P1301" s="50">
        <v>0.0</v>
      </c>
      <c r="Q1301" s="50">
        <v>0.0</v>
      </c>
      <c r="R1301" s="50">
        <v>0.0</v>
      </c>
      <c r="S1301" s="50">
        <v>0.0</v>
      </c>
      <c r="T1301" s="50">
        <v>0.0</v>
      </c>
      <c r="U1301" s="50">
        <v>0.0</v>
      </c>
      <c r="V1301" s="50">
        <v>0.0</v>
      </c>
      <c r="W1301" s="50">
        <v>0.0</v>
      </c>
      <c r="X1301" s="50">
        <v>2.8125</v>
      </c>
      <c r="Y1301" s="50">
        <v>2.8125</v>
      </c>
    </row>
    <row r="1302">
      <c r="A1302" s="26">
        <v>1296.0</v>
      </c>
      <c r="B1302" s="65">
        <v>-0.5987608618433985</v>
      </c>
      <c r="C1302" s="65">
        <v>-0.7746829383607834</v>
      </c>
      <c r="D1302" s="65">
        <v>0.7904329799270667</v>
      </c>
      <c r="E1302" s="65">
        <v>1.2680840932854192</v>
      </c>
      <c r="F1302" s="65">
        <v>6.61239754272664</v>
      </c>
      <c r="G1302" s="50">
        <v>0.0</v>
      </c>
      <c r="H1302" s="50">
        <v>0.0</v>
      </c>
      <c r="I1302" s="50">
        <v>0.0</v>
      </c>
      <c r="J1302" s="50">
        <v>0.0</v>
      </c>
      <c r="K1302" s="50">
        <v>0.0</v>
      </c>
      <c r="L1302" s="50">
        <v>0.0</v>
      </c>
      <c r="M1302" s="50">
        <v>0.0</v>
      </c>
      <c r="N1302" s="50">
        <v>0.0</v>
      </c>
      <c r="O1302" s="50">
        <v>7.425000000000001</v>
      </c>
      <c r="P1302" s="50">
        <v>2.475</v>
      </c>
      <c r="Q1302" s="50">
        <v>0.0</v>
      </c>
      <c r="R1302" s="50">
        <v>0.0</v>
      </c>
      <c r="S1302" s="50">
        <v>0.0</v>
      </c>
      <c r="T1302" s="50">
        <v>2.8125</v>
      </c>
      <c r="U1302" s="50">
        <v>0.0</v>
      </c>
      <c r="V1302" s="50">
        <v>5.625</v>
      </c>
      <c r="W1302" s="50">
        <v>0.0</v>
      </c>
      <c r="X1302" s="50">
        <v>2.8125</v>
      </c>
      <c r="Y1302" s="50">
        <v>21.15</v>
      </c>
    </row>
    <row r="1303">
      <c r="A1303" s="26">
        <v>1297.0</v>
      </c>
      <c r="B1303" s="65">
        <v>1.69947968827742</v>
      </c>
      <c r="C1303" s="65">
        <v>-0.4153694302117382</v>
      </c>
      <c r="D1303" s="65">
        <v>-0.42387845123598844</v>
      </c>
      <c r="E1303" s="65">
        <v>0.019024147424073757</v>
      </c>
      <c r="F1303" s="65">
        <v>8.682631956141766</v>
      </c>
      <c r="G1303" s="50">
        <v>0.0</v>
      </c>
      <c r="H1303" s="50">
        <v>0.0</v>
      </c>
      <c r="I1303" s="50">
        <v>0.0</v>
      </c>
      <c r="J1303" s="50">
        <v>0.0</v>
      </c>
      <c r="K1303" s="50">
        <v>0.0</v>
      </c>
      <c r="L1303" s="50">
        <v>0.0</v>
      </c>
      <c r="M1303" s="50">
        <v>0.0</v>
      </c>
      <c r="N1303" s="50">
        <v>0.0</v>
      </c>
      <c r="O1303" s="50">
        <v>0.0</v>
      </c>
      <c r="P1303" s="50">
        <v>0.0</v>
      </c>
      <c r="Q1303" s="50">
        <v>0.0</v>
      </c>
      <c r="R1303" s="50">
        <v>0.0</v>
      </c>
      <c r="S1303" s="50">
        <v>0.0</v>
      </c>
      <c r="T1303" s="50">
        <v>2.8125</v>
      </c>
      <c r="U1303" s="50">
        <v>0.0</v>
      </c>
      <c r="V1303" s="50">
        <v>0.0</v>
      </c>
      <c r="W1303" s="50">
        <v>0.0</v>
      </c>
      <c r="X1303" s="50">
        <v>2.8125</v>
      </c>
      <c r="Y1303" s="50">
        <v>5.625</v>
      </c>
    </row>
    <row r="1304">
      <c r="A1304" s="26">
        <v>1298.0</v>
      </c>
      <c r="B1304" s="65">
        <v>-1.7538578678777204</v>
      </c>
      <c r="C1304" s="65">
        <v>-0.277491049018364</v>
      </c>
      <c r="D1304" s="65">
        <v>1.081272096192413</v>
      </c>
      <c r="E1304" s="65">
        <v>0.8936466067028805</v>
      </c>
      <c r="F1304" s="65">
        <v>2.5349194509170827</v>
      </c>
      <c r="G1304" s="50">
        <v>0.0</v>
      </c>
      <c r="H1304" s="50">
        <v>0.0</v>
      </c>
      <c r="I1304" s="50">
        <v>0.0</v>
      </c>
      <c r="J1304" s="50">
        <v>0.0</v>
      </c>
      <c r="K1304" s="50">
        <v>0.0</v>
      </c>
      <c r="L1304" s="50">
        <v>0.0</v>
      </c>
      <c r="M1304" s="50">
        <v>0.0</v>
      </c>
      <c r="N1304" s="50">
        <v>0.0</v>
      </c>
      <c r="O1304" s="50">
        <v>7.425000000000001</v>
      </c>
      <c r="P1304" s="50">
        <v>0.0</v>
      </c>
      <c r="Q1304" s="50">
        <v>0.0</v>
      </c>
      <c r="R1304" s="50">
        <v>9.9</v>
      </c>
      <c r="S1304" s="50">
        <v>0.0</v>
      </c>
      <c r="T1304" s="50">
        <v>2.8125</v>
      </c>
      <c r="U1304" s="50">
        <v>0.0</v>
      </c>
      <c r="V1304" s="50">
        <v>5.625</v>
      </c>
      <c r="W1304" s="50">
        <v>4.95</v>
      </c>
      <c r="X1304" s="50">
        <v>2.8125</v>
      </c>
      <c r="Y1304" s="50">
        <v>33.525000000000006</v>
      </c>
    </row>
    <row r="1305">
      <c r="A1305" s="26">
        <v>1299.0</v>
      </c>
      <c r="B1305" s="65">
        <v>0.32899989705558924</v>
      </c>
      <c r="C1305" s="65">
        <v>-1.1777675969626047</v>
      </c>
      <c r="D1305" s="65">
        <v>-0.6155018834238324</v>
      </c>
      <c r="E1305" s="65">
        <v>0.07922979702815476</v>
      </c>
      <c r="F1305" s="65">
        <v>6.939056167931941</v>
      </c>
      <c r="G1305" s="50">
        <v>0.0</v>
      </c>
      <c r="H1305" s="50">
        <v>0.0</v>
      </c>
      <c r="I1305" s="50">
        <v>0.0</v>
      </c>
      <c r="J1305" s="50">
        <v>0.0</v>
      </c>
      <c r="K1305" s="50">
        <v>0.0</v>
      </c>
      <c r="L1305" s="50">
        <v>0.0</v>
      </c>
      <c r="M1305" s="50">
        <v>0.0</v>
      </c>
      <c r="N1305" s="50">
        <v>0.0</v>
      </c>
      <c r="O1305" s="50">
        <v>7.425000000000001</v>
      </c>
      <c r="P1305" s="50">
        <v>0.0</v>
      </c>
      <c r="Q1305" s="50">
        <v>0.0</v>
      </c>
      <c r="R1305" s="50">
        <v>0.0</v>
      </c>
      <c r="S1305" s="50">
        <v>0.0</v>
      </c>
      <c r="T1305" s="50">
        <v>2.8125</v>
      </c>
      <c r="U1305" s="50">
        <v>0.0</v>
      </c>
      <c r="V1305" s="50">
        <v>0.0</v>
      </c>
      <c r="W1305" s="50">
        <v>0.0</v>
      </c>
      <c r="X1305" s="50">
        <v>2.8125</v>
      </c>
      <c r="Y1305" s="50">
        <v>13.05</v>
      </c>
    </row>
    <row r="1306">
      <c r="A1306" s="26">
        <v>1300.0</v>
      </c>
      <c r="B1306" s="65">
        <v>-0.6381123582623918</v>
      </c>
      <c r="C1306" s="65">
        <v>-0.33310679974060975</v>
      </c>
      <c r="D1306" s="65">
        <v>0.7112557158695333</v>
      </c>
      <c r="E1306" s="65">
        <v>-0.2854718765010698</v>
      </c>
      <c r="F1306" s="65">
        <v>15.144670535432457</v>
      </c>
      <c r="G1306" s="50">
        <v>0.0</v>
      </c>
      <c r="H1306" s="50">
        <v>0.0</v>
      </c>
      <c r="I1306" s="50">
        <v>0.0</v>
      </c>
      <c r="J1306" s="50">
        <v>0.0</v>
      </c>
      <c r="K1306" s="50">
        <v>0.0</v>
      </c>
      <c r="L1306" s="50">
        <v>0.0</v>
      </c>
      <c r="M1306" s="50">
        <v>0.0</v>
      </c>
      <c r="N1306" s="50">
        <v>0.0</v>
      </c>
      <c r="O1306" s="50">
        <v>7.425000000000001</v>
      </c>
      <c r="P1306" s="50">
        <v>0.0</v>
      </c>
      <c r="Q1306" s="50">
        <v>0.0</v>
      </c>
      <c r="R1306" s="50">
        <v>0.0</v>
      </c>
      <c r="S1306" s="50">
        <v>0.0</v>
      </c>
      <c r="T1306" s="50">
        <v>2.8125</v>
      </c>
      <c r="U1306" s="50">
        <v>0.0</v>
      </c>
      <c r="V1306" s="50">
        <v>5.625</v>
      </c>
      <c r="W1306" s="50">
        <v>0.0</v>
      </c>
      <c r="X1306" s="50">
        <v>2.8125</v>
      </c>
      <c r="Y1306" s="50">
        <v>18.675</v>
      </c>
    </row>
    <row r="1307">
      <c r="A1307" s="26">
        <v>1301.0</v>
      </c>
      <c r="B1307" s="65">
        <v>-0.02078565694486131</v>
      </c>
      <c r="C1307" s="65">
        <v>-0.931903261338586</v>
      </c>
      <c r="D1307" s="65">
        <v>-0.6945878182660211</v>
      </c>
      <c r="E1307" s="65">
        <v>0.2705770838842207</v>
      </c>
      <c r="F1307" s="65">
        <v>3.5062655114630052</v>
      </c>
      <c r="G1307" s="50">
        <v>0.0</v>
      </c>
      <c r="H1307" s="50">
        <v>0.0</v>
      </c>
      <c r="I1307" s="50">
        <v>0.0</v>
      </c>
      <c r="J1307" s="50">
        <v>0.0</v>
      </c>
      <c r="K1307" s="50">
        <v>0.0</v>
      </c>
      <c r="L1307" s="50">
        <v>0.0</v>
      </c>
      <c r="M1307" s="50">
        <v>0.0</v>
      </c>
      <c r="N1307" s="50">
        <v>0.0</v>
      </c>
      <c r="O1307" s="50">
        <v>0.0</v>
      </c>
      <c r="P1307" s="50">
        <v>0.0</v>
      </c>
      <c r="Q1307" s="50">
        <v>0.0</v>
      </c>
      <c r="R1307" s="50">
        <v>9.9</v>
      </c>
      <c r="S1307" s="50">
        <v>0.0</v>
      </c>
      <c r="T1307" s="50">
        <v>2.8125</v>
      </c>
      <c r="U1307" s="50">
        <v>0.0</v>
      </c>
      <c r="V1307" s="50">
        <v>0.0</v>
      </c>
      <c r="W1307" s="50">
        <v>0.0</v>
      </c>
      <c r="X1307" s="50">
        <v>2.8125</v>
      </c>
      <c r="Y1307" s="50">
        <v>15.525</v>
      </c>
    </row>
    <row r="1308">
      <c r="A1308" s="26">
        <v>1302.0</v>
      </c>
      <c r="B1308" s="65">
        <v>-0.9488013916950161</v>
      </c>
      <c r="C1308" s="65">
        <v>0.2529853847818308</v>
      </c>
      <c r="D1308" s="65">
        <v>0.7226727400638006</v>
      </c>
      <c r="E1308" s="65">
        <v>0.6245034643144765</v>
      </c>
      <c r="F1308" s="65">
        <v>5.44506245516767</v>
      </c>
      <c r="G1308" s="50">
        <v>0.0</v>
      </c>
      <c r="H1308" s="50">
        <v>0.0</v>
      </c>
      <c r="I1308" s="50">
        <v>0.0</v>
      </c>
      <c r="J1308" s="50">
        <v>0.0</v>
      </c>
      <c r="K1308" s="50">
        <v>0.0</v>
      </c>
      <c r="L1308" s="50">
        <v>0.0</v>
      </c>
      <c r="M1308" s="50">
        <v>0.0</v>
      </c>
      <c r="N1308" s="50">
        <v>0.0</v>
      </c>
      <c r="O1308" s="50">
        <v>7.425000000000001</v>
      </c>
      <c r="P1308" s="50">
        <v>0.0</v>
      </c>
      <c r="Q1308" s="50">
        <v>0.0</v>
      </c>
      <c r="R1308" s="50">
        <v>0.0</v>
      </c>
      <c r="S1308" s="50">
        <v>0.0</v>
      </c>
      <c r="T1308" s="50">
        <v>2.8125</v>
      </c>
      <c r="U1308" s="50">
        <v>0.0</v>
      </c>
      <c r="V1308" s="50">
        <v>0.0</v>
      </c>
      <c r="W1308" s="50">
        <v>0.0</v>
      </c>
      <c r="X1308" s="50">
        <v>2.8125</v>
      </c>
      <c r="Y1308" s="50">
        <v>13.05</v>
      </c>
    </row>
    <row r="1309">
      <c r="A1309" s="26">
        <v>1303.0</v>
      </c>
      <c r="B1309" s="65">
        <v>-0.1625224078077329</v>
      </c>
      <c r="C1309" s="65">
        <v>-1.4406860288788876</v>
      </c>
      <c r="D1309" s="65">
        <v>-0.20897406589490142</v>
      </c>
      <c r="E1309" s="65">
        <v>-1.0273168955536505</v>
      </c>
      <c r="F1309" s="65">
        <v>1.141794143397751</v>
      </c>
      <c r="G1309" s="50">
        <v>0.0</v>
      </c>
      <c r="H1309" s="50">
        <v>0.0</v>
      </c>
      <c r="I1309" s="50">
        <v>0.0</v>
      </c>
      <c r="J1309" s="50">
        <v>0.0</v>
      </c>
      <c r="K1309" s="50">
        <v>0.0</v>
      </c>
      <c r="L1309" s="50">
        <v>0.0</v>
      </c>
      <c r="M1309" s="50">
        <v>0.0</v>
      </c>
      <c r="N1309" s="50">
        <v>0.0</v>
      </c>
      <c r="O1309" s="50">
        <v>7.425000000000001</v>
      </c>
      <c r="P1309" s="50">
        <v>2.475</v>
      </c>
      <c r="Q1309" s="50">
        <v>0.0</v>
      </c>
      <c r="R1309" s="50">
        <v>0.0</v>
      </c>
      <c r="S1309" s="50">
        <v>0.0</v>
      </c>
      <c r="T1309" s="50">
        <v>2.8125</v>
      </c>
      <c r="U1309" s="50">
        <v>0.0</v>
      </c>
      <c r="V1309" s="50">
        <v>5.625</v>
      </c>
      <c r="W1309" s="50">
        <v>0.0</v>
      </c>
      <c r="X1309" s="50">
        <v>2.8125</v>
      </c>
      <c r="Y1309" s="50">
        <v>21.15</v>
      </c>
    </row>
    <row r="1310">
      <c r="A1310" s="26">
        <v>1304.0</v>
      </c>
      <c r="B1310" s="65">
        <v>1.285467550923459</v>
      </c>
      <c r="C1310" s="65">
        <v>0.42804595574605975</v>
      </c>
      <c r="D1310" s="65">
        <v>-1.3529272898564269</v>
      </c>
      <c r="E1310" s="65">
        <v>1.6031170907504058</v>
      </c>
      <c r="F1310" s="65">
        <v>3.017423905073303</v>
      </c>
      <c r="G1310" s="50">
        <v>0.0</v>
      </c>
      <c r="H1310" s="50">
        <v>0.0</v>
      </c>
      <c r="I1310" s="50">
        <v>0.0</v>
      </c>
      <c r="J1310" s="50">
        <v>0.0</v>
      </c>
      <c r="K1310" s="50">
        <v>0.0</v>
      </c>
      <c r="L1310" s="50">
        <v>0.0</v>
      </c>
      <c r="M1310" s="50">
        <v>0.0</v>
      </c>
      <c r="N1310" s="50">
        <v>0.0</v>
      </c>
      <c r="O1310" s="50">
        <v>0.0</v>
      </c>
      <c r="P1310" s="50">
        <v>0.0</v>
      </c>
      <c r="Q1310" s="50">
        <v>0.0</v>
      </c>
      <c r="R1310" s="50">
        <v>0.0</v>
      </c>
      <c r="S1310" s="50">
        <v>0.0</v>
      </c>
      <c r="T1310" s="50">
        <v>2.8125</v>
      </c>
      <c r="U1310" s="50">
        <v>0.0</v>
      </c>
      <c r="V1310" s="50">
        <v>0.0</v>
      </c>
      <c r="W1310" s="50">
        <v>0.0</v>
      </c>
      <c r="X1310" s="50">
        <v>2.8125</v>
      </c>
      <c r="Y1310" s="50">
        <v>5.625</v>
      </c>
    </row>
    <row r="1311">
      <c r="A1311" s="26">
        <v>1305.0</v>
      </c>
      <c r="B1311" s="65">
        <v>-0.09167257142184697</v>
      </c>
      <c r="C1311" s="65">
        <v>0.393201676538664</v>
      </c>
      <c r="D1311" s="65">
        <v>1.3810158331401012</v>
      </c>
      <c r="E1311" s="65">
        <v>0.4950422570534348</v>
      </c>
      <c r="F1311" s="65">
        <v>1.471435537818974</v>
      </c>
      <c r="G1311" s="50">
        <v>0.0</v>
      </c>
      <c r="H1311" s="50">
        <v>0.0</v>
      </c>
      <c r="I1311" s="50">
        <v>0.0</v>
      </c>
      <c r="J1311" s="50">
        <v>0.0</v>
      </c>
      <c r="K1311" s="50">
        <v>0.0</v>
      </c>
      <c r="L1311" s="50">
        <v>0.0</v>
      </c>
      <c r="M1311" s="50">
        <v>0.0</v>
      </c>
      <c r="N1311" s="50">
        <v>0.0</v>
      </c>
      <c r="O1311" s="50">
        <v>0.0</v>
      </c>
      <c r="P1311" s="50">
        <v>0.0</v>
      </c>
      <c r="Q1311" s="50">
        <v>0.0</v>
      </c>
      <c r="R1311" s="50">
        <v>0.0</v>
      </c>
      <c r="S1311" s="50">
        <v>0.0</v>
      </c>
      <c r="T1311" s="50">
        <v>2.8125</v>
      </c>
      <c r="U1311" s="50">
        <v>0.0</v>
      </c>
      <c r="V1311" s="50">
        <v>5.625</v>
      </c>
      <c r="W1311" s="50">
        <v>0.0</v>
      </c>
      <c r="X1311" s="50">
        <v>2.8125</v>
      </c>
      <c r="Y1311" s="50">
        <v>11.25</v>
      </c>
    </row>
    <row r="1312">
      <c r="A1312" s="26">
        <v>1306.0</v>
      </c>
      <c r="B1312" s="65">
        <v>-0.6015978474359851</v>
      </c>
      <c r="C1312" s="65">
        <v>-0.577133719107191</v>
      </c>
      <c r="D1312" s="65">
        <v>0.7379139834664616</v>
      </c>
      <c r="E1312" s="65">
        <v>-0.6953544387465943</v>
      </c>
      <c r="F1312" s="65">
        <v>1.5797144091672584</v>
      </c>
      <c r="G1312" s="50">
        <v>0.0</v>
      </c>
      <c r="H1312" s="50">
        <v>0.0</v>
      </c>
      <c r="I1312" s="50">
        <v>0.0</v>
      </c>
      <c r="J1312" s="50">
        <v>0.0</v>
      </c>
      <c r="K1312" s="50">
        <v>0.0</v>
      </c>
      <c r="L1312" s="50">
        <v>0.0</v>
      </c>
      <c r="M1312" s="50">
        <v>0.0</v>
      </c>
      <c r="N1312" s="50">
        <v>0.0</v>
      </c>
      <c r="O1312" s="50">
        <v>0.0</v>
      </c>
      <c r="P1312" s="50">
        <v>0.0</v>
      </c>
      <c r="Q1312" s="50">
        <v>0.0</v>
      </c>
      <c r="R1312" s="50">
        <v>0.0</v>
      </c>
      <c r="S1312" s="50">
        <v>0.0</v>
      </c>
      <c r="T1312" s="50">
        <v>2.8125</v>
      </c>
      <c r="U1312" s="50">
        <v>0.0</v>
      </c>
      <c r="V1312" s="50">
        <v>0.0</v>
      </c>
      <c r="W1312" s="50">
        <v>4.95</v>
      </c>
      <c r="X1312" s="50">
        <v>2.8125</v>
      </c>
      <c r="Y1312" s="50">
        <v>10.575</v>
      </c>
    </row>
    <row r="1313">
      <c r="A1313" s="26">
        <v>1307.0</v>
      </c>
      <c r="B1313" s="65">
        <v>1.4077545995397807</v>
      </c>
      <c r="C1313" s="65">
        <v>-0.6273960810228459</v>
      </c>
      <c r="D1313" s="65">
        <v>0.41975749605145435</v>
      </c>
      <c r="E1313" s="65">
        <v>0.9153616391537672</v>
      </c>
      <c r="F1313" s="65">
        <v>2.789566742308235</v>
      </c>
      <c r="G1313" s="50">
        <v>0.0</v>
      </c>
      <c r="H1313" s="50">
        <v>0.0</v>
      </c>
      <c r="I1313" s="50">
        <v>0.0</v>
      </c>
      <c r="J1313" s="50">
        <v>0.0</v>
      </c>
      <c r="K1313" s="50">
        <v>0.0</v>
      </c>
      <c r="L1313" s="50">
        <v>0.0</v>
      </c>
      <c r="M1313" s="50">
        <v>0.0</v>
      </c>
      <c r="N1313" s="50">
        <v>0.0</v>
      </c>
      <c r="O1313" s="50">
        <v>0.0</v>
      </c>
      <c r="P1313" s="50">
        <v>0.0</v>
      </c>
      <c r="Q1313" s="50">
        <v>0.0</v>
      </c>
      <c r="R1313" s="50">
        <v>0.0</v>
      </c>
      <c r="S1313" s="50">
        <v>0.0</v>
      </c>
      <c r="T1313" s="50">
        <v>2.8125</v>
      </c>
      <c r="U1313" s="50">
        <v>0.0</v>
      </c>
      <c r="V1313" s="50">
        <v>0.0</v>
      </c>
      <c r="W1313" s="50">
        <v>0.0</v>
      </c>
      <c r="X1313" s="50">
        <v>2.8125</v>
      </c>
      <c r="Y1313" s="50">
        <v>5.625</v>
      </c>
    </row>
    <row r="1314">
      <c r="A1314" s="26">
        <v>1308.0</v>
      </c>
      <c r="B1314" s="65">
        <v>-0.2830138443700484</v>
      </c>
      <c r="C1314" s="65">
        <v>-0.11104198409570994</v>
      </c>
      <c r="D1314" s="65">
        <v>0.7394283576429149</v>
      </c>
      <c r="E1314" s="65">
        <v>0.22005808067427887</v>
      </c>
      <c r="F1314" s="65">
        <v>3.8473996473745737</v>
      </c>
      <c r="G1314" s="50">
        <v>0.0</v>
      </c>
      <c r="H1314" s="50">
        <v>0.0</v>
      </c>
      <c r="I1314" s="50">
        <v>0.0</v>
      </c>
      <c r="J1314" s="50">
        <v>0.0</v>
      </c>
      <c r="K1314" s="50">
        <v>0.0</v>
      </c>
      <c r="L1314" s="50">
        <v>0.0</v>
      </c>
      <c r="M1314" s="50">
        <v>0.0</v>
      </c>
      <c r="N1314" s="50">
        <v>0.0</v>
      </c>
      <c r="O1314" s="50">
        <v>0.0</v>
      </c>
      <c r="P1314" s="50">
        <v>0.0</v>
      </c>
      <c r="Q1314" s="50">
        <v>0.0</v>
      </c>
      <c r="R1314" s="50">
        <v>0.0</v>
      </c>
      <c r="S1314" s="50">
        <v>0.0</v>
      </c>
      <c r="T1314" s="50">
        <v>2.8125</v>
      </c>
      <c r="U1314" s="50">
        <v>0.0</v>
      </c>
      <c r="V1314" s="50">
        <v>5.625</v>
      </c>
      <c r="W1314" s="50">
        <v>0.0</v>
      </c>
      <c r="X1314" s="50">
        <v>2.8125</v>
      </c>
      <c r="Y1314" s="50">
        <v>11.25</v>
      </c>
    </row>
    <row r="1315">
      <c r="A1315" s="26">
        <v>1309.0</v>
      </c>
      <c r="B1315" s="65">
        <v>-0.10666235017183744</v>
      </c>
      <c r="C1315" s="65">
        <v>-3.5362994384061506</v>
      </c>
      <c r="D1315" s="65">
        <v>1.0072458597911893</v>
      </c>
      <c r="E1315" s="65">
        <v>-1.5258311846052661</v>
      </c>
      <c r="F1315" s="65">
        <v>2.0680581175739845</v>
      </c>
      <c r="G1315" s="50">
        <v>0.0</v>
      </c>
      <c r="H1315" s="50">
        <v>0.0</v>
      </c>
      <c r="I1315" s="50">
        <v>0.0</v>
      </c>
      <c r="J1315" s="50">
        <v>0.0</v>
      </c>
      <c r="K1315" s="50">
        <v>0.0</v>
      </c>
      <c r="L1315" s="50">
        <v>0.0</v>
      </c>
      <c r="M1315" s="50">
        <v>0.0</v>
      </c>
      <c r="N1315" s="50">
        <v>0.0</v>
      </c>
      <c r="O1315" s="50">
        <v>7.425000000000001</v>
      </c>
      <c r="P1315" s="50">
        <v>0.0</v>
      </c>
      <c r="Q1315" s="50">
        <v>0.0</v>
      </c>
      <c r="R1315" s="50">
        <v>0.0</v>
      </c>
      <c r="S1315" s="50">
        <v>0.0</v>
      </c>
      <c r="T1315" s="50">
        <v>2.8125</v>
      </c>
      <c r="U1315" s="50">
        <v>0.0</v>
      </c>
      <c r="V1315" s="50">
        <v>5.625</v>
      </c>
      <c r="W1315" s="50">
        <v>0.0</v>
      </c>
      <c r="X1315" s="50">
        <v>2.8125</v>
      </c>
      <c r="Y1315" s="50">
        <v>18.675</v>
      </c>
    </row>
    <row r="1316">
      <c r="A1316" s="26">
        <v>1310.0</v>
      </c>
      <c r="B1316" s="65">
        <v>2.79763227146824</v>
      </c>
      <c r="C1316" s="65">
        <v>-1.4942661703328737</v>
      </c>
      <c r="D1316" s="65">
        <v>-1.0799611295813</v>
      </c>
      <c r="E1316" s="65">
        <v>-0.208593001838978</v>
      </c>
      <c r="F1316" s="65">
        <v>3.349309601448644</v>
      </c>
      <c r="G1316" s="50">
        <v>0.0</v>
      </c>
      <c r="H1316" s="50">
        <v>0.0</v>
      </c>
      <c r="I1316" s="50">
        <v>0.0</v>
      </c>
      <c r="J1316" s="50">
        <v>0.0</v>
      </c>
      <c r="K1316" s="50">
        <v>0.0</v>
      </c>
      <c r="L1316" s="50">
        <v>0.0</v>
      </c>
      <c r="M1316" s="50">
        <v>0.0</v>
      </c>
      <c r="N1316" s="50">
        <v>0.0</v>
      </c>
      <c r="O1316" s="50">
        <v>0.0</v>
      </c>
      <c r="P1316" s="50">
        <v>0.0</v>
      </c>
      <c r="Q1316" s="50">
        <v>0.0</v>
      </c>
      <c r="R1316" s="50">
        <v>0.0</v>
      </c>
      <c r="S1316" s="50">
        <v>0.0</v>
      </c>
      <c r="T1316" s="50">
        <v>2.8125</v>
      </c>
      <c r="U1316" s="50">
        <v>0.0</v>
      </c>
      <c r="V1316" s="50">
        <v>0.0</v>
      </c>
      <c r="W1316" s="50">
        <v>0.0</v>
      </c>
      <c r="X1316" s="50">
        <v>2.8125</v>
      </c>
      <c r="Y1316" s="50">
        <v>5.625</v>
      </c>
    </row>
    <row r="1317">
      <c r="A1317" s="26">
        <v>1311.0</v>
      </c>
      <c r="B1317" s="65">
        <v>0.07986031745446547</v>
      </c>
      <c r="C1317" s="65">
        <v>-1.6901181530961258</v>
      </c>
      <c r="D1317" s="65">
        <v>0.44185430296773165</v>
      </c>
      <c r="E1317" s="65">
        <v>-0.3786024343306251</v>
      </c>
      <c r="F1317" s="65">
        <v>3.5601383184450572</v>
      </c>
      <c r="G1317" s="50">
        <v>0.0</v>
      </c>
      <c r="H1317" s="50">
        <v>0.0</v>
      </c>
      <c r="I1317" s="50">
        <v>0.0</v>
      </c>
      <c r="J1317" s="50">
        <v>0.0</v>
      </c>
      <c r="K1317" s="50">
        <v>0.0</v>
      </c>
      <c r="L1317" s="50">
        <v>0.0</v>
      </c>
      <c r="M1317" s="50">
        <v>0.0</v>
      </c>
      <c r="N1317" s="50">
        <v>0.0</v>
      </c>
      <c r="O1317" s="50">
        <v>0.0</v>
      </c>
      <c r="P1317" s="50">
        <v>0.0</v>
      </c>
      <c r="Q1317" s="50">
        <v>0.0</v>
      </c>
      <c r="R1317" s="50">
        <v>0.0</v>
      </c>
      <c r="S1317" s="50">
        <v>0.0</v>
      </c>
      <c r="T1317" s="50">
        <v>2.8125</v>
      </c>
      <c r="U1317" s="50">
        <v>9.9</v>
      </c>
      <c r="V1317" s="50">
        <v>0.0</v>
      </c>
      <c r="W1317" s="50">
        <v>0.0</v>
      </c>
      <c r="X1317" s="50">
        <v>2.8125</v>
      </c>
      <c r="Y1317" s="50">
        <v>15.525</v>
      </c>
    </row>
    <row r="1318">
      <c r="A1318" s="26">
        <v>1312.0</v>
      </c>
      <c r="B1318" s="65">
        <v>0.25219479446903104</v>
      </c>
      <c r="C1318" s="65">
        <v>-0.68722301582063</v>
      </c>
      <c r="D1318" s="65">
        <v>-0.47855758557364386</v>
      </c>
      <c r="E1318" s="65">
        <v>-0.31701557978781364</v>
      </c>
      <c r="F1318" s="65">
        <v>4.2015048676490085</v>
      </c>
      <c r="G1318" s="50">
        <v>0.0</v>
      </c>
      <c r="H1318" s="50">
        <v>0.0</v>
      </c>
      <c r="I1318" s="50">
        <v>0.0</v>
      </c>
      <c r="J1318" s="50">
        <v>0.0</v>
      </c>
      <c r="K1318" s="50">
        <v>0.0</v>
      </c>
      <c r="L1318" s="50">
        <v>0.0</v>
      </c>
      <c r="M1318" s="50">
        <v>0.0</v>
      </c>
      <c r="N1318" s="50">
        <v>0.0</v>
      </c>
      <c r="O1318" s="50">
        <v>7.425000000000001</v>
      </c>
      <c r="P1318" s="50">
        <v>0.0</v>
      </c>
      <c r="Q1318" s="50">
        <v>0.0</v>
      </c>
      <c r="R1318" s="50">
        <v>0.0</v>
      </c>
      <c r="S1318" s="50">
        <v>0.0</v>
      </c>
      <c r="T1318" s="50">
        <v>2.8125</v>
      </c>
      <c r="U1318" s="50">
        <v>0.0</v>
      </c>
      <c r="V1318" s="50">
        <v>0.0</v>
      </c>
      <c r="W1318" s="50">
        <v>0.0</v>
      </c>
      <c r="X1318" s="50">
        <v>2.8125</v>
      </c>
      <c r="Y1318" s="50">
        <v>13.05</v>
      </c>
    </row>
    <row r="1319">
      <c r="A1319" s="26">
        <v>1313.0</v>
      </c>
      <c r="B1319" s="65">
        <v>0.8492222719903019</v>
      </c>
      <c r="C1319" s="65">
        <v>1.081586245195361</v>
      </c>
      <c r="D1319" s="65">
        <v>1.3955351358883743</v>
      </c>
      <c r="E1319" s="65">
        <v>-1.2421673284052668</v>
      </c>
      <c r="F1319" s="65">
        <v>10.386455630329428</v>
      </c>
      <c r="G1319" s="50">
        <v>0.0</v>
      </c>
      <c r="H1319" s="50">
        <v>0.0</v>
      </c>
      <c r="I1319" s="50">
        <v>0.0</v>
      </c>
      <c r="J1319" s="50">
        <v>0.0</v>
      </c>
      <c r="K1319" s="50">
        <v>0.0</v>
      </c>
      <c r="L1319" s="50">
        <v>0.0</v>
      </c>
      <c r="M1319" s="50">
        <v>0.0</v>
      </c>
      <c r="N1319" s="50">
        <v>0.0</v>
      </c>
      <c r="O1319" s="50">
        <v>0.0</v>
      </c>
      <c r="P1319" s="50">
        <v>0.0</v>
      </c>
      <c r="Q1319" s="50">
        <v>0.0</v>
      </c>
      <c r="R1319" s="50">
        <v>0.0</v>
      </c>
      <c r="S1319" s="50">
        <v>0.0</v>
      </c>
      <c r="T1319" s="50">
        <v>2.8125</v>
      </c>
      <c r="U1319" s="50">
        <v>0.0</v>
      </c>
      <c r="V1319" s="50">
        <v>0.0</v>
      </c>
      <c r="W1319" s="50">
        <v>0.0</v>
      </c>
      <c r="X1319" s="50">
        <v>2.8125</v>
      </c>
      <c r="Y1319" s="50">
        <v>5.625</v>
      </c>
    </row>
    <row r="1320">
      <c r="A1320" s="26">
        <v>1314.0</v>
      </c>
      <c r="B1320" s="65">
        <v>0.3804482843677171</v>
      </c>
      <c r="C1320" s="65">
        <v>-1.9195089115712696</v>
      </c>
      <c r="D1320" s="65">
        <v>-1.3331365853531805</v>
      </c>
      <c r="E1320" s="65">
        <v>1.13841535226072</v>
      </c>
      <c r="F1320" s="65">
        <v>5.702076360248828</v>
      </c>
      <c r="G1320" s="50">
        <v>0.0</v>
      </c>
      <c r="H1320" s="50">
        <v>0.0</v>
      </c>
      <c r="I1320" s="50">
        <v>0.0</v>
      </c>
      <c r="J1320" s="50">
        <v>0.0</v>
      </c>
      <c r="K1320" s="50">
        <v>0.0</v>
      </c>
      <c r="L1320" s="50">
        <v>0.0</v>
      </c>
      <c r="M1320" s="50">
        <v>0.0</v>
      </c>
      <c r="N1320" s="50">
        <v>0.0</v>
      </c>
      <c r="O1320" s="50">
        <v>7.425000000000001</v>
      </c>
      <c r="P1320" s="50">
        <v>0.0</v>
      </c>
      <c r="Q1320" s="50">
        <v>0.0</v>
      </c>
      <c r="R1320" s="50">
        <v>0.0</v>
      </c>
      <c r="S1320" s="50">
        <v>0.0</v>
      </c>
      <c r="T1320" s="50">
        <v>2.8125</v>
      </c>
      <c r="U1320" s="50">
        <v>0.0</v>
      </c>
      <c r="V1320" s="50">
        <v>0.0</v>
      </c>
      <c r="W1320" s="50">
        <v>0.0</v>
      </c>
      <c r="X1320" s="50">
        <v>2.8125</v>
      </c>
      <c r="Y1320" s="50">
        <v>13.05</v>
      </c>
    </row>
    <row r="1321">
      <c r="A1321" s="26">
        <v>1315.0</v>
      </c>
      <c r="B1321" s="65">
        <v>-2.021608614677353</v>
      </c>
      <c r="C1321" s="65">
        <v>2.5373521332291675</v>
      </c>
      <c r="D1321" s="65">
        <v>-0.7887842819661983</v>
      </c>
      <c r="E1321" s="65">
        <v>0.5329449281392374</v>
      </c>
      <c r="F1321" s="65">
        <v>4.027782744232508</v>
      </c>
      <c r="G1321" s="50">
        <v>0.0</v>
      </c>
      <c r="H1321" s="50">
        <v>0.0</v>
      </c>
      <c r="I1321" s="50">
        <v>0.0</v>
      </c>
      <c r="J1321" s="50">
        <v>0.0</v>
      </c>
      <c r="K1321" s="50">
        <v>0.0</v>
      </c>
      <c r="L1321" s="50">
        <v>0.0</v>
      </c>
      <c r="M1321" s="50">
        <v>0.0</v>
      </c>
      <c r="N1321" s="50">
        <v>0.0</v>
      </c>
      <c r="O1321" s="50">
        <v>0.0</v>
      </c>
      <c r="P1321" s="50">
        <v>2.475</v>
      </c>
      <c r="Q1321" s="50">
        <v>0.0</v>
      </c>
      <c r="R1321" s="50">
        <v>9.9</v>
      </c>
      <c r="S1321" s="50">
        <v>0.0</v>
      </c>
      <c r="T1321" s="50">
        <v>2.8125</v>
      </c>
      <c r="U1321" s="50">
        <v>9.9</v>
      </c>
      <c r="V1321" s="50">
        <v>5.625</v>
      </c>
      <c r="W1321" s="50">
        <v>0.0</v>
      </c>
      <c r="X1321" s="50">
        <v>2.8125</v>
      </c>
      <c r="Y1321" s="50">
        <v>33.525</v>
      </c>
    </row>
    <row r="1322">
      <c r="A1322" s="26">
        <v>1316.0</v>
      </c>
      <c r="B1322" s="65">
        <v>0.4285547360693547</v>
      </c>
      <c r="C1322" s="65">
        <v>0.6746471905527286</v>
      </c>
      <c r="D1322" s="65">
        <v>0.8078746854433025</v>
      </c>
      <c r="E1322" s="65">
        <v>0.7996299926776816</v>
      </c>
      <c r="F1322" s="65">
        <v>7.1305170274874605</v>
      </c>
      <c r="G1322" s="50">
        <v>0.0</v>
      </c>
      <c r="H1322" s="50">
        <v>0.0</v>
      </c>
      <c r="I1322" s="50">
        <v>0.0</v>
      </c>
      <c r="J1322" s="50">
        <v>0.0</v>
      </c>
      <c r="K1322" s="50">
        <v>0.0</v>
      </c>
      <c r="L1322" s="50">
        <v>0.0</v>
      </c>
      <c r="M1322" s="50">
        <v>0.0</v>
      </c>
      <c r="N1322" s="50">
        <v>0.0</v>
      </c>
      <c r="O1322" s="50">
        <v>0.0</v>
      </c>
      <c r="P1322" s="50">
        <v>0.0</v>
      </c>
      <c r="Q1322" s="50">
        <v>0.0</v>
      </c>
      <c r="R1322" s="50">
        <v>0.0</v>
      </c>
      <c r="S1322" s="50">
        <v>0.0</v>
      </c>
      <c r="T1322" s="50">
        <v>2.8125</v>
      </c>
      <c r="U1322" s="50">
        <v>0.0</v>
      </c>
      <c r="V1322" s="50">
        <v>0.0</v>
      </c>
      <c r="W1322" s="50">
        <v>0.0</v>
      </c>
      <c r="X1322" s="50">
        <v>2.8125</v>
      </c>
      <c r="Y1322" s="50">
        <v>5.625</v>
      </c>
    </row>
    <row r="1323">
      <c r="A1323" s="26">
        <v>1317.0</v>
      </c>
      <c r="B1323" s="65">
        <v>-0.6702971032593572</v>
      </c>
      <c r="C1323" s="65">
        <v>0.5451120003450761</v>
      </c>
      <c r="D1323" s="65">
        <v>0.45329830515830105</v>
      </c>
      <c r="E1323" s="65">
        <v>0.8480040422725422</v>
      </c>
      <c r="F1323" s="65">
        <v>2.023472063800091</v>
      </c>
      <c r="G1323" s="50">
        <v>0.0</v>
      </c>
      <c r="H1323" s="50">
        <v>0.0</v>
      </c>
      <c r="I1323" s="50">
        <v>0.0</v>
      </c>
      <c r="J1323" s="50">
        <v>0.0</v>
      </c>
      <c r="K1323" s="50">
        <v>0.0</v>
      </c>
      <c r="L1323" s="50">
        <v>0.0</v>
      </c>
      <c r="M1323" s="50">
        <v>0.0</v>
      </c>
      <c r="N1323" s="50">
        <v>0.0</v>
      </c>
      <c r="O1323" s="50">
        <v>0.0</v>
      </c>
      <c r="P1323" s="50">
        <v>2.475</v>
      </c>
      <c r="Q1323" s="50">
        <v>0.0</v>
      </c>
      <c r="R1323" s="50">
        <v>0.0</v>
      </c>
      <c r="S1323" s="50">
        <v>0.0</v>
      </c>
      <c r="T1323" s="50">
        <v>2.8125</v>
      </c>
      <c r="U1323" s="50">
        <v>0.0</v>
      </c>
      <c r="V1323" s="50">
        <v>0.0</v>
      </c>
      <c r="W1323" s="50">
        <v>0.0</v>
      </c>
      <c r="X1323" s="50">
        <v>2.8125</v>
      </c>
      <c r="Y1323" s="50">
        <v>8.1</v>
      </c>
    </row>
    <row r="1324">
      <c r="A1324" s="26">
        <v>1318.0</v>
      </c>
      <c r="B1324" s="65">
        <v>0.1063593322193193</v>
      </c>
      <c r="C1324" s="65">
        <v>0.31717426812032135</v>
      </c>
      <c r="D1324" s="65">
        <v>0.06713418261296793</v>
      </c>
      <c r="E1324" s="65">
        <v>-1.6031347742628224</v>
      </c>
      <c r="F1324" s="65">
        <v>0.8154091982891252</v>
      </c>
      <c r="G1324" s="50">
        <v>0.0</v>
      </c>
      <c r="H1324" s="50">
        <v>0.0</v>
      </c>
      <c r="I1324" s="50">
        <v>0.0</v>
      </c>
      <c r="J1324" s="50">
        <v>0.0</v>
      </c>
      <c r="K1324" s="50">
        <v>0.0</v>
      </c>
      <c r="L1324" s="50">
        <v>0.0</v>
      </c>
      <c r="M1324" s="50">
        <v>0.0</v>
      </c>
      <c r="N1324" s="50">
        <v>0.0</v>
      </c>
      <c r="O1324" s="50">
        <v>0.0</v>
      </c>
      <c r="P1324" s="50">
        <v>0.0</v>
      </c>
      <c r="Q1324" s="50">
        <v>0.0</v>
      </c>
      <c r="R1324" s="50">
        <v>9.9</v>
      </c>
      <c r="S1324" s="50">
        <v>0.0</v>
      </c>
      <c r="T1324" s="50">
        <v>2.8125</v>
      </c>
      <c r="U1324" s="50">
        <v>0.0</v>
      </c>
      <c r="V1324" s="50">
        <v>5.625</v>
      </c>
      <c r="W1324" s="50">
        <v>0.0</v>
      </c>
      <c r="X1324" s="50">
        <v>2.8125</v>
      </c>
      <c r="Y1324" s="50">
        <v>21.15</v>
      </c>
    </row>
    <row r="1325">
      <c r="A1325" s="26">
        <v>1319.0</v>
      </c>
      <c r="B1325" s="65">
        <v>0.37832950381425373</v>
      </c>
      <c r="C1325" s="65">
        <v>1.8070410550733842</v>
      </c>
      <c r="D1325" s="65">
        <v>-0.5442932624456954</v>
      </c>
      <c r="E1325" s="65">
        <v>0.5698141709025074</v>
      </c>
      <c r="F1325" s="65">
        <v>2.908545567321367</v>
      </c>
      <c r="G1325" s="50">
        <v>0.0</v>
      </c>
      <c r="H1325" s="50">
        <v>0.0</v>
      </c>
      <c r="I1325" s="50">
        <v>0.0</v>
      </c>
      <c r="J1325" s="50">
        <v>0.0</v>
      </c>
      <c r="K1325" s="50">
        <v>0.0</v>
      </c>
      <c r="L1325" s="50">
        <v>0.0</v>
      </c>
      <c r="M1325" s="50">
        <v>0.0</v>
      </c>
      <c r="N1325" s="50">
        <v>0.0</v>
      </c>
      <c r="O1325" s="50">
        <v>0.0</v>
      </c>
      <c r="P1325" s="50">
        <v>2.475</v>
      </c>
      <c r="Q1325" s="50">
        <v>0.0</v>
      </c>
      <c r="R1325" s="50">
        <v>0.0</v>
      </c>
      <c r="S1325" s="50">
        <v>0.0</v>
      </c>
      <c r="T1325" s="50">
        <v>2.8125</v>
      </c>
      <c r="U1325" s="50">
        <v>0.0</v>
      </c>
      <c r="V1325" s="50">
        <v>0.0</v>
      </c>
      <c r="W1325" s="50">
        <v>0.0</v>
      </c>
      <c r="X1325" s="50">
        <v>2.8125</v>
      </c>
      <c r="Y1325" s="50">
        <v>8.1</v>
      </c>
    </row>
    <row r="1326">
      <c r="A1326" s="26">
        <v>1320.0</v>
      </c>
      <c r="B1326" s="65">
        <v>-1.1451800801865497</v>
      </c>
      <c r="C1326" s="65">
        <v>-0.44325141524057393</v>
      </c>
      <c r="D1326" s="65">
        <v>-1.0253585641096903</v>
      </c>
      <c r="E1326" s="65">
        <v>-2.1879298307986645</v>
      </c>
      <c r="F1326" s="65">
        <v>2.7983203601511066</v>
      </c>
      <c r="G1326" s="50">
        <v>0.0</v>
      </c>
      <c r="H1326" s="50">
        <v>0.0</v>
      </c>
      <c r="I1326" s="50">
        <v>0.0</v>
      </c>
      <c r="J1326" s="50">
        <v>0.0</v>
      </c>
      <c r="K1326" s="50">
        <v>0.0</v>
      </c>
      <c r="L1326" s="50">
        <v>0.0</v>
      </c>
      <c r="M1326" s="50">
        <v>0.0</v>
      </c>
      <c r="N1326" s="50">
        <v>0.0</v>
      </c>
      <c r="O1326" s="50">
        <v>7.425000000000001</v>
      </c>
      <c r="P1326" s="50">
        <v>0.0</v>
      </c>
      <c r="Q1326" s="50">
        <v>0.0</v>
      </c>
      <c r="R1326" s="50">
        <v>9.9</v>
      </c>
      <c r="S1326" s="50">
        <v>0.0</v>
      </c>
      <c r="T1326" s="50">
        <v>2.8125</v>
      </c>
      <c r="U1326" s="50">
        <v>0.0</v>
      </c>
      <c r="V1326" s="50">
        <v>5.625</v>
      </c>
      <c r="W1326" s="50">
        <v>4.95</v>
      </c>
      <c r="X1326" s="50">
        <v>2.8125</v>
      </c>
      <c r="Y1326" s="50">
        <v>33.525000000000006</v>
      </c>
    </row>
    <row r="1327">
      <c r="A1327" s="26">
        <v>1321.0</v>
      </c>
      <c r="B1327" s="65">
        <v>-1.2442699330834661</v>
      </c>
      <c r="C1327" s="65">
        <v>1.3643902601208817</v>
      </c>
      <c r="D1327" s="65">
        <v>0.6042419135345217</v>
      </c>
      <c r="E1327" s="65">
        <v>0.12681191034258293</v>
      </c>
      <c r="F1327" s="65">
        <v>5.636590245709068</v>
      </c>
      <c r="G1327" s="50">
        <v>0.0</v>
      </c>
      <c r="H1327" s="50">
        <v>0.0</v>
      </c>
      <c r="I1327" s="50">
        <v>0.0</v>
      </c>
      <c r="J1327" s="50">
        <v>0.0</v>
      </c>
      <c r="K1327" s="50">
        <v>0.0</v>
      </c>
      <c r="L1327" s="50">
        <v>0.0</v>
      </c>
      <c r="M1327" s="50">
        <v>0.0</v>
      </c>
      <c r="N1327" s="50">
        <v>0.0</v>
      </c>
      <c r="O1327" s="50">
        <v>0.0</v>
      </c>
      <c r="P1327" s="50">
        <v>0.0</v>
      </c>
      <c r="Q1327" s="50">
        <v>0.0</v>
      </c>
      <c r="R1327" s="50">
        <v>0.0</v>
      </c>
      <c r="S1327" s="50">
        <v>0.0</v>
      </c>
      <c r="T1327" s="50">
        <v>2.8125</v>
      </c>
      <c r="U1327" s="50">
        <v>0.0</v>
      </c>
      <c r="V1327" s="50">
        <v>0.0</v>
      </c>
      <c r="W1327" s="50">
        <v>0.0</v>
      </c>
      <c r="X1327" s="50">
        <v>2.8125</v>
      </c>
      <c r="Y1327" s="50">
        <v>5.625</v>
      </c>
    </row>
    <row r="1328">
      <c r="A1328" s="26">
        <v>1322.0</v>
      </c>
      <c r="B1328" s="65">
        <v>-0.14908484907906489</v>
      </c>
      <c r="C1328" s="65">
        <v>1.1304514373760002</v>
      </c>
      <c r="D1328" s="65">
        <v>-0.41871588506160823</v>
      </c>
      <c r="E1328" s="65">
        <v>-1.1051670478818887</v>
      </c>
      <c r="F1328" s="65">
        <v>3.2725223916016946</v>
      </c>
      <c r="G1328" s="50">
        <v>0.0</v>
      </c>
      <c r="H1328" s="50">
        <v>0.0</v>
      </c>
      <c r="I1328" s="50">
        <v>0.0</v>
      </c>
      <c r="J1328" s="50">
        <v>0.0</v>
      </c>
      <c r="K1328" s="50">
        <v>0.0</v>
      </c>
      <c r="L1328" s="50">
        <v>0.0</v>
      </c>
      <c r="M1328" s="50">
        <v>0.0</v>
      </c>
      <c r="N1328" s="50">
        <v>0.0</v>
      </c>
      <c r="O1328" s="50">
        <v>0.0</v>
      </c>
      <c r="P1328" s="50">
        <v>0.0</v>
      </c>
      <c r="Q1328" s="50">
        <v>0.0</v>
      </c>
      <c r="R1328" s="50">
        <v>9.9</v>
      </c>
      <c r="S1328" s="50">
        <v>0.0</v>
      </c>
      <c r="T1328" s="50">
        <v>2.8125</v>
      </c>
      <c r="U1328" s="50">
        <v>9.9</v>
      </c>
      <c r="V1328" s="50">
        <v>5.625</v>
      </c>
      <c r="W1328" s="50">
        <v>0.0</v>
      </c>
      <c r="X1328" s="50">
        <v>2.8125</v>
      </c>
      <c r="Y1328" s="50">
        <v>31.05</v>
      </c>
    </row>
    <row r="1329">
      <c r="A1329" s="26">
        <v>1323.0</v>
      </c>
      <c r="B1329" s="65">
        <v>0.392892347803097</v>
      </c>
      <c r="C1329" s="65">
        <v>0.18439263497546213</v>
      </c>
      <c r="D1329" s="65">
        <v>-1.2545413853220915</v>
      </c>
      <c r="E1329" s="65">
        <v>0.26120853988581477</v>
      </c>
      <c r="F1329" s="65">
        <v>7.992771930722678</v>
      </c>
      <c r="G1329" s="50">
        <v>0.0</v>
      </c>
      <c r="H1329" s="50">
        <v>0.0</v>
      </c>
      <c r="I1329" s="50">
        <v>0.0</v>
      </c>
      <c r="J1329" s="50">
        <v>0.0</v>
      </c>
      <c r="K1329" s="50">
        <v>0.0</v>
      </c>
      <c r="L1329" s="50">
        <v>0.0</v>
      </c>
      <c r="M1329" s="50">
        <v>0.0</v>
      </c>
      <c r="N1329" s="50">
        <v>0.0</v>
      </c>
      <c r="O1329" s="50">
        <v>0.0</v>
      </c>
      <c r="P1329" s="50">
        <v>0.0</v>
      </c>
      <c r="Q1329" s="50">
        <v>0.0</v>
      </c>
      <c r="R1329" s="50">
        <v>0.0</v>
      </c>
      <c r="S1329" s="50">
        <v>0.0</v>
      </c>
      <c r="T1329" s="50">
        <v>2.8125</v>
      </c>
      <c r="U1329" s="50">
        <v>0.0</v>
      </c>
      <c r="V1329" s="50">
        <v>0.0</v>
      </c>
      <c r="W1329" s="50">
        <v>0.0</v>
      </c>
      <c r="X1329" s="50">
        <v>2.8125</v>
      </c>
      <c r="Y1329" s="50">
        <v>5.625</v>
      </c>
    </row>
    <row r="1330">
      <c r="A1330" s="26">
        <v>1324.0</v>
      </c>
      <c r="B1330" s="65">
        <v>0.35146749937413596</v>
      </c>
      <c r="C1330" s="65">
        <v>-1.1895789654755995</v>
      </c>
      <c r="D1330" s="65">
        <v>-1.2536562680477568</v>
      </c>
      <c r="E1330" s="65">
        <v>-1.5392328099697175</v>
      </c>
      <c r="F1330" s="65">
        <v>6.786551243608254</v>
      </c>
      <c r="G1330" s="50">
        <v>0.0</v>
      </c>
      <c r="H1330" s="50">
        <v>0.0</v>
      </c>
      <c r="I1330" s="50">
        <v>0.0</v>
      </c>
      <c r="J1330" s="50">
        <v>0.0</v>
      </c>
      <c r="K1330" s="50">
        <v>0.0</v>
      </c>
      <c r="L1330" s="50">
        <v>0.0</v>
      </c>
      <c r="M1330" s="50">
        <v>0.0</v>
      </c>
      <c r="N1330" s="50">
        <v>0.0</v>
      </c>
      <c r="O1330" s="50">
        <v>0.0</v>
      </c>
      <c r="P1330" s="50">
        <v>0.0</v>
      </c>
      <c r="Q1330" s="50">
        <v>0.0</v>
      </c>
      <c r="R1330" s="50">
        <v>0.0</v>
      </c>
      <c r="S1330" s="50">
        <v>0.0</v>
      </c>
      <c r="T1330" s="50">
        <v>2.8125</v>
      </c>
      <c r="U1330" s="50">
        <v>9.9</v>
      </c>
      <c r="V1330" s="50">
        <v>5.625</v>
      </c>
      <c r="W1330" s="50">
        <v>0.0</v>
      </c>
      <c r="X1330" s="50">
        <v>2.8125</v>
      </c>
      <c r="Y1330" s="50">
        <v>21.15</v>
      </c>
    </row>
    <row r="1331">
      <c r="A1331" s="26">
        <v>1325.0</v>
      </c>
      <c r="B1331" s="65">
        <v>-0.30893207034724396</v>
      </c>
      <c r="C1331" s="65">
        <v>2.1653385182110982</v>
      </c>
      <c r="D1331" s="65">
        <v>-2.8207596738755614</v>
      </c>
      <c r="E1331" s="65">
        <v>0.197490138013704</v>
      </c>
      <c r="F1331" s="65">
        <v>4.217852041818108</v>
      </c>
      <c r="G1331" s="50">
        <v>0.0</v>
      </c>
      <c r="H1331" s="50">
        <v>0.0</v>
      </c>
      <c r="I1331" s="50">
        <v>0.0</v>
      </c>
      <c r="J1331" s="50">
        <v>0.0</v>
      </c>
      <c r="K1331" s="50">
        <v>0.0</v>
      </c>
      <c r="L1331" s="50">
        <v>0.0</v>
      </c>
      <c r="M1331" s="50">
        <v>0.0</v>
      </c>
      <c r="N1331" s="50">
        <v>0.0</v>
      </c>
      <c r="O1331" s="50">
        <v>0.0</v>
      </c>
      <c r="P1331" s="50">
        <v>2.475</v>
      </c>
      <c r="Q1331" s="50">
        <v>0.0</v>
      </c>
      <c r="R1331" s="50">
        <v>9.9</v>
      </c>
      <c r="S1331" s="50">
        <v>0.0</v>
      </c>
      <c r="T1331" s="50">
        <v>2.8125</v>
      </c>
      <c r="U1331" s="50">
        <v>0.0</v>
      </c>
      <c r="V1331" s="50">
        <v>0.0</v>
      </c>
      <c r="W1331" s="50">
        <v>0.0</v>
      </c>
      <c r="X1331" s="50">
        <v>2.8125</v>
      </c>
      <c r="Y1331" s="50">
        <v>18.0</v>
      </c>
    </row>
    <row r="1332">
      <c r="A1332" s="26">
        <v>1326.0</v>
      </c>
      <c r="B1332" s="65">
        <v>1.8068318571389412</v>
      </c>
      <c r="C1332" s="65">
        <v>0.7719439587913193</v>
      </c>
      <c r="D1332" s="65">
        <v>-0.4228984880499234</v>
      </c>
      <c r="E1332" s="65">
        <v>-0.23317175190006686</v>
      </c>
      <c r="F1332" s="65">
        <v>1.868644970005135</v>
      </c>
      <c r="G1332" s="50">
        <v>0.0</v>
      </c>
      <c r="H1332" s="50">
        <v>0.0</v>
      </c>
      <c r="I1332" s="50">
        <v>0.0</v>
      </c>
      <c r="J1332" s="50">
        <v>0.0</v>
      </c>
      <c r="K1332" s="50">
        <v>0.0</v>
      </c>
      <c r="L1332" s="50">
        <v>0.0</v>
      </c>
      <c r="M1332" s="50">
        <v>0.0</v>
      </c>
      <c r="N1332" s="50">
        <v>0.0</v>
      </c>
      <c r="O1332" s="50">
        <v>0.0</v>
      </c>
      <c r="P1332" s="50">
        <v>0.0</v>
      </c>
      <c r="Q1332" s="50">
        <v>0.0</v>
      </c>
      <c r="R1332" s="50">
        <v>0.0</v>
      </c>
      <c r="S1332" s="50">
        <v>0.0</v>
      </c>
      <c r="T1332" s="50">
        <v>2.8125</v>
      </c>
      <c r="U1332" s="50">
        <v>0.0</v>
      </c>
      <c r="V1332" s="50">
        <v>0.0</v>
      </c>
      <c r="W1332" s="50">
        <v>0.0</v>
      </c>
      <c r="X1332" s="50">
        <v>2.8125</v>
      </c>
      <c r="Y1332" s="50">
        <v>5.625</v>
      </c>
    </row>
    <row r="1333">
      <c r="A1333" s="26">
        <v>1327.0</v>
      </c>
      <c r="B1333" s="65">
        <v>-1.2938561947326868</v>
      </c>
      <c r="C1333" s="65">
        <v>0.32796897753353477</v>
      </c>
      <c r="D1333" s="65">
        <v>1.518471390694584</v>
      </c>
      <c r="E1333" s="65">
        <v>-0.18887935147499688</v>
      </c>
      <c r="F1333" s="65">
        <v>4.279524514384733</v>
      </c>
      <c r="G1333" s="50">
        <v>0.0</v>
      </c>
      <c r="H1333" s="50">
        <v>0.0</v>
      </c>
      <c r="I1333" s="50">
        <v>0.0</v>
      </c>
      <c r="J1333" s="50">
        <v>0.0</v>
      </c>
      <c r="K1333" s="50">
        <v>0.0</v>
      </c>
      <c r="L1333" s="50">
        <v>0.0</v>
      </c>
      <c r="M1333" s="50">
        <v>0.0</v>
      </c>
      <c r="N1333" s="50">
        <v>0.0</v>
      </c>
      <c r="O1333" s="50">
        <v>0.0</v>
      </c>
      <c r="P1333" s="50">
        <v>2.475</v>
      </c>
      <c r="Q1333" s="50">
        <v>0.0</v>
      </c>
      <c r="R1333" s="50">
        <v>0.0</v>
      </c>
      <c r="S1333" s="50">
        <v>0.0</v>
      </c>
      <c r="T1333" s="50">
        <v>2.8125</v>
      </c>
      <c r="U1333" s="50">
        <v>9.9</v>
      </c>
      <c r="V1333" s="50">
        <v>0.0</v>
      </c>
      <c r="W1333" s="50">
        <v>4.95</v>
      </c>
      <c r="X1333" s="50">
        <v>2.8125</v>
      </c>
      <c r="Y1333" s="50">
        <v>22.95</v>
      </c>
    </row>
    <row r="1334">
      <c r="A1334" s="26">
        <v>1328.0</v>
      </c>
      <c r="B1334" s="65">
        <v>2.0282482762323837</v>
      </c>
      <c r="C1334" s="65">
        <v>-0.1559767322547581</v>
      </c>
      <c r="D1334" s="65">
        <v>-0.12828252580008356</v>
      </c>
      <c r="E1334" s="65">
        <v>-1.0280643216309335</v>
      </c>
      <c r="F1334" s="65">
        <v>1.3362637007734022</v>
      </c>
      <c r="G1334" s="50">
        <v>0.0</v>
      </c>
      <c r="H1334" s="50">
        <v>0.0</v>
      </c>
      <c r="I1334" s="50">
        <v>0.0</v>
      </c>
      <c r="J1334" s="50">
        <v>0.0</v>
      </c>
      <c r="K1334" s="50">
        <v>0.0</v>
      </c>
      <c r="L1334" s="50">
        <v>0.0</v>
      </c>
      <c r="M1334" s="50">
        <v>0.0</v>
      </c>
      <c r="N1334" s="50">
        <v>0.0</v>
      </c>
      <c r="O1334" s="50">
        <v>0.0</v>
      </c>
      <c r="P1334" s="50">
        <v>0.0</v>
      </c>
      <c r="Q1334" s="50">
        <v>0.0</v>
      </c>
      <c r="R1334" s="50">
        <v>0.0</v>
      </c>
      <c r="S1334" s="50">
        <v>0.0</v>
      </c>
      <c r="T1334" s="50">
        <v>2.8125</v>
      </c>
      <c r="U1334" s="50">
        <v>0.0</v>
      </c>
      <c r="V1334" s="50">
        <v>0.0</v>
      </c>
      <c r="W1334" s="50">
        <v>0.0</v>
      </c>
      <c r="X1334" s="50">
        <v>0.0</v>
      </c>
      <c r="Y1334" s="50">
        <v>2.8125</v>
      </c>
    </row>
    <row r="1335">
      <c r="A1335" s="26">
        <v>1329.0</v>
      </c>
      <c r="B1335" s="65">
        <v>-0.8953505598263779</v>
      </c>
      <c r="C1335" s="65">
        <v>2.122193179228433</v>
      </c>
      <c r="D1335" s="65">
        <v>2.3550384094143375</v>
      </c>
      <c r="E1335" s="65">
        <v>-0.16877202318796558</v>
      </c>
      <c r="F1335" s="65">
        <v>10.939004852999332</v>
      </c>
      <c r="G1335" s="50">
        <v>0.0</v>
      </c>
      <c r="H1335" s="50">
        <v>0.0</v>
      </c>
      <c r="I1335" s="50">
        <v>0.0</v>
      </c>
      <c r="J1335" s="50">
        <v>0.0</v>
      </c>
      <c r="K1335" s="50">
        <v>0.0</v>
      </c>
      <c r="L1335" s="50">
        <v>0.0</v>
      </c>
      <c r="M1335" s="50">
        <v>0.0</v>
      </c>
      <c r="N1335" s="50">
        <v>0.0</v>
      </c>
      <c r="O1335" s="50">
        <v>0.0</v>
      </c>
      <c r="P1335" s="50">
        <v>0.0</v>
      </c>
      <c r="Q1335" s="50">
        <v>0.0</v>
      </c>
      <c r="R1335" s="50">
        <v>0.0</v>
      </c>
      <c r="S1335" s="50">
        <v>0.0</v>
      </c>
      <c r="T1335" s="50">
        <v>2.8125</v>
      </c>
      <c r="U1335" s="50">
        <v>0.0</v>
      </c>
      <c r="V1335" s="50">
        <v>5.625</v>
      </c>
      <c r="W1335" s="50">
        <v>0.0</v>
      </c>
      <c r="X1335" s="50">
        <v>2.8125</v>
      </c>
      <c r="Y1335" s="50">
        <v>11.25</v>
      </c>
    </row>
    <row r="1336">
      <c r="A1336" s="26">
        <v>1330.0</v>
      </c>
      <c r="B1336" s="65">
        <v>-1.7873220207791083</v>
      </c>
      <c r="C1336" s="65">
        <v>1.3948504350257767</v>
      </c>
      <c r="D1336" s="65">
        <v>0.2633916210130666</v>
      </c>
      <c r="E1336" s="65">
        <v>0.5213592307942766</v>
      </c>
      <c r="F1336" s="65">
        <v>5.609370885628679</v>
      </c>
      <c r="G1336" s="50">
        <v>0.0</v>
      </c>
      <c r="H1336" s="50">
        <v>0.0</v>
      </c>
      <c r="I1336" s="50">
        <v>0.0</v>
      </c>
      <c r="J1336" s="50">
        <v>0.0</v>
      </c>
      <c r="K1336" s="50">
        <v>0.0</v>
      </c>
      <c r="L1336" s="50">
        <v>0.0</v>
      </c>
      <c r="M1336" s="50">
        <v>0.0</v>
      </c>
      <c r="N1336" s="50">
        <v>0.0</v>
      </c>
      <c r="O1336" s="50">
        <v>0.0</v>
      </c>
      <c r="P1336" s="50">
        <v>0.0</v>
      </c>
      <c r="Q1336" s="50">
        <v>0.0</v>
      </c>
      <c r="R1336" s="50">
        <v>0.0</v>
      </c>
      <c r="S1336" s="50">
        <v>0.0</v>
      </c>
      <c r="T1336" s="50">
        <v>2.8125</v>
      </c>
      <c r="U1336" s="50">
        <v>0.0</v>
      </c>
      <c r="V1336" s="50">
        <v>0.0</v>
      </c>
      <c r="W1336" s="50">
        <v>4.95</v>
      </c>
      <c r="X1336" s="50">
        <v>2.8125</v>
      </c>
      <c r="Y1336" s="50">
        <v>10.575</v>
      </c>
    </row>
    <row r="1337">
      <c r="A1337" s="26">
        <v>1331.0</v>
      </c>
      <c r="B1337" s="65">
        <v>1.5875920711594462</v>
      </c>
      <c r="C1337" s="65">
        <v>-2.1666476227484495</v>
      </c>
      <c r="D1337" s="65">
        <v>0.8878289399216248</v>
      </c>
      <c r="E1337" s="65">
        <v>1.0115032194955431</v>
      </c>
      <c r="F1337" s="65">
        <v>0.24074231828077208</v>
      </c>
      <c r="G1337" s="50">
        <v>0.0</v>
      </c>
      <c r="H1337" s="50">
        <v>0.0</v>
      </c>
      <c r="I1337" s="50">
        <v>0.0</v>
      </c>
      <c r="J1337" s="50">
        <v>0.0</v>
      </c>
      <c r="K1337" s="50">
        <v>0.0</v>
      </c>
      <c r="L1337" s="50">
        <v>0.0</v>
      </c>
      <c r="M1337" s="50">
        <v>0.0</v>
      </c>
      <c r="N1337" s="50">
        <v>0.0</v>
      </c>
      <c r="O1337" s="50">
        <v>7.425000000000001</v>
      </c>
      <c r="P1337" s="50">
        <v>0.0</v>
      </c>
      <c r="Q1337" s="50">
        <v>0.0</v>
      </c>
      <c r="R1337" s="50">
        <v>0.0</v>
      </c>
      <c r="S1337" s="50">
        <v>0.0</v>
      </c>
      <c r="T1337" s="50">
        <v>2.8125</v>
      </c>
      <c r="U1337" s="50">
        <v>0.0</v>
      </c>
      <c r="V1337" s="50">
        <v>0.0</v>
      </c>
      <c r="W1337" s="50">
        <v>0.0</v>
      </c>
      <c r="X1337" s="50">
        <v>0.0</v>
      </c>
      <c r="Y1337" s="50">
        <v>10.2375</v>
      </c>
    </row>
    <row r="1338">
      <c r="A1338" s="26">
        <v>1332.0</v>
      </c>
      <c r="B1338" s="65">
        <v>-2.1025713109265727</v>
      </c>
      <c r="C1338" s="65">
        <v>1.8568335390604467</v>
      </c>
      <c r="D1338" s="65">
        <v>0.5222612827232959</v>
      </c>
      <c r="E1338" s="65">
        <v>0.3289850407078465</v>
      </c>
      <c r="F1338" s="65">
        <v>3.053528614177437</v>
      </c>
      <c r="G1338" s="50">
        <v>0.0</v>
      </c>
      <c r="H1338" s="50">
        <v>0.0</v>
      </c>
      <c r="I1338" s="50">
        <v>0.0</v>
      </c>
      <c r="J1338" s="50">
        <v>0.0</v>
      </c>
      <c r="K1338" s="50">
        <v>0.0</v>
      </c>
      <c r="L1338" s="50">
        <v>0.0</v>
      </c>
      <c r="M1338" s="50">
        <v>0.0</v>
      </c>
      <c r="N1338" s="50">
        <v>0.0</v>
      </c>
      <c r="O1338" s="50">
        <v>0.0</v>
      </c>
      <c r="P1338" s="50">
        <v>2.475</v>
      </c>
      <c r="Q1338" s="50">
        <v>0.0</v>
      </c>
      <c r="R1338" s="50">
        <v>9.9</v>
      </c>
      <c r="S1338" s="50">
        <v>0.0</v>
      </c>
      <c r="T1338" s="50">
        <v>2.8125</v>
      </c>
      <c r="U1338" s="50">
        <v>0.0</v>
      </c>
      <c r="V1338" s="50">
        <v>5.625</v>
      </c>
      <c r="W1338" s="50">
        <v>4.95</v>
      </c>
      <c r="X1338" s="50">
        <v>2.8125</v>
      </c>
      <c r="Y1338" s="50">
        <v>28.575</v>
      </c>
    </row>
    <row r="1339">
      <c r="A1339" s="26">
        <v>1333.0</v>
      </c>
      <c r="B1339" s="65">
        <v>2.4412385534248724</v>
      </c>
      <c r="C1339" s="65">
        <v>-0.12659520952310963</v>
      </c>
      <c r="D1339" s="65">
        <v>0.5460898775030013</v>
      </c>
      <c r="E1339" s="65">
        <v>1.033707752292661</v>
      </c>
      <c r="F1339" s="65">
        <v>8.037916248973994</v>
      </c>
      <c r="G1339" s="50">
        <v>0.0</v>
      </c>
      <c r="H1339" s="50">
        <v>0.0</v>
      </c>
      <c r="I1339" s="50">
        <v>0.0</v>
      </c>
      <c r="J1339" s="50">
        <v>0.0</v>
      </c>
      <c r="K1339" s="50">
        <v>0.0</v>
      </c>
      <c r="L1339" s="50">
        <v>0.0</v>
      </c>
      <c r="M1339" s="50">
        <v>0.0</v>
      </c>
      <c r="N1339" s="50">
        <v>0.0</v>
      </c>
      <c r="O1339" s="50">
        <v>0.0</v>
      </c>
      <c r="P1339" s="50">
        <v>0.0</v>
      </c>
      <c r="Q1339" s="50">
        <v>0.0</v>
      </c>
      <c r="R1339" s="50">
        <v>0.0</v>
      </c>
      <c r="S1339" s="50">
        <v>0.0</v>
      </c>
      <c r="T1339" s="50">
        <v>2.8125</v>
      </c>
      <c r="U1339" s="50">
        <v>0.0</v>
      </c>
      <c r="V1339" s="50">
        <v>0.0</v>
      </c>
      <c r="W1339" s="50">
        <v>0.0</v>
      </c>
      <c r="X1339" s="50">
        <v>2.8125</v>
      </c>
      <c r="Y1339" s="50">
        <v>5.625</v>
      </c>
    </row>
    <row r="1340">
      <c r="A1340" s="26">
        <v>1334.0</v>
      </c>
      <c r="B1340" s="65">
        <v>0.24640216711141277</v>
      </c>
      <c r="C1340" s="65">
        <v>2.2276622736084177</v>
      </c>
      <c r="D1340" s="65">
        <v>-0.7268741733532323</v>
      </c>
      <c r="E1340" s="65">
        <v>0.3621592368910378</v>
      </c>
      <c r="F1340" s="65">
        <v>7.666708119257323</v>
      </c>
      <c r="G1340" s="50">
        <v>0.0</v>
      </c>
      <c r="H1340" s="50">
        <v>0.0</v>
      </c>
      <c r="I1340" s="50">
        <v>0.0</v>
      </c>
      <c r="J1340" s="50">
        <v>0.0</v>
      </c>
      <c r="K1340" s="50">
        <v>0.0</v>
      </c>
      <c r="L1340" s="50">
        <v>0.0</v>
      </c>
      <c r="M1340" s="50">
        <v>0.0</v>
      </c>
      <c r="N1340" s="50">
        <v>0.0</v>
      </c>
      <c r="O1340" s="50">
        <v>0.0</v>
      </c>
      <c r="P1340" s="50">
        <v>0.0</v>
      </c>
      <c r="Q1340" s="50">
        <v>0.0</v>
      </c>
      <c r="R1340" s="50">
        <v>0.0</v>
      </c>
      <c r="S1340" s="50">
        <v>0.0</v>
      </c>
      <c r="T1340" s="50">
        <v>2.8125</v>
      </c>
      <c r="U1340" s="50">
        <v>0.0</v>
      </c>
      <c r="V1340" s="50">
        <v>5.625</v>
      </c>
      <c r="W1340" s="50">
        <v>0.0</v>
      </c>
      <c r="X1340" s="50">
        <v>2.8125</v>
      </c>
      <c r="Y1340" s="50">
        <v>11.25</v>
      </c>
    </row>
    <row r="1341">
      <c r="A1341" s="26">
        <v>1335.0</v>
      </c>
      <c r="B1341" s="65">
        <v>0.4441111455802122</v>
      </c>
      <c r="C1341" s="65">
        <v>-0.6599171867238792</v>
      </c>
      <c r="D1341" s="65">
        <v>-1.7964663744373095</v>
      </c>
      <c r="E1341" s="65">
        <v>0.33103247122326956</v>
      </c>
      <c r="F1341" s="65">
        <v>1.9632885251170322</v>
      </c>
      <c r="G1341" s="50">
        <v>0.0</v>
      </c>
      <c r="H1341" s="50">
        <v>0.0</v>
      </c>
      <c r="I1341" s="50">
        <v>0.0</v>
      </c>
      <c r="J1341" s="50">
        <v>0.0</v>
      </c>
      <c r="K1341" s="50">
        <v>0.0</v>
      </c>
      <c r="L1341" s="50">
        <v>0.0</v>
      </c>
      <c r="M1341" s="50">
        <v>0.0</v>
      </c>
      <c r="N1341" s="50">
        <v>0.0</v>
      </c>
      <c r="O1341" s="50">
        <v>0.0</v>
      </c>
      <c r="P1341" s="50">
        <v>0.0</v>
      </c>
      <c r="Q1341" s="50">
        <v>0.0</v>
      </c>
      <c r="R1341" s="50">
        <v>0.0</v>
      </c>
      <c r="S1341" s="50">
        <v>0.0</v>
      </c>
      <c r="T1341" s="50">
        <v>2.8125</v>
      </c>
      <c r="U1341" s="50">
        <v>0.0</v>
      </c>
      <c r="V1341" s="50">
        <v>5.625</v>
      </c>
      <c r="W1341" s="50">
        <v>0.0</v>
      </c>
      <c r="X1341" s="50">
        <v>2.8125</v>
      </c>
      <c r="Y1341" s="50">
        <v>11.25</v>
      </c>
    </row>
    <row r="1342">
      <c r="A1342" s="26">
        <v>1336.0</v>
      </c>
      <c r="B1342" s="65">
        <v>0.2856333005318926</v>
      </c>
      <c r="C1342" s="65">
        <v>-0.4947591533777566</v>
      </c>
      <c r="D1342" s="65">
        <v>0.6712217024859247</v>
      </c>
      <c r="E1342" s="65">
        <v>-1.3899611919471613</v>
      </c>
      <c r="F1342" s="65">
        <v>3.357248154062607</v>
      </c>
      <c r="G1342" s="50">
        <v>0.0</v>
      </c>
      <c r="H1342" s="50">
        <v>0.0</v>
      </c>
      <c r="I1342" s="50">
        <v>0.0</v>
      </c>
      <c r="J1342" s="50">
        <v>0.0</v>
      </c>
      <c r="K1342" s="50">
        <v>0.0</v>
      </c>
      <c r="L1342" s="50">
        <v>0.0</v>
      </c>
      <c r="M1342" s="50">
        <v>0.0</v>
      </c>
      <c r="N1342" s="50">
        <v>0.0</v>
      </c>
      <c r="O1342" s="50">
        <v>0.0</v>
      </c>
      <c r="P1342" s="50">
        <v>0.0</v>
      </c>
      <c r="Q1342" s="50">
        <v>0.0</v>
      </c>
      <c r="R1342" s="50">
        <v>0.0</v>
      </c>
      <c r="S1342" s="50">
        <v>0.0</v>
      </c>
      <c r="T1342" s="50">
        <v>2.8125</v>
      </c>
      <c r="U1342" s="50">
        <v>0.0</v>
      </c>
      <c r="V1342" s="50">
        <v>5.625</v>
      </c>
      <c r="W1342" s="50">
        <v>4.95</v>
      </c>
      <c r="X1342" s="50">
        <v>2.8125</v>
      </c>
      <c r="Y1342" s="50">
        <v>16.2</v>
      </c>
    </row>
    <row r="1343">
      <c r="A1343" s="26">
        <v>1337.0</v>
      </c>
      <c r="B1343" s="65">
        <v>0.8391950037626337</v>
      </c>
      <c r="C1343" s="65">
        <v>-0.5317938132957017</v>
      </c>
      <c r="D1343" s="65">
        <v>-0.9866598099258723</v>
      </c>
      <c r="E1343" s="65">
        <v>-1.4701872351071075</v>
      </c>
      <c r="F1343" s="65">
        <v>10.853190134573545</v>
      </c>
      <c r="G1343" s="50">
        <v>0.0</v>
      </c>
      <c r="H1343" s="50">
        <v>0.0</v>
      </c>
      <c r="I1343" s="50">
        <v>0.0</v>
      </c>
      <c r="J1343" s="50">
        <v>0.0</v>
      </c>
      <c r="K1343" s="50">
        <v>0.0</v>
      </c>
      <c r="L1343" s="50">
        <v>0.0</v>
      </c>
      <c r="M1343" s="50">
        <v>0.0</v>
      </c>
      <c r="N1343" s="50">
        <v>0.0</v>
      </c>
      <c r="O1343" s="50">
        <v>0.0</v>
      </c>
      <c r="P1343" s="50">
        <v>0.0</v>
      </c>
      <c r="Q1343" s="50">
        <v>0.0</v>
      </c>
      <c r="R1343" s="50">
        <v>0.0</v>
      </c>
      <c r="S1343" s="50">
        <v>0.0</v>
      </c>
      <c r="T1343" s="50">
        <v>2.8125</v>
      </c>
      <c r="U1343" s="50">
        <v>0.0</v>
      </c>
      <c r="V1343" s="50">
        <v>0.0</v>
      </c>
      <c r="W1343" s="50">
        <v>0.0</v>
      </c>
      <c r="X1343" s="50">
        <v>2.8125</v>
      </c>
      <c r="Y1343" s="50">
        <v>5.625</v>
      </c>
    </row>
    <row r="1344">
      <c r="A1344" s="26">
        <v>1338.0</v>
      </c>
      <c r="B1344" s="65">
        <v>0.5479939511107534</v>
      </c>
      <c r="C1344" s="65">
        <v>1.3678816630723825</v>
      </c>
      <c r="D1344" s="65">
        <v>-0.8274795054529979</v>
      </c>
      <c r="E1344" s="65">
        <v>9.86421596989377E-4</v>
      </c>
      <c r="F1344" s="65">
        <v>1.7567403929603291</v>
      </c>
      <c r="G1344" s="50">
        <v>0.0</v>
      </c>
      <c r="H1344" s="50">
        <v>0.0</v>
      </c>
      <c r="I1344" s="50">
        <v>0.0</v>
      </c>
      <c r="J1344" s="50">
        <v>0.0</v>
      </c>
      <c r="K1344" s="50">
        <v>0.0</v>
      </c>
      <c r="L1344" s="50">
        <v>0.0</v>
      </c>
      <c r="M1344" s="50">
        <v>0.0</v>
      </c>
      <c r="N1344" s="50">
        <v>0.0</v>
      </c>
      <c r="O1344" s="50">
        <v>0.0</v>
      </c>
      <c r="P1344" s="50">
        <v>0.0</v>
      </c>
      <c r="Q1344" s="50">
        <v>0.0</v>
      </c>
      <c r="R1344" s="50">
        <v>0.0</v>
      </c>
      <c r="S1344" s="50">
        <v>0.0</v>
      </c>
      <c r="T1344" s="50">
        <v>2.8125</v>
      </c>
      <c r="U1344" s="50">
        <v>0.0</v>
      </c>
      <c r="V1344" s="50">
        <v>0.0</v>
      </c>
      <c r="W1344" s="50">
        <v>0.0</v>
      </c>
      <c r="X1344" s="50">
        <v>2.8125</v>
      </c>
      <c r="Y1344" s="50">
        <v>5.625</v>
      </c>
    </row>
    <row r="1345">
      <c r="A1345" s="26">
        <v>1339.0</v>
      </c>
      <c r="B1345" s="65">
        <v>0.16132665216651057</v>
      </c>
      <c r="C1345" s="65">
        <v>0.19916103992758766</v>
      </c>
      <c r="D1345" s="65">
        <v>0.6666143595945794</v>
      </c>
      <c r="E1345" s="65">
        <v>-0.5059974048208584</v>
      </c>
      <c r="F1345" s="65">
        <v>1.9255676663131902</v>
      </c>
      <c r="G1345" s="50">
        <v>0.0</v>
      </c>
      <c r="H1345" s="50">
        <v>0.0</v>
      </c>
      <c r="I1345" s="50">
        <v>0.0</v>
      </c>
      <c r="J1345" s="50">
        <v>0.0</v>
      </c>
      <c r="K1345" s="50">
        <v>0.0</v>
      </c>
      <c r="L1345" s="50">
        <v>0.0</v>
      </c>
      <c r="M1345" s="50">
        <v>0.0</v>
      </c>
      <c r="N1345" s="50">
        <v>0.0</v>
      </c>
      <c r="O1345" s="50">
        <v>0.0</v>
      </c>
      <c r="P1345" s="50">
        <v>0.0</v>
      </c>
      <c r="Q1345" s="50">
        <v>0.0</v>
      </c>
      <c r="R1345" s="50">
        <v>0.0</v>
      </c>
      <c r="S1345" s="50">
        <v>0.0</v>
      </c>
      <c r="T1345" s="50">
        <v>2.8125</v>
      </c>
      <c r="U1345" s="50">
        <v>0.0</v>
      </c>
      <c r="V1345" s="50">
        <v>5.625</v>
      </c>
      <c r="W1345" s="50">
        <v>4.95</v>
      </c>
      <c r="X1345" s="50">
        <v>2.8125</v>
      </c>
      <c r="Y1345" s="50">
        <v>16.2</v>
      </c>
    </row>
    <row r="1346">
      <c r="A1346" s="26">
        <v>1340.0</v>
      </c>
      <c r="B1346" s="65">
        <v>0.9454812997803015</v>
      </c>
      <c r="C1346" s="65">
        <v>1.160550206356978</v>
      </c>
      <c r="D1346" s="65">
        <v>1.4744258100493115</v>
      </c>
      <c r="E1346" s="65">
        <v>-0.6226417351001713</v>
      </c>
      <c r="F1346" s="65">
        <v>5.10755191652845</v>
      </c>
      <c r="G1346" s="50">
        <v>0.0</v>
      </c>
      <c r="H1346" s="50">
        <v>0.0</v>
      </c>
      <c r="I1346" s="50">
        <v>0.0</v>
      </c>
      <c r="J1346" s="50">
        <v>0.0</v>
      </c>
      <c r="K1346" s="50">
        <v>0.0</v>
      </c>
      <c r="L1346" s="50">
        <v>0.0</v>
      </c>
      <c r="M1346" s="50">
        <v>0.0</v>
      </c>
      <c r="N1346" s="50">
        <v>0.0</v>
      </c>
      <c r="O1346" s="50">
        <v>0.0</v>
      </c>
      <c r="P1346" s="50">
        <v>0.0</v>
      </c>
      <c r="Q1346" s="50">
        <v>0.0</v>
      </c>
      <c r="R1346" s="50">
        <v>0.0</v>
      </c>
      <c r="S1346" s="50">
        <v>0.0</v>
      </c>
      <c r="T1346" s="50">
        <v>2.8125</v>
      </c>
      <c r="U1346" s="50">
        <v>0.0</v>
      </c>
      <c r="V1346" s="50">
        <v>0.0</v>
      </c>
      <c r="W1346" s="50">
        <v>0.0</v>
      </c>
      <c r="X1346" s="50">
        <v>2.8125</v>
      </c>
      <c r="Y1346" s="50">
        <v>5.625</v>
      </c>
    </row>
    <row r="1347">
      <c r="A1347" s="26">
        <v>1341.0</v>
      </c>
      <c r="B1347" s="65">
        <v>-0.4441640642263113</v>
      </c>
      <c r="C1347" s="65">
        <v>-0.3147599191360213</v>
      </c>
      <c r="D1347" s="65">
        <v>0.4837866643956565</v>
      </c>
      <c r="E1347" s="65">
        <v>1.6835545451063954</v>
      </c>
      <c r="F1347" s="65">
        <v>9.469193493750144</v>
      </c>
      <c r="G1347" s="50">
        <v>0.0</v>
      </c>
      <c r="H1347" s="50">
        <v>0.0</v>
      </c>
      <c r="I1347" s="50">
        <v>0.0</v>
      </c>
      <c r="J1347" s="50">
        <v>0.0</v>
      </c>
      <c r="K1347" s="50">
        <v>0.0</v>
      </c>
      <c r="L1347" s="50">
        <v>0.0</v>
      </c>
      <c r="M1347" s="50">
        <v>0.0</v>
      </c>
      <c r="N1347" s="50">
        <v>0.0</v>
      </c>
      <c r="O1347" s="50">
        <v>0.0</v>
      </c>
      <c r="P1347" s="50">
        <v>0.0</v>
      </c>
      <c r="Q1347" s="50">
        <v>0.0</v>
      </c>
      <c r="R1347" s="50">
        <v>0.0</v>
      </c>
      <c r="S1347" s="50">
        <v>0.0</v>
      </c>
      <c r="T1347" s="50">
        <v>2.8125</v>
      </c>
      <c r="U1347" s="50">
        <v>0.0</v>
      </c>
      <c r="V1347" s="50">
        <v>0.0</v>
      </c>
      <c r="W1347" s="50">
        <v>0.0</v>
      </c>
      <c r="X1347" s="50">
        <v>2.8125</v>
      </c>
      <c r="Y1347" s="50">
        <v>5.625</v>
      </c>
    </row>
    <row r="1348">
      <c r="A1348" s="26">
        <v>1342.0</v>
      </c>
      <c r="B1348" s="65">
        <v>-2.0133303343413833</v>
      </c>
      <c r="C1348" s="65">
        <v>0.8842494474553957</v>
      </c>
      <c r="D1348" s="65">
        <v>0.056159613268161095</v>
      </c>
      <c r="E1348" s="65">
        <v>0.28098608936651265</v>
      </c>
      <c r="F1348" s="65">
        <v>3.854067091071602</v>
      </c>
      <c r="G1348" s="50">
        <v>0.0</v>
      </c>
      <c r="H1348" s="50">
        <v>0.0</v>
      </c>
      <c r="I1348" s="50">
        <v>0.0</v>
      </c>
      <c r="J1348" s="50">
        <v>0.0</v>
      </c>
      <c r="K1348" s="50">
        <v>0.0</v>
      </c>
      <c r="L1348" s="50">
        <v>0.0</v>
      </c>
      <c r="M1348" s="50">
        <v>0.0</v>
      </c>
      <c r="N1348" s="50">
        <v>0.0</v>
      </c>
      <c r="O1348" s="50">
        <v>0.0</v>
      </c>
      <c r="P1348" s="50">
        <v>2.475</v>
      </c>
      <c r="Q1348" s="50">
        <v>0.0</v>
      </c>
      <c r="R1348" s="50">
        <v>9.9</v>
      </c>
      <c r="S1348" s="50">
        <v>0.0</v>
      </c>
      <c r="T1348" s="50">
        <v>2.8125</v>
      </c>
      <c r="U1348" s="50">
        <v>0.0</v>
      </c>
      <c r="V1348" s="50">
        <v>5.625</v>
      </c>
      <c r="W1348" s="50">
        <v>0.0</v>
      </c>
      <c r="X1348" s="50">
        <v>2.8125</v>
      </c>
      <c r="Y1348" s="50">
        <v>23.625</v>
      </c>
    </row>
    <row r="1349">
      <c r="A1349" s="26">
        <v>1343.0</v>
      </c>
      <c r="B1349" s="65">
        <v>0.4676451474789563</v>
      </c>
      <c r="C1349" s="65">
        <v>-0.5456277740342601</v>
      </c>
      <c r="D1349" s="65">
        <v>-0.29903045522065475</v>
      </c>
      <c r="E1349" s="65">
        <v>0.6499093688445574</v>
      </c>
      <c r="F1349" s="65">
        <v>6.903120776599788</v>
      </c>
      <c r="G1349" s="50">
        <v>0.0</v>
      </c>
      <c r="H1349" s="50">
        <v>0.0</v>
      </c>
      <c r="I1349" s="50">
        <v>0.0</v>
      </c>
      <c r="J1349" s="50">
        <v>0.0</v>
      </c>
      <c r="K1349" s="50">
        <v>0.0</v>
      </c>
      <c r="L1349" s="50">
        <v>0.0</v>
      </c>
      <c r="M1349" s="50">
        <v>0.0</v>
      </c>
      <c r="N1349" s="50">
        <v>0.0</v>
      </c>
      <c r="O1349" s="50">
        <v>0.0</v>
      </c>
      <c r="P1349" s="50">
        <v>0.0</v>
      </c>
      <c r="Q1349" s="50">
        <v>0.0</v>
      </c>
      <c r="R1349" s="50">
        <v>0.0</v>
      </c>
      <c r="S1349" s="50">
        <v>0.0</v>
      </c>
      <c r="T1349" s="50">
        <v>2.8125</v>
      </c>
      <c r="U1349" s="50">
        <v>0.0</v>
      </c>
      <c r="V1349" s="50">
        <v>0.0</v>
      </c>
      <c r="W1349" s="50">
        <v>0.0</v>
      </c>
      <c r="X1349" s="50">
        <v>2.8125</v>
      </c>
      <c r="Y1349" s="50">
        <v>5.625</v>
      </c>
    </row>
    <row r="1350">
      <c r="A1350" s="26">
        <v>1344.0</v>
      </c>
      <c r="B1350" s="65">
        <v>0.3409330406840897</v>
      </c>
      <c r="C1350" s="65">
        <v>-0.15351150465253982</v>
      </c>
      <c r="D1350" s="65">
        <v>0.49660999801196115</v>
      </c>
      <c r="E1350" s="65">
        <v>0.7209595791793506</v>
      </c>
      <c r="F1350" s="65">
        <v>11.332462868297021</v>
      </c>
      <c r="G1350" s="50">
        <v>0.0</v>
      </c>
      <c r="H1350" s="50">
        <v>0.0</v>
      </c>
      <c r="I1350" s="50">
        <v>0.0</v>
      </c>
      <c r="J1350" s="50">
        <v>0.0</v>
      </c>
      <c r="K1350" s="50">
        <v>0.0</v>
      </c>
      <c r="L1350" s="50">
        <v>0.0</v>
      </c>
      <c r="M1350" s="50">
        <v>0.0</v>
      </c>
      <c r="N1350" s="50">
        <v>0.0</v>
      </c>
      <c r="O1350" s="50">
        <v>0.0</v>
      </c>
      <c r="P1350" s="50">
        <v>0.0</v>
      </c>
      <c r="Q1350" s="50">
        <v>0.0</v>
      </c>
      <c r="R1350" s="50">
        <v>0.0</v>
      </c>
      <c r="S1350" s="50">
        <v>0.0</v>
      </c>
      <c r="T1350" s="50">
        <v>2.8125</v>
      </c>
      <c r="U1350" s="50">
        <v>0.0</v>
      </c>
      <c r="V1350" s="50">
        <v>0.0</v>
      </c>
      <c r="W1350" s="50">
        <v>0.0</v>
      </c>
      <c r="X1350" s="50">
        <v>2.8125</v>
      </c>
      <c r="Y1350" s="50">
        <v>5.625</v>
      </c>
    </row>
    <row r="1351">
      <c r="A1351" s="26">
        <v>1345.0</v>
      </c>
      <c r="B1351" s="65">
        <v>1.8998743192923304</v>
      </c>
      <c r="C1351" s="65">
        <v>-0.29158737959517633</v>
      </c>
      <c r="D1351" s="65">
        <v>0.27385813991425656</v>
      </c>
      <c r="E1351" s="65">
        <v>0.22248855791269215</v>
      </c>
      <c r="F1351" s="65">
        <v>6.6594833977655865</v>
      </c>
      <c r="G1351" s="50">
        <v>0.0</v>
      </c>
      <c r="H1351" s="50">
        <v>0.0</v>
      </c>
      <c r="I1351" s="50">
        <v>0.0</v>
      </c>
      <c r="J1351" s="50">
        <v>0.0</v>
      </c>
      <c r="K1351" s="50">
        <v>0.0</v>
      </c>
      <c r="L1351" s="50">
        <v>0.0</v>
      </c>
      <c r="M1351" s="50">
        <v>0.0</v>
      </c>
      <c r="N1351" s="50">
        <v>0.0</v>
      </c>
      <c r="O1351" s="50">
        <v>0.0</v>
      </c>
      <c r="P1351" s="50">
        <v>0.0</v>
      </c>
      <c r="Q1351" s="50">
        <v>0.0</v>
      </c>
      <c r="R1351" s="50">
        <v>0.0</v>
      </c>
      <c r="S1351" s="50">
        <v>0.0</v>
      </c>
      <c r="T1351" s="50">
        <v>2.8125</v>
      </c>
      <c r="U1351" s="50">
        <v>0.0</v>
      </c>
      <c r="V1351" s="50">
        <v>0.0</v>
      </c>
      <c r="W1351" s="50">
        <v>0.0</v>
      </c>
      <c r="X1351" s="50">
        <v>2.8125</v>
      </c>
      <c r="Y1351" s="50">
        <v>5.625</v>
      </c>
    </row>
    <row r="1352">
      <c r="A1352" s="26">
        <v>1346.0</v>
      </c>
      <c r="B1352" s="65">
        <v>0.8594039919486641</v>
      </c>
      <c r="C1352" s="65">
        <v>-1.0064867278077032</v>
      </c>
      <c r="D1352" s="65">
        <v>-0.7121540768475565</v>
      </c>
      <c r="E1352" s="65">
        <v>0.1279529461168999</v>
      </c>
      <c r="F1352" s="65">
        <v>5.417565337199456</v>
      </c>
      <c r="G1352" s="50">
        <v>0.0</v>
      </c>
      <c r="H1352" s="50">
        <v>0.0</v>
      </c>
      <c r="I1352" s="50">
        <v>0.0</v>
      </c>
      <c r="J1352" s="50">
        <v>0.0</v>
      </c>
      <c r="K1352" s="50">
        <v>0.0</v>
      </c>
      <c r="L1352" s="50">
        <v>0.0</v>
      </c>
      <c r="M1352" s="50">
        <v>0.0</v>
      </c>
      <c r="N1352" s="50">
        <v>0.0</v>
      </c>
      <c r="O1352" s="50">
        <v>0.0</v>
      </c>
      <c r="P1352" s="50">
        <v>0.0</v>
      </c>
      <c r="Q1352" s="50">
        <v>0.0</v>
      </c>
      <c r="R1352" s="50">
        <v>0.0</v>
      </c>
      <c r="S1352" s="50">
        <v>0.0</v>
      </c>
      <c r="T1352" s="50">
        <v>2.8125</v>
      </c>
      <c r="U1352" s="50">
        <v>0.0</v>
      </c>
      <c r="V1352" s="50">
        <v>5.625</v>
      </c>
      <c r="W1352" s="50">
        <v>0.0</v>
      </c>
      <c r="X1352" s="50">
        <v>2.8125</v>
      </c>
      <c r="Y1352" s="50">
        <v>11.25</v>
      </c>
    </row>
    <row r="1353">
      <c r="A1353" s="26">
        <v>1347.0</v>
      </c>
      <c r="B1353" s="65">
        <v>-0.04719990336392158</v>
      </c>
      <c r="C1353" s="65">
        <v>-0.4309901018573696</v>
      </c>
      <c r="D1353" s="65">
        <v>-0.21147305912287273</v>
      </c>
      <c r="E1353" s="65">
        <v>0.3893988171410785</v>
      </c>
      <c r="F1353" s="65">
        <v>7.6610424439898885</v>
      </c>
      <c r="G1353" s="50">
        <v>0.0</v>
      </c>
      <c r="H1353" s="50">
        <v>0.0</v>
      </c>
      <c r="I1353" s="50">
        <v>0.0</v>
      </c>
      <c r="J1353" s="50">
        <v>0.0</v>
      </c>
      <c r="K1353" s="50">
        <v>0.0</v>
      </c>
      <c r="L1353" s="50">
        <v>0.0</v>
      </c>
      <c r="M1353" s="50">
        <v>0.0</v>
      </c>
      <c r="N1353" s="50">
        <v>0.0</v>
      </c>
      <c r="O1353" s="50">
        <v>0.0</v>
      </c>
      <c r="P1353" s="50">
        <v>0.0</v>
      </c>
      <c r="Q1353" s="50">
        <v>0.0</v>
      </c>
      <c r="R1353" s="50">
        <v>0.0</v>
      </c>
      <c r="S1353" s="50">
        <v>0.0</v>
      </c>
      <c r="T1353" s="50">
        <v>2.8125</v>
      </c>
      <c r="U1353" s="50">
        <v>0.0</v>
      </c>
      <c r="V1353" s="50">
        <v>0.0</v>
      </c>
      <c r="W1353" s="50">
        <v>0.0</v>
      </c>
      <c r="X1353" s="50">
        <v>2.8125</v>
      </c>
      <c r="Y1353" s="50">
        <v>5.625</v>
      </c>
    </row>
    <row r="1354">
      <c r="A1354" s="26">
        <v>1348.0</v>
      </c>
      <c r="B1354" s="65">
        <v>-0.6152490242723213</v>
      </c>
      <c r="C1354" s="65">
        <v>0.3242840590896459</v>
      </c>
      <c r="D1354" s="65">
        <v>0.14337556285145134</v>
      </c>
      <c r="E1354" s="65">
        <v>0.8913909436863757</v>
      </c>
      <c r="F1354" s="65">
        <v>2.8543846088697027</v>
      </c>
      <c r="G1354" s="50">
        <v>0.0</v>
      </c>
      <c r="H1354" s="50">
        <v>0.0</v>
      </c>
      <c r="I1354" s="50">
        <v>0.0</v>
      </c>
      <c r="J1354" s="50">
        <v>0.0</v>
      </c>
      <c r="K1354" s="50">
        <v>0.0</v>
      </c>
      <c r="L1354" s="50">
        <v>0.0</v>
      </c>
      <c r="M1354" s="50">
        <v>0.0</v>
      </c>
      <c r="N1354" s="50">
        <v>0.0</v>
      </c>
      <c r="O1354" s="50">
        <v>7.425000000000001</v>
      </c>
      <c r="P1354" s="50">
        <v>2.475</v>
      </c>
      <c r="Q1354" s="50">
        <v>0.0</v>
      </c>
      <c r="R1354" s="50">
        <v>0.0</v>
      </c>
      <c r="S1354" s="50">
        <v>0.0</v>
      </c>
      <c r="T1354" s="50">
        <v>2.8125</v>
      </c>
      <c r="U1354" s="50">
        <v>0.0</v>
      </c>
      <c r="V1354" s="50">
        <v>0.0</v>
      </c>
      <c r="W1354" s="50">
        <v>0.0</v>
      </c>
      <c r="X1354" s="50">
        <v>2.8125</v>
      </c>
      <c r="Y1354" s="50">
        <v>15.525</v>
      </c>
    </row>
    <row r="1355">
      <c r="A1355" s="26">
        <v>1349.0</v>
      </c>
      <c r="B1355" s="65">
        <v>1.0647118442071644</v>
      </c>
      <c r="C1355" s="65">
        <v>0.49396066210867107</v>
      </c>
      <c r="D1355" s="65">
        <v>-0.8877151228740088</v>
      </c>
      <c r="E1355" s="65">
        <v>-1.0956008627107987</v>
      </c>
      <c r="F1355" s="65">
        <v>4.728448361301637</v>
      </c>
      <c r="G1355" s="50">
        <v>0.0</v>
      </c>
      <c r="H1355" s="50">
        <v>0.0</v>
      </c>
      <c r="I1355" s="50">
        <v>0.0</v>
      </c>
      <c r="J1355" s="50">
        <v>0.0</v>
      </c>
      <c r="K1355" s="50">
        <v>0.0</v>
      </c>
      <c r="L1355" s="50">
        <v>0.0</v>
      </c>
      <c r="M1355" s="50">
        <v>0.0</v>
      </c>
      <c r="N1355" s="50">
        <v>0.0</v>
      </c>
      <c r="O1355" s="50">
        <v>0.0</v>
      </c>
      <c r="P1355" s="50">
        <v>2.475</v>
      </c>
      <c r="Q1355" s="50">
        <v>0.0</v>
      </c>
      <c r="R1355" s="50">
        <v>0.0</v>
      </c>
      <c r="S1355" s="50">
        <v>0.0</v>
      </c>
      <c r="T1355" s="50">
        <v>2.8125</v>
      </c>
      <c r="U1355" s="50">
        <v>0.0</v>
      </c>
      <c r="V1355" s="50">
        <v>0.0</v>
      </c>
      <c r="W1355" s="50">
        <v>0.0</v>
      </c>
      <c r="X1355" s="50">
        <v>2.8125</v>
      </c>
      <c r="Y1355" s="50">
        <v>8.1</v>
      </c>
    </row>
    <row r="1356">
      <c r="A1356" s="26">
        <v>1350.0</v>
      </c>
      <c r="B1356" s="65">
        <v>2.230585519615637</v>
      </c>
      <c r="C1356" s="65">
        <v>-1.0054632798355927</v>
      </c>
      <c r="D1356" s="65">
        <v>-1.508767761427109</v>
      </c>
      <c r="E1356" s="65">
        <v>-1.1126417369178427</v>
      </c>
      <c r="F1356" s="65">
        <v>1.6222484564323947</v>
      </c>
      <c r="G1356" s="50">
        <v>0.0</v>
      </c>
      <c r="H1356" s="50">
        <v>0.0</v>
      </c>
      <c r="I1356" s="50">
        <v>0.0</v>
      </c>
      <c r="J1356" s="50">
        <v>0.0</v>
      </c>
      <c r="K1356" s="50">
        <v>0.0</v>
      </c>
      <c r="L1356" s="50">
        <v>0.0</v>
      </c>
      <c r="M1356" s="50">
        <v>0.0</v>
      </c>
      <c r="N1356" s="50">
        <v>0.0</v>
      </c>
      <c r="O1356" s="50">
        <v>0.0</v>
      </c>
      <c r="P1356" s="50">
        <v>0.0</v>
      </c>
      <c r="Q1356" s="50">
        <v>0.0</v>
      </c>
      <c r="R1356" s="50">
        <v>9.9</v>
      </c>
      <c r="S1356" s="50">
        <v>0.0</v>
      </c>
      <c r="T1356" s="50">
        <v>2.8125</v>
      </c>
      <c r="U1356" s="50">
        <v>0.0</v>
      </c>
      <c r="V1356" s="50">
        <v>0.0</v>
      </c>
      <c r="W1356" s="50">
        <v>0.0</v>
      </c>
      <c r="X1356" s="50">
        <v>0.0</v>
      </c>
      <c r="Y1356" s="50">
        <v>12.7125</v>
      </c>
    </row>
    <row r="1357">
      <c r="A1357" s="26">
        <v>1351.0</v>
      </c>
      <c r="B1357" s="65">
        <v>0.2434530633012144</v>
      </c>
      <c r="C1357" s="65">
        <v>0.9972500036802457</v>
      </c>
      <c r="D1357" s="65">
        <v>-0.9430202240574292</v>
      </c>
      <c r="E1357" s="65">
        <v>1.4539078534744898</v>
      </c>
      <c r="F1357" s="65">
        <v>2.395134749715982</v>
      </c>
      <c r="G1357" s="50">
        <v>0.0</v>
      </c>
      <c r="H1357" s="50">
        <v>0.0</v>
      </c>
      <c r="I1357" s="50">
        <v>0.0</v>
      </c>
      <c r="J1357" s="50">
        <v>0.0</v>
      </c>
      <c r="K1357" s="50">
        <v>0.0</v>
      </c>
      <c r="L1357" s="50">
        <v>0.0</v>
      </c>
      <c r="M1357" s="50">
        <v>0.0</v>
      </c>
      <c r="N1357" s="50">
        <v>0.0</v>
      </c>
      <c r="O1357" s="50">
        <v>0.0</v>
      </c>
      <c r="P1357" s="50">
        <v>0.0</v>
      </c>
      <c r="Q1357" s="50">
        <v>0.0</v>
      </c>
      <c r="R1357" s="50">
        <v>0.0</v>
      </c>
      <c r="S1357" s="50">
        <v>0.0</v>
      </c>
      <c r="T1357" s="50">
        <v>2.8125</v>
      </c>
      <c r="U1357" s="50">
        <v>0.0</v>
      </c>
      <c r="V1357" s="50">
        <v>5.625</v>
      </c>
      <c r="W1357" s="50">
        <v>0.0</v>
      </c>
      <c r="X1357" s="50">
        <v>2.8125</v>
      </c>
      <c r="Y1357" s="50">
        <v>11.25</v>
      </c>
    </row>
    <row r="1358">
      <c r="A1358" s="26">
        <v>1352.0</v>
      </c>
      <c r="B1358" s="65">
        <v>2.2411871161774974</v>
      </c>
      <c r="C1358" s="65">
        <v>-0.17378955390985484</v>
      </c>
      <c r="D1358" s="65">
        <v>1.2775032401498316</v>
      </c>
      <c r="E1358" s="65">
        <v>0.1142250793742789</v>
      </c>
      <c r="F1358" s="65">
        <v>7.041832002963569</v>
      </c>
      <c r="G1358" s="50">
        <v>0.0</v>
      </c>
      <c r="H1358" s="50">
        <v>0.0</v>
      </c>
      <c r="I1358" s="50">
        <v>0.0</v>
      </c>
      <c r="J1358" s="50">
        <v>0.0</v>
      </c>
      <c r="K1358" s="50">
        <v>0.0</v>
      </c>
      <c r="L1358" s="50">
        <v>0.0</v>
      </c>
      <c r="M1358" s="50">
        <v>0.0</v>
      </c>
      <c r="N1358" s="50">
        <v>0.0</v>
      </c>
      <c r="O1358" s="50">
        <v>0.0</v>
      </c>
      <c r="P1358" s="50">
        <v>0.0</v>
      </c>
      <c r="Q1358" s="50">
        <v>0.0</v>
      </c>
      <c r="R1358" s="50">
        <v>0.0</v>
      </c>
      <c r="S1358" s="50">
        <v>0.0</v>
      </c>
      <c r="T1358" s="50">
        <v>2.8125</v>
      </c>
      <c r="U1358" s="50">
        <v>0.0</v>
      </c>
      <c r="V1358" s="50">
        <v>0.0</v>
      </c>
      <c r="W1358" s="50">
        <v>0.0</v>
      </c>
      <c r="X1358" s="50">
        <v>2.8125</v>
      </c>
      <c r="Y1358" s="50">
        <v>5.625</v>
      </c>
    </row>
    <row r="1359">
      <c r="A1359" s="26">
        <v>1353.0</v>
      </c>
      <c r="B1359" s="65">
        <v>1.251870974048554</v>
      </c>
      <c r="C1359" s="65">
        <v>1.7478727684780524</v>
      </c>
      <c r="D1359" s="65">
        <v>1.2089815514220443</v>
      </c>
      <c r="E1359" s="65">
        <v>-0.4320449065155175</v>
      </c>
      <c r="F1359" s="65">
        <v>6.0233079684090765</v>
      </c>
      <c r="G1359" s="50">
        <v>0.0</v>
      </c>
      <c r="H1359" s="50">
        <v>0.0</v>
      </c>
      <c r="I1359" s="50">
        <v>0.0</v>
      </c>
      <c r="J1359" s="50">
        <v>0.0</v>
      </c>
      <c r="K1359" s="50">
        <v>0.0</v>
      </c>
      <c r="L1359" s="50">
        <v>0.0</v>
      </c>
      <c r="M1359" s="50">
        <v>0.0</v>
      </c>
      <c r="N1359" s="50">
        <v>0.0</v>
      </c>
      <c r="O1359" s="50">
        <v>0.0</v>
      </c>
      <c r="P1359" s="50">
        <v>0.0</v>
      </c>
      <c r="Q1359" s="50">
        <v>0.0</v>
      </c>
      <c r="R1359" s="50">
        <v>0.0</v>
      </c>
      <c r="S1359" s="50">
        <v>0.0</v>
      </c>
      <c r="T1359" s="50">
        <v>2.8125</v>
      </c>
      <c r="U1359" s="50">
        <v>0.0</v>
      </c>
      <c r="V1359" s="50">
        <v>0.0</v>
      </c>
      <c r="W1359" s="50">
        <v>0.0</v>
      </c>
      <c r="X1359" s="50">
        <v>2.8125</v>
      </c>
      <c r="Y1359" s="50">
        <v>5.625</v>
      </c>
    </row>
    <row r="1360">
      <c r="A1360" s="26">
        <v>1354.0</v>
      </c>
      <c r="B1360" s="65">
        <v>1.3757188486868697</v>
      </c>
      <c r="C1360" s="65">
        <v>0.5013688845643839</v>
      </c>
      <c r="D1360" s="65">
        <v>0.14337568126445593</v>
      </c>
      <c r="E1360" s="65">
        <v>-0.2830061418625978</v>
      </c>
      <c r="F1360" s="65">
        <v>4.452145934967563</v>
      </c>
      <c r="G1360" s="50">
        <v>0.0</v>
      </c>
      <c r="H1360" s="50">
        <v>0.0</v>
      </c>
      <c r="I1360" s="50">
        <v>0.0</v>
      </c>
      <c r="J1360" s="50">
        <v>0.0</v>
      </c>
      <c r="K1360" s="50">
        <v>0.0</v>
      </c>
      <c r="L1360" s="50">
        <v>0.0</v>
      </c>
      <c r="M1360" s="50">
        <v>0.0</v>
      </c>
      <c r="N1360" s="50">
        <v>0.0</v>
      </c>
      <c r="O1360" s="50">
        <v>0.0</v>
      </c>
      <c r="P1360" s="50">
        <v>0.0</v>
      </c>
      <c r="Q1360" s="50">
        <v>0.0</v>
      </c>
      <c r="R1360" s="50">
        <v>0.0</v>
      </c>
      <c r="S1360" s="50">
        <v>0.0</v>
      </c>
      <c r="T1360" s="50">
        <v>2.8125</v>
      </c>
      <c r="U1360" s="50">
        <v>0.0</v>
      </c>
      <c r="V1360" s="50">
        <v>0.0</v>
      </c>
      <c r="W1360" s="50">
        <v>0.0</v>
      </c>
      <c r="X1360" s="50">
        <v>2.8125</v>
      </c>
      <c r="Y1360" s="50">
        <v>5.625</v>
      </c>
    </row>
    <row r="1361">
      <c r="A1361" s="26">
        <v>1355.0</v>
      </c>
      <c r="B1361" s="65">
        <v>0.7056609468881107</v>
      </c>
      <c r="C1361" s="65">
        <v>-0.6556133566011084</v>
      </c>
      <c r="D1361" s="65">
        <v>0.26282014066261233</v>
      </c>
      <c r="E1361" s="65">
        <v>-0.7972771724116524</v>
      </c>
      <c r="F1361" s="65">
        <v>9.058492414570107</v>
      </c>
      <c r="G1361" s="50">
        <v>0.0</v>
      </c>
      <c r="H1361" s="50">
        <v>0.0</v>
      </c>
      <c r="I1361" s="50">
        <v>0.0</v>
      </c>
      <c r="J1361" s="50">
        <v>0.0</v>
      </c>
      <c r="K1361" s="50">
        <v>0.0</v>
      </c>
      <c r="L1361" s="50">
        <v>0.0</v>
      </c>
      <c r="M1361" s="50">
        <v>0.0</v>
      </c>
      <c r="N1361" s="50">
        <v>0.0</v>
      </c>
      <c r="O1361" s="50">
        <v>0.0</v>
      </c>
      <c r="P1361" s="50">
        <v>0.0</v>
      </c>
      <c r="Q1361" s="50">
        <v>0.0</v>
      </c>
      <c r="R1361" s="50">
        <v>0.0</v>
      </c>
      <c r="S1361" s="50">
        <v>0.0</v>
      </c>
      <c r="T1361" s="50">
        <v>2.8125</v>
      </c>
      <c r="U1361" s="50">
        <v>0.0</v>
      </c>
      <c r="V1361" s="50">
        <v>0.0</v>
      </c>
      <c r="W1361" s="50">
        <v>0.0</v>
      </c>
      <c r="X1361" s="50">
        <v>2.8125</v>
      </c>
      <c r="Y1361" s="50">
        <v>5.625</v>
      </c>
    </row>
    <row r="1362">
      <c r="A1362" s="26">
        <v>1356.0</v>
      </c>
      <c r="B1362" s="65">
        <v>-0.5477152772535357</v>
      </c>
      <c r="C1362" s="65">
        <v>0.2055018821002152</v>
      </c>
      <c r="D1362" s="65">
        <v>-0.7693839762487149</v>
      </c>
      <c r="E1362" s="65">
        <v>-0.7457153118493344</v>
      </c>
      <c r="F1362" s="65">
        <v>1.6524644734427998</v>
      </c>
      <c r="G1362" s="50">
        <v>0.0</v>
      </c>
      <c r="H1362" s="50">
        <v>0.0</v>
      </c>
      <c r="I1362" s="50">
        <v>0.0</v>
      </c>
      <c r="J1362" s="50">
        <v>0.0</v>
      </c>
      <c r="K1362" s="50">
        <v>0.0</v>
      </c>
      <c r="L1362" s="50">
        <v>0.0</v>
      </c>
      <c r="M1362" s="50">
        <v>0.0</v>
      </c>
      <c r="N1362" s="50">
        <v>0.0</v>
      </c>
      <c r="O1362" s="50">
        <v>7.425000000000001</v>
      </c>
      <c r="P1362" s="50">
        <v>0.0</v>
      </c>
      <c r="Q1362" s="50">
        <v>0.0</v>
      </c>
      <c r="R1362" s="50">
        <v>9.9</v>
      </c>
      <c r="S1362" s="50">
        <v>0.0</v>
      </c>
      <c r="T1362" s="50">
        <v>2.8125</v>
      </c>
      <c r="U1362" s="50">
        <v>9.9</v>
      </c>
      <c r="V1362" s="50">
        <v>5.625</v>
      </c>
      <c r="W1362" s="50">
        <v>0.0</v>
      </c>
      <c r="X1362" s="50">
        <v>2.8125</v>
      </c>
      <c r="Y1362" s="50">
        <v>38.475</v>
      </c>
    </row>
    <row r="1363">
      <c r="A1363" s="26">
        <v>1357.0</v>
      </c>
      <c r="B1363" s="65">
        <v>1.1879781293985834</v>
      </c>
      <c r="C1363" s="65">
        <v>-1.5751004895170664</v>
      </c>
      <c r="D1363" s="65">
        <v>-0.6661334105892303</v>
      </c>
      <c r="E1363" s="65">
        <v>0.16660215967803021</v>
      </c>
      <c r="F1363" s="65">
        <v>2.7641283706855844</v>
      </c>
      <c r="G1363" s="50">
        <v>0.0</v>
      </c>
      <c r="H1363" s="50">
        <v>0.0</v>
      </c>
      <c r="I1363" s="50">
        <v>0.0</v>
      </c>
      <c r="J1363" s="50">
        <v>0.0</v>
      </c>
      <c r="K1363" s="50">
        <v>0.0</v>
      </c>
      <c r="L1363" s="50">
        <v>0.0</v>
      </c>
      <c r="M1363" s="50">
        <v>0.0</v>
      </c>
      <c r="N1363" s="50">
        <v>0.0</v>
      </c>
      <c r="O1363" s="50">
        <v>0.0</v>
      </c>
      <c r="P1363" s="50">
        <v>0.0</v>
      </c>
      <c r="Q1363" s="50">
        <v>0.0</v>
      </c>
      <c r="R1363" s="50">
        <v>0.0</v>
      </c>
      <c r="S1363" s="50">
        <v>0.0</v>
      </c>
      <c r="T1363" s="50">
        <v>2.8125</v>
      </c>
      <c r="U1363" s="50">
        <v>0.0</v>
      </c>
      <c r="V1363" s="50">
        <v>0.0</v>
      </c>
      <c r="W1363" s="50">
        <v>0.0</v>
      </c>
      <c r="X1363" s="50">
        <v>2.8125</v>
      </c>
      <c r="Y1363" s="50">
        <v>5.625</v>
      </c>
    </row>
    <row r="1364">
      <c r="A1364" s="26">
        <v>1358.0</v>
      </c>
      <c r="B1364" s="65">
        <v>0.8958970124208068</v>
      </c>
      <c r="C1364" s="65">
        <v>0.022699255827521365</v>
      </c>
      <c r="D1364" s="65">
        <v>0.24891704691205307</v>
      </c>
      <c r="E1364" s="65">
        <v>0.15718371024471517</v>
      </c>
      <c r="F1364" s="65">
        <v>10.517878946837158</v>
      </c>
      <c r="G1364" s="50">
        <v>0.0</v>
      </c>
      <c r="H1364" s="50">
        <v>0.0</v>
      </c>
      <c r="I1364" s="50">
        <v>0.0</v>
      </c>
      <c r="J1364" s="50">
        <v>0.0</v>
      </c>
      <c r="K1364" s="50">
        <v>0.0</v>
      </c>
      <c r="L1364" s="50">
        <v>0.0</v>
      </c>
      <c r="M1364" s="50">
        <v>0.0</v>
      </c>
      <c r="N1364" s="50">
        <v>0.0</v>
      </c>
      <c r="O1364" s="50">
        <v>0.0</v>
      </c>
      <c r="P1364" s="50">
        <v>0.0</v>
      </c>
      <c r="Q1364" s="50">
        <v>0.0</v>
      </c>
      <c r="R1364" s="50">
        <v>0.0</v>
      </c>
      <c r="S1364" s="50">
        <v>0.0</v>
      </c>
      <c r="T1364" s="50">
        <v>2.8125</v>
      </c>
      <c r="U1364" s="50">
        <v>0.0</v>
      </c>
      <c r="V1364" s="50">
        <v>0.0</v>
      </c>
      <c r="W1364" s="50">
        <v>0.0</v>
      </c>
      <c r="X1364" s="50">
        <v>2.8125</v>
      </c>
      <c r="Y1364" s="50">
        <v>5.625</v>
      </c>
    </row>
    <row r="1365">
      <c r="A1365" s="26">
        <v>1359.0</v>
      </c>
      <c r="B1365" s="65">
        <v>1.2993404601064045</v>
      </c>
      <c r="C1365" s="65">
        <v>0.20528624474809726</v>
      </c>
      <c r="D1365" s="65">
        <v>0.8189790834891446</v>
      </c>
      <c r="E1365" s="65">
        <v>-0.34466939481278236</v>
      </c>
      <c r="F1365" s="65">
        <v>10.524357856048422</v>
      </c>
      <c r="G1365" s="50">
        <v>0.0</v>
      </c>
      <c r="H1365" s="50">
        <v>0.0</v>
      </c>
      <c r="I1365" s="50">
        <v>0.0</v>
      </c>
      <c r="J1365" s="50">
        <v>0.0</v>
      </c>
      <c r="K1365" s="50">
        <v>0.0</v>
      </c>
      <c r="L1365" s="50">
        <v>0.0</v>
      </c>
      <c r="M1365" s="50">
        <v>0.0</v>
      </c>
      <c r="N1365" s="50">
        <v>0.0</v>
      </c>
      <c r="O1365" s="50">
        <v>0.0</v>
      </c>
      <c r="P1365" s="50">
        <v>0.0</v>
      </c>
      <c r="Q1365" s="50">
        <v>0.0</v>
      </c>
      <c r="R1365" s="50">
        <v>0.0</v>
      </c>
      <c r="S1365" s="50">
        <v>0.0</v>
      </c>
      <c r="T1365" s="50">
        <v>2.8125</v>
      </c>
      <c r="U1365" s="50">
        <v>0.0</v>
      </c>
      <c r="V1365" s="50">
        <v>5.625</v>
      </c>
      <c r="W1365" s="50">
        <v>0.0</v>
      </c>
      <c r="X1365" s="50">
        <v>2.8125</v>
      </c>
      <c r="Y1365" s="50">
        <v>11.25</v>
      </c>
    </row>
    <row r="1366">
      <c r="A1366" s="26">
        <v>1360.0</v>
      </c>
      <c r="B1366" s="65">
        <v>0.3396024075616634</v>
      </c>
      <c r="C1366" s="65">
        <v>-1.5566162247626398</v>
      </c>
      <c r="D1366" s="65">
        <v>0.16550568662703005</v>
      </c>
      <c r="E1366" s="65">
        <v>-0.21008959021690246</v>
      </c>
      <c r="F1366" s="65">
        <v>8.071567772241378</v>
      </c>
      <c r="G1366" s="50">
        <v>0.0</v>
      </c>
      <c r="H1366" s="50">
        <v>0.0</v>
      </c>
      <c r="I1366" s="50">
        <v>0.0</v>
      </c>
      <c r="J1366" s="50">
        <v>0.0</v>
      </c>
      <c r="K1366" s="50">
        <v>0.0</v>
      </c>
      <c r="L1366" s="50">
        <v>0.0</v>
      </c>
      <c r="M1366" s="50">
        <v>0.0</v>
      </c>
      <c r="N1366" s="50">
        <v>0.0</v>
      </c>
      <c r="O1366" s="50">
        <v>0.0</v>
      </c>
      <c r="P1366" s="50">
        <v>0.0</v>
      </c>
      <c r="Q1366" s="50">
        <v>0.0</v>
      </c>
      <c r="R1366" s="50">
        <v>0.0</v>
      </c>
      <c r="S1366" s="50">
        <v>0.0</v>
      </c>
      <c r="T1366" s="50">
        <v>2.8125</v>
      </c>
      <c r="U1366" s="50">
        <v>0.0</v>
      </c>
      <c r="V1366" s="50">
        <v>0.0</v>
      </c>
      <c r="W1366" s="50">
        <v>0.0</v>
      </c>
      <c r="X1366" s="50">
        <v>2.8125</v>
      </c>
      <c r="Y1366" s="50">
        <v>5.625</v>
      </c>
    </row>
    <row r="1367">
      <c r="A1367" s="26">
        <v>1361.0</v>
      </c>
      <c r="B1367" s="65">
        <v>2.0995581796713516</v>
      </c>
      <c r="C1367" s="65">
        <v>1.080342566955665</v>
      </c>
      <c r="D1367" s="65">
        <v>-0.48423194340945963</v>
      </c>
      <c r="E1367" s="65">
        <v>-0.6467385732190707</v>
      </c>
      <c r="F1367" s="65">
        <v>1.4132832520073209</v>
      </c>
      <c r="G1367" s="50">
        <v>0.0</v>
      </c>
      <c r="H1367" s="50">
        <v>0.0</v>
      </c>
      <c r="I1367" s="50">
        <v>0.0</v>
      </c>
      <c r="J1367" s="50">
        <v>0.0</v>
      </c>
      <c r="K1367" s="50">
        <v>0.0</v>
      </c>
      <c r="L1367" s="50">
        <v>0.0</v>
      </c>
      <c r="M1367" s="50">
        <v>0.0</v>
      </c>
      <c r="N1367" s="50">
        <v>0.0</v>
      </c>
      <c r="O1367" s="50">
        <v>0.0</v>
      </c>
      <c r="P1367" s="50">
        <v>0.0</v>
      </c>
      <c r="Q1367" s="50">
        <v>0.0</v>
      </c>
      <c r="R1367" s="50">
        <v>0.0</v>
      </c>
      <c r="S1367" s="50">
        <v>0.0</v>
      </c>
      <c r="T1367" s="50">
        <v>2.8125</v>
      </c>
      <c r="U1367" s="50">
        <v>0.0</v>
      </c>
      <c r="V1367" s="50">
        <v>0.0</v>
      </c>
      <c r="W1367" s="50">
        <v>0.0</v>
      </c>
      <c r="X1367" s="50">
        <v>2.8125</v>
      </c>
      <c r="Y1367" s="50">
        <v>5.625</v>
      </c>
    </row>
    <row r="1368">
      <c r="A1368" s="26">
        <v>1362.0</v>
      </c>
      <c r="B1368" s="65">
        <v>-0.6464474282106696</v>
      </c>
      <c r="C1368" s="65">
        <v>-1.2273374801728734</v>
      </c>
      <c r="D1368" s="65">
        <v>-2.332536883291628</v>
      </c>
      <c r="E1368" s="65">
        <v>0.047965672268671454</v>
      </c>
      <c r="F1368" s="65">
        <v>9.514285702529001</v>
      </c>
      <c r="G1368" s="50">
        <v>0.0</v>
      </c>
      <c r="H1368" s="50">
        <v>0.0</v>
      </c>
      <c r="I1368" s="50">
        <v>0.0</v>
      </c>
      <c r="J1368" s="50">
        <v>0.0</v>
      </c>
      <c r="K1368" s="50">
        <v>0.0</v>
      </c>
      <c r="L1368" s="50">
        <v>0.0</v>
      </c>
      <c r="M1368" s="50">
        <v>0.0</v>
      </c>
      <c r="N1368" s="50">
        <v>0.0</v>
      </c>
      <c r="O1368" s="50">
        <v>0.0</v>
      </c>
      <c r="P1368" s="50">
        <v>0.0</v>
      </c>
      <c r="Q1368" s="50">
        <v>0.0</v>
      </c>
      <c r="R1368" s="50">
        <v>0.0</v>
      </c>
      <c r="S1368" s="50">
        <v>0.0</v>
      </c>
      <c r="T1368" s="50">
        <v>2.8125</v>
      </c>
      <c r="U1368" s="50">
        <v>0.0</v>
      </c>
      <c r="V1368" s="50">
        <v>0.0</v>
      </c>
      <c r="W1368" s="50">
        <v>0.0</v>
      </c>
      <c r="X1368" s="50">
        <v>2.8125</v>
      </c>
      <c r="Y1368" s="50">
        <v>5.625</v>
      </c>
    </row>
    <row r="1369">
      <c r="A1369" s="26">
        <v>1363.0</v>
      </c>
      <c r="B1369" s="65">
        <v>0.5466497319230448</v>
      </c>
      <c r="C1369" s="65">
        <v>1.4139204159219152</v>
      </c>
      <c r="D1369" s="65">
        <v>-1.122760606096255</v>
      </c>
      <c r="E1369" s="65">
        <v>-0.2287168242894245</v>
      </c>
      <c r="F1369" s="65">
        <v>7.5050486029852665</v>
      </c>
      <c r="G1369" s="50">
        <v>0.0</v>
      </c>
      <c r="H1369" s="50">
        <v>0.0</v>
      </c>
      <c r="I1369" s="50">
        <v>0.0</v>
      </c>
      <c r="J1369" s="50">
        <v>0.0</v>
      </c>
      <c r="K1369" s="50">
        <v>0.0</v>
      </c>
      <c r="L1369" s="50">
        <v>0.0</v>
      </c>
      <c r="M1369" s="50">
        <v>0.0</v>
      </c>
      <c r="N1369" s="50">
        <v>0.0</v>
      </c>
      <c r="O1369" s="50">
        <v>0.0</v>
      </c>
      <c r="P1369" s="50">
        <v>0.0</v>
      </c>
      <c r="Q1369" s="50">
        <v>0.0</v>
      </c>
      <c r="R1369" s="50">
        <v>0.0</v>
      </c>
      <c r="S1369" s="50">
        <v>0.0</v>
      </c>
      <c r="T1369" s="50">
        <v>2.8125</v>
      </c>
      <c r="U1369" s="50">
        <v>0.0</v>
      </c>
      <c r="V1369" s="50">
        <v>0.0</v>
      </c>
      <c r="W1369" s="50">
        <v>0.0</v>
      </c>
      <c r="X1369" s="50">
        <v>2.8125</v>
      </c>
      <c r="Y1369" s="50">
        <v>5.625</v>
      </c>
    </row>
    <row r="1370">
      <c r="A1370" s="26">
        <v>1364.0</v>
      </c>
      <c r="B1370" s="65">
        <v>-0.05107981097661557</v>
      </c>
      <c r="C1370" s="65">
        <v>1.4288314852000854</v>
      </c>
      <c r="D1370" s="65">
        <v>-0.8744041859421021</v>
      </c>
      <c r="E1370" s="65">
        <v>-0.9677499979425883</v>
      </c>
      <c r="F1370" s="65">
        <v>3.571205736320578</v>
      </c>
      <c r="G1370" s="50">
        <v>0.0</v>
      </c>
      <c r="H1370" s="50">
        <v>0.0</v>
      </c>
      <c r="I1370" s="50">
        <v>0.0</v>
      </c>
      <c r="J1370" s="50">
        <v>0.0</v>
      </c>
      <c r="K1370" s="50">
        <v>0.0</v>
      </c>
      <c r="L1370" s="50">
        <v>0.0</v>
      </c>
      <c r="M1370" s="50">
        <v>0.0</v>
      </c>
      <c r="N1370" s="50">
        <v>0.0</v>
      </c>
      <c r="O1370" s="50">
        <v>0.0</v>
      </c>
      <c r="P1370" s="50">
        <v>2.475</v>
      </c>
      <c r="Q1370" s="50">
        <v>0.0</v>
      </c>
      <c r="R1370" s="50">
        <v>0.0</v>
      </c>
      <c r="S1370" s="50">
        <v>0.0</v>
      </c>
      <c r="T1370" s="50">
        <v>2.8125</v>
      </c>
      <c r="U1370" s="50">
        <v>0.0</v>
      </c>
      <c r="V1370" s="50">
        <v>0.0</v>
      </c>
      <c r="W1370" s="50">
        <v>0.0</v>
      </c>
      <c r="X1370" s="50">
        <v>2.8125</v>
      </c>
      <c r="Y1370" s="50">
        <v>8.1</v>
      </c>
    </row>
    <row r="1371">
      <c r="A1371" s="26">
        <v>1365.0</v>
      </c>
      <c r="B1371" s="65">
        <v>0.981577244589751</v>
      </c>
      <c r="C1371" s="65">
        <v>0.5509295664662748</v>
      </c>
      <c r="D1371" s="65">
        <v>0.4276430979924216</v>
      </c>
      <c r="E1371" s="65">
        <v>1.566411460102881</v>
      </c>
      <c r="F1371" s="65">
        <v>2.071471860066833</v>
      </c>
      <c r="G1371" s="50">
        <v>0.0</v>
      </c>
      <c r="H1371" s="50">
        <v>0.0</v>
      </c>
      <c r="I1371" s="50">
        <v>0.0</v>
      </c>
      <c r="J1371" s="50">
        <v>0.0</v>
      </c>
      <c r="K1371" s="50">
        <v>0.0</v>
      </c>
      <c r="L1371" s="50">
        <v>0.0</v>
      </c>
      <c r="M1371" s="50">
        <v>0.0</v>
      </c>
      <c r="N1371" s="50">
        <v>0.0</v>
      </c>
      <c r="O1371" s="50">
        <v>0.0</v>
      </c>
      <c r="P1371" s="50">
        <v>0.0</v>
      </c>
      <c r="Q1371" s="50">
        <v>0.0</v>
      </c>
      <c r="R1371" s="50">
        <v>0.0</v>
      </c>
      <c r="S1371" s="50">
        <v>0.0</v>
      </c>
      <c r="T1371" s="50">
        <v>2.8125</v>
      </c>
      <c r="U1371" s="50">
        <v>0.0</v>
      </c>
      <c r="V1371" s="50">
        <v>0.0</v>
      </c>
      <c r="W1371" s="50">
        <v>0.0</v>
      </c>
      <c r="X1371" s="50">
        <v>2.8125</v>
      </c>
      <c r="Y1371" s="50">
        <v>5.625</v>
      </c>
    </row>
    <row r="1372">
      <c r="A1372" s="26">
        <v>1366.0</v>
      </c>
      <c r="B1372" s="65">
        <v>0.03259624833051895</v>
      </c>
      <c r="C1372" s="65">
        <v>0.5299101831885495</v>
      </c>
      <c r="D1372" s="65">
        <v>-0.6248806509860735</v>
      </c>
      <c r="E1372" s="65">
        <v>-1.1913747306295954</v>
      </c>
      <c r="F1372" s="65">
        <v>1.6329882199770198</v>
      </c>
      <c r="G1372" s="50">
        <v>0.0</v>
      </c>
      <c r="H1372" s="50">
        <v>0.0</v>
      </c>
      <c r="I1372" s="50">
        <v>0.0</v>
      </c>
      <c r="J1372" s="50">
        <v>0.0</v>
      </c>
      <c r="K1372" s="50">
        <v>0.0</v>
      </c>
      <c r="L1372" s="50">
        <v>0.0</v>
      </c>
      <c r="M1372" s="50">
        <v>0.0</v>
      </c>
      <c r="N1372" s="50">
        <v>0.0</v>
      </c>
      <c r="O1372" s="50">
        <v>0.0</v>
      </c>
      <c r="P1372" s="50">
        <v>0.0</v>
      </c>
      <c r="Q1372" s="50">
        <v>0.0</v>
      </c>
      <c r="R1372" s="50">
        <v>9.9</v>
      </c>
      <c r="S1372" s="50">
        <v>0.0</v>
      </c>
      <c r="T1372" s="50">
        <v>2.8125</v>
      </c>
      <c r="U1372" s="50">
        <v>9.9</v>
      </c>
      <c r="V1372" s="50">
        <v>5.625</v>
      </c>
      <c r="W1372" s="50">
        <v>4.95</v>
      </c>
      <c r="X1372" s="50">
        <v>2.8125</v>
      </c>
      <c r="Y1372" s="50">
        <v>36.0</v>
      </c>
    </row>
    <row r="1373">
      <c r="A1373" s="26">
        <v>1367.0</v>
      </c>
      <c r="B1373" s="65">
        <v>-0.5106922626752436</v>
      </c>
      <c r="C1373" s="65">
        <v>0.5904203739964995</v>
      </c>
      <c r="D1373" s="65">
        <v>-1.3870633322991224</v>
      </c>
      <c r="E1373" s="65">
        <v>-0.3147541388911126</v>
      </c>
      <c r="F1373" s="65">
        <v>4.389190119064896</v>
      </c>
      <c r="G1373" s="50">
        <v>0.0</v>
      </c>
      <c r="H1373" s="50">
        <v>0.0</v>
      </c>
      <c r="I1373" s="50">
        <v>0.0</v>
      </c>
      <c r="J1373" s="50">
        <v>0.0</v>
      </c>
      <c r="K1373" s="50">
        <v>0.0</v>
      </c>
      <c r="L1373" s="50">
        <v>0.0</v>
      </c>
      <c r="M1373" s="50">
        <v>0.0</v>
      </c>
      <c r="N1373" s="50">
        <v>0.0</v>
      </c>
      <c r="O1373" s="50">
        <v>0.0</v>
      </c>
      <c r="P1373" s="50">
        <v>0.0</v>
      </c>
      <c r="Q1373" s="50">
        <v>0.0</v>
      </c>
      <c r="R1373" s="50">
        <v>9.9</v>
      </c>
      <c r="S1373" s="50">
        <v>0.0</v>
      </c>
      <c r="T1373" s="50">
        <v>2.8125</v>
      </c>
      <c r="U1373" s="50">
        <v>0.0</v>
      </c>
      <c r="V1373" s="50">
        <v>0.0</v>
      </c>
      <c r="W1373" s="50">
        <v>0.0</v>
      </c>
      <c r="X1373" s="50">
        <v>2.8125</v>
      </c>
      <c r="Y1373" s="50">
        <v>15.525</v>
      </c>
    </row>
    <row r="1374">
      <c r="A1374" s="26">
        <v>1368.0</v>
      </c>
      <c r="B1374" s="65">
        <v>-0.20826510350963354</v>
      </c>
      <c r="C1374" s="65">
        <v>-0.2754069414574375</v>
      </c>
      <c r="D1374" s="65">
        <v>-0.1403912115571511</v>
      </c>
      <c r="E1374" s="65">
        <v>1.049208441257347</v>
      </c>
      <c r="F1374" s="65">
        <v>8.724030255915306</v>
      </c>
      <c r="G1374" s="50">
        <v>0.0</v>
      </c>
      <c r="H1374" s="50">
        <v>0.0</v>
      </c>
      <c r="I1374" s="50">
        <v>0.0</v>
      </c>
      <c r="J1374" s="50">
        <v>0.0</v>
      </c>
      <c r="K1374" s="50">
        <v>0.0</v>
      </c>
      <c r="L1374" s="50">
        <v>0.0</v>
      </c>
      <c r="M1374" s="50">
        <v>0.0</v>
      </c>
      <c r="N1374" s="50">
        <v>0.0</v>
      </c>
      <c r="O1374" s="50">
        <v>0.0</v>
      </c>
      <c r="P1374" s="50">
        <v>0.0</v>
      </c>
      <c r="Q1374" s="50">
        <v>0.0</v>
      </c>
      <c r="R1374" s="50">
        <v>0.0</v>
      </c>
      <c r="S1374" s="50">
        <v>0.0</v>
      </c>
      <c r="T1374" s="50">
        <v>2.8125</v>
      </c>
      <c r="U1374" s="50">
        <v>0.0</v>
      </c>
      <c r="V1374" s="50">
        <v>5.625</v>
      </c>
      <c r="W1374" s="50">
        <v>0.0</v>
      </c>
      <c r="X1374" s="50">
        <v>2.8125</v>
      </c>
      <c r="Y1374" s="50">
        <v>11.25</v>
      </c>
    </row>
    <row r="1375">
      <c r="A1375" s="26">
        <v>1369.0</v>
      </c>
      <c r="B1375" s="65">
        <v>0.9865400510368293</v>
      </c>
      <c r="C1375" s="65">
        <v>1.7463650221722578</v>
      </c>
      <c r="D1375" s="65">
        <v>0.22170047431291634</v>
      </c>
      <c r="E1375" s="65">
        <v>-0.603600353984431</v>
      </c>
      <c r="F1375" s="65">
        <v>6.299686688027044</v>
      </c>
      <c r="G1375" s="50">
        <v>0.0</v>
      </c>
      <c r="H1375" s="50">
        <v>0.0</v>
      </c>
      <c r="I1375" s="50">
        <v>0.0</v>
      </c>
      <c r="J1375" s="50">
        <v>0.0</v>
      </c>
      <c r="K1375" s="50">
        <v>0.0</v>
      </c>
      <c r="L1375" s="50">
        <v>0.0</v>
      </c>
      <c r="M1375" s="50">
        <v>0.0</v>
      </c>
      <c r="N1375" s="50">
        <v>0.0</v>
      </c>
      <c r="O1375" s="50">
        <v>0.0</v>
      </c>
      <c r="P1375" s="50">
        <v>0.0</v>
      </c>
      <c r="Q1375" s="50">
        <v>0.0</v>
      </c>
      <c r="R1375" s="50">
        <v>0.0</v>
      </c>
      <c r="S1375" s="50">
        <v>0.0</v>
      </c>
      <c r="T1375" s="50">
        <v>2.8125</v>
      </c>
      <c r="U1375" s="50">
        <v>9.9</v>
      </c>
      <c r="V1375" s="50">
        <v>0.0</v>
      </c>
      <c r="W1375" s="50">
        <v>0.0</v>
      </c>
      <c r="X1375" s="50">
        <v>2.8125</v>
      </c>
      <c r="Y1375" s="50">
        <v>15.525</v>
      </c>
    </row>
    <row r="1376">
      <c r="A1376" s="26">
        <v>1370.0</v>
      </c>
      <c r="B1376" s="65">
        <v>-0.36938939786733954</v>
      </c>
      <c r="C1376" s="65">
        <v>-0.861159374835522</v>
      </c>
      <c r="D1376" s="65">
        <v>-2.361058110394776</v>
      </c>
      <c r="E1376" s="65">
        <v>-0.32537089234957745</v>
      </c>
      <c r="F1376" s="65">
        <v>7.792363153591133</v>
      </c>
      <c r="G1376" s="50">
        <v>0.0</v>
      </c>
      <c r="H1376" s="50">
        <v>0.0</v>
      </c>
      <c r="I1376" s="50">
        <v>0.0</v>
      </c>
      <c r="J1376" s="50">
        <v>0.0</v>
      </c>
      <c r="K1376" s="50">
        <v>0.0</v>
      </c>
      <c r="L1376" s="50">
        <v>0.0</v>
      </c>
      <c r="M1376" s="50">
        <v>0.0</v>
      </c>
      <c r="N1376" s="50">
        <v>0.0</v>
      </c>
      <c r="O1376" s="50">
        <v>0.0</v>
      </c>
      <c r="P1376" s="50">
        <v>0.0</v>
      </c>
      <c r="Q1376" s="50">
        <v>0.0</v>
      </c>
      <c r="R1376" s="50">
        <v>0.0</v>
      </c>
      <c r="S1376" s="50">
        <v>0.0</v>
      </c>
      <c r="T1376" s="50">
        <v>2.8125</v>
      </c>
      <c r="U1376" s="50">
        <v>0.0</v>
      </c>
      <c r="V1376" s="50">
        <v>0.0</v>
      </c>
      <c r="W1376" s="50">
        <v>0.0</v>
      </c>
      <c r="X1376" s="50">
        <v>2.8125</v>
      </c>
      <c r="Y1376" s="50">
        <v>5.625</v>
      </c>
    </row>
    <row r="1377">
      <c r="A1377" s="26">
        <v>1371.0</v>
      </c>
      <c r="B1377" s="65">
        <v>-0.12008443618839378</v>
      </c>
      <c r="C1377" s="65">
        <v>1.840104291153892</v>
      </c>
      <c r="D1377" s="65">
        <v>-1.3442226995401092</v>
      </c>
      <c r="E1377" s="65">
        <v>1.1439274177797938</v>
      </c>
      <c r="F1377" s="65">
        <v>0.704406843952255</v>
      </c>
      <c r="G1377" s="50">
        <v>0.0</v>
      </c>
      <c r="H1377" s="50">
        <v>0.0</v>
      </c>
      <c r="I1377" s="50">
        <v>0.0</v>
      </c>
      <c r="J1377" s="50">
        <v>0.0</v>
      </c>
      <c r="K1377" s="50">
        <v>0.0</v>
      </c>
      <c r="L1377" s="50">
        <v>0.0</v>
      </c>
      <c r="M1377" s="50">
        <v>0.0</v>
      </c>
      <c r="N1377" s="50">
        <v>0.0</v>
      </c>
      <c r="O1377" s="50">
        <v>0.0</v>
      </c>
      <c r="P1377" s="50">
        <v>2.475</v>
      </c>
      <c r="Q1377" s="50">
        <v>0.0</v>
      </c>
      <c r="R1377" s="50">
        <v>9.9</v>
      </c>
      <c r="S1377" s="50">
        <v>0.0</v>
      </c>
      <c r="T1377" s="50">
        <v>2.8125</v>
      </c>
      <c r="U1377" s="50">
        <v>0.0</v>
      </c>
      <c r="V1377" s="50">
        <v>0.0</v>
      </c>
      <c r="W1377" s="50">
        <v>0.0</v>
      </c>
      <c r="X1377" s="50">
        <v>0.0</v>
      </c>
      <c r="Y1377" s="50">
        <v>15.1875</v>
      </c>
    </row>
    <row r="1378">
      <c r="A1378" s="26">
        <v>1372.0</v>
      </c>
      <c r="B1378" s="65">
        <v>-1.190161260798453</v>
      </c>
      <c r="C1378" s="65">
        <v>0.1850095678150948</v>
      </c>
      <c r="D1378" s="65">
        <v>-0.9259879068945708</v>
      </c>
      <c r="E1378" s="65">
        <v>0.381172641475907</v>
      </c>
      <c r="F1378" s="65">
        <v>4.087257738986441</v>
      </c>
      <c r="G1378" s="50">
        <v>0.0</v>
      </c>
      <c r="H1378" s="50">
        <v>0.0</v>
      </c>
      <c r="I1378" s="50">
        <v>0.0</v>
      </c>
      <c r="J1378" s="50">
        <v>0.0</v>
      </c>
      <c r="K1378" s="50">
        <v>0.0</v>
      </c>
      <c r="L1378" s="50">
        <v>0.0</v>
      </c>
      <c r="M1378" s="50">
        <v>0.0</v>
      </c>
      <c r="N1378" s="50">
        <v>0.0</v>
      </c>
      <c r="O1378" s="50">
        <v>7.425000000000001</v>
      </c>
      <c r="P1378" s="50">
        <v>2.475</v>
      </c>
      <c r="Q1378" s="50">
        <v>0.0</v>
      </c>
      <c r="R1378" s="50">
        <v>0.0</v>
      </c>
      <c r="S1378" s="50">
        <v>0.0</v>
      </c>
      <c r="T1378" s="50">
        <v>2.8125</v>
      </c>
      <c r="U1378" s="50">
        <v>0.0</v>
      </c>
      <c r="V1378" s="50">
        <v>5.625</v>
      </c>
      <c r="W1378" s="50">
        <v>0.0</v>
      </c>
      <c r="X1378" s="50">
        <v>2.8125</v>
      </c>
      <c r="Y1378" s="50">
        <v>21.15</v>
      </c>
    </row>
    <row r="1379">
      <c r="A1379" s="26">
        <v>1373.0</v>
      </c>
      <c r="B1379" s="65">
        <v>-1.6069025266237413</v>
      </c>
      <c r="C1379" s="65">
        <v>-1.4818361842969574</v>
      </c>
      <c r="D1379" s="65">
        <v>1.4352444870081664</v>
      </c>
      <c r="E1379" s="65">
        <v>-0.8081427340316041</v>
      </c>
      <c r="F1379" s="65">
        <v>2.676492575686268</v>
      </c>
      <c r="G1379" s="50">
        <v>0.0</v>
      </c>
      <c r="H1379" s="50">
        <v>0.0</v>
      </c>
      <c r="I1379" s="50">
        <v>0.0</v>
      </c>
      <c r="J1379" s="50">
        <v>0.0</v>
      </c>
      <c r="K1379" s="50">
        <v>0.0</v>
      </c>
      <c r="L1379" s="50">
        <v>0.0</v>
      </c>
      <c r="M1379" s="50">
        <v>0.0</v>
      </c>
      <c r="N1379" s="50">
        <v>0.0</v>
      </c>
      <c r="O1379" s="50">
        <v>0.0</v>
      </c>
      <c r="P1379" s="50">
        <v>0.0</v>
      </c>
      <c r="Q1379" s="50">
        <v>0.0</v>
      </c>
      <c r="R1379" s="50">
        <v>0.0</v>
      </c>
      <c r="S1379" s="50">
        <v>0.0</v>
      </c>
      <c r="T1379" s="50">
        <v>2.8125</v>
      </c>
      <c r="U1379" s="50">
        <v>9.9</v>
      </c>
      <c r="V1379" s="50">
        <v>5.625</v>
      </c>
      <c r="W1379" s="50">
        <v>0.0</v>
      </c>
      <c r="X1379" s="50">
        <v>2.8125</v>
      </c>
      <c r="Y1379" s="50">
        <v>21.15</v>
      </c>
    </row>
    <row r="1380">
      <c r="A1380" s="26">
        <v>1374.0</v>
      </c>
      <c r="B1380" s="65">
        <v>-0.34063725710675724</v>
      </c>
      <c r="C1380" s="65">
        <v>-0.5624278151183861</v>
      </c>
      <c r="D1380" s="65">
        <v>0.7047549278581919</v>
      </c>
      <c r="E1380" s="65">
        <v>0.4464828765540083</v>
      </c>
      <c r="F1380" s="65">
        <v>1.4954634001025697</v>
      </c>
      <c r="G1380" s="50">
        <v>0.0</v>
      </c>
      <c r="H1380" s="50">
        <v>0.0</v>
      </c>
      <c r="I1380" s="50">
        <v>0.0</v>
      </c>
      <c r="J1380" s="50">
        <v>0.0</v>
      </c>
      <c r="K1380" s="50">
        <v>0.0</v>
      </c>
      <c r="L1380" s="50">
        <v>0.0</v>
      </c>
      <c r="M1380" s="50">
        <v>0.0</v>
      </c>
      <c r="N1380" s="50">
        <v>0.0</v>
      </c>
      <c r="O1380" s="50">
        <v>0.0</v>
      </c>
      <c r="P1380" s="50">
        <v>0.0</v>
      </c>
      <c r="Q1380" s="50">
        <v>0.0</v>
      </c>
      <c r="R1380" s="50">
        <v>0.0</v>
      </c>
      <c r="S1380" s="50">
        <v>0.0</v>
      </c>
      <c r="T1380" s="50">
        <v>2.8125</v>
      </c>
      <c r="U1380" s="50">
        <v>0.0</v>
      </c>
      <c r="V1380" s="50">
        <v>0.0</v>
      </c>
      <c r="W1380" s="50">
        <v>0.0</v>
      </c>
      <c r="X1380" s="50">
        <v>2.8125</v>
      </c>
      <c r="Y1380" s="50">
        <v>5.625</v>
      </c>
    </row>
    <row r="1381">
      <c r="A1381" s="26">
        <v>1375.0</v>
      </c>
      <c r="B1381" s="65">
        <v>-1.3446934777744664</v>
      </c>
      <c r="C1381" s="65">
        <v>1.867131498441767</v>
      </c>
      <c r="D1381" s="65">
        <v>-0.18617323776455305</v>
      </c>
      <c r="E1381" s="65">
        <v>-1.8372843568286223</v>
      </c>
      <c r="F1381" s="65">
        <v>11.200295539413661</v>
      </c>
      <c r="G1381" s="50">
        <v>0.0</v>
      </c>
      <c r="H1381" s="50">
        <v>0.0</v>
      </c>
      <c r="I1381" s="50">
        <v>0.0</v>
      </c>
      <c r="J1381" s="50">
        <v>0.0</v>
      </c>
      <c r="K1381" s="50">
        <v>0.0</v>
      </c>
      <c r="L1381" s="50">
        <v>0.0</v>
      </c>
      <c r="M1381" s="50">
        <v>0.0</v>
      </c>
      <c r="N1381" s="50">
        <v>0.0</v>
      </c>
      <c r="O1381" s="50">
        <v>0.0</v>
      </c>
      <c r="P1381" s="50">
        <v>0.0</v>
      </c>
      <c r="Q1381" s="50">
        <v>0.0</v>
      </c>
      <c r="R1381" s="50">
        <v>0.0</v>
      </c>
      <c r="S1381" s="50">
        <v>0.0</v>
      </c>
      <c r="T1381" s="50">
        <v>2.8125</v>
      </c>
      <c r="U1381" s="50">
        <v>0.0</v>
      </c>
      <c r="V1381" s="50">
        <v>5.625</v>
      </c>
      <c r="W1381" s="50">
        <v>4.95</v>
      </c>
      <c r="X1381" s="50">
        <v>2.8125</v>
      </c>
      <c r="Y1381" s="50">
        <v>16.2</v>
      </c>
    </row>
    <row r="1382">
      <c r="A1382" s="26">
        <v>1376.0</v>
      </c>
      <c r="B1382" s="65">
        <v>0.058660840457756956</v>
      </c>
      <c r="C1382" s="65">
        <v>-0.7819194095070268</v>
      </c>
      <c r="D1382" s="65">
        <v>0.1140797235511838</v>
      </c>
      <c r="E1382" s="65">
        <v>0.9950759780054136</v>
      </c>
      <c r="F1382" s="65">
        <v>4.096169617498236</v>
      </c>
      <c r="G1382" s="50">
        <v>0.0</v>
      </c>
      <c r="H1382" s="50">
        <v>0.0</v>
      </c>
      <c r="I1382" s="50">
        <v>0.0</v>
      </c>
      <c r="J1382" s="50">
        <v>0.0</v>
      </c>
      <c r="K1382" s="50">
        <v>0.0</v>
      </c>
      <c r="L1382" s="50">
        <v>0.0</v>
      </c>
      <c r="M1382" s="50">
        <v>0.0</v>
      </c>
      <c r="N1382" s="50">
        <v>0.0</v>
      </c>
      <c r="O1382" s="50">
        <v>0.0</v>
      </c>
      <c r="P1382" s="50">
        <v>0.0</v>
      </c>
      <c r="Q1382" s="50">
        <v>0.0</v>
      </c>
      <c r="R1382" s="50">
        <v>0.0</v>
      </c>
      <c r="S1382" s="50">
        <v>0.0</v>
      </c>
      <c r="T1382" s="50">
        <v>2.8125</v>
      </c>
      <c r="U1382" s="50">
        <v>0.0</v>
      </c>
      <c r="V1382" s="50">
        <v>0.0</v>
      </c>
      <c r="W1382" s="50">
        <v>0.0</v>
      </c>
      <c r="X1382" s="50">
        <v>2.8125</v>
      </c>
      <c r="Y1382" s="50">
        <v>5.625</v>
      </c>
    </row>
    <row r="1383">
      <c r="A1383" s="26">
        <v>1377.0</v>
      </c>
      <c r="B1383" s="65">
        <v>0.3153800611667187</v>
      </c>
      <c r="C1383" s="65">
        <v>-1.9890683844686106</v>
      </c>
      <c r="D1383" s="65">
        <v>0.8569584634878081</v>
      </c>
      <c r="E1383" s="65">
        <v>-1.86507774067214</v>
      </c>
      <c r="F1383" s="65">
        <v>2.3386606447748632</v>
      </c>
      <c r="G1383" s="50">
        <v>0.0</v>
      </c>
      <c r="H1383" s="50">
        <v>0.0</v>
      </c>
      <c r="I1383" s="50">
        <v>0.0</v>
      </c>
      <c r="J1383" s="50">
        <v>0.0</v>
      </c>
      <c r="K1383" s="50">
        <v>0.0</v>
      </c>
      <c r="L1383" s="50">
        <v>0.0</v>
      </c>
      <c r="M1383" s="50">
        <v>0.0</v>
      </c>
      <c r="N1383" s="50">
        <v>0.0</v>
      </c>
      <c r="O1383" s="50">
        <v>7.425000000000001</v>
      </c>
      <c r="P1383" s="50">
        <v>0.0</v>
      </c>
      <c r="Q1383" s="50">
        <v>0.0</v>
      </c>
      <c r="R1383" s="50">
        <v>0.0</v>
      </c>
      <c r="S1383" s="50">
        <v>0.0</v>
      </c>
      <c r="T1383" s="50">
        <v>2.8125</v>
      </c>
      <c r="U1383" s="50">
        <v>9.9</v>
      </c>
      <c r="V1383" s="50">
        <v>0.0</v>
      </c>
      <c r="W1383" s="50">
        <v>0.0</v>
      </c>
      <c r="X1383" s="50">
        <v>2.8125</v>
      </c>
      <c r="Y1383" s="50">
        <v>22.950000000000003</v>
      </c>
    </row>
    <row r="1384">
      <c r="A1384" s="26">
        <v>1378.0</v>
      </c>
      <c r="B1384" s="65">
        <v>0.05864877295487567</v>
      </c>
      <c r="C1384" s="65">
        <v>0.9426956671570228</v>
      </c>
      <c r="D1384" s="65">
        <v>2.8541755032332436</v>
      </c>
      <c r="E1384" s="65">
        <v>-0.39106388848396834</v>
      </c>
      <c r="F1384" s="65">
        <v>4.525609913460974</v>
      </c>
      <c r="G1384" s="50">
        <v>0.0</v>
      </c>
      <c r="H1384" s="50">
        <v>0.0</v>
      </c>
      <c r="I1384" s="50">
        <v>0.0</v>
      </c>
      <c r="J1384" s="50">
        <v>0.0</v>
      </c>
      <c r="K1384" s="50">
        <v>0.0</v>
      </c>
      <c r="L1384" s="50">
        <v>0.0</v>
      </c>
      <c r="M1384" s="50">
        <v>0.0</v>
      </c>
      <c r="N1384" s="50">
        <v>0.0</v>
      </c>
      <c r="O1384" s="50">
        <v>0.0</v>
      </c>
      <c r="P1384" s="50">
        <v>0.0</v>
      </c>
      <c r="Q1384" s="50">
        <v>0.0</v>
      </c>
      <c r="R1384" s="50">
        <v>0.0</v>
      </c>
      <c r="S1384" s="50">
        <v>0.0</v>
      </c>
      <c r="T1384" s="50">
        <v>2.8125</v>
      </c>
      <c r="U1384" s="50">
        <v>0.0</v>
      </c>
      <c r="V1384" s="50">
        <v>5.625</v>
      </c>
      <c r="W1384" s="50">
        <v>0.0</v>
      </c>
      <c r="X1384" s="50">
        <v>2.8125</v>
      </c>
      <c r="Y1384" s="50">
        <v>11.25</v>
      </c>
    </row>
    <row r="1385">
      <c r="A1385" s="26">
        <v>1379.0</v>
      </c>
      <c r="B1385" s="65">
        <v>-0.07595509178901401</v>
      </c>
      <c r="C1385" s="65">
        <v>-0.10945523463653188</v>
      </c>
      <c r="D1385" s="65">
        <v>-1.4233655314264608</v>
      </c>
      <c r="E1385" s="65">
        <v>-0.5260308189007791</v>
      </c>
      <c r="F1385" s="65">
        <v>5.251628951717702</v>
      </c>
      <c r="G1385" s="50">
        <v>0.0</v>
      </c>
      <c r="H1385" s="50">
        <v>0.0</v>
      </c>
      <c r="I1385" s="50">
        <v>0.0</v>
      </c>
      <c r="J1385" s="50">
        <v>0.0</v>
      </c>
      <c r="K1385" s="50">
        <v>0.0</v>
      </c>
      <c r="L1385" s="50">
        <v>0.0</v>
      </c>
      <c r="M1385" s="50">
        <v>0.0</v>
      </c>
      <c r="N1385" s="50">
        <v>0.0</v>
      </c>
      <c r="O1385" s="50">
        <v>0.0</v>
      </c>
      <c r="P1385" s="50">
        <v>0.0</v>
      </c>
      <c r="Q1385" s="50">
        <v>0.0</v>
      </c>
      <c r="R1385" s="50">
        <v>9.9</v>
      </c>
      <c r="S1385" s="50">
        <v>0.0</v>
      </c>
      <c r="T1385" s="50">
        <v>2.8125</v>
      </c>
      <c r="U1385" s="50">
        <v>0.0</v>
      </c>
      <c r="V1385" s="50">
        <v>0.0</v>
      </c>
      <c r="W1385" s="50">
        <v>0.0</v>
      </c>
      <c r="X1385" s="50">
        <v>2.8125</v>
      </c>
      <c r="Y1385" s="50">
        <v>15.525</v>
      </c>
    </row>
    <row r="1386">
      <c r="A1386" s="26">
        <v>1380.0</v>
      </c>
      <c r="B1386" s="65">
        <v>0.9711453938021498</v>
      </c>
      <c r="C1386" s="65">
        <v>0.05047480179406423</v>
      </c>
      <c r="D1386" s="65">
        <v>-0.8473312059087875</v>
      </c>
      <c r="E1386" s="65">
        <v>-0.4589337562053879</v>
      </c>
      <c r="F1386" s="65">
        <v>0.9425105814475461</v>
      </c>
      <c r="G1386" s="50">
        <v>0.0</v>
      </c>
      <c r="H1386" s="50">
        <v>0.0</v>
      </c>
      <c r="I1386" s="50">
        <v>0.0</v>
      </c>
      <c r="J1386" s="50">
        <v>0.0</v>
      </c>
      <c r="K1386" s="50">
        <v>0.0</v>
      </c>
      <c r="L1386" s="50">
        <v>0.0</v>
      </c>
      <c r="M1386" s="50">
        <v>0.0</v>
      </c>
      <c r="N1386" s="50">
        <v>0.0</v>
      </c>
      <c r="O1386" s="50">
        <v>0.0</v>
      </c>
      <c r="P1386" s="50">
        <v>2.475</v>
      </c>
      <c r="Q1386" s="50">
        <v>0.0</v>
      </c>
      <c r="R1386" s="50">
        <v>0.0</v>
      </c>
      <c r="S1386" s="50">
        <v>0.0</v>
      </c>
      <c r="T1386" s="50">
        <v>2.8125</v>
      </c>
      <c r="U1386" s="50">
        <v>0.0</v>
      </c>
      <c r="V1386" s="50">
        <v>0.0</v>
      </c>
      <c r="W1386" s="50">
        <v>4.95</v>
      </c>
      <c r="X1386" s="50">
        <v>2.8125</v>
      </c>
      <c r="Y1386" s="50">
        <v>13.05</v>
      </c>
    </row>
    <row r="1387">
      <c r="A1387" s="26">
        <v>1381.0</v>
      </c>
      <c r="B1387" s="65">
        <v>-0.20440988870269203</v>
      </c>
      <c r="C1387" s="65">
        <v>1.206302756797498</v>
      </c>
      <c r="D1387" s="65">
        <v>-0.8061363732153274</v>
      </c>
      <c r="E1387" s="65">
        <v>0.33709207543432734</v>
      </c>
      <c r="F1387" s="65">
        <v>7.6122005619477715</v>
      </c>
      <c r="G1387" s="50">
        <v>0.0</v>
      </c>
      <c r="H1387" s="50">
        <v>0.0</v>
      </c>
      <c r="I1387" s="50">
        <v>0.0</v>
      </c>
      <c r="J1387" s="50">
        <v>0.0</v>
      </c>
      <c r="K1387" s="50">
        <v>0.0</v>
      </c>
      <c r="L1387" s="50">
        <v>0.0</v>
      </c>
      <c r="M1387" s="50">
        <v>0.0</v>
      </c>
      <c r="N1387" s="50">
        <v>0.0</v>
      </c>
      <c r="O1387" s="50">
        <v>0.0</v>
      </c>
      <c r="P1387" s="50">
        <v>0.0</v>
      </c>
      <c r="Q1387" s="50">
        <v>0.0</v>
      </c>
      <c r="R1387" s="50">
        <v>0.0</v>
      </c>
      <c r="S1387" s="50">
        <v>0.0</v>
      </c>
      <c r="T1387" s="50">
        <v>2.8125</v>
      </c>
      <c r="U1387" s="50">
        <v>0.0</v>
      </c>
      <c r="V1387" s="50">
        <v>0.0</v>
      </c>
      <c r="W1387" s="50">
        <v>0.0</v>
      </c>
      <c r="X1387" s="50">
        <v>2.8125</v>
      </c>
      <c r="Y1387" s="50">
        <v>5.625</v>
      </c>
    </row>
    <row r="1388">
      <c r="A1388" s="26">
        <v>1382.0</v>
      </c>
      <c r="B1388" s="65">
        <v>-0.5332477336347488</v>
      </c>
      <c r="C1388" s="65">
        <v>-1.105347781548288</v>
      </c>
      <c r="D1388" s="65">
        <v>1.9447499570690625</v>
      </c>
      <c r="E1388" s="65">
        <v>-0.6431384416891754</v>
      </c>
      <c r="F1388" s="65">
        <v>6.1959315620657875</v>
      </c>
      <c r="G1388" s="50">
        <v>0.0</v>
      </c>
      <c r="H1388" s="50">
        <v>0.0</v>
      </c>
      <c r="I1388" s="50">
        <v>0.0</v>
      </c>
      <c r="J1388" s="50">
        <v>0.0</v>
      </c>
      <c r="K1388" s="50">
        <v>0.0</v>
      </c>
      <c r="L1388" s="50">
        <v>0.0</v>
      </c>
      <c r="M1388" s="50">
        <v>0.0</v>
      </c>
      <c r="N1388" s="50">
        <v>0.0</v>
      </c>
      <c r="O1388" s="50">
        <v>0.0</v>
      </c>
      <c r="P1388" s="50">
        <v>0.0</v>
      </c>
      <c r="Q1388" s="50">
        <v>0.0</v>
      </c>
      <c r="R1388" s="50">
        <v>0.0</v>
      </c>
      <c r="S1388" s="50">
        <v>0.0</v>
      </c>
      <c r="T1388" s="50">
        <v>2.8125</v>
      </c>
      <c r="U1388" s="50">
        <v>0.0</v>
      </c>
      <c r="V1388" s="50">
        <v>5.625</v>
      </c>
      <c r="W1388" s="50">
        <v>0.0</v>
      </c>
      <c r="X1388" s="50">
        <v>2.8125</v>
      </c>
      <c r="Y1388" s="50">
        <v>11.25</v>
      </c>
    </row>
    <row r="1389">
      <c r="A1389" s="26">
        <v>1383.0</v>
      </c>
      <c r="B1389" s="65">
        <v>0.3419815578256395</v>
      </c>
      <c r="C1389" s="65">
        <v>-1.8877426502676886</v>
      </c>
      <c r="D1389" s="65">
        <v>0.20925429033399132</v>
      </c>
      <c r="E1389" s="65">
        <v>-0.0836089822277556</v>
      </c>
      <c r="F1389" s="65">
        <v>7.3200777147138005</v>
      </c>
      <c r="G1389" s="50">
        <v>0.0</v>
      </c>
      <c r="H1389" s="50">
        <v>0.0</v>
      </c>
      <c r="I1389" s="50">
        <v>0.0</v>
      </c>
      <c r="J1389" s="50">
        <v>0.0</v>
      </c>
      <c r="K1389" s="50">
        <v>0.0</v>
      </c>
      <c r="L1389" s="50">
        <v>0.0</v>
      </c>
      <c r="M1389" s="50">
        <v>0.0</v>
      </c>
      <c r="N1389" s="50">
        <v>0.0</v>
      </c>
      <c r="O1389" s="50">
        <v>0.0</v>
      </c>
      <c r="P1389" s="50">
        <v>0.0</v>
      </c>
      <c r="Q1389" s="50">
        <v>0.0</v>
      </c>
      <c r="R1389" s="50">
        <v>0.0</v>
      </c>
      <c r="S1389" s="50">
        <v>0.0</v>
      </c>
      <c r="T1389" s="50">
        <v>2.8125</v>
      </c>
      <c r="U1389" s="50">
        <v>0.0</v>
      </c>
      <c r="V1389" s="50">
        <v>0.0</v>
      </c>
      <c r="W1389" s="50">
        <v>0.0</v>
      </c>
      <c r="X1389" s="50">
        <v>2.8125</v>
      </c>
      <c r="Y1389" s="50">
        <v>5.625</v>
      </c>
    </row>
    <row r="1390">
      <c r="A1390" s="26">
        <v>1384.0</v>
      </c>
      <c r="B1390" s="65">
        <v>-2.9640467051065946</v>
      </c>
      <c r="C1390" s="65">
        <v>-1.0557911439091825</v>
      </c>
      <c r="D1390" s="65">
        <v>0.7729261966267877</v>
      </c>
      <c r="E1390" s="65">
        <v>-0.7144148515744232</v>
      </c>
      <c r="F1390" s="65">
        <v>2.163104485962162</v>
      </c>
      <c r="G1390" s="50">
        <v>0.0</v>
      </c>
      <c r="H1390" s="50">
        <v>0.0</v>
      </c>
      <c r="I1390" s="50">
        <v>0.0</v>
      </c>
      <c r="J1390" s="50">
        <v>0.0</v>
      </c>
      <c r="K1390" s="50">
        <v>0.0</v>
      </c>
      <c r="L1390" s="50">
        <v>0.0</v>
      </c>
      <c r="M1390" s="50">
        <v>0.0</v>
      </c>
      <c r="N1390" s="50">
        <v>0.0</v>
      </c>
      <c r="O1390" s="50">
        <v>7.425000000000001</v>
      </c>
      <c r="P1390" s="50">
        <v>2.475</v>
      </c>
      <c r="Q1390" s="50">
        <v>0.0</v>
      </c>
      <c r="R1390" s="50">
        <v>0.0</v>
      </c>
      <c r="S1390" s="50">
        <v>0.0</v>
      </c>
      <c r="T1390" s="50">
        <v>2.8125</v>
      </c>
      <c r="U1390" s="50">
        <v>9.9</v>
      </c>
      <c r="V1390" s="50">
        <v>5.625</v>
      </c>
      <c r="W1390" s="50">
        <v>4.95</v>
      </c>
      <c r="X1390" s="50">
        <v>2.8125</v>
      </c>
      <c r="Y1390" s="50">
        <v>36.0</v>
      </c>
    </row>
    <row r="1391">
      <c r="A1391" s="26">
        <v>1385.0</v>
      </c>
      <c r="B1391" s="65">
        <v>0.2531586990078628</v>
      </c>
      <c r="C1391" s="65">
        <v>-0.31144638737372843</v>
      </c>
      <c r="D1391" s="65">
        <v>-0.010329170649109091</v>
      </c>
      <c r="E1391" s="65">
        <v>1.572456793285498</v>
      </c>
      <c r="F1391" s="65">
        <v>1.454875377532555</v>
      </c>
      <c r="G1391" s="50">
        <v>0.0</v>
      </c>
      <c r="H1391" s="50">
        <v>0.0</v>
      </c>
      <c r="I1391" s="50">
        <v>0.0</v>
      </c>
      <c r="J1391" s="50">
        <v>0.0</v>
      </c>
      <c r="K1391" s="50">
        <v>0.0</v>
      </c>
      <c r="L1391" s="50">
        <v>0.0</v>
      </c>
      <c r="M1391" s="50">
        <v>0.0</v>
      </c>
      <c r="N1391" s="50">
        <v>0.0</v>
      </c>
      <c r="O1391" s="50">
        <v>0.0</v>
      </c>
      <c r="P1391" s="50">
        <v>2.475</v>
      </c>
      <c r="Q1391" s="50">
        <v>0.0</v>
      </c>
      <c r="R1391" s="50">
        <v>0.0</v>
      </c>
      <c r="S1391" s="50">
        <v>11.25</v>
      </c>
      <c r="T1391" s="50">
        <v>2.8125</v>
      </c>
      <c r="U1391" s="50">
        <v>0.0</v>
      </c>
      <c r="V1391" s="50">
        <v>0.0</v>
      </c>
      <c r="W1391" s="50">
        <v>0.0</v>
      </c>
      <c r="X1391" s="50">
        <v>2.8125</v>
      </c>
      <c r="Y1391" s="50">
        <v>19.35</v>
      </c>
    </row>
    <row r="1392">
      <c r="A1392" s="26">
        <v>1386.0</v>
      </c>
      <c r="B1392" s="65">
        <v>-0.39557225075266506</v>
      </c>
      <c r="C1392" s="65">
        <v>1.774892225744153</v>
      </c>
      <c r="D1392" s="65">
        <v>-1.1177488252274668</v>
      </c>
      <c r="E1392" s="65">
        <v>3.0340291786305977</v>
      </c>
      <c r="F1392" s="65">
        <v>1.848851246561587</v>
      </c>
      <c r="G1392" s="50">
        <v>0.0</v>
      </c>
      <c r="H1392" s="50">
        <v>0.0</v>
      </c>
      <c r="I1392" s="50">
        <v>0.0</v>
      </c>
      <c r="J1392" s="50">
        <v>0.0</v>
      </c>
      <c r="K1392" s="50">
        <v>0.0</v>
      </c>
      <c r="L1392" s="50">
        <v>0.0</v>
      </c>
      <c r="M1392" s="50">
        <v>0.0</v>
      </c>
      <c r="N1392" s="50">
        <v>0.0</v>
      </c>
      <c r="O1392" s="50">
        <v>0.0</v>
      </c>
      <c r="P1392" s="50">
        <v>0.0</v>
      </c>
      <c r="Q1392" s="50">
        <v>0.0</v>
      </c>
      <c r="R1392" s="50">
        <v>9.9</v>
      </c>
      <c r="S1392" s="50">
        <v>0.0</v>
      </c>
      <c r="T1392" s="50">
        <v>2.8125</v>
      </c>
      <c r="U1392" s="50">
        <v>0.0</v>
      </c>
      <c r="V1392" s="50">
        <v>0.0</v>
      </c>
      <c r="W1392" s="50">
        <v>0.0</v>
      </c>
      <c r="X1392" s="50">
        <v>2.8125</v>
      </c>
      <c r="Y1392" s="50">
        <v>15.525</v>
      </c>
    </row>
    <row r="1393">
      <c r="A1393" s="26">
        <v>1387.0</v>
      </c>
      <c r="B1393" s="65">
        <v>-1.4478793168067403</v>
      </c>
      <c r="C1393" s="65">
        <v>0.037540923347232046</v>
      </c>
      <c r="D1393" s="65">
        <v>-0.6908109241562548</v>
      </c>
      <c r="E1393" s="65">
        <v>2.005052412380212</v>
      </c>
      <c r="F1393" s="65">
        <v>1.195354358340655</v>
      </c>
      <c r="G1393" s="50">
        <v>0.0</v>
      </c>
      <c r="H1393" s="50">
        <v>0.0</v>
      </c>
      <c r="I1393" s="50">
        <v>0.0</v>
      </c>
      <c r="J1393" s="50">
        <v>0.0</v>
      </c>
      <c r="K1393" s="50">
        <v>0.0</v>
      </c>
      <c r="L1393" s="50">
        <v>0.0</v>
      </c>
      <c r="M1393" s="50">
        <v>0.0</v>
      </c>
      <c r="N1393" s="50">
        <v>0.0</v>
      </c>
      <c r="O1393" s="50">
        <v>0.0</v>
      </c>
      <c r="P1393" s="50">
        <v>0.0</v>
      </c>
      <c r="Q1393" s="50">
        <v>0.0</v>
      </c>
      <c r="R1393" s="50">
        <v>9.9</v>
      </c>
      <c r="S1393" s="50">
        <v>11.25</v>
      </c>
      <c r="T1393" s="50">
        <v>2.8125</v>
      </c>
      <c r="U1393" s="50">
        <v>0.0</v>
      </c>
      <c r="V1393" s="50">
        <v>0.0</v>
      </c>
      <c r="W1393" s="50">
        <v>0.0</v>
      </c>
      <c r="X1393" s="50">
        <v>2.8125</v>
      </c>
      <c r="Y1393" s="50">
        <v>26.775</v>
      </c>
    </row>
    <row r="1394">
      <c r="A1394" s="26">
        <v>1388.0</v>
      </c>
      <c r="B1394" s="65">
        <v>0.8050844872566294</v>
      </c>
      <c r="C1394" s="65">
        <v>0.9501088927207204</v>
      </c>
      <c r="D1394" s="65">
        <v>-1.1096792509359517</v>
      </c>
      <c r="E1394" s="65">
        <v>-0.8154544008009553</v>
      </c>
      <c r="F1394" s="65">
        <v>2.443859241933769</v>
      </c>
      <c r="G1394" s="50">
        <v>0.0</v>
      </c>
      <c r="H1394" s="50">
        <v>0.0</v>
      </c>
      <c r="I1394" s="50">
        <v>0.0</v>
      </c>
      <c r="J1394" s="50">
        <v>0.0</v>
      </c>
      <c r="K1394" s="50">
        <v>0.0</v>
      </c>
      <c r="L1394" s="50">
        <v>0.0</v>
      </c>
      <c r="M1394" s="50">
        <v>0.0</v>
      </c>
      <c r="N1394" s="50">
        <v>0.0</v>
      </c>
      <c r="O1394" s="50">
        <v>0.0</v>
      </c>
      <c r="P1394" s="50">
        <v>0.0</v>
      </c>
      <c r="Q1394" s="50">
        <v>0.0</v>
      </c>
      <c r="R1394" s="50">
        <v>0.0</v>
      </c>
      <c r="S1394" s="50">
        <v>0.0</v>
      </c>
      <c r="T1394" s="50">
        <v>2.8125</v>
      </c>
      <c r="U1394" s="50">
        <v>9.9</v>
      </c>
      <c r="V1394" s="50">
        <v>5.625</v>
      </c>
      <c r="W1394" s="50">
        <v>0.0</v>
      </c>
      <c r="X1394" s="50">
        <v>2.8125</v>
      </c>
      <c r="Y1394" s="50">
        <v>21.15</v>
      </c>
    </row>
    <row r="1395">
      <c r="A1395" s="26">
        <v>1389.0</v>
      </c>
      <c r="B1395" s="65">
        <v>0.8447768047577495</v>
      </c>
      <c r="C1395" s="65">
        <v>-1.4235050611166329</v>
      </c>
      <c r="D1395" s="65">
        <v>1.1346101515701186</v>
      </c>
      <c r="E1395" s="65">
        <v>-1.6283320489082713</v>
      </c>
      <c r="F1395" s="65">
        <v>4.590763240789367</v>
      </c>
      <c r="G1395" s="50">
        <v>0.0</v>
      </c>
      <c r="H1395" s="50">
        <v>0.0</v>
      </c>
      <c r="I1395" s="50">
        <v>0.0</v>
      </c>
      <c r="J1395" s="50">
        <v>0.0</v>
      </c>
      <c r="K1395" s="50">
        <v>0.0</v>
      </c>
      <c r="L1395" s="50">
        <v>0.0</v>
      </c>
      <c r="M1395" s="50">
        <v>0.0</v>
      </c>
      <c r="N1395" s="50">
        <v>0.0</v>
      </c>
      <c r="O1395" s="50">
        <v>0.0</v>
      </c>
      <c r="P1395" s="50">
        <v>0.0</v>
      </c>
      <c r="Q1395" s="50">
        <v>0.0</v>
      </c>
      <c r="R1395" s="50">
        <v>0.0</v>
      </c>
      <c r="S1395" s="50">
        <v>0.0</v>
      </c>
      <c r="T1395" s="50">
        <v>2.8125</v>
      </c>
      <c r="U1395" s="50">
        <v>0.0</v>
      </c>
      <c r="V1395" s="50">
        <v>0.0</v>
      </c>
      <c r="W1395" s="50">
        <v>0.0</v>
      </c>
      <c r="X1395" s="50">
        <v>2.8125</v>
      </c>
      <c r="Y1395" s="50">
        <v>5.625</v>
      </c>
    </row>
    <row r="1396">
      <c r="A1396" s="26">
        <v>1390.0</v>
      </c>
      <c r="B1396" s="65">
        <v>-0.5502821282300807</v>
      </c>
      <c r="C1396" s="65">
        <v>-0.14616479912965416</v>
      </c>
      <c r="D1396" s="65">
        <v>0.5166138709935721</v>
      </c>
      <c r="E1396" s="65">
        <v>-1.6499956786797818</v>
      </c>
      <c r="F1396" s="65">
        <v>13.361437756768888</v>
      </c>
      <c r="G1396" s="50">
        <v>0.0</v>
      </c>
      <c r="H1396" s="50">
        <v>0.0</v>
      </c>
      <c r="I1396" s="50">
        <v>0.0</v>
      </c>
      <c r="J1396" s="50">
        <v>0.0</v>
      </c>
      <c r="K1396" s="50">
        <v>0.0</v>
      </c>
      <c r="L1396" s="50">
        <v>0.0</v>
      </c>
      <c r="M1396" s="50">
        <v>0.0</v>
      </c>
      <c r="N1396" s="50">
        <v>0.0</v>
      </c>
      <c r="O1396" s="50">
        <v>0.0</v>
      </c>
      <c r="P1396" s="50">
        <v>0.0</v>
      </c>
      <c r="Q1396" s="50">
        <v>0.0</v>
      </c>
      <c r="R1396" s="50">
        <v>0.0</v>
      </c>
      <c r="S1396" s="50">
        <v>0.0</v>
      </c>
      <c r="T1396" s="50">
        <v>2.8125</v>
      </c>
      <c r="U1396" s="50">
        <v>0.0</v>
      </c>
      <c r="V1396" s="50">
        <v>5.625</v>
      </c>
      <c r="W1396" s="50">
        <v>0.0</v>
      </c>
      <c r="X1396" s="50">
        <v>2.8125</v>
      </c>
      <c r="Y1396" s="50">
        <v>11.25</v>
      </c>
    </row>
    <row r="1397">
      <c r="A1397" s="26">
        <v>1391.0</v>
      </c>
      <c r="B1397" s="65">
        <v>1.0464944664478941</v>
      </c>
      <c r="C1397" s="65">
        <v>-0.13391105648428767</v>
      </c>
      <c r="D1397" s="65">
        <v>0.3369248832734537</v>
      </c>
      <c r="E1397" s="65">
        <v>0.3398208760401094</v>
      </c>
      <c r="F1397" s="65">
        <v>5.294560676512674</v>
      </c>
      <c r="G1397" s="50">
        <v>0.0</v>
      </c>
      <c r="H1397" s="50">
        <v>0.0</v>
      </c>
      <c r="I1397" s="50">
        <v>0.0</v>
      </c>
      <c r="J1397" s="50">
        <v>0.0</v>
      </c>
      <c r="K1397" s="50">
        <v>0.0</v>
      </c>
      <c r="L1397" s="50">
        <v>0.0</v>
      </c>
      <c r="M1397" s="50">
        <v>0.0</v>
      </c>
      <c r="N1397" s="50">
        <v>0.0</v>
      </c>
      <c r="O1397" s="50">
        <v>0.0</v>
      </c>
      <c r="P1397" s="50">
        <v>0.0</v>
      </c>
      <c r="Q1397" s="50">
        <v>0.0</v>
      </c>
      <c r="R1397" s="50">
        <v>0.0</v>
      </c>
      <c r="S1397" s="50">
        <v>0.0</v>
      </c>
      <c r="T1397" s="50">
        <v>2.8125</v>
      </c>
      <c r="U1397" s="50">
        <v>0.0</v>
      </c>
      <c r="V1397" s="50">
        <v>0.0</v>
      </c>
      <c r="W1397" s="50">
        <v>0.0</v>
      </c>
      <c r="X1397" s="50">
        <v>2.8125</v>
      </c>
      <c r="Y1397" s="50">
        <v>5.625</v>
      </c>
    </row>
    <row r="1398">
      <c r="A1398" s="26">
        <v>1392.0</v>
      </c>
      <c r="B1398" s="65">
        <v>0.1219092892019283</v>
      </c>
      <c r="C1398" s="65">
        <v>-0.6028783474169029</v>
      </c>
      <c r="D1398" s="65">
        <v>-0.44599708066781213</v>
      </c>
      <c r="E1398" s="65">
        <v>1.4597758530115534</v>
      </c>
      <c r="F1398" s="65">
        <v>6.0025886841615534</v>
      </c>
      <c r="G1398" s="50">
        <v>0.0</v>
      </c>
      <c r="H1398" s="50">
        <v>0.0</v>
      </c>
      <c r="I1398" s="50">
        <v>0.0</v>
      </c>
      <c r="J1398" s="50">
        <v>0.0</v>
      </c>
      <c r="K1398" s="50">
        <v>0.0</v>
      </c>
      <c r="L1398" s="50">
        <v>0.0</v>
      </c>
      <c r="M1398" s="50">
        <v>0.0</v>
      </c>
      <c r="N1398" s="50">
        <v>0.0</v>
      </c>
      <c r="O1398" s="50">
        <v>0.0</v>
      </c>
      <c r="P1398" s="50">
        <v>0.0</v>
      </c>
      <c r="Q1398" s="50">
        <v>0.0</v>
      </c>
      <c r="R1398" s="50">
        <v>0.0</v>
      </c>
      <c r="S1398" s="50">
        <v>0.0</v>
      </c>
      <c r="T1398" s="50">
        <v>2.8125</v>
      </c>
      <c r="U1398" s="50">
        <v>0.0</v>
      </c>
      <c r="V1398" s="50">
        <v>0.0</v>
      </c>
      <c r="W1398" s="50">
        <v>0.0</v>
      </c>
      <c r="X1398" s="50">
        <v>2.8125</v>
      </c>
      <c r="Y1398" s="50">
        <v>5.625</v>
      </c>
    </row>
    <row r="1399">
      <c r="A1399" s="26">
        <v>1393.0</v>
      </c>
      <c r="B1399" s="65">
        <v>0.9668695099636834</v>
      </c>
      <c r="C1399" s="65">
        <v>0.27833025008873946</v>
      </c>
      <c r="D1399" s="65">
        <v>-0.5415731610109199</v>
      </c>
      <c r="E1399" s="65">
        <v>0.3849298641586978</v>
      </c>
      <c r="F1399" s="65">
        <v>12.29025149253551</v>
      </c>
      <c r="G1399" s="50">
        <v>0.0</v>
      </c>
      <c r="H1399" s="50">
        <v>0.0</v>
      </c>
      <c r="I1399" s="50">
        <v>0.0</v>
      </c>
      <c r="J1399" s="50">
        <v>0.0</v>
      </c>
      <c r="K1399" s="50">
        <v>0.0</v>
      </c>
      <c r="L1399" s="50">
        <v>0.0</v>
      </c>
      <c r="M1399" s="50">
        <v>0.0</v>
      </c>
      <c r="N1399" s="50">
        <v>0.0</v>
      </c>
      <c r="O1399" s="50">
        <v>0.0</v>
      </c>
      <c r="P1399" s="50">
        <v>0.0</v>
      </c>
      <c r="Q1399" s="50">
        <v>0.0</v>
      </c>
      <c r="R1399" s="50">
        <v>0.0</v>
      </c>
      <c r="S1399" s="50">
        <v>0.0</v>
      </c>
      <c r="T1399" s="50">
        <v>2.8125</v>
      </c>
      <c r="U1399" s="50">
        <v>0.0</v>
      </c>
      <c r="V1399" s="50">
        <v>0.0</v>
      </c>
      <c r="W1399" s="50">
        <v>0.0</v>
      </c>
      <c r="X1399" s="50">
        <v>2.8125</v>
      </c>
      <c r="Y1399" s="50">
        <v>5.625</v>
      </c>
    </row>
    <row r="1400">
      <c r="A1400" s="26">
        <v>1394.0</v>
      </c>
      <c r="B1400" s="65">
        <v>0.7502867731234034</v>
      </c>
      <c r="C1400" s="65">
        <v>2.1736267609201874</v>
      </c>
      <c r="D1400" s="65">
        <v>0.022047567203725915</v>
      </c>
      <c r="E1400" s="65">
        <v>0.6898346070227223</v>
      </c>
      <c r="F1400" s="65">
        <v>9.858526646684053</v>
      </c>
      <c r="G1400" s="50">
        <v>0.0</v>
      </c>
      <c r="H1400" s="50">
        <v>0.0</v>
      </c>
      <c r="I1400" s="50">
        <v>0.0</v>
      </c>
      <c r="J1400" s="50">
        <v>0.0</v>
      </c>
      <c r="K1400" s="50">
        <v>0.0</v>
      </c>
      <c r="L1400" s="50">
        <v>0.0</v>
      </c>
      <c r="M1400" s="50">
        <v>0.0</v>
      </c>
      <c r="N1400" s="50">
        <v>0.0</v>
      </c>
      <c r="O1400" s="50">
        <v>0.0</v>
      </c>
      <c r="P1400" s="50">
        <v>0.0</v>
      </c>
      <c r="Q1400" s="50">
        <v>0.0</v>
      </c>
      <c r="R1400" s="50">
        <v>0.0</v>
      </c>
      <c r="S1400" s="50">
        <v>0.0</v>
      </c>
      <c r="T1400" s="50">
        <v>2.8125</v>
      </c>
      <c r="U1400" s="50">
        <v>0.0</v>
      </c>
      <c r="V1400" s="50">
        <v>0.0</v>
      </c>
      <c r="W1400" s="50">
        <v>0.0</v>
      </c>
      <c r="X1400" s="50">
        <v>2.8125</v>
      </c>
      <c r="Y1400" s="50">
        <v>5.625</v>
      </c>
    </row>
    <row r="1401">
      <c r="A1401" s="26">
        <v>1395.0</v>
      </c>
      <c r="B1401" s="65">
        <v>-0.2224518364730373</v>
      </c>
      <c r="C1401" s="65">
        <v>-1.1465272743927581</v>
      </c>
      <c r="D1401" s="65">
        <v>1.9195649819137475</v>
      </c>
      <c r="E1401" s="65">
        <v>-0.19203223650546328</v>
      </c>
      <c r="F1401" s="65">
        <v>2.023588331477806</v>
      </c>
      <c r="G1401" s="50">
        <v>0.0</v>
      </c>
      <c r="H1401" s="50">
        <v>0.0</v>
      </c>
      <c r="I1401" s="50">
        <v>0.0</v>
      </c>
      <c r="J1401" s="50">
        <v>0.0</v>
      </c>
      <c r="K1401" s="50">
        <v>0.0</v>
      </c>
      <c r="L1401" s="50">
        <v>0.0</v>
      </c>
      <c r="M1401" s="50">
        <v>0.0</v>
      </c>
      <c r="N1401" s="50">
        <v>0.0</v>
      </c>
      <c r="O1401" s="50">
        <v>0.0</v>
      </c>
      <c r="P1401" s="50">
        <v>0.0</v>
      </c>
      <c r="Q1401" s="50">
        <v>0.0</v>
      </c>
      <c r="R1401" s="50">
        <v>0.0</v>
      </c>
      <c r="S1401" s="50">
        <v>0.0</v>
      </c>
      <c r="T1401" s="50">
        <v>2.8125</v>
      </c>
      <c r="U1401" s="50">
        <v>0.0</v>
      </c>
      <c r="V1401" s="50">
        <v>0.0</v>
      </c>
      <c r="W1401" s="50">
        <v>0.0</v>
      </c>
      <c r="X1401" s="50">
        <v>2.8125</v>
      </c>
      <c r="Y1401" s="50">
        <v>5.625</v>
      </c>
    </row>
    <row r="1402">
      <c r="A1402" s="26">
        <v>1396.0</v>
      </c>
      <c r="B1402" s="65">
        <v>1.4044247263933765</v>
      </c>
      <c r="C1402" s="65">
        <v>-1.0667733601172849</v>
      </c>
      <c r="D1402" s="65">
        <v>-1.3957155047243899</v>
      </c>
      <c r="E1402" s="65">
        <v>-0.24899052658845927</v>
      </c>
      <c r="F1402" s="65">
        <v>1.2246400370525554</v>
      </c>
      <c r="G1402" s="50">
        <v>0.0</v>
      </c>
      <c r="H1402" s="50">
        <v>0.0</v>
      </c>
      <c r="I1402" s="50">
        <v>0.0</v>
      </c>
      <c r="J1402" s="50">
        <v>0.0</v>
      </c>
      <c r="K1402" s="50">
        <v>0.0</v>
      </c>
      <c r="L1402" s="50">
        <v>0.0</v>
      </c>
      <c r="M1402" s="50">
        <v>0.0</v>
      </c>
      <c r="N1402" s="50">
        <v>0.0</v>
      </c>
      <c r="O1402" s="50">
        <v>0.0</v>
      </c>
      <c r="P1402" s="50">
        <v>0.0</v>
      </c>
      <c r="Q1402" s="50">
        <v>0.0</v>
      </c>
      <c r="R1402" s="50">
        <v>0.0</v>
      </c>
      <c r="S1402" s="50">
        <v>0.0</v>
      </c>
      <c r="T1402" s="50">
        <v>2.8125</v>
      </c>
      <c r="U1402" s="50">
        <v>0.0</v>
      </c>
      <c r="V1402" s="50">
        <v>0.0</v>
      </c>
      <c r="W1402" s="50">
        <v>0.0</v>
      </c>
      <c r="X1402" s="50">
        <v>0.0</v>
      </c>
      <c r="Y1402" s="50">
        <v>2.8125</v>
      </c>
    </row>
    <row r="1403">
      <c r="A1403" s="26">
        <v>1397.0</v>
      </c>
      <c r="B1403" s="65">
        <v>0.5038438339471457</v>
      </c>
      <c r="C1403" s="65">
        <v>-1.3709350275157102</v>
      </c>
      <c r="D1403" s="65">
        <v>0.05343717835668392</v>
      </c>
      <c r="E1403" s="65">
        <v>0.6573932937800806</v>
      </c>
      <c r="F1403" s="65">
        <v>10.650525247972405</v>
      </c>
      <c r="G1403" s="50">
        <v>0.0</v>
      </c>
      <c r="H1403" s="50">
        <v>0.0</v>
      </c>
      <c r="I1403" s="50">
        <v>0.0</v>
      </c>
      <c r="J1403" s="50">
        <v>0.0</v>
      </c>
      <c r="K1403" s="50">
        <v>0.0</v>
      </c>
      <c r="L1403" s="50">
        <v>0.0</v>
      </c>
      <c r="M1403" s="50">
        <v>0.0</v>
      </c>
      <c r="N1403" s="50">
        <v>0.0</v>
      </c>
      <c r="O1403" s="50">
        <v>0.0</v>
      </c>
      <c r="P1403" s="50">
        <v>0.0</v>
      </c>
      <c r="Q1403" s="50">
        <v>0.0</v>
      </c>
      <c r="R1403" s="50">
        <v>0.0</v>
      </c>
      <c r="S1403" s="50">
        <v>0.0</v>
      </c>
      <c r="T1403" s="50">
        <v>2.8125</v>
      </c>
      <c r="U1403" s="50">
        <v>0.0</v>
      </c>
      <c r="V1403" s="50">
        <v>5.625</v>
      </c>
      <c r="W1403" s="50">
        <v>0.0</v>
      </c>
      <c r="X1403" s="50">
        <v>2.8125</v>
      </c>
      <c r="Y1403" s="50">
        <v>11.25</v>
      </c>
    </row>
    <row r="1404">
      <c r="A1404" s="26">
        <v>1398.0</v>
      </c>
      <c r="B1404" s="65">
        <v>-1.1928307501883308</v>
      </c>
      <c r="C1404" s="65">
        <v>-0.7301948545005208</v>
      </c>
      <c r="D1404" s="65">
        <v>-0.34510353034384833</v>
      </c>
      <c r="E1404" s="65">
        <v>-0.8965488346537194</v>
      </c>
      <c r="F1404" s="65">
        <v>3.624358663098126</v>
      </c>
      <c r="G1404" s="50">
        <v>0.0</v>
      </c>
      <c r="H1404" s="50">
        <v>0.0</v>
      </c>
      <c r="I1404" s="50">
        <v>0.0</v>
      </c>
      <c r="J1404" s="50">
        <v>0.0</v>
      </c>
      <c r="K1404" s="50">
        <v>0.0</v>
      </c>
      <c r="L1404" s="50">
        <v>0.0</v>
      </c>
      <c r="M1404" s="50">
        <v>0.0</v>
      </c>
      <c r="N1404" s="50">
        <v>0.0</v>
      </c>
      <c r="O1404" s="50">
        <v>7.425000000000001</v>
      </c>
      <c r="P1404" s="50">
        <v>2.475</v>
      </c>
      <c r="Q1404" s="50">
        <v>0.0</v>
      </c>
      <c r="R1404" s="50">
        <v>0.0</v>
      </c>
      <c r="S1404" s="50">
        <v>0.0</v>
      </c>
      <c r="T1404" s="50">
        <v>2.8125</v>
      </c>
      <c r="U1404" s="50">
        <v>0.0</v>
      </c>
      <c r="V1404" s="50">
        <v>5.625</v>
      </c>
      <c r="W1404" s="50">
        <v>0.0</v>
      </c>
      <c r="X1404" s="50">
        <v>2.8125</v>
      </c>
      <c r="Y1404" s="50">
        <v>21.15</v>
      </c>
    </row>
    <row r="1405">
      <c r="A1405" s="26">
        <v>1399.0</v>
      </c>
      <c r="B1405" s="65">
        <v>0.3910617482269118</v>
      </c>
      <c r="C1405" s="65">
        <v>-0.4263411498157389</v>
      </c>
      <c r="D1405" s="65">
        <v>-1.0320648932317948</v>
      </c>
      <c r="E1405" s="65">
        <v>0.8802332446497976</v>
      </c>
      <c r="F1405" s="65">
        <v>7.204716644052206</v>
      </c>
      <c r="G1405" s="50">
        <v>0.0</v>
      </c>
      <c r="H1405" s="50">
        <v>0.0</v>
      </c>
      <c r="I1405" s="50">
        <v>0.0</v>
      </c>
      <c r="J1405" s="50">
        <v>0.0</v>
      </c>
      <c r="K1405" s="50">
        <v>0.0</v>
      </c>
      <c r="L1405" s="50">
        <v>0.0</v>
      </c>
      <c r="M1405" s="50">
        <v>0.0</v>
      </c>
      <c r="N1405" s="50">
        <v>0.0</v>
      </c>
      <c r="O1405" s="50">
        <v>0.0</v>
      </c>
      <c r="P1405" s="50">
        <v>0.0</v>
      </c>
      <c r="Q1405" s="50">
        <v>0.0</v>
      </c>
      <c r="R1405" s="50">
        <v>0.0</v>
      </c>
      <c r="S1405" s="50">
        <v>0.0</v>
      </c>
      <c r="T1405" s="50">
        <v>2.8125</v>
      </c>
      <c r="U1405" s="50">
        <v>0.0</v>
      </c>
      <c r="V1405" s="50">
        <v>0.0</v>
      </c>
      <c r="W1405" s="50">
        <v>0.0</v>
      </c>
      <c r="X1405" s="50">
        <v>2.8125</v>
      </c>
      <c r="Y1405" s="50">
        <v>5.625</v>
      </c>
    </row>
    <row r="1406">
      <c r="A1406" s="26">
        <v>1400.0</v>
      </c>
      <c r="B1406" s="65">
        <v>-0.49344720562323113</v>
      </c>
      <c r="C1406" s="65">
        <v>-1.0334974045992802</v>
      </c>
      <c r="D1406" s="65">
        <v>0.9824578252858125</v>
      </c>
      <c r="E1406" s="65">
        <v>-0.6293931558245031</v>
      </c>
      <c r="F1406" s="65">
        <v>4.025610625150521</v>
      </c>
      <c r="G1406" s="50">
        <v>0.0</v>
      </c>
      <c r="H1406" s="50">
        <v>0.0</v>
      </c>
      <c r="I1406" s="50">
        <v>0.0</v>
      </c>
      <c r="J1406" s="50">
        <v>0.0</v>
      </c>
      <c r="K1406" s="50">
        <v>0.0</v>
      </c>
      <c r="L1406" s="50">
        <v>0.0</v>
      </c>
      <c r="M1406" s="50">
        <v>0.0</v>
      </c>
      <c r="N1406" s="50">
        <v>0.0</v>
      </c>
      <c r="O1406" s="50">
        <v>0.0</v>
      </c>
      <c r="P1406" s="50">
        <v>0.0</v>
      </c>
      <c r="Q1406" s="50">
        <v>0.0</v>
      </c>
      <c r="R1406" s="50">
        <v>0.0</v>
      </c>
      <c r="S1406" s="50">
        <v>0.0</v>
      </c>
      <c r="T1406" s="50">
        <v>2.8125</v>
      </c>
      <c r="U1406" s="50">
        <v>0.0</v>
      </c>
      <c r="V1406" s="50">
        <v>5.625</v>
      </c>
      <c r="W1406" s="50">
        <v>0.0</v>
      </c>
      <c r="X1406" s="50">
        <v>2.8125</v>
      </c>
      <c r="Y1406" s="50">
        <v>11.25</v>
      </c>
    </row>
    <row r="1407">
      <c r="A1407" s="26">
        <v>1401.0</v>
      </c>
      <c r="B1407" s="65">
        <v>-0.10669195806007091</v>
      </c>
      <c r="C1407" s="65">
        <v>1.1581015080359762</v>
      </c>
      <c r="D1407" s="65">
        <v>1.4277341981305345</v>
      </c>
      <c r="E1407" s="65">
        <v>-0.7378608182703856</v>
      </c>
      <c r="F1407" s="65">
        <v>2.243123205240889</v>
      </c>
      <c r="G1407" s="50">
        <v>0.0</v>
      </c>
      <c r="H1407" s="50">
        <v>0.0</v>
      </c>
      <c r="I1407" s="50">
        <v>0.0</v>
      </c>
      <c r="J1407" s="50">
        <v>0.0</v>
      </c>
      <c r="K1407" s="50">
        <v>0.0</v>
      </c>
      <c r="L1407" s="50">
        <v>0.0</v>
      </c>
      <c r="M1407" s="50">
        <v>0.0</v>
      </c>
      <c r="N1407" s="50">
        <v>0.0</v>
      </c>
      <c r="O1407" s="50">
        <v>0.0</v>
      </c>
      <c r="P1407" s="50">
        <v>0.0</v>
      </c>
      <c r="Q1407" s="50">
        <v>0.0</v>
      </c>
      <c r="R1407" s="50">
        <v>0.0</v>
      </c>
      <c r="S1407" s="50">
        <v>0.0</v>
      </c>
      <c r="T1407" s="50">
        <v>2.8125</v>
      </c>
      <c r="U1407" s="50">
        <v>9.9</v>
      </c>
      <c r="V1407" s="50">
        <v>0.0</v>
      </c>
      <c r="W1407" s="50">
        <v>0.0</v>
      </c>
      <c r="X1407" s="50">
        <v>2.8125</v>
      </c>
      <c r="Y1407" s="50">
        <v>15.525</v>
      </c>
    </row>
    <row r="1408">
      <c r="A1408" s="26">
        <v>1402.0</v>
      </c>
      <c r="B1408" s="65">
        <v>2.4279990370580062</v>
      </c>
      <c r="C1408" s="65">
        <v>2.2071968212274946</v>
      </c>
      <c r="D1408" s="65">
        <v>-0.46480955939050833</v>
      </c>
      <c r="E1408" s="65">
        <v>-0.06732942070503806</v>
      </c>
      <c r="F1408" s="65">
        <v>5.80089608370507</v>
      </c>
      <c r="G1408" s="50">
        <v>0.0</v>
      </c>
      <c r="H1408" s="50">
        <v>0.0</v>
      </c>
      <c r="I1408" s="50">
        <v>0.0</v>
      </c>
      <c r="J1408" s="50">
        <v>0.0</v>
      </c>
      <c r="K1408" s="50">
        <v>0.0</v>
      </c>
      <c r="L1408" s="50">
        <v>0.0</v>
      </c>
      <c r="M1408" s="50">
        <v>0.0</v>
      </c>
      <c r="N1408" s="50">
        <v>0.0</v>
      </c>
      <c r="O1408" s="50">
        <v>0.0</v>
      </c>
      <c r="P1408" s="50">
        <v>0.0</v>
      </c>
      <c r="Q1408" s="50">
        <v>0.0</v>
      </c>
      <c r="R1408" s="50">
        <v>0.0</v>
      </c>
      <c r="S1408" s="50">
        <v>0.0</v>
      </c>
      <c r="T1408" s="50">
        <v>2.8125</v>
      </c>
      <c r="U1408" s="50">
        <v>0.0</v>
      </c>
      <c r="V1408" s="50">
        <v>0.0</v>
      </c>
      <c r="W1408" s="50">
        <v>0.0</v>
      </c>
      <c r="X1408" s="50">
        <v>2.8125</v>
      </c>
      <c r="Y1408" s="50">
        <v>5.625</v>
      </c>
    </row>
    <row r="1409">
      <c r="A1409" s="26">
        <v>1403.0</v>
      </c>
      <c r="B1409" s="65">
        <v>-1.333123881337633</v>
      </c>
      <c r="C1409" s="65">
        <v>-0.02271676279071331</v>
      </c>
      <c r="D1409" s="65">
        <v>1.5158435530971024</v>
      </c>
      <c r="E1409" s="65">
        <v>-2.0672591031207905</v>
      </c>
      <c r="F1409" s="65">
        <v>2.295486230895618</v>
      </c>
      <c r="G1409" s="50">
        <v>0.0</v>
      </c>
      <c r="H1409" s="50">
        <v>0.0</v>
      </c>
      <c r="I1409" s="50">
        <v>0.0</v>
      </c>
      <c r="J1409" s="50">
        <v>0.0</v>
      </c>
      <c r="K1409" s="50">
        <v>0.0</v>
      </c>
      <c r="L1409" s="50">
        <v>0.0</v>
      </c>
      <c r="M1409" s="50">
        <v>0.0</v>
      </c>
      <c r="N1409" s="50">
        <v>0.0</v>
      </c>
      <c r="O1409" s="50">
        <v>0.0</v>
      </c>
      <c r="P1409" s="50">
        <v>0.0</v>
      </c>
      <c r="Q1409" s="50">
        <v>0.0</v>
      </c>
      <c r="R1409" s="50">
        <v>0.0</v>
      </c>
      <c r="S1409" s="50">
        <v>0.0</v>
      </c>
      <c r="T1409" s="50">
        <v>2.8125</v>
      </c>
      <c r="U1409" s="50">
        <v>0.0</v>
      </c>
      <c r="V1409" s="50">
        <v>5.625</v>
      </c>
      <c r="W1409" s="50">
        <v>4.95</v>
      </c>
      <c r="X1409" s="50">
        <v>2.8125</v>
      </c>
      <c r="Y1409" s="50">
        <v>16.2</v>
      </c>
    </row>
    <row r="1410">
      <c r="A1410" s="26">
        <v>1404.0</v>
      </c>
      <c r="B1410" s="65">
        <v>-0.44799800275081275</v>
      </c>
      <c r="C1410" s="65">
        <v>-1.4779310024571548</v>
      </c>
      <c r="D1410" s="65">
        <v>-0.8240502567395792</v>
      </c>
      <c r="E1410" s="65">
        <v>0.7764012577077998</v>
      </c>
      <c r="F1410" s="65">
        <v>3.37330699194129</v>
      </c>
      <c r="G1410" s="50">
        <v>0.0</v>
      </c>
      <c r="H1410" s="50">
        <v>0.0</v>
      </c>
      <c r="I1410" s="50">
        <v>0.0</v>
      </c>
      <c r="J1410" s="50">
        <v>0.0</v>
      </c>
      <c r="K1410" s="50">
        <v>0.0</v>
      </c>
      <c r="L1410" s="50">
        <v>0.0</v>
      </c>
      <c r="M1410" s="50">
        <v>0.0</v>
      </c>
      <c r="N1410" s="50">
        <v>0.0</v>
      </c>
      <c r="O1410" s="50">
        <v>7.425000000000001</v>
      </c>
      <c r="P1410" s="50">
        <v>0.0</v>
      </c>
      <c r="Q1410" s="50">
        <v>0.0</v>
      </c>
      <c r="R1410" s="50">
        <v>0.0</v>
      </c>
      <c r="S1410" s="50">
        <v>0.0</v>
      </c>
      <c r="T1410" s="50">
        <v>2.8125</v>
      </c>
      <c r="U1410" s="50">
        <v>0.0</v>
      </c>
      <c r="V1410" s="50">
        <v>0.0</v>
      </c>
      <c r="W1410" s="50">
        <v>0.0</v>
      </c>
      <c r="X1410" s="50">
        <v>2.8125</v>
      </c>
      <c r="Y1410" s="50">
        <v>13.05</v>
      </c>
    </row>
    <row r="1411">
      <c r="A1411" s="26">
        <v>1405.0</v>
      </c>
      <c r="B1411" s="65">
        <v>-1.1918442152828725</v>
      </c>
      <c r="C1411" s="65">
        <v>-1.678821264690533</v>
      </c>
      <c r="D1411" s="65">
        <v>-0.27169914163485426</v>
      </c>
      <c r="E1411" s="65">
        <v>0.8530158083520906</v>
      </c>
      <c r="F1411" s="65">
        <v>6.259178171662221</v>
      </c>
      <c r="G1411" s="50">
        <v>0.0</v>
      </c>
      <c r="H1411" s="50">
        <v>0.0</v>
      </c>
      <c r="I1411" s="50">
        <v>0.0</v>
      </c>
      <c r="J1411" s="50">
        <v>0.0</v>
      </c>
      <c r="K1411" s="50">
        <v>0.0</v>
      </c>
      <c r="L1411" s="50">
        <v>0.0</v>
      </c>
      <c r="M1411" s="50">
        <v>0.0</v>
      </c>
      <c r="N1411" s="50">
        <v>0.0</v>
      </c>
      <c r="O1411" s="50">
        <v>0.0</v>
      </c>
      <c r="P1411" s="50">
        <v>0.0</v>
      </c>
      <c r="Q1411" s="50">
        <v>0.0</v>
      </c>
      <c r="R1411" s="50">
        <v>0.0</v>
      </c>
      <c r="S1411" s="50">
        <v>0.0</v>
      </c>
      <c r="T1411" s="50">
        <v>2.8125</v>
      </c>
      <c r="U1411" s="50">
        <v>0.0</v>
      </c>
      <c r="V1411" s="50">
        <v>5.625</v>
      </c>
      <c r="W1411" s="50">
        <v>0.0</v>
      </c>
      <c r="X1411" s="50">
        <v>2.8125</v>
      </c>
      <c r="Y1411" s="50">
        <v>11.25</v>
      </c>
    </row>
    <row r="1412">
      <c r="A1412" s="26">
        <v>1406.0</v>
      </c>
      <c r="B1412" s="65">
        <v>0.9408732014621995</v>
      </c>
      <c r="C1412" s="65">
        <v>1.4467925465357492</v>
      </c>
      <c r="D1412" s="65">
        <v>-0.2417050723693294</v>
      </c>
      <c r="E1412" s="65">
        <v>-0.2933151299981599</v>
      </c>
      <c r="F1412" s="65">
        <v>0.6417707880977356</v>
      </c>
      <c r="G1412" s="50">
        <v>0.0</v>
      </c>
      <c r="H1412" s="50">
        <v>0.0</v>
      </c>
      <c r="I1412" s="50">
        <v>0.0</v>
      </c>
      <c r="J1412" s="50">
        <v>0.0</v>
      </c>
      <c r="K1412" s="50">
        <v>0.0</v>
      </c>
      <c r="L1412" s="50">
        <v>0.0</v>
      </c>
      <c r="M1412" s="50">
        <v>0.0</v>
      </c>
      <c r="N1412" s="50">
        <v>0.0</v>
      </c>
      <c r="O1412" s="50">
        <v>0.0</v>
      </c>
      <c r="P1412" s="50">
        <v>2.475</v>
      </c>
      <c r="Q1412" s="50">
        <v>0.0</v>
      </c>
      <c r="R1412" s="50">
        <v>0.0</v>
      </c>
      <c r="S1412" s="50">
        <v>0.0</v>
      </c>
      <c r="T1412" s="50">
        <v>2.8125</v>
      </c>
      <c r="U1412" s="50">
        <v>9.9</v>
      </c>
      <c r="V1412" s="50">
        <v>0.0</v>
      </c>
      <c r="W1412" s="50">
        <v>0.0</v>
      </c>
      <c r="X1412" s="50">
        <v>2.8125</v>
      </c>
      <c r="Y1412" s="50">
        <v>18.0</v>
      </c>
    </row>
    <row r="1413">
      <c r="A1413" s="26">
        <v>1407.0</v>
      </c>
      <c r="B1413" s="65">
        <v>0.6706944038917627</v>
      </c>
      <c r="C1413" s="65">
        <v>0.22390251952411355</v>
      </c>
      <c r="D1413" s="65">
        <v>-0.3175879411228509</v>
      </c>
      <c r="E1413" s="65">
        <v>-0.12065047763129878</v>
      </c>
      <c r="F1413" s="65">
        <v>6.07484872333257</v>
      </c>
      <c r="G1413" s="50">
        <v>0.0</v>
      </c>
      <c r="H1413" s="50">
        <v>0.0</v>
      </c>
      <c r="I1413" s="50">
        <v>0.0</v>
      </c>
      <c r="J1413" s="50">
        <v>0.0</v>
      </c>
      <c r="K1413" s="50">
        <v>0.0</v>
      </c>
      <c r="L1413" s="50">
        <v>0.0</v>
      </c>
      <c r="M1413" s="50">
        <v>0.0</v>
      </c>
      <c r="N1413" s="50">
        <v>0.0</v>
      </c>
      <c r="O1413" s="50">
        <v>0.0</v>
      </c>
      <c r="P1413" s="50">
        <v>0.0</v>
      </c>
      <c r="Q1413" s="50">
        <v>0.0</v>
      </c>
      <c r="R1413" s="50">
        <v>0.0</v>
      </c>
      <c r="S1413" s="50">
        <v>0.0</v>
      </c>
      <c r="T1413" s="50">
        <v>2.8125</v>
      </c>
      <c r="U1413" s="50">
        <v>0.0</v>
      </c>
      <c r="V1413" s="50">
        <v>0.0</v>
      </c>
      <c r="W1413" s="50">
        <v>0.0</v>
      </c>
      <c r="X1413" s="50">
        <v>2.8125</v>
      </c>
      <c r="Y1413" s="50">
        <v>5.625</v>
      </c>
    </row>
    <row r="1414">
      <c r="A1414" s="26">
        <v>1408.0</v>
      </c>
      <c r="B1414" s="65">
        <v>0.4505088248703994</v>
      </c>
      <c r="C1414" s="65">
        <v>-0.41159570986173266</v>
      </c>
      <c r="D1414" s="65">
        <v>0.7475267646228998</v>
      </c>
      <c r="E1414" s="65">
        <v>0.5463142167706468</v>
      </c>
      <c r="F1414" s="65">
        <v>3.385166954415319</v>
      </c>
      <c r="G1414" s="50">
        <v>0.0</v>
      </c>
      <c r="H1414" s="50">
        <v>0.0</v>
      </c>
      <c r="I1414" s="50">
        <v>0.0</v>
      </c>
      <c r="J1414" s="50">
        <v>0.0</v>
      </c>
      <c r="K1414" s="50">
        <v>0.0</v>
      </c>
      <c r="L1414" s="50">
        <v>0.0</v>
      </c>
      <c r="M1414" s="50">
        <v>0.0</v>
      </c>
      <c r="N1414" s="50">
        <v>0.0</v>
      </c>
      <c r="O1414" s="50">
        <v>7.425000000000001</v>
      </c>
      <c r="P1414" s="50">
        <v>0.0</v>
      </c>
      <c r="Q1414" s="50">
        <v>0.0</v>
      </c>
      <c r="R1414" s="50">
        <v>0.0</v>
      </c>
      <c r="S1414" s="50">
        <v>0.0</v>
      </c>
      <c r="T1414" s="50">
        <v>2.8125</v>
      </c>
      <c r="U1414" s="50">
        <v>0.0</v>
      </c>
      <c r="V1414" s="50">
        <v>0.0</v>
      </c>
      <c r="W1414" s="50">
        <v>0.0</v>
      </c>
      <c r="X1414" s="50">
        <v>2.8125</v>
      </c>
      <c r="Y1414" s="50">
        <v>13.05</v>
      </c>
    </row>
    <row r="1415">
      <c r="A1415" s="26">
        <v>1409.0</v>
      </c>
      <c r="B1415" s="65">
        <v>-0.606487936588442</v>
      </c>
      <c r="C1415" s="65">
        <v>-1.0480621173479545</v>
      </c>
      <c r="D1415" s="65">
        <v>-2.470557470473922</v>
      </c>
      <c r="E1415" s="65">
        <v>-0.12676655451137905</v>
      </c>
      <c r="F1415" s="65">
        <v>4.119415875728379</v>
      </c>
      <c r="G1415" s="50">
        <v>0.0</v>
      </c>
      <c r="H1415" s="50">
        <v>0.0</v>
      </c>
      <c r="I1415" s="50">
        <v>0.0</v>
      </c>
      <c r="J1415" s="50">
        <v>0.0</v>
      </c>
      <c r="K1415" s="50">
        <v>0.0</v>
      </c>
      <c r="L1415" s="50">
        <v>0.0</v>
      </c>
      <c r="M1415" s="50">
        <v>0.0</v>
      </c>
      <c r="N1415" s="50">
        <v>0.0</v>
      </c>
      <c r="O1415" s="50">
        <v>7.425000000000001</v>
      </c>
      <c r="P1415" s="50">
        <v>2.475</v>
      </c>
      <c r="Q1415" s="50">
        <v>0.0</v>
      </c>
      <c r="R1415" s="50">
        <v>9.9</v>
      </c>
      <c r="S1415" s="50">
        <v>0.0</v>
      </c>
      <c r="T1415" s="50">
        <v>2.8125</v>
      </c>
      <c r="U1415" s="50">
        <v>9.9</v>
      </c>
      <c r="V1415" s="50">
        <v>0.0</v>
      </c>
      <c r="W1415" s="50">
        <v>0.0</v>
      </c>
      <c r="X1415" s="50">
        <v>2.8125</v>
      </c>
      <c r="Y1415" s="50">
        <v>35.325</v>
      </c>
    </row>
    <row r="1416">
      <c r="A1416" s="26">
        <v>1410.0</v>
      </c>
      <c r="B1416" s="65">
        <v>0.7957815285200212</v>
      </c>
      <c r="C1416" s="65">
        <v>1.8920323521475582</v>
      </c>
      <c r="D1416" s="65">
        <v>-0.6898434316263532</v>
      </c>
      <c r="E1416" s="65">
        <v>-0.5555384509499005</v>
      </c>
      <c r="F1416" s="65">
        <v>6.368834086513894</v>
      </c>
      <c r="G1416" s="50">
        <v>0.0</v>
      </c>
      <c r="H1416" s="50">
        <v>0.0</v>
      </c>
      <c r="I1416" s="50">
        <v>0.0</v>
      </c>
      <c r="J1416" s="50">
        <v>0.0</v>
      </c>
      <c r="K1416" s="50">
        <v>0.0</v>
      </c>
      <c r="L1416" s="50">
        <v>0.0</v>
      </c>
      <c r="M1416" s="50">
        <v>0.0</v>
      </c>
      <c r="N1416" s="50">
        <v>0.0</v>
      </c>
      <c r="O1416" s="50">
        <v>0.0</v>
      </c>
      <c r="P1416" s="50">
        <v>0.0</v>
      </c>
      <c r="Q1416" s="50">
        <v>0.0</v>
      </c>
      <c r="R1416" s="50">
        <v>0.0</v>
      </c>
      <c r="S1416" s="50">
        <v>0.0</v>
      </c>
      <c r="T1416" s="50">
        <v>2.8125</v>
      </c>
      <c r="U1416" s="50">
        <v>0.0</v>
      </c>
      <c r="V1416" s="50">
        <v>0.0</v>
      </c>
      <c r="W1416" s="50">
        <v>0.0</v>
      </c>
      <c r="X1416" s="50">
        <v>2.8125</v>
      </c>
      <c r="Y1416" s="50">
        <v>5.625</v>
      </c>
    </row>
    <row r="1417">
      <c r="A1417" s="26">
        <v>1411.0</v>
      </c>
      <c r="B1417" s="65">
        <v>-1.1907392093774258</v>
      </c>
      <c r="C1417" s="65">
        <v>1.5469587650739365</v>
      </c>
      <c r="D1417" s="65">
        <v>0.9446023617046297</v>
      </c>
      <c r="E1417" s="65">
        <v>-0.5270950433196682</v>
      </c>
      <c r="F1417" s="65">
        <v>3.8989804239072607</v>
      </c>
      <c r="G1417" s="50">
        <v>0.0</v>
      </c>
      <c r="H1417" s="50">
        <v>0.0</v>
      </c>
      <c r="I1417" s="50">
        <v>0.0</v>
      </c>
      <c r="J1417" s="50">
        <v>0.0</v>
      </c>
      <c r="K1417" s="50">
        <v>0.0</v>
      </c>
      <c r="L1417" s="50">
        <v>0.0</v>
      </c>
      <c r="M1417" s="50">
        <v>0.0</v>
      </c>
      <c r="N1417" s="50">
        <v>0.0</v>
      </c>
      <c r="O1417" s="50">
        <v>0.0</v>
      </c>
      <c r="P1417" s="50">
        <v>0.0</v>
      </c>
      <c r="Q1417" s="50">
        <v>0.0</v>
      </c>
      <c r="R1417" s="50">
        <v>0.0</v>
      </c>
      <c r="S1417" s="50">
        <v>0.0</v>
      </c>
      <c r="T1417" s="50">
        <v>2.8125</v>
      </c>
      <c r="U1417" s="50">
        <v>0.0</v>
      </c>
      <c r="V1417" s="50">
        <v>0.0</v>
      </c>
      <c r="W1417" s="50">
        <v>4.95</v>
      </c>
      <c r="X1417" s="50">
        <v>2.8125</v>
      </c>
      <c r="Y1417" s="50">
        <v>10.575</v>
      </c>
    </row>
    <row r="1418">
      <c r="A1418" s="26">
        <v>1412.0</v>
      </c>
      <c r="B1418" s="65">
        <v>0.4110641102071929</v>
      </c>
      <c r="C1418" s="65">
        <v>-0.27691363795214746</v>
      </c>
      <c r="D1418" s="65">
        <v>-0.490706866213766</v>
      </c>
      <c r="E1418" s="65">
        <v>-0.8428430012676994</v>
      </c>
      <c r="F1418" s="65">
        <v>5.623938938493622</v>
      </c>
      <c r="G1418" s="50">
        <v>0.0</v>
      </c>
      <c r="H1418" s="50">
        <v>0.0</v>
      </c>
      <c r="I1418" s="50">
        <v>0.0</v>
      </c>
      <c r="J1418" s="50">
        <v>0.0</v>
      </c>
      <c r="K1418" s="50">
        <v>0.0</v>
      </c>
      <c r="L1418" s="50">
        <v>0.0</v>
      </c>
      <c r="M1418" s="50">
        <v>0.0</v>
      </c>
      <c r="N1418" s="50">
        <v>0.0</v>
      </c>
      <c r="O1418" s="50">
        <v>0.0</v>
      </c>
      <c r="P1418" s="50">
        <v>0.0</v>
      </c>
      <c r="Q1418" s="50">
        <v>0.0</v>
      </c>
      <c r="R1418" s="50">
        <v>0.0</v>
      </c>
      <c r="S1418" s="50">
        <v>0.0</v>
      </c>
      <c r="T1418" s="50">
        <v>2.8125</v>
      </c>
      <c r="U1418" s="50">
        <v>0.0</v>
      </c>
      <c r="V1418" s="50">
        <v>0.0</v>
      </c>
      <c r="W1418" s="50">
        <v>0.0</v>
      </c>
      <c r="X1418" s="50">
        <v>2.8125</v>
      </c>
      <c r="Y1418" s="50">
        <v>5.625</v>
      </c>
    </row>
    <row r="1419">
      <c r="A1419" s="26">
        <v>1413.0</v>
      </c>
      <c r="B1419" s="65">
        <v>0.5724688077941209</v>
      </c>
      <c r="C1419" s="65">
        <v>-0.01848935687655894</v>
      </c>
      <c r="D1419" s="65">
        <v>-1.0456094105128633</v>
      </c>
      <c r="E1419" s="65">
        <v>0.1827296229164359</v>
      </c>
      <c r="F1419" s="65">
        <v>3.3316408076157393</v>
      </c>
      <c r="G1419" s="50">
        <v>0.0</v>
      </c>
      <c r="H1419" s="50">
        <v>0.0</v>
      </c>
      <c r="I1419" s="50">
        <v>0.0</v>
      </c>
      <c r="J1419" s="50">
        <v>0.0</v>
      </c>
      <c r="K1419" s="50">
        <v>0.0</v>
      </c>
      <c r="L1419" s="50">
        <v>0.0</v>
      </c>
      <c r="M1419" s="50">
        <v>0.0</v>
      </c>
      <c r="N1419" s="50">
        <v>0.0</v>
      </c>
      <c r="O1419" s="50">
        <v>0.0</v>
      </c>
      <c r="P1419" s="50">
        <v>0.0</v>
      </c>
      <c r="Q1419" s="50">
        <v>0.0</v>
      </c>
      <c r="R1419" s="50">
        <v>0.0</v>
      </c>
      <c r="S1419" s="50">
        <v>0.0</v>
      </c>
      <c r="T1419" s="50">
        <v>2.8125</v>
      </c>
      <c r="U1419" s="50">
        <v>0.0</v>
      </c>
      <c r="V1419" s="50">
        <v>0.0</v>
      </c>
      <c r="W1419" s="50">
        <v>0.0</v>
      </c>
      <c r="X1419" s="50">
        <v>2.8125</v>
      </c>
      <c r="Y1419" s="50">
        <v>5.625</v>
      </c>
    </row>
    <row r="1420">
      <c r="A1420" s="26">
        <v>1414.0</v>
      </c>
      <c r="B1420" s="65">
        <v>0.41938397939511435</v>
      </c>
      <c r="C1420" s="65">
        <v>2.572085058682128</v>
      </c>
      <c r="D1420" s="65">
        <v>1.4932471970299277</v>
      </c>
      <c r="E1420" s="65">
        <v>0.5515089420225642</v>
      </c>
      <c r="F1420" s="65">
        <v>12.17024301845853</v>
      </c>
      <c r="G1420" s="50">
        <v>0.0</v>
      </c>
      <c r="H1420" s="50">
        <v>0.0</v>
      </c>
      <c r="I1420" s="50">
        <v>0.0</v>
      </c>
      <c r="J1420" s="50">
        <v>0.0</v>
      </c>
      <c r="K1420" s="50">
        <v>0.0</v>
      </c>
      <c r="L1420" s="50">
        <v>0.0</v>
      </c>
      <c r="M1420" s="50">
        <v>0.0</v>
      </c>
      <c r="N1420" s="50">
        <v>0.0</v>
      </c>
      <c r="O1420" s="50">
        <v>0.0</v>
      </c>
      <c r="P1420" s="50">
        <v>0.0</v>
      </c>
      <c r="Q1420" s="50">
        <v>0.0</v>
      </c>
      <c r="R1420" s="50">
        <v>0.0</v>
      </c>
      <c r="S1420" s="50">
        <v>0.0</v>
      </c>
      <c r="T1420" s="50">
        <v>2.8125</v>
      </c>
      <c r="U1420" s="50">
        <v>0.0</v>
      </c>
      <c r="V1420" s="50">
        <v>0.0</v>
      </c>
      <c r="W1420" s="50">
        <v>0.0</v>
      </c>
      <c r="X1420" s="50">
        <v>2.8125</v>
      </c>
      <c r="Y1420" s="50">
        <v>5.625</v>
      </c>
    </row>
    <row r="1421">
      <c r="A1421" s="26">
        <v>1415.0</v>
      </c>
      <c r="B1421" s="65">
        <v>-0.947342207052253</v>
      </c>
      <c r="C1421" s="65">
        <v>0.16045788505297218</v>
      </c>
      <c r="D1421" s="65">
        <v>-0.5647720272709514</v>
      </c>
      <c r="E1421" s="65">
        <v>1.2458415260146611</v>
      </c>
      <c r="F1421" s="65">
        <v>2.0691611072328278</v>
      </c>
      <c r="G1421" s="50">
        <v>0.0</v>
      </c>
      <c r="H1421" s="50">
        <v>0.0</v>
      </c>
      <c r="I1421" s="50">
        <v>0.0</v>
      </c>
      <c r="J1421" s="50">
        <v>0.0</v>
      </c>
      <c r="K1421" s="50">
        <v>0.0</v>
      </c>
      <c r="L1421" s="50">
        <v>0.0</v>
      </c>
      <c r="M1421" s="50">
        <v>0.0</v>
      </c>
      <c r="N1421" s="50">
        <v>0.0</v>
      </c>
      <c r="O1421" s="50">
        <v>7.425000000000001</v>
      </c>
      <c r="P1421" s="50">
        <v>0.0</v>
      </c>
      <c r="Q1421" s="50">
        <v>0.0</v>
      </c>
      <c r="R1421" s="50">
        <v>0.0</v>
      </c>
      <c r="S1421" s="50">
        <v>0.0</v>
      </c>
      <c r="T1421" s="50">
        <v>2.8125</v>
      </c>
      <c r="U1421" s="50">
        <v>0.0</v>
      </c>
      <c r="V1421" s="50">
        <v>5.625</v>
      </c>
      <c r="W1421" s="50">
        <v>0.0</v>
      </c>
      <c r="X1421" s="50">
        <v>2.8125</v>
      </c>
      <c r="Y1421" s="50">
        <v>18.675</v>
      </c>
    </row>
    <row r="1422">
      <c r="A1422" s="26">
        <v>1416.0</v>
      </c>
      <c r="B1422" s="65">
        <v>-0.7765571044619468</v>
      </c>
      <c r="C1422" s="65">
        <v>1.4396639039292785</v>
      </c>
      <c r="D1422" s="65">
        <v>0.8904637809818009</v>
      </c>
      <c r="E1422" s="65">
        <v>0.7307247665632146</v>
      </c>
      <c r="F1422" s="65">
        <v>2.611465011565686</v>
      </c>
      <c r="G1422" s="50">
        <v>0.0</v>
      </c>
      <c r="H1422" s="50">
        <v>0.0</v>
      </c>
      <c r="I1422" s="50">
        <v>0.0</v>
      </c>
      <c r="J1422" s="50">
        <v>0.0</v>
      </c>
      <c r="K1422" s="50">
        <v>0.0</v>
      </c>
      <c r="L1422" s="50">
        <v>0.0</v>
      </c>
      <c r="M1422" s="50">
        <v>0.0</v>
      </c>
      <c r="N1422" s="50">
        <v>0.0</v>
      </c>
      <c r="O1422" s="50">
        <v>7.425000000000001</v>
      </c>
      <c r="P1422" s="50">
        <v>0.0</v>
      </c>
      <c r="Q1422" s="50">
        <v>0.0</v>
      </c>
      <c r="R1422" s="50">
        <v>0.0</v>
      </c>
      <c r="S1422" s="50">
        <v>0.0</v>
      </c>
      <c r="T1422" s="50">
        <v>2.8125</v>
      </c>
      <c r="U1422" s="50">
        <v>0.0</v>
      </c>
      <c r="V1422" s="50">
        <v>5.625</v>
      </c>
      <c r="W1422" s="50">
        <v>0.0</v>
      </c>
      <c r="X1422" s="50">
        <v>2.8125</v>
      </c>
      <c r="Y1422" s="50">
        <v>18.675</v>
      </c>
    </row>
    <row r="1423">
      <c r="A1423" s="26">
        <v>1417.0</v>
      </c>
      <c r="B1423" s="65">
        <v>2.022740854349075</v>
      </c>
      <c r="C1423" s="65">
        <v>-1.8196670249551026</v>
      </c>
      <c r="D1423" s="65">
        <v>-0.8320699596395676</v>
      </c>
      <c r="E1423" s="65">
        <v>1.216119791998255</v>
      </c>
      <c r="F1423" s="65">
        <v>5.240302257339517</v>
      </c>
      <c r="G1423" s="50">
        <v>0.0</v>
      </c>
      <c r="H1423" s="50">
        <v>0.0</v>
      </c>
      <c r="I1423" s="50">
        <v>0.0</v>
      </c>
      <c r="J1423" s="50">
        <v>0.0</v>
      </c>
      <c r="K1423" s="50">
        <v>0.0</v>
      </c>
      <c r="L1423" s="50">
        <v>0.0</v>
      </c>
      <c r="M1423" s="50">
        <v>0.0</v>
      </c>
      <c r="N1423" s="50">
        <v>0.0</v>
      </c>
      <c r="O1423" s="50">
        <v>0.0</v>
      </c>
      <c r="P1423" s="50">
        <v>0.0</v>
      </c>
      <c r="Q1423" s="50">
        <v>0.0</v>
      </c>
      <c r="R1423" s="50">
        <v>0.0</v>
      </c>
      <c r="S1423" s="50">
        <v>0.0</v>
      </c>
      <c r="T1423" s="50">
        <v>2.8125</v>
      </c>
      <c r="U1423" s="50">
        <v>0.0</v>
      </c>
      <c r="V1423" s="50">
        <v>0.0</v>
      </c>
      <c r="W1423" s="50">
        <v>0.0</v>
      </c>
      <c r="X1423" s="50">
        <v>2.8125</v>
      </c>
      <c r="Y1423" s="50">
        <v>5.625</v>
      </c>
    </row>
    <row r="1424">
      <c r="A1424" s="26">
        <v>1418.0</v>
      </c>
      <c r="B1424" s="65">
        <v>0.41059742721778764</v>
      </c>
      <c r="C1424" s="65">
        <v>0.18418681399284645</v>
      </c>
      <c r="D1424" s="65">
        <v>1.7833092232104295</v>
      </c>
      <c r="E1424" s="65">
        <v>-1.6001109276584602</v>
      </c>
      <c r="F1424" s="65">
        <v>3.8236327834727812</v>
      </c>
      <c r="G1424" s="50">
        <v>0.0</v>
      </c>
      <c r="H1424" s="50">
        <v>0.0</v>
      </c>
      <c r="I1424" s="50">
        <v>0.0</v>
      </c>
      <c r="J1424" s="50">
        <v>0.0</v>
      </c>
      <c r="K1424" s="50">
        <v>0.0</v>
      </c>
      <c r="L1424" s="50">
        <v>0.0</v>
      </c>
      <c r="M1424" s="50">
        <v>0.0</v>
      </c>
      <c r="N1424" s="50">
        <v>0.0</v>
      </c>
      <c r="O1424" s="50">
        <v>0.0</v>
      </c>
      <c r="P1424" s="50">
        <v>0.0</v>
      </c>
      <c r="Q1424" s="50">
        <v>0.0</v>
      </c>
      <c r="R1424" s="50">
        <v>0.0</v>
      </c>
      <c r="S1424" s="50">
        <v>0.0</v>
      </c>
      <c r="T1424" s="50">
        <v>2.8125</v>
      </c>
      <c r="U1424" s="50">
        <v>0.0</v>
      </c>
      <c r="V1424" s="50">
        <v>5.625</v>
      </c>
      <c r="W1424" s="50">
        <v>0.0</v>
      </c>
      <c r="X1424" s="50">
        <v>2.8125</v>
      </c>
      <c r="Y1424" s="50">
        <v>11.25</v>
      </c>
    </row>
    <row r="1425">
      <c r="A1425" s="26">
        <v>1419.0</v>
      </c>
      <c r="B1425" s="65">
        <v>-0.3844262820515469</v>
      </c>
      <c r="C1425" s="65">
        <v>1.4419010051201073</v>
      </c>
      <c r="D1425" s="65">
        <v>0.22064818883593174</v>
      </c>
      <c r="E1425" s="65">
        <v>-1.8597910972118037</v>
      </c>
      <c r="F1425" s="65">
        <v>5.064993372970833</v>
      </c>
      <c r="G1425" s="50">
        <v>0.0</v>
      </c>
      <c r="H1425" s="50">
        <v>0.0</v>
      </c>
      <c r="I1425" s="50">
        <v>0.0</v>
      </c>
      <c r="J1425" s="50">
        <v>0.0</v>
      </c>
      <c r="K1425" s="50">
        <v>0.0</v>
      </c>
      <c r="L1425" s="50">
        <v>0.0</v>
      </c>
      <c r="M1425" s="50">
        <v>0.0</v>
      </c>
      <c r="N1425" s="50">
        <v>0.0</v>
      </c>
      <c r="O1425" s="50">
        <v>0.0</v>
      </c>
      <c r="P1425" s="50">
        <v>0.0</v>
      </c>
      <c r="Q1425" s="50">
        <v>0.0</v>
      </c>
      <c r="R1425" s="50">
        <v>0.0</v>
      </c>
      <c r="S1425" s="50">
        <v>0.0</v>
      </c>
      <c r="T1425" s="50">
        <v>2.8125</v>
      </c>
      <c r="U1425" s="50">
        <v>0.0</v>
      </c>
      <c r="V1425" s="50">
        <v>0.0</v>
      </c>
      <c r="W1425" s="50">
        <v>4.95</v>
      </c>
      <c r="X1425" s="50">
        <v>2.8125</v>
      </c>
      <c r="Y1425" s="50">
        <v>10.575</v>
      </c>
    </row>
    <row r="1426">
      <c r="A1426" s="26">
        <v>1420.0</v>
      </c>
      <c r="B1426" s="65">
        <v>0.9313218600834717</v>
      </c>
      <c r="C1426" s="65">
        <v>0.06975391073264553</v>
      </c>
      <c r="D1426" s="65">
        <v>1.9886038069335727</v>
      </c>
      <c r="E1426" s="65">
        <v>-0.4886338462695736</v>
      </c>
      <c r="F1426" s="65">
        <v>7.364924977760252</v>
      </c>
      <c r="G1426" s="50">
        <v>0.0</v>
      </c>
      <c r="H1426" s="50">
        <v>0.0</v>
      </c>
      <c r="I1426" s="50">
        <v>0.0</v>
      </c>
      <c r="J1426" s="50">
        <v>0.0</v>
      </c>
      <c r="K1426" s="50">
        <v>0.0</v>
      </c>
      <c r="L1426" s="50">
        <v>0.0</v>
      </c>
      <c r="M1426" s="50">
        <v>0.0</v>
      </c>
      <c r="N1426" s="50">
        <v>0.0</v>
      </c>
      <c r="O1426" s="50">
        <v>0.0</v>
      </c>
      <c r="P1426" s="50">
        <v>0.0</v>
      </c>
      <c r="Q1426" s="50">
        <v>0.0</v>
      </c>
      <c r="R1426" s="50">
        <v>0.0</v>
      </c>
      <c r="S1426" s="50">
        <v>0.0</v>
      </c>
      <c r="T1426" s="50">
        <v>2.8125</v>
      </c>
      <c r="U1426" s="50">
        <v>0.0</v>
      </c>
      <c r="V1426" s="50">
        <v>0.0</v>
      </c>
      <c r="W1426" s="50">
        <v>0.0</v>
      </c>
      <c r="X1426" s="50">
        <v>2.8125</v>
      </c>
      <c r="Y1426" s="50">
        <v>5.625</v>
      </c>
    </row>
    <row r="1427">
      <c r="A1427" s="26">
        <v>1421.0</v>
      </c>
      <c r="B1427" s="65">
        <v>0.8222563999923456</v>
      </c>
      <c r="C1427" s="65">
        <v>-0.660199939069891</v>
      </c>
      <c r="D1427" s="65">
        <v>-0.7086802132215232</v>
      </c>
      <c r="E1427" s="65">
        <v>-0.8716298494606342</v>
      </c>
      <c r="F1427" s="65">
        <v>6.299249195088306</v>
      </c>
      <c r="G1427" s="50">
        <v>0.0</v>
      </c>
      <c r="H1427" s="50">
        <v>0.0</v>
      </c>
      <c r="I1427" s="50">
        <v>0.0</v>
      </c>
      <c r="J1427" s="50">
        <v>0.0</v>
      </c>
      <c r="K1427" s="50">
        <v>0.0</v>
      </c>
      <c r="L1427" s="50">
        <v>0.0</v>
      </c>
      <c r="M1427" s="50">
        <v>0.0</v>
      </c>
      <c r="N1427" s="50">
        <v>0.0</v>
      </c>
      <c r="O1427" s="50">
        <v>0.0</v>
      </c>
      <c r="P1427" s="50">
        <v>0.0</v>
      </c>
      <c r="Q1427" s="50">
        <v>0.0</v>
      </c>
      <c r="R1427" s="50">
        <v>0.0</v>
      </c>
      <c r="S1427" s="50">
        <v>0.0</v>
      </c>
      <c r="T1427" s="50">
        <v>2.8125</v>
      </c>
      <c r="U1427" s="50">
        <v>0.0</v>
      </c>
      <c r="V1427" s="50">
        <v>0.0</v>
      </c>
      <c r="W1427" s="50">
        <v>0.0</v>
      </c>
      <c r="X1427" s="50">
        <v>2.8125</v>
      </c>
      <c r="Y1427" s="50">
        <v>5.625</v>
      </c>
    </row>
    <row r="1428">
      <c r="A1428" s="26">
        <v>1422.0</v>
      </c>
      <c r="B1428" s="65">
        <v>0.5865127968048187</v>
      </c>
      <c r="C1428" s="65">
        <v>-0.5830627111432507</v>
      </c>
      <c r="D1428" s="65">
        <v>-1.4740649003231576</v>
      </c>
      <c r="E1428" s="65">
        <v>0.46690517418895644</v>
      </c>
      <c r="F1428" s="65">
        <v>6.904502621726316</v>
      </c>
      <c r="G1428" s="50">
        <v>0.0</v>
      </c>
      <c r="H1428" s="50">
        <v>0.0</v>
      </c>
      <c r="I1428" s="50">
        <v>0.0</v>
      </c>
      <c r="J1428" s="50">
        <v>0.0</v>
      </c>
      <c r="K1428" s="50">
        <v>0.0</v>
      </c>
      <c r="L1428" s="50">
        <v>0.0</v>
      </c>
      <c r="M1428" s="50">
        <v>0.0</v>
      </c>
      <c r="N1428" s="50">
        <v>0.0</v>
      </c>
      <c r="O1428" s="50">
        <v>7.425000000000001</v>
      </c>
      <c r="P1428" s="50">
        <v>0.0</v>
      </c>
      <c r="Q1428" s="50">
        <v>0.0</v>
      </c>
      <c r="R1428" s="50">
        <v>0.0</v>
      </c>
      <c r="S1428" s="50">
        <v>0.0</v>
      </c>
      <c r="T1428" s="50">
        <v>2.8125</v>
      </c>
      <c r="U1428" s="50">
        <v>0.0</v>
      </c>
      <c r="V1428" s="50">
        <v>5.625</v>
      </c>
      <c r="W1428" s="50">
        <v>0.0</v>
      </c>
      <c r="X1428" s="50">
        <v>2.8125</v>
      </c>
      <c r="Y1428" s="50">
        <v>18.675</v>
      </c>
    </row>
    <row r="1429">
      <c r="A1429" s="26">
        <v>1423.0</v>
      </c>
      <c r="B1429" s="65">
        <v>-2.1552271032865553</v>
      </c>
      <c r="C1429" s="65">
        <v>1.4688968886045621</v>
      </c>
      <c r="D1429" s="65">
        <v>1.044504923782481</v>
      </c>
      <c r="E1429" s="65">
        <v>-0.40508920140117893</v>
      </c>
      <c r="F1429" s="65">
        <v>1.2151852631993783</v>
      </c>
      <c r="G1429" s="50">
        <v>0.0</v>
      </c>
      <c r="H1429" s="50">
        <v>0.0</v>
      </c>
      <c r="I1429" s="50">
        <v>0.0</v>
      </c>
      <c r="J1429" s="50">
        <v>0.0</v>
      </c>
      <c r="K1429" s="50">
        <v>0.0</v>
      </c>
      <c r="L1429" s="50">
        <v>0.0</v>
      </c>
      <c r="M1429" s="50">
        <v>0.0</v>
      </c>
      <c r="N1429" s="50">
        <v>0.0</v>
      </c>
      <c r="O1429" s="50">
        <v>7.425000000000001</v>
      </c>
      <c r="P1429" s="50">
        <v>0.0</v>
      </c>
      <c r="Q1429" s="50">
        <v>0.0</v>
      </c>
      <c r="R1429" s="50">
        <v>9.9</v>
      </c>
      <c r="S1429" s="50">
        <v>0.0</v>
      </c>
      <c r="T1429" s="50">
        <v>2.8125</v>
      </c>
      <c r="U1429" s="50">
        <v>9.9</v>
      </c>
      <c r="V1429" s="50">
        <v>5.625</v>
      </c>
      <c r="W1429" s="50">
        <v>4.95</v>
      </c>
      <c r="X1429" s="50">
        <v>2.8125</v>
      </c>
      <c r="Y1429" s="50">
        <v>43.425000000000004</v>
      </c>
    </row>
    <row r="1430">
      <c r="A1430" s="26">
        <v>1424.0</v>
      </c>
      <c r="B1430" s="65">
        <v>0.7325542196103391</v>
      </c>
      <c r="C1430" s="65">
        <v>0.06950727832409916</v>
      </c>
      <c r="D1430" s="65">
        <v>1.9961817318051795</v>
      </c>
      <c r="E1430" s="65">
        <v>-1.7548416572120282</v>
      </c>
      <c r="F1430" s="65">
        <v>10.623256733919295</v>
      </c>
      <c r="G1430" s="50">
        <v>0.0</v>
      </c>
      <c r="H1430" s="50">
        <v>0.0</v>
      </c>
      <c r="I1430" s="50">
        <v>0.0</v>
      </c>
      <c r="J1430" s="50">
        <v>0.0</v>
      </c>
      <c r="K1430" s="50">
        <v>0.0</v>
      </c>
      <c r="L1430" s="50">
        <v>0.0</v>
      </c>
      <c r="M1430" s="50">
        <v>0.0</v>
      </c>
      <c r="N1430" s="50">
        <v>0.0</v>
      </c>
      <c r="O1430" s="50">
        <v>0.0</v>
      </c>
      <c r="P1430" s="50">
        <v>0.0</v>
      </c>
      <c r="Q1430" s="50">
        <v>0.0</v>
      </c>
      <c r="R1430" s="50">
        <v>0.0</v>
      </c>
      <c r="S1430" s="50">
        <v>0.0</v>
      </c>
      <c r="T1430" s="50">
        <v>2.8125</v>
      </c>
      <c r="U1430" s="50">
        <v>0.0</v>
      </c>
      <c r="V1430" s="50">
        <v>5.625</v>
      </c>
      <c r="W1430" s="50">
        <v>0.0</v>
      </c>
      <c r="X1430" s="50">
        <v>2.8125</v>
      </c>
      <c r="Y1430" s="50">
        <v>11.25</v>
      </c>
    </row>
    <row r="1431">
      <c r="A1431" s="26">
        <v>1425.0</v>
      </c>
      <c r="B1431" s="65">
        <v>1.4190843813957994</v>
      </c>
      <c r="C1431" s="65">
        <v>-0.28447931844968866</v>
      </c>
      <c r="D1431" s="65">
        <v>-0.768458128612838</v>
      </c>
      <c r="E1431" s="65">
        <v>1.193262206401004</v>
      </c>
      <c r="F1431" s="65">
        <v>6.7716808459582225</v>
      </c>
      <c r="G1431" s="50">
        <v>0.0</v>
      </c>
      <c r="H1431" s="50">
        <v>0.0</v>
      </c>
      <c r="I1431" s="50">
        <v>0.0</v>
      </c>
      <c r="J1431" s="50">
        <v>0.0</v>
      </c>
      <c r="K1431" s="50">
        <v>0.0</v>
      </c>
      <c r="L1431" s="50">
        <v>0.0</v>
      </c>
      <c r="M1431" s="50">
        <v>0.0</v>
      </c>
      <c r="N1431" s="50">
        <v>0.0</v>
      </c>
      <c r="O1431" s="50">
        <v>0.0</v>
      </c>
      <c r="P1431" s="50">
        <v>0.0</v>
      </c>
      <c r="Q1431" s="50">
        <v>0.0</v>
      </c>
      <c r="R1431" s="50">
        <v>0.0</v>
      </c>
      <c r="S1431" s="50">
        <v>0.0</v>
      </c>
      <c r="T1431" s="50">
        <v>2.8125</v>
      </c>
      <c r="U1431" s="50">
        <v>0.0</v>
      </c>
      <c r="V1431" s="50">
        <v>0.0</v>
      </c>
      <c r="W1431" s="50">
        <v>0.0</v>
      </c>
      <c r="X1431" s="50">
        <v>2.8125</v>
      </c>
      <c r="Y1431" s="50">
        <v>5.625</v>
      </c>
    </row>
    <row r="1432">
      <c r="A1432" s="26">
        <v>1426.0</v>
      </c>
      <c r="B1432" s="65">
        <v>0.1264899211711996</v>
      </c>
      <c r="C1432" s="65">
        <v>-0.21862385467245216</v>
      </c>
      <c r="D1432" s="65">
        <v>-0.7073329970998945</v>
      </c>
      <c r="E1432" s="65">
        <v>-1.1134131775756064</v>
      </c>
      <c r="F1432" s="65">
        <v>4.501093471257523</v>
      </c>
      <c r="G1432" s="50">
        <v>0.0</v>
      </c>
      <c r="H1432" s="50">
        <v>0.0</v>
      </c>
      <c r="I1432" s="50">
        <v>0.0</v>
      </c>
      <c r="J1432" s="50">
        <v>0.0</v>
      </c>
      <c r="K1432" s="50">
        <v>0.0</v>
      </c>
      <c r="L1432" s="50">
        <v>0.0</v>
      </c>
      <c r="M1432" s="50">
        <v>0.0</v>
      </c>
      <c r="N1432" s="50">
        <v>0.0</v>
      </c>
      <c r="O1432" s="50">
        <v>0.0</v>
      </c>
      <c r="P1432" s="50">
        <v>2.475</v>
      </c>
      <c r="Q1432" s="50">
        <v>0.0</v>
      </c>
      <c r="R1432" s="50">
        <v>0.0</v>
      </c>
      <c r="S1432" s="50">
        <v>0.0</v>
      </c>
      <c r="T1432" s="50">
        <v>2.8125</v>
      </c>
      <c r="U1432" s="50">
        <v>0.0</v>
      </c>
      <c r="V1432" s="50">
        <v>0.0</v>
      </c>
      <c r="W1432" s="50">
        <v>0.0</v>
      </c>
      <c r="X1432" s="50">
        <v>2.8125</v>
      </c>
      <c r="Y1432" s="50">
        <v>8.1</v>
      </c>
    </row>
    <row r="1433">
      <c r="A1433" s="26">
        <v>1427.0</v>
      </c>
      <c r="B1433" s="65">
        <v>1.0677478307928148</v>
      </c>
      <c r="C1433" s="65">
        <v>-0.8193700504594645</v>
      </c>
      <c r="D1433" s="65">
        <v>0.05869753858879482</v>
      </c>
      <c r="E1433" s="65">
        <v>0.780260734735765</v>
      </c>
      <c r="F1433" s="65">
        <v>2.5383868664996574</v>
      </c>
      <c r="G1433" s="50">
        <v>0.0</v>
      </c>
      <c r="H1433" s="50">
        <v>0.0</v>
      </c>
      <c r="I1433" s="50">
        <v>0.0</v>
      </c>
      <c r="J1433" s="50">
        <v>0.0</v>
      </c>
      <c r="K1433" s="50">
        <v>0.0</v>
      </c>
      <c r="L1433" s="50">
        <v>0.0</v>
      </c>
      <c r="M1433" s="50">
        <v>0.0</v>
      </c>
      <c r="N1433" s="50">
        <v>0.0</v>
      </c>
      <c r="O1433" s="50">
        <v>0.0</v>
      </c>
      <c r="P1433" s="50">
        <v>0.0</v>
      </c>
      <c r="Q1433" s="50">
        <v>0.0</v>
      </c>
      <c r="R1433" s="50">
        <v>0.0</v>
      </c>
      <c r="S1433" s="50">
        <v>0.0</v>
      </c>
      <c r="T1433" s="50">
        <v>2.8125</v>
      </c>
      <c r="U1433" s="50">
        <v>0.0</v>
      </c>
      <c r="V1433" s="50">
        <v>0.0</v>
      </c>
      <c r="W1433" s="50">
        <v>0.0</v>
      </c>
      <c r="X1433" s="50">
        <v>2.8125</v>
      </c>
      <c r="Y1433" s="50">
        <v>5.625</v>
      </c>
    </row>
    <row r="1434">
      <c r="A1434" s="26">
        <v>1428.0</v>
      </c>
      <c r="B1434" s="65">
        <v>0.316948291871476</v>
      </c>
      <c r="C1434" s="65">
        <v>1.3044452997350975</v>
      </c>
      <c r="D1434" s="65">
        <v>0.05418094083376628</v>
      </c>
      <c r="E1434" s="65">
        <v>0.5064097809908978</v>
      </c>
      <c r="F1434" s="65">
        <v>1.4486324243076152</v>
      </c>
      <c r="G1434" s="50">
        <v>0.0</v>
      </c>
      <c r="H1434" s="50">
        <v>0.0</v>
      </c>
      <c r="I1434" s="50">
        <v>0.0</v>
      </c>
      <c r="J1434" s="50">
        <v>0.0</v>
      </c>
      <c r="K1434" s="50">
        <v>0.0</v>
      </c>
      <c r="L1434" s="50">
        <v>0.0</v>
      </c>
      <c r="M1434" s="50">
        <v>0.0</v>
      </c>
      <c r="N1434" s="50">
        <v>0.0</v>
      </c>
      <c r="O1434" s="50">
        <v>0.0</v>
      </c>
      <c r="P1434" s="50">
        <v>2.475</v>
      </c>
      <c r="Q1434" s="50">
        <v>0.0</v>
      </c>
      <c r="R1434" s="50">
        <v>0.0</v>
      </c>
      <c r="S1434" s="50">
        <v>0.0</v>
      </c>
      <c r="T1434" s="50">
        <v>2.8125</v>
      </c>
      <c r="U1434" s="50">
        <v>0.0</v>
      </c>
      <c r="V1434" s="50">
        <v>0.0</v>
      </c>
      <c r="W1434" s="50">
        <v>0.0</v>
      </c>
      <c r="X1434" s="50">
        <v>2.8125</v>
      </c>
      <c r="Y1434" s="50">
        <v>8.1</v>
      </c>
    </row>
    <row r="1435">
      <c r="A1435" s="26">
        <v>1429.0</v>
      </c>
      <c r="B1435" s="65">
        <v>0.19928567160921906</v>
      </c>
      <c r="C1435" s="65">
        <v>-1.839379657947686</v>
      </c>
      <c r="D1435" s="65">
        <v>0.05520470557997066</v>
      </c>
      <c r="E1435" s="65">
        <v>-0.754542149997759</v>
      </c>
      <c r="F1435" s="65">
        <v>4.21534276616666</v>
      </c>
      <c r="G1435" s="50">
        <v>0.0</v>
      </c>
      <c r="H1435" s="50">
        <v>0.0</v>
      </c>
      <c r="I1435" s="50">
        <v>0.0</v>
      </c>
      <c r="J1435" s="50">
        <v>0.0</v>
      </c>
      <c r="K1435" s="50">
        <v>0.0</v>
      </c>
      <c r="L1435" s="50">
        <v>0.0</v>
      </c>
      <c r="M1435" s="50">
        <v>0.0</v>
      </c>
      <c r="N1435" s="50">
        <v>0.0</v>
      </c>
      <c r="O1435" s="50">
        <v>0.0</v>
      </c>
      <c r="P1435" s="50">
        <v>0.0</v>
      </c>
      <c r="Q1435" s="50">
        <v>0.0</v>
      </c>
      <c r="R1435" s="50">
        <v>0.0</v>
      </c>
      <c r="S1435" s="50">
        <v>0.0</v>
      </c>
      <c r="T1435" s="50">
        <v>2.8125</v>
      </c>
      <c r="U1435" s="50">
        <v>0.0</v>
      </c>
      <c r="V1435" s="50">
        <v>0.0</v>
      </c>
      <c r="W1435" s="50">
        <v>0.0</v>
      </c>
      <c r="X1435" s="50">
        <v>2.8125</v>
      </c>
      <c r="Y1435" s="50">
        <v>5.625</v>
      </c>
    </row>
    <row r="1436">
      <c r="A1436" s="26">
        <v>1430.0</v>
      </c>
      <c r="B1436" s="65">
        <v>0.688458801351455</v>
      </c>
      <c r="C1436" s="65">
        <v>-0.2172943397580012</v>
      </c>
      <c r="D1436" s="65">
        <v>0.3359335065949954</v>
      </c>
      <c r="E1436" s="65">
        <v>0.4023197764696784</v>
      </c>
      <c r="F1436" s="65">
        <v>8.27960973062087</v>
      </c>
      <c r="G1436" s="50">
        <v>0.0</v>
      </c>
      <c r="H1436" s="50">
        <v>0.0</v>
      </c>
      <c r="I1436" s="50">
        <v>0.0</v>
      </c>
      <c r="J1436" s="50">
        <v>0.0</v>
      </c>
      <c r="K1436" s="50">
        <v>0.0</v>
      </c>
      <c r="L1436" s="50">
        <v>0.0</v>
      </c>
      <c r="M1436" s="50">
        <v>0.0</v>
      </c>
      <c r="N1436" s="50">
        <v>0.0</v>
      </c>
      <c r="O1436" s="50">
        <v>0.0</v>
      </c>
      <c r="P1436" s="50">
        <v>0.0</v>
      </c>
      <c r="Q1436" s="50">
        <v>0.0</v>
      </c>
      <c r="R1436" s="50">
        <v>0.0</v>
      </c>
      <c r="S1436" s="50">
        <v>0.0</v>
      </c>
      <c r="T1436" s="50">
        <v>2.8125</v>
      </c>
      <c r="U1436" s="50">
        <v>0.0</v>
      </c>
      <c r="V1436" s="50">
        <v>0.0</v>
      </c>
      <c r="W1436" s="50">
        <v>0.0</v>
      </c>
      <c r="X1436" s="50">
        <v>2.8125</v>
      </c>
      <c r="Y1436" s="50">
        <v>5.625</v>
      </c>
    </row>
    <row r="1437">
      <c r="A1437" s="26">
        <v>1431.0</v>
      </c>
      <c r="B1437" s="65">
        <v>-2.350459826732234</v>
      </c>
      <c r="C1437" s="65">
        <v>-0.6965231886622099</v>
      </c>
      <c r="D1437" s="65">
        <v>1.7676526999245876</v>
      </c>
      <c r="E1437" s="65">
        <v>-0.17020870325821716</v>
      </c>
      <c r="F1437" s="65">
        <v>6.395613094086148</v>
      </c>
      <c r="G1437" s="50">
        <v>0.0</v>
      </c>
      <c r="H1437" s="50">
        <v>0.0</v>
      </c>
      <c r="I1437" s="50">
        <v>0.0</v>
      </c>
      <c r="J1437" s="50">
        <v>0.0</v>
      </c>
      <c r="K1437" s="50">
        <v>0.0</v>
      </c>
      <c r="L1437" s="50">
        <v>0.0</v>
      </c>
      <c r="M1437" s="50">
        <v>0.0</v>
      </c>
      <c r="N1437" s="50">
        <v>0.0</v>
      </c>
      <c r="O1437" s="50">
        <v>7.425000000000001</v>
      </c>
      <c r="P1437" s="50">
        <v>0.0</v>
      </c>
      <c r="Q1437" s="50">
        <v>0.0</v>
      </c>
      <c r="R1437" s="50">
        <v>0.0</v>
      </c>
      <c r="S1437" s="50">
        <v>0.0</v>
      </c>
      <c r="T1437" s="50">
        <v>2.8125</v>
      </c>
      <c r="U1437" s="50">
        <v>0.0</v>
      </c>
      <c r="V1437" s="50">
        <v>5.625</v>
      </c>
      <c r="W1437" s="50">
        <v>4.95</v>
      </c>
      <c r="X1437" s="50">
        <v>2.8125</v>
      </c>
      <c r="Y1437" s="50">
        <v>23.625</v>
      </c>
    </row>
    <row r="1438">
      <c r="A1438" s="26">
        <v>1432.0</v>
      </c>
      <c r="B1438" s="65">
        <v>1.9704043213078557</v>
      </c>
      <c r="C1438" s="65">
        <v>0.3568437605349506</v>
      </c>
      <c r="D1438" s="65">
        <v>0.32734957695158273</v>
      </c>
      <c r="E1438" s="65">
        <v>0.9810134013425139</v>
      </c>
      <c r="F1438" s="65">
        <v>8.405966938840757</v>
      </c>
      <c r="G1438" s="50">
        <v>0.0</v>
      </c>
      <c r="H1438" s="50">
        <v>0.0</v>
      </c>
      <c r="I1438" s="50">
        <v>0.0</v>
      </c>
      <c r="J1438" s="50">
        <v>0.0</v>
      </c>
      <c r="K1438" s="50">
        <v>0.0</v>
      </c>
      <c r="L1438" s="50">
        <v>0.0</v>
      </c>
      <c r="M1438" s="50">
        <v>0.0</v>
      </c>
      <c r="N1438" s="50">
        <v>0.0</v>
      </c>
      <c r="O1438" s="50">
        <v>0.0</v>
      </c>
      <c r="P1438" s="50">
        <v>0.0</v>
      </c>
      <c r="Q1438" s="50">
        <v>0.0</v>
      </c>
      <c r="R1438" s="50">
        <v>0.0</v>
      </c>
      <c r="S1438" s="50">
        <v>0.0</v>
      </c>
      <c r="T1438" s="50">
        <v>2.8125</v>
      </c>
      <c r="U1438" s="50">
        <v>0.0</v>
      </c>
      <c r="V1438" s="50">
        <v>0.0</v>
      </c>
      <c r="W1438" s="50">
        <v>0.0</v>
      </c>
      <c r="X1438" s="50">
        <v>2.8125</v>
      </c>
      <c r="Y1438" s="50">
        <v>5.625</v>
      </c>
    </row>
    <row r="1439">
      <c r="A1439" s="26">
        <v>1433.0</v>
      </c>
      <c r="B1439" s="65">
        <v>0.7557354455168133</v>
      </c>
      <c r="C1439" s="65">
        <v>-0.32193322454427176</v>
      </c>
      <c r="D1439" s="65">
        <v>0.6952531933654214</v>
      </c>
      <c r="E1439" s="65">
        <v>0.44579294708170975</v>
      </c>
      <c r="F1439" s="65">
        <v>1.1835380818904027</v>
      </c>
      <c r="G1439" s="50">
        <v>0.0</v>
      </c>
      <c r="H1439" s="50">
        <v>0.0</v>
      </c>
      <c r="I1439" s="50">
        <v>0.0</v>
      </c>
      <c r="J1439" s="50">
        <v>0.0</v>
      </c>
      <c r="K1439" s="50">
        <v>0.0</v>
      </c>
      <c r="L1439" s="50">
        <v>0.0</v>
      </c>
      <c r="M1439" s="50">
        <v>0.0</v>
      </c>
      <c r="N1439" s="50">
        <v>0.0</v>
      </c>
      <c r="O1439" s="50">
        <v>0.0</v>
      </c>
      <c r="P1439" s="50">
        <v>0.0</v>
      </c>
      <c r="Q1439" s="50">
        <v>0.0</v>
      </c>
      <c r="R1439" s="50">
        <v>0.0</v>
      </c>
      <c r="S1439" s="50">
        <v>0.0</v>
      </c>
      <c r="T1439" s="50">
        <v>2.8125</v>
      </c>
      <c r="U1439" s="50">
        <v>0.0</v>
      </c>
      <c r="V1439" s="50">
        <v>0.0</v>
      </c>
      <c r="W1439" s="50">
        <v>4.95</v>
      </c>
      <c r="X1439" s="50">
        <v>2.8125</v>
      </c>
      <c r="Y1439" s="50">
        <v>10.575</v>
      </c>
    </row>
    <row r="1440">
      <c r="A1440" s="26">
        <v>1434.0</v>
      </c>
      <c r="B1440" s="65">
        <v>-0.007713792808969674</v>
      </c>
      <c r="C1440" s="65">
        <v>0.8237169083062712</v>
      </c>
      <c r="D1440" s="65">
        <v>0.14901813189581337</v>
      </c>
      <c r="E1440" s="65">
        <v>0.9999553682100565</v>
      </c>
      <c r="F1440" s="65">
        <v>2.4069363418351735</v>
      </c>
      <c r="G1440" s="50">
        <v>0.0</v>
      </c>
      <c r="H1440" s="50">
        <v>0.0</v>
      </c>
      <c r="I1440" s="50">
        <v>0.0</v>
      </c>
      <c r="J1440" s="50">
        <v>0.0</v>
      </c>
      <c r="K1440" s="50">
        <v>0.0</v>
      </c>
      <c r="L1440" s="50">
        <v>0.0</v>
      </c>
      <c r="M1440" s="50">
        <v>0.0</v>
      </c>
      <c r="N1440" s="50">
        <v>0.0</v>
      </c>
      <c r="O1440" s="50">
        <v>7.425000000000001</v>
      </c>
      <c r="P1440" s="50">
        <v>0.0</v>
      </c>
      <c r="Q1440" s="50">
        <v>0.0</v>
      </c>
      <c r="R1440" s="50">
        <v>0.0</v>
      </c>
      <c r="S1440" s="50">
        <v>0.0</v>
      </c>
      <c r="T1440" s="50">
        <v>2.8125</v>
      </c>
      <c r="U1440" s="50">
        <v>0.0</v>
      </c>
      <c r="V1440" s="50">
        <v>0.0</v>
      </c>
      <c r="W1440" s="50">
        <v>0.0</v>
      </c>
      <c r="X1440" s="50">
        <v>2.8125</v>
      </c>
      <c r="Y1440" s="50">
        <v>13.05</v>
      </c>
    </row>
    <row r="1441">
      <c r="A1441" s="26">
        <v>1435.0</v>
      </c>
      <c r="B1441" s="65">
        <v>1.0324321350047445</v>
      </c>
      <c r="C1441" s="65">
        <v>-0.6511555976684212</v>
      </c>
      <c r="D1441" s="65">
        <v>-0.5139228473092591</v>
      </c>
      <c r="E1441" s="65">
        <v>-0.7373762700039448</v>
      </c>
      <c r="F1441" s="65">
        <v>6.0230453293315165</v>
      </c>
      <c r="G1441" s="50">
        <v>0.0</v>
      </c>
      <c r="H1441" s="50">
        <v>0.0</v>
      </c>
      <c r="I1441" s="50">
        <v>0.0</v>
      </c>
      <c r="J1441" s="50">
        <v>0.0</v>
      </c>
      <c r="K1441" s="50">
        <v>0.0</v>
      </c>
      <c r="L1441" s="50">
        <v>0.0</v>
      </c>
      <c r="M1441" s="50">
        <v>0.0</v>
      </c>
      <c r="N1441" s="50">
        <v>0.0</v>
      </c>
      <c r="O1441" s="50">
        <v>0.0</v>
      </c>
      <c r="P1441" s="50">
        <v>0.0</v>
      </c>
      <c r="Q1441" s="50">
        <v>0.0</v>
      </c>
      <c r="R1441" s="50">
        <v>0.0</v>
      </c>
      <c r="S1441" s="50">
        <v>0.0</v>
      </c>
      <c r="T1441" s="50">
        <v>2.8125</v>
      </c>
      <c r="U1441" s="50">
        <v>0.0</v>
      </c>
      <c r="V1441" s="50">
        <v>0.0</v>
      </c>
      <c r="W1441" s="50">
        <v>0.0</v>
      </c>
      <c r="X1441" s="50">
        <v>2.8125</v>
      </c>
      <c r="Y1441" s="50">
        <v>5.625</v>
      </c>
    </row>
    <row r="1442">
      <c r="A1442" s="26">
        <v>1436.0</v>
      </c>
      <c r="B1442" s="65">
        <v>0.38340956750403665</v>
      </c>
      <c r="C1442" s="65">
        <v>-0.47691827441348855</v>
      </c>
      <c r="D1442" s="65">
        <v>-0.2536246671137507</v>
      </c>
      <c r="E1442" s="65">
        <v>-0.15269446634630057</v>
      </c>
      <c r="F1442" s="65">
        <v>3.4108001239709065</v>
      </c>
      <c r="G1442" s="50">
        <v>0.0</v>
      </c>
      <c r="H1442" s="50">
        <v>0.0</v>
      </c>
      <c r="I1442" s="50">
        <v>0.0</v>
      </c>
      <c r="J1442" s="50">
        <v>0.0</v>
      </c>
      <c r="K1442" s="50">
        <v>0.0</v>
      </c>
      <c r="L1442" s="50">
        <v>0.0</v>
      </c>
      <c r="M1442" s="50">
        <v>0.0</v>
      </c>
      <c r="N1442" s="50">
        <v>0.0</v>
      </c>
      <c r="O1442" s="50">
        <v>0.0</v>
      </c>
      <c r="P1442" s="50">
        <v>0.0</v>
      </c>
      <c r="Q1442" s="50">
        <v>0.0</v>
      </c>
      <c r="R1442" s="50">
        <v>0.0</v>
      </c>
      <c r="S1442" s="50">
        <v>0.0</v>
      </c>
      <c r="T1442" s="50">
        <v>2.8125</v>
      </c>
      <c r="U1442" s="50">
        <v>0.0</v>
      </c>
      <c r="V1442" s="50">
        <v>0.0</v>
      </c>
      <c r="W1442" s="50">
        <v>0.0</v>
      </c>
      <c r="X1442" s="50">
        <v>2.8125</v>
      </c>
      <c r="Y1442" s="50">
        <v>5.625</v>
      </c>
    </row>
    <row r="1443">
      <c r="A1443" s="26">
        <v>1437.0</v>
      </c>
      <c r="B1443" s="65">
        <v>0.7671862515465885</v>
      </c>
      <c r="C1443" s="65">
        <v>-0.5544526934388776</v>
      </c>
      <c r="D1443" s="65">
        <v>1.4300014496446556</v>
      </c>
      <c r="E1443" s="65">
        <v>1.0706369559603497</v>
      </c>
      <c r="F1443" s="65">
        <v>5.487590141892282</v>
      </c>
      <c r="G1443" s="50">
        <v>0.0</v>
      </c>
      <c r="H1443" s="50">
        <v>0.0</v>
      </c>
      <c r="I1443" s="50">
        <v>0.0</v>
      </c>
      <c r="J1443" s="50">
        <v>0.0</v>
      </c>
      <c r="K1443" s="50">
        <v>0.0</v>
      </c>
      <c r="L1443" s="50">
        <v>0.0</v>
      </c>
      <c r="M1443" s="50">
        <v>0.0</v>
      </c>
      <c r="N1443" s="50">
        <v>0.0</v>
      </c>
      <c r="O1443" s="50">
        <v>0.0</v>
      </c>
      <c r="P1443" s="50">
        <v>0.0</v>
      </c>
      <c r="Q1443" s="50">
        <v>0.0</v>
      </c>
      <c r="R1443" s="50">
        <v>0.0</v>
      </c>
      <c r="S1443" s="50">
        <v>0.0</v>
      </c>
      <c r="T1443" s="50">
        <v>2.8125</v>
      </c>
      <c r="U1443" s="50">
        <v>0.0</v>
      </c>
      <c r="V1443" s="50">
        <v>5.625</v>
      </c>
      <c r="W1443" s="50">
        <v>0.0</v>
      </c>
      <c r="X1443" s="50">
        <v>2.8125</v>
      </c>
      <c r="Y1443" s="50">
        <v>11.25</v>
      </c>
    </row>
    <row r="1444">
      <c r="A1444" s="26">
        <v>1438.0</v>
      </c>
      <c r="B1444" s="65">
        <v>0.7446353840340508</v>
      </c>
      <c r="C1444" s="65">
        <v>-1.0251981721067036</v>
      </c>
      <c r="D1444" s="65">
        <v>0.412024803085017</v>
      </c>
      <c r="E1444" s="65">
        <v>1.0948812002435913</v>
      </c>
      <c r="F1444" s="65">
        <v>5.4918800453828185</v>
      </c>
      <c r="G1444" s="50">
        <v>0.0</v>
      </c>
      <c r="H1444" s="50">
        <v>0.0</v>
      </c>
      <c r="I1444" s="50">
        <v>0.0</v>
      </c>
      <c r="J1444" s="50">
        <v>0.0</v>
      </c>
      <c r="K1444" s="50">
        <v>0.0</v>
      </c>
      <c r="L1444" s="50">
        <v>0.0</v>
      </c>
      <c r="M1444" s="50">
        <v>0.0</v>
      </c>
      <c r="N1444" s="50">
        <v>0.0</v>
      </c>
      <c r="O1444" s="50">
        <v>0.0</v>
      </c>
      <c r="P1444" s="50">
        <v>0.0</v>
      </c>
      <c r="Q1444" s="50">
        <v>0.0</v>
      </c>
      <c r="R1444" s="50">
        <v>0.0</v>
      </c>
      <c r="S1444" s="50">
        <v>0.0</v>
      </c>
      <c r="T1444" s="50">
        <v>2.8125</v>
      </c>
      <c r="U1444" s="50">
        <v>0.0</v>
      </c>
      <c r="V1444" s="50">
        <v>0.0</v>
      </c>
      <c r="W1444" s="50">
        <v>0.0</v>
      </c>
      <c r="X1444" s="50">
        <v>2.8125</v>
      </c>
      <c r="Y1444" s="50">
        <v>5.625</v>
      </c>
    </row>
    <row r="1445">
      <c r="A1445" s="26">
        <v>1439.0</v>
      </c>
      <c r="B1445" s="65">
        <v>1.8431476662347648</v>
      </c>
      <c r="C1445" s="65">
        <v>0.41279974048987406</v>
      </c>
      <c r="D1445" s="65">
        <v>0.6172990183930488</v>
      </c>
      <c r="E1445" s="65">
        <v>1.7434646561999547</v>
      </c>
      <c r="F1445" s="65">
        <v>5.156994774122278</v>
      </c>
      <c r="G1445" s="50">
        <v>0.0</v>
      </c>
      <c r="H1445" s="50">
        <v>0.0</v>
      </c>
      <c r="I1445" s="50">
        <v>0.0</v>
      </c>
      <c r="J1445" s="50">
        <v>0.0</v>
      </c>
      <c r="K1445" s="50">
        <v>0.0</v>
      </c>
      <c r="L1445" s="50">
        <v>0.0</v>
      </c>
      <c r="M1445" s="50">
        <v>0.0</v>
      </c>
      <c r="N1445" s="50">
        <v>0.0</v>
      </c>
      <c r="O1445" s="50">
        <v>0.0</v>
      </c>
      <c r="P1445" s="50">
        <v>0.0</v>
      </c>
      <c r="Q1445" s="50">
        <v>0.0</v>
      </c>
      <c r="R1445" s="50">
        <v>0.0</v>
      </c>
      <c r="S1445" s="50">
        <v>0.0</v>
      </c>
      <c r="T1445" s="50">
        <v>2.8125</v>
      </c>
      <c r="U1445" s="50">
        <v>0.0</v>
      </c>
      <c r="V1445" s="50">
        <v>0.0</v>
      </c>
      <c r="W1445" s="50">
        <v>0.0</v>
      </c>
      <c r="X1445" s="50">
        <v>2.8125</v>
      </c>
      <c r="Y1445" s="50">
        <v>5.625</v>
      </c>
    </row>
    <row r="1446">
      <c r="A1446" s="26">
        <v>1440.0</v>
      </c>
      <c r="B1446" s="65">
        <v>-0.03832545559459044</v>
      </c>
      <c r="C1446" s="65">
        <v>0.18684562480780847</v>
      </c>
      <c r="D1446" s="65">
        <v>-1.6704327501124994</v>
      </c>
      <c r="E1446" s="65">
        <v>-1.259953067156038</v>
      </c>
      <c r="F1446" s="65">
        <v>1.6001195495565292</v>
      </c>
      <c r="G1446" s="50">
        <v>0.0</v>
      </c>
      <c r="H1446" s="50">
        <v>0.0</v>
      </c>
      <c r="I1446" s="50">
        <v>0.0</v>
      </c>
      <c r="J1446" s="50">
        <v>0.0</v>
      </c>
      <c r="K1446" s="50">
        <v>0.0</v>
      </c>
      <c r="L1446" s="50">
        <v>0.0</v>
      </c>
      <c r="M1446" s="50">
        <v>0.0</v>
      </c>
      <c r="N1446" s="50">
        <v>0.0</v>
      </c>
      <c r="O1446" s="50">
        <v>0.0</v>
      </c>
      <c r="P1446" s="50">
        <v>2.475</v>
      </c>
      <c r="Q1446" s="50">
        <v>0.0</v>
      </c>
      <c r="R1446" s="50">
        <v>9.9</v>
      </c>
      <c r="S1446" s="50">
        <v>11.25</v>
      </c>
      <c r="T1446" s="50">
        <v>2.8125</v>
      </c>
      <c r="U1446" s="50">
        <v>0.0</v>
      </c>
      <c r="V1446" s="50">
        <v>0.0</v>
      </c>
      <c r="W1446" s="50">
        <v>0.0</v>
      </c>
      <c r="X1446" s="50">
        <v>2.8125</v>
      </c>
      <c r="Y1446" s="50">
        <v>29.25</v>
      </c>
    </row>
    <row r="1447">
      <c r="A1447" s="26">
        <v>1441.0</v>
      </c>
      <c r="B1447" s="65">
        <v>-1.0739851173736807</v>
      </c>
      <c r="C1447" s="65">
        <v>-0.4370431923802765</v>
      </c>
      <c r="D1447" s="65">
        <v>1.409774344913429</v>
      </c>
      <c r="E1447" s="65">
        <v>0.34199316836493954</v>
      </c>
      <c r="F1447" s="65">
        <v>7.6124005145775016</v>
      </c>
      <c r="G1447" s="50">
        <v>0.0</v>
      </c>
      <c r="H1447" s="50">
        <v>0.0</v>
      </c>
      <c r="I1447" s="50">
        <v>0.0</v>
      </c>
      <c r="J1447" s="50">
        <v>0.0</v>
      </c>
      <c r="K1447" s="50">
        <v>0.0</v>
      </c>
      <c r="L1447" s="50">
        <v>0.0</v>
      </c>
      <c r="M1447" s="50">
        <v>0.0</v>
      </c>
      <c r="N1447" s="50">
        <v>0.0</v>
      </c>
      <c r="O1447" s="50">
        <v>7.425000000000001</v>
      </c>
      <c r="P1447" s="50">
        <v>0.0</v>
      </c>
      <c r="Q1447" s="50">
        <v>0.0</v>
      </c>
      <c r="R1447" s="50">
        <v>0.0</v>
      </c>
      <c r="S1447" s="50">
        <v>0.0</v>
      </c>
      <c r="T1447" s="50">
        <v>2.8125</v>
      </c>
      <c r="U1447" s="50">
        <v>0.0</v>
      </c>
      <c r="V1447" s="50">
        <v>5.625</v>
      </c>
      <c r="W1447" s="50">
        <v>0.0</v>
      </c>
      <c r="X1447" s="50">
        <v>2.8125</v>
      </c>
      <c r="Y1447" s="50">
        <v>18.675</v>
      </c>
    </row>
    <row r="1448">
      <c r="A1448" s="26">
        <v>1442.0</v>
      </c>
      <c r="B1448" s="65">
        <v>-2.431639754644621</v>
      </c>
      <c r="C1448" s="65">
        <v>1.7859220975435643</v>
      </c>
      <c r="D1448" s="65">
        <v>1.1363705079867146</v>
      </c>
      <c r="E1448" s="65">
        <v>-0.25636056422758785</v>
      </c>
      <c r="F1448" s="65">
        <v>10.085849555073647</v>
      </c>
      <c r="G1448" s="50">
        <v>0.0</v>
      </c>
      <c r="H1448" s="50">
        <v>0.0</v>
      </c>
      <c r="I1448" s="50">
        <v>0.0</v>
      </c>
      <c r="J1448" s="50">
        <v>0.0</v>
      </c>
      <c r="K1448" s="50">
        <v>0.0</v>
      </c>
      <c r="L1448" s="50">
        <v>0.0</v>
      </c>
      <c r="M1448" s="50">
        <v>0.0</v>
      </c>
      <c r="N1448" s="50">
        <v>0.0</v>
      </c>
      <c r="O1448" s="50">
        <v>0.0</v>
      </c>
      <c r="P1448" s="50">
        <v>0.0</v>
      </c>
      <c r="Q1448" s="50">
        <v>0.0</v>
      </c>
      <c r="R1448" s="50">
        <v>0.0</v>
      </c>
      <c r="S1448" s="50">
        <v>0.0</v>
      </c>
      <c r="T1448" s="50">
        <v>2.8125</v>
      </c>
      <c r="U1448" s="50">
        <v>0.0</v>
      </c>
      <c r="V1448" s="50">
        <v>5.625</v>
      </c>
      <c r="W1448" s="50">
        <v>4.95</v>
      </c>
      <c r="X1448" s="50">
        <v>2.8125</v>
      </c>
      <c r="Y1448" s="50">
        <v>16.2</v>
      </c>
    </row>
    <row r="1449">
      <c r="A1449" s="26">
        <v>1443.0</v>
      </c>
      <c r="B1449" s="65">
        <v>-0.17747084137789615</v>
      </c>
      <c r="C1449" s="65">
        <v>0.645011164318873</v>
      </c>
      <c r="D1449" s="65">
        <v>-0.6874178530866607</v>
      </c>
      <c r="E1449" s="65">
        <v>-1.5823564060444901</v>
      </c>
      <c r="F1449" s="65">
        <v>5.800726222748976</v>
      </c>
      <c r="G1449" s="50">
        <v>0.0</v>
      </c>
      <c r="H1449" s="50">
        <v>0.0</v>
      </c>
      <c r="I1449" s="50">
        <v>0.0</v>
      </c>
      <c r="J1449" s="50">
        <v>0.0</v>
      </c>
      <c r="K1449" s="50">
        <v>0.0</v>
      </c>
      <c r="L1449" s="50">
        <v>0.0</v>
      </c>
      <c r="M1449" s="50">
        <v>0.0</v>
      </c>
      <c r="N1449" s="50">
        <v>0.0</v>
      </c>
      <c r="O1449" s="50">
        <v>0.0</v>
      </c>
      <c r="P1449" s="50">
        <v>0.0</v>
      </c>
      <c r="Q1449" s="50">
        <v>0.0</v>
      </c>
      <c r="R1449" s="50">
        <v>0.0</v>
      </c>
      <c r="S1449" s="50">
        <v>0.0</v>
      </c>
      <c r="T1449" s="50">
        <v>2.8125</v>
      </c>
      <c r="U1449" s="50">
        <v>0.0</v>
      </c>
      <c r="V1449" s="50">
        <v>5.625</v>
      </c>
      <c r="W1449" s="50">
        <v>0.0</v>
      </c>
      <c r="X1449" s="50">
        <v>2.8125</v>
      </c>
      <c r="Y1449" s="50">
        <v>11.25</v>
      </c>
    </row>
    <row r="1450">
      <c r="A1450" s="26">
        <v>1444.0</v>
      </c>
      <c r="B1450" s="65">
        <v>0.42703243474540514</v>
      </c>
      <c r="C1450" s="65">
        <v>1.0483891562264223</v>
      </c>
      <c r="D1450" s="65">
        <v>0.11838302021436464</v>
      </c>
      <c r="E1450" s="65">
        <v>-1.3262483973359667</v>
      </c>
      <c r="F1450" s="65">
        <v>4.104589723271916</v>
      </c>
      <c r="G1450" s="50">
        <v>0.0</v>
      </c>
      <c r="H1450" s="50">
        <v>0.0</v>
      </c>
      <c r="I1450" s="50">
        <v>0.0</v>
      </c>
      <c r="J1450" s="50">
        <v>0.0</v>
      </c>
      <c r="K1450" s="50">
        <v>0.0</v>
      </c>
      <c r="L1450" s="50">
        <v>0.0</v>
      </c>
      <c r="M1450" s="50">
        <v>0.0</v>
      </c>
      <c r="N1450" s="50">
        <v>0.0</v>
      </c>
      <c r="O1450" s="50">
        <v>0.0</v>
      </c>
      <c r="P1450" s="50">
        <v>0.0</v>
      </c>
      <c r="Q1450" s="50">
        <v>0.0</v>
      </c>
      <c r="R1450" s="50">
        <v>0.0</v>
      </c>
      <c r="S1450" s="50">
        <v>0.0</v>
      </c>
      <c r="T1450" s="50">
        <v>2.8125</v>
      </c>
      <c r="U1450" s="50">
        <v>0.0</v>
      </c>
      <c r="V1450" s="50">
        <v>5.625</v>
      </c>
      <c r="W1450" s="50">
        <v>0.0</v>
      </c>
      <c r="X1450" s="50">
        <v>2.8125</v>
      </c>
      <c r="Y1450" s="50">
        <v>11.25</v>
      </c>
    </row>
    <row r="1451">
      <c r="A1451" s="26">
        <v>1445.0</v>
      </c>
      <c r="B1451" s="65">
        <v>0.10082670878730628</v>
      </c>
      <c r="C1451" s="65">
        <v>-0.5723915447674203</v>
      </c>
      <c r="D1451" s="65">
        <v>-0.6772974811909087</v>
      </c>
      <c r="E1451" s="65">
        <v>0.5661622183446633</v>
      </c>
      <c r="F1451" s="65">
        <v>7.098643940444285</v>
      </c>
      <c r="G1451" s="50">
        <v>0.0</v>
      </c>
      <c r="H1451" s="50">
        <v>0.0</v>
      </c>
      <c r="I1451" s="50">
        <v>0.0</v>
      </c>
      <c r="J1451" s="50">
        <v>0.0</v>
      </c>
      <c r="K1451" s="50">
        <v>0.0</v>
      </c>
      <c r="L1451" s="50">
        <v>0.0</v>
      </c>
      <c r="M1451" s="50">
        <v>0.0</v>
      </c>
      <c r="N1451" s="50">
        <v>0.0</v>
      </c>
      <c r="O1451" s="50">
        <v>0.0</v>
      </c>
      <c r="P1451" s="50">
        <v>0.0</v>
      </c>
      <c r="Q1451" s="50">
        <v>0.0</v>
      </c>
      <c r="R1451" s="50">
        <v>0.0</v>
      </c>
      <c r="S1451" s="50">
        <v>0.0</v>
      </c>
      <c r="T1451" s="50">
        <v>2.8125</v>
      </c>
      <c r="U1451" s="50">
        <v>0.0</v>
      </c>
      <c r="V1451" s="50">
        <v>0.0</v>
      </c>
      <c r="W1451" s="50">
        <v>0.0</v>
      </c>
      <c r="X1451" s="50">
        <v>2.8125</v>
      </c>
      <c r="Y1451" s="50">
        <v>5.625</v>
      </c>
    </row>
    <row r="1452">
      <c r="A1452" s="26">
        <v>1446.0</v>
      </c>
      <c r="B1452" s="65">
        <v>-1.037834503920595</v>
      </c>
      <c r="C1452" s="65">
        <v>1.2884456110765756</v>
      </c>
      <c r="D1452" s="65">
        <v>-0.33568266358430127</v>
      </c>
      <c r="E1452" s="65">
        <v>0.5738124267505509</v>
      </c>
      <c r="F1452" s="65">
        <v>4.546831917808413</v>
      </c>
      <c r="G1452" s="50">
        <v>0.0</v>
      </c>
      <c r="H1452" s="50">
        <v>0.0</v>
      </c>
      <c r="I1452" s="50">
        <v>0.0</v>
      </c>
      <c r="J1452" s="50">
        <v>0.0</v>
      </c>
      <c r="K1452" s="50">
        <v>0.0</v>
      </c>
      <c r="L1452" s="50">
        <v>0.0</v>
      </c>
      <c r="M1452" s="50">
        <v>0.0</v>
      </c>
      <c r="N1452" s="50">
        <v>0.0</v>
      </c>
      <c r="O1452" s="50">
        <v>0.0</v>
      </c>
      <c r="P1452" s="50">
        <v>0.0</v>
      </c>
      <c r="Q1452" s="50">
        <v>0.0</v>
      </c>
      <c r="R1452" s="50">
        <v>9.9</v>
      </c>
      <c r="S1452" s="50">
        <v>0.0</v>
      </c>
      <c r="T1452" s="50">
        <v>2.8125</v>
      </c>
      <c r="U1452" s="50">
        <v>0.0</v>
      </c>
      <c r="V1452" s="50">
        <v>5.625</v>
      </c>
      <c r="W1452" s="50">
        <v>0.0</v>
      </c>
      <c r="X1452" s="50">
        <v>2.8125</v>
      </c>
      <c r="Y1452" s="50">
        <v>21.15</v>
      </c>
    </row>
    <row r="1453">
      <c r="A1453" s="26">
        <v>1447.0</v>
      </c>
      <c r="B1453" s="65">
        <v>0.6223209177431306</v>
      </c>
      <c r="C1453" s="65">
        <v>0.5274863223358794</v>
      </c>
      <c r="D1453" s="65">
        <v>-0.5713733552948166</v>
      </c>
      <c r="E1453" s="65">
        <v>0.9182838904765367</v>
      </c>
      <c r="F1453" s="65">
        <v>2.1172795445753443</v>
      </c>
      <c r="G1453" s="50">
        <v>0.0</v>
      </c>
      <c r="H1453" s="50">
        <v>0.0</v>
      </c>
      <c r="I1453" s="50">
        <v>0.0</v>
      </c>
      <c r="J1453" s="50">
        <v>0.0</v>
      </c>
      <c r="K1453" s="50">
        <v>0.0</v>
      </c>
      <c r="L1453" s="50">
        <v>0.0</v>
      </c>
      <c r="M1453" s="50">
        <v>0.0</v>
      </c>
      <c r="N1453" s="50">
        <v>0.0</v>
      </c>
      <c r="O1453" s="50">
        <v>0.0</v>
      </c>
      <c r="P1453" s="50">
        <v>0.0</v>
      </c>
      <c r="Q1453" s="50">
        <v>0.0</v>
      </c>
      <c r="R1453" s="50">
        <v>0.0</v>
      </c>
      <c r="S1453" s="50">
        <v>0.0</v>
      </c>
      <c r="T1453" s="50">
        <v>2.8125</v>
      </c>
      <c r="U1453" s="50">
        <v>0.0</v>
      </c>
      <c r="V1453" s="50">
        <v>0.0</v>
      </c>
      <c r="W1453" s="50">
        <v>4.95</v>
      </c>
      <c r="X1453" s="50">
        <v>2.8125</v>
      </c>
      <c r="Y1453" s="50">
        <v>10.575</v>
      </c>
    </row>
    <row r="1454">
      <c r="A1454" s="26">
        <v>1448.0</v>
      </c>
      <c r="B1454" s="65">
        <v>-0.680155796901902</v>
      </c>
      <c r="C1454" s="65">
        <v>1.49976335807886</v>
      </c>
      <c r="D1454" s="65">
        <v>0.6527673846285056</v>
      </c>
      <c r="E1454" s="65">
        <v>-0.9264108300230206</v>
      </c>
      <c r="F1454" s="65">
        <v>1.9363835665079385</v>
      </c>
      <c r="G1454" s="50">
        <v>0.0</v>
      </c>
      <c r="H1454" s="50">
        <v>0.0</v>
      </c>
      <c r="I1454" s="50">
        <v>0.0</v>
      </c>
      <c r="J1454" s="50">
        <v>0.0</v>
      </c>
      <c r="K1454" s="50">
        <v>0.0</v>
      </c>
      <c r="L1454" s="50">
        <v>0.0</v>
      </c>
      <c r="M1454" s="50">
        <v>0.0</v>
      </c>
      <c r="N1454" s="50">
        <v>0.0</v>
      </c>
      <c r="O1454" s="50">
        <v>7.425000000000001</v>
      </c>
      <c r="P1454" s="50">
        <v>0.0</v>
      </c>
      <c r="Q1454" s="50">
        <v>0.0</v>
      </c>
      <c r="R1454" s="50">
        <v>0.0</v>
      </c>
      <c r="S1454" s="50">
        <v>0.0</v>
      </c>
      <c r="T1454" s="50">
        <v>2.8125</v>
      </c>
      <c r="U1454" s="50">
        <v>9.9</v>
      </c>
      <c r="V1454" s="50">
        <v>0.0</v>
      </c>
      <c r="W1454" s="50">
        <v>4.95</v>
      </c>
      <c r="X1454" s="50">
        <v>2.8125</v>
      </c>
      <c r="Y1454" s="50">
        <v>27.900000000000002</v>
      </c>
    </row>
    <row r="1455">
      <c r="A1455" s="26">
        <v>1449.0</v>
      </c>
      <c r="B1455" s="65">
        <v>0.12792144715804393</v>
      </c>
      <c r="C1455" s="65">
        <v>-0.6360122759784277</v>
      </c>
      <c r="D1455" s="65">
        <v>-0.44274528681812</v>
      </c>
      <c r="E1455" s="65">
        <v>-1.339829844739374</v>
      </c>
      <c r="F1455" s="65">
        <v>1.7525767194583335</v>
      </c>
      <c r="G1455" s="50">
        <v>0.0</v>
      </c>
      <c r="H1455" s="50">
        <v>0.0</v>
      </c>
      <c r="I1455" s="50">
        <v>0.0</v>
      </c>
      <c r="J1455" s="50">
        <v>0.0</v>
      </c>
      <c r="K1455" s="50">
        <v>0.0</v>
      </c>
      <c r="L1455" s="50">
        <v>0.0</v>
      </c>
      <c r="M1455" s="50">
        <v>0.0</v>
      </c>
      <c r="N1455" s="50">
        <v>0.0</v>
      </c>
      <c r="O1455" s="50">
        <v>7.425000000000001</v>
      </c>
      <c r="P1455" s="50">
        <v>0.0</v>
      </c>
      <c r="Q1455" s="50">
        <v>0.0</v>
      </c>
      <c r="R1455" s="50">
        <v>0.0</v>
      </c>
      <c r="S1455" s="50">
        <v>0.0</v>
      </c>
      <c r="T1455" s="50">
        <v>2.8125</v>
      </c>
      <c r="U1455" s="50">
        <v>0.0</v>
      </c>
      <c r="V1455" s="50">
        <v>5.625</v>
      </c>
      <c r="W1455" s="50">
        <v>0.0</v>
      </c>
      <c r="X1455" s="50">
        <v>2.8125</v>
      </c>
      <c r="Y1455" s="50">
        <v>18.675</v>
      </c>
    </row>
    <row r="1456">
      <c r="A1456" s="26">
        <v>1450.0</v>
      </c>
      <c r="B1456" s="65">
        <v>1.115066338703915</v>
      </c>
      <c r="C1456" s="65">
        <v>-0.24188703423191596</v>
      </c>
      <c r="D1456" s="65">
        <v>0.1537820605906489</v>
      </c>
      <c r="E1456" s="65">
        <v>0.8224563964511887</v>
      </c>
      <c r="F1456" s="65">
        <v>5.388179984360471</v>
      </c>
      <c r="G1456" s="50">
        <v>0.0</v>
      </c>
      <c r="H1456" s="50">
        <v>0.0</v>
      </c>
      <c r="I1456" s="50">
        <v>0.0</v>
      </c>
      <c r="J1456" s="50">
        <v>0.0</v>
      </c>
      <c r="K1456" s="50">
        <v>0.0</v>
      </c>
      <c r="L1456" s="50">
        <v>0.0</v>
      </c>
      <c r="M1456" s="50">
        <v>0.0</v>
      </c>
      <c r="N1456" s="50">
        <v>0.0</v>
      </c>
      <c r="O1456" s="50">
        <v>0.0</v>
      </c>
      <c r="P1456" s="50">
        <v>0.0</v>
      </c>
      <c r="Q1456" s="50">
        <v>0.0</v>
      </c>
      <c r="R1456" s="50">
        <v>0.0</v>
      </c>
      <c r="S1456" s="50">
        <v>0.0</v>
      </c>
      <c r="T1456" s="50">
        <v>2.8125</v>
      </c>
      <c r="U1456" s="50">
        <v>0.0</v>
      </c>
      <c r="V1456" s="50">
        <v>0.0</v>
      </c>
      <c r="W1456" s="50">
        <v>0.0</v>
      </c>
      <c r="X1456" s="50">
        <v>2.8125</v>
      </c>
      <c r="Y1456" s="50">
        <v>5.625</v>
      </c>
    </row>
    <row r="1457">
      <c r="A1457" s="26">
        <v>1451.0</v>
      </c>
      <c r="B1457" s="65">
        <v>1.1785486635861395</v>
      </c>
      <c r="C1457" s="65">
        <v>-0.40516891042104897</v>
      </c>
      <c r="D1457" s="65">
        <v>-0.7040862478258266</v>
      </c>
      <c r="E1457" s="65">
        <v>0.6394863232748327</v>
      </c>
      <c r="F1457" s="65">
        <v>1.1700741001972486</v>
      </c>
      <c r="G1457" s="50">
        <v>0.0</v>
      </c>
      <c r="H1457" s="50">
        <v>0.0</v>
      </c>
      <c r="I1457" s="50">
        <v>0.0</v>
      </c>
      <c r="J1457" s="50">
        <v>0.0</v>
      </c>
      <c r="K1457" s="50">
        <v>0.0</v>
      </c>
      <c r="L1457" s="50">
        <v>0.0</v>
      </c>
      <c r="M1457" s="50">
        <v>0.0</v>
      </c>
      <c r="N1457" s="50">
        <v>0.0</v>
      </c>
      <c r="O1457" s="50">
        <v>0.0</v>
      </c>
      <c r="P1457" s="50">
        <v>0.0</v>
      </c>
      <c r="Q1457" s="50">
        <v>0.0</v>
      </c>
      <c r="R1457" s="50">
        <v>0.0</v>
      </c>
      <c r="S1457" s="50">
        <v>0.0</v>
      </c>
      <c r="T1457" s="50">
        <v>2.8125</v>
      </c>
      <c r="U1457" s="50">
        <v>0.0</v>
      </c>
      <c r="V1457" s="50">
        <v>0.0</v>
      </c>
      <c r="W1457" s="50">
        <v>0.0</v>
      </c>
      <c r="X1457" s="50">
        <v>2.8125</v>
      </c>
      <c r="Y1457" s="50">
        <v>5.625</v>
      </c>
    </row>
    <row r="1458">
      <c r="A1458" s="26">
        <v>1452.0</v>
      </c>
      <c r="B1458" s="65">
        <v>-1.401811218796994</v>
      </c>
      <c r="C1458" s="65">
        <v>-0.7112526732448164</v>
      </c>
      <c r="D1458" s="65">
        <v>1.2442925549854023</v>
      </c>
      <c r="E1458" s="65">
        <v>-0.238645785373107</v>
      </c>
      <c r="F1458" s="65">
        <v>7.983891035019202</v>
      </c>
      <c r="G1458" s="50">
        <v>0.0</v>
      </c>
      <c r="H1458" s="50">
        <v>0.0</v>
      </c>
      <c r="I1458" s="50">
        <v>0.0</v>
      </c>
      <c r="J1458" s="50">
        <v>0.0</v>
      </c>
      <c r="K1458" s="50">
        <v>0.0</v>
      </c>
      <c r="L1458" s="50">
        <v>0.0</v>
      </c>
      <c r="M1458" s="50">
        <v>0.0</v>
      </c>
      <c r="N1458" s="50">
        <v>0.0</v>
      </c>
      <c r="O1458" s="50">
        <v>0.0</v>
      </c>
      <c r="P1458" s="50">
        <v>0.0</v>
      </c>
      <c r="Q1458" s="50">
        <v>0.0</v>
      </c>
      <c r="R1458" s="50">
        <v>0.0</v>
      </c>
      <c r="S1458" s="50">
        <v>0.0</v>
      </c>
      <c r="T1458" s="50">
        <v>2.8125</v>
      </c>
      <c r="U1458" s="50">
        <v>0.0</v>
      </c>
      <c r="V1458" s="50">
        <v>5.625</v>
      </c>
      <c r="W1458" s="50">
        <v>0.0</v>
      </c>
      <c r="X1458" s="50">
        <v>2.8125</v>
      </c>
      <c r="Y1458" s="50">
        <v>11.25</v>
      </c>
    </row>
    <row r="1459">
      <c r="A1459" s="26">
        <v>1453.0</v>
      </c>
      <c r="B1459" s="65">
        <v>0.8552703773519353</v>
      </c>
      <c r="C1459" s="65">
        <v>0.46479501768443154</v>
      </c>
      <c r="D1459" s="65">
        <v>-1.435260251803671</v>
      </c>
      <c r="E1459" s="65">
        <v>-1.1859649451189236</v>
      </c>
      <c r="F1459" s="65">
        <v>12.618505736807526</v>
      </c>
      <c r="G1459" s="50">
        <v>0.0</v>
      </c>
      <c r="H1459" s="50">
        <v>0.0</v>
      </c>
      <c r="I1459" s="50">
        <v>0.0</v>
      </c>
      <c r="J1459" s="50">
        <v>0.0</v>
      </c>
      <c r="K1459" s="50">
        <v>0.0</v>
      </c>
      <c r="L1459" s="50">
        <v>0.0</v>
      </c>
      <c r="M1459" s="50">
        <v>0.0</v>
      </c>
      <c r="N1459" s="50">
        <v>0.0</v>
      </c>
      <c r="O1459" s="50">
        <v>0.0</v>
      </c>
      <c r="P1459" s="50">
        <v>0.0</v>
      </c>
      <c r="Q1459" s="50">
        <v>0.0</v>
      </c>
      <c r="R1459" s="50">
        <v>0.0</v>
      </c>
      <c r="S1459" s="50">
        <v>0.0</v>
      </c>
      <c r="T1459" s="50">
        <v>2.8125</v>
      </c>
      <c r="U1459" s="50">
        <v>0.0</v>
      </c>
      <c r="V1459" s="50">
        <v>0.0</v>
      </c>
      <c r="W1459" s="50">
        <v>0.0</v>
      </c>
      <c r="X1459" s="50">
        <v>2.8125</v>
      </c>
      <c r="Y1459" s="50">
        <v>5.625</v>
      </c>
    </row>
    <row r="1460">
      <c r="A1460" s="26">
        <v>1454.0</v>
      </c>
      <c r="B1460" s="65">
        <v>-0.10710207399239201</v>
      </c>
      <c r="C1460" s="65">
        <v>-1.9623018699808168</v>
      </c>
      <c r="D1460" s="65">
        <v>0.012394570820302752</v>
      </c>
      <c r="E1460" s="65">
        <v>-0.10931720905547407</v>
      </c>
      <c r="F1460" s="65">
        <v>3.2986311484307076</v>
      </c>
      <c r="G1460" s="50">
        <v>0.0</v>
      </c>
      <c r="H1460" s="50">
        <v>0.0</v>
      </c>
      <c r="I1460" s="50">
        <v>0.0</v>
      </c>
      <c r="J1460" s="50">
        <v>0.0</v>
      </c>
      <c r="K1460" s="50">
        <v>0.0</v>
      </c>
      <c r="L1460" s="50">
        <v>0.0</v>
      </c>
      <c r="M1460" s="50">
        <v>0.0</v>
      </c>
      <c r="N1460" s="50">
        <v>0.0</v>
      </c>
      <c r="O1460" s="50">
        <v>0.0</v>
      </c>
      <c r="P1460" s="50">
        <v>2.475</v>
      </c>
      <c r="Q1460" s="50">
        <v>0.0</v>
      </c>
      <c r="R1460" s="50">
        <v>0.0</v>
      </c>
      <c r="S1460" s="50">
        <v>0.0</v>
      </c>
      <c r="T1460" s="50">
        <v>2.8125</v>
      </c>
      <c r="U1460" s="50">
        <v>0.0</v>
      </c>
      <c r="V1460" s="50">
        <v>5.625</v>
      </c>
      <c r="W1460" s="50">
        <v>0.0</v>
      </c>
      <c r="X1460" s="50">
        <v>2.8125</v>
      </c>
      <c r="Y1460" s="50">
        <v>13.725</v>
      </c>
    </row>
    <row r="1461">
      <c r="A1461" s="26">
        <v>1455.0</v>
      </c>
      <c r="B1461" s="65">
        <v>0.8469349123803189</v>
      </c>
      <c r="C1461" s="65">
        <v>0.15154161760461657</v>
      </c>
      <c r="D1461" s="65">
        <v>0.8529681647662973</v>
      </c>
      <c r="E1461" s="65">
        <v>0.8040766080110106</v>
      </c>
      <c r="F1461" s="65">
        <v>3.974816490387316</v>
      </c>
      <c r="G1461" s="50">
        <v>0.0</v>
      </c>
      <c r="H1461" s="50">
        <v>0.0</v>
      </c>
      <c r="I1461" s="50">
        <v>0.0</v>
      </c>
      <c r="J1461" s="50">
        <v>0.0</v>
      </c>
      <c r="K1461" s="50">
        <v>0.0</v>
      </c>
      <c r="L1461" s="50">
        <v>0.0</v>
      </c>
      <c r="M1461" s="50">
        <v>0.0</v>
      </c>
      <c r="N1461" s="50">
        <v>0.0</v>
      </c>
      <c r="O1461" s="50">
        <v>0.0</v>
      </c>
      <c r="P1461" s="50">
        <v>0.0</v>
      </c>
      <c r="Q1461" s="50">
        <v>0.0</v>
      </c>
      <c r="R1461" s="50">
        <v>0.0</v>
      </c>
      <c r="S1461" s="50">
        <v>0.0</v>
      </c>
      <c r="T1461" s="50">
        <v>2.8125</v>
      </c>
      <c r="U1461" s="50">
        <v>0.0</v>
      </c>
      <c r="V1461" s="50">
        <v>0.0</v>
      </c>
      <c r="W1461" s="50">
        <v>0.0</v>
      </c>
      <c r="X1461" s="50">
        <v>2.8125</v>
      </c>
      <c r="Y1461" s="50">
        <v>5.625</v>
      </c>
    </row>
    <row r="1462">
      <c r="A1462" s="26">
        <v>1456.0</v>
      </c>
      <c r="B1462" s="65">
        <v>-1.1174606866503842</v>
      </c>
      <c r="C1462" s="65">
        <v>-1.8528468667768452</v>
      </c>
      <c r="D1462" s="65">
        <v>-0.6743261870957843</v>
      </c>
      <c r="E1462" s="65">
        <v>-0.15534772173433947</v>
      </c>
      <c r="F1462" s="65">
        <v>7.260331535858358</v>
      </c>
      <c r="G1462" s="50">
        <v>0.0</v>
      </c>
      <c r="H1462" s="50">
        <v>0.0</v>
      </c>
      <c r="I1462" s="50">
        <v>0.0</v>
      </c>
      <c r="J1462" s="50">
        <v>0.0</v>
      </c>
      <c r="K1462" s="50">
        <v>0.0</v>
      </c>
      <c r="L1462" s="50">
        <v>0.0</v>
      </c>
      <c r="M1462" s="50">
        <v>0.0</v>
      </c>
      <c r="N1462" s="50">
        <v>0.0</v>
      </c>
      <c r="O1462" s="50">
        <v>0.0</v>
      </c>
      <c r="P1462" s="50">
        <v>0.0</v>
      </c>
      <c r="Q1462" s="50">
        <v>0.0</v>
      </c>
      <c r="R1462" s="50">
        <v>0.0</v>
      </c>
      <c r="S1462" s="50">
        <v>0.0</v>
      </c>
      <c r="T1462" s="50">
        <v>2.8125</v>
      </c>
      <c r="U1462" s="50">
        <v>0.0</v>
      </c>
      <c r="V1462" s="50">
        <v>0.0</v>
      </c>
      <c r="W1462" s="50">
        <v>4.95</v>
      </c>
      <c r="X1462" s="50">
        <v>2.8125</v>
      </c>
      <c r="Y1462" s="50">
        <v>10.575</v>
      </c>
    </row>
    <row r="1463">
      <c r="A1463" s="26">
        <v>1457.0</v>
      </c>
      <c r="B1463" s="65">
        <v>-0.5462106084163685</v>
      </c>
      <c r="C1463" s="65">
        <v>-0.5042565443269901</v>
      </c>
      <c r="D1463" s="65">
        <v>0.14494945283018784</v>
      </c>
      <c r="E1463" s="65">
        <v>0.42028266870733827</v>
      </c>
      <c r="F1463" s="65">
        <v>8.716214837680651</v>
      </c>
      <c r="G1463" s="50">
        <v>0.0</v>
      </c>
      <c r="H1463" s="50">
        <v>0.0</v>
      </c>
      <c r="I1463" s="50">
        <v>0.0</v>
      </c>
      <c r="J1463" s="50">
        <v>0.0</v>
      </c>
      <c r="K1463" s="50">
        <v>0.0</v>
      </c>
      <c r="L1463" s="50">
        <v>0.0</v>
      </c>
      <c r="M1463" s="50">
        <v>0.0</v>
      </c>
      <c r="N1463" s="50">
        <v>0.0</v>
      </c>
      <c r="O1463" s="50">
        <v>0.0</v>
      </c>
      <c r="P1463" s="50">
        <v>0.0</v>
      </c>
      <c r="Q1463" s="50">
        <v>0.0</v>
      </c>
      <c r="R1463" s="50">
        <v>0.0</v>
      </c>
      <c r="S1463" s="50">
        <v>0.0</v>
      </c>
      <c r="T1463" s="50">
        <v>2.8125</v>
      </c>
      <c r="U1463" s="50">
        <v>0.0</v>
      </c>
      <c r="V1463" s="50">
        <v>0.0</v>
      </c>
      <c r="W1463" s="50">
        <v>0.0</v>
      </c>
      <c r="X1463" s="50">
        <v>2.8125</v>
      </c>
      <c r="Y1463" s="50">
        <v>5.625</v>
      </c>
    </row>
    <row r="1464">
      <c r="A1464" s="26">
        <v>1458.0</v>
      </c>
      <c r="B1464" s="65">
        <v>-0.9210438710289794</v>
      </c>
      <c r="C1464" s="65">
        <v>-0.09900485791882763</v>
      </c>
      <c r="D1464" s="65">
        <v>0.8928668067138001</v>
      </c>
      <c r="E1464" s="65">
        <v>0.13893077357013126</v>
      </c>
      <c r="F1464" s="65">
        <v>8.061722927755174</v>
      </c>
      <c r="G1464" s="50">
        <v>0.0</v>
      </c>
      <c r="H1464" s="50">
        <v>0.0</v>
      </c>
      <c r="I1464" s="50">
        <v>0.0</v>
      </c>
      <c r="J1464" s="50">
        <v>0.0</v>
      </c>
      <c r="K1464" s="50">
        <v>0.0</v>
      </c>
      <c r="L1464" s="50">
        <v>0.0</v>
      </c>
      <c r="M1464" s="50">
        <v>0.0</v>
      </c>
      <c r="N1464" s="50">
        <v>0.0</v>
      </c>
      <c r="O1464" s="50">
        <v>7.425000000000001</v>
      </c>
      <c r="P1464" s="50">
        <v>0.0</v>
      </c>
      <c r="Q1464" s="50">
        <v>0.0</v>
      </c>
      <c r="R1464" s="50">
        <v>0.0</v>
      </c>
      <c r="S1464" s="50">
        <v>0.0</v>
      </c>
      <c r="T1464" s="50">
        <v>2.8125</v>
      </c>
      <c r="U1464" s="50">
        <v>0.0</v>
      </c>
      <c r="V1464" s="50">
        <v>5.625</v>
      </c>
      <c r="W1464" s="50">
        <v>0.0</v>
      </c>
      <c r="X1464" s="50">
        <v>2.8125</v>
      </c>
      <c r="Y1464" s="50">
        <v>18.675</v>
      </c>
    </row>
    <row r="1465">
      <c r="A1465" s="26">
        <v>1459.0</v>
      </c>
      <c r="B1465" s="65">
        <v>1.5867173595719568</v>
      </c>
      <c r="C1465" s="65">
        <v>-0.2303791437290228</v>
      </c>
      <c r="D1465" s="65">
        <v>1.4466032531789783</v>
      </c>
      <c r="E1465" s="65">
        <v>2.662235324903995</v>
      </c>
      <c r="F1465" s="65">
        <v>3.2133963254661375</v>
      </c>
      <c r="G1465" s="50">
        <v>0.0</v>
      </c>
      <c r="H1465" s="50">
        <v>0.0</v>
      </c>
      <c r="I1465" s="50">
        <v>0.0</v>
      </c>
      <c r="J1465" s="50">
        <v>0.0</v>
      </c>
      <c r="K1465" s="50">
        <v>0.0</v>
      </c>
      <c r="L1465" s="50">
        <v>0.0</v>
      </c>
      <c r="M1465" s="50">
        <v>0.0</v>
      </c>
      <c r="N1465" s="50">
        <v>0.0</v>
      </c>
      <c r="O1465" s="50">
        <v>0.0</v>
      </c>
      <c r="P1465" s="50">
        <v>0.0</v>
      </c>
      <c r="Q1465" s="50">
        <v>0.0</v>
      </c>
      <c r="R1465" s="50">
        <v>0.0</v>
      </c>
      <c r="S1465" s="50">
        <v>0.0</v>
      </c>
      <c r="T1465" s="50">
        <v>2.8125</v>
      </c>
      <c r="U1465" s="50">
        <v>0.0</v>
      </c>
      <c r="V1465" s="50">
        <v>0.0</v>
      </c>
      <c r="W1465" s="50">
        <v>0.0</v>
      </c>
      <c r="X1465" s="50">
        <v>2.8125</v>
      </c>
      <c r="Y1465" s="50">
        <v>5.625</v>
      </c>
    </row>
    <row r="1466">
      <c r="A1466" s="26">
        <v>1460.0</v>
      </c>
      <c r="B1466" s="65">
        <v>1.5219868357112942</v>
      </c>
      <c r="C1466" s="65">
        <v>0.1865477032045002</v>
      </c>
      <c r="D1466" s="65">
        <v>-1.0307299885410695</v>
      </c>
      <c r="E1466" s="65">
        <v>0.3161534703287451</v>
      </c>
      <c r="F1466" s="65">
        <v>2.3891862621160063</v>
      </c>
      <c r="G1466" s="50">
        <v>0.0</v>
      </c>
      <c r="H1466" s="50">
        <v>0.0</v>
      </c>
      <c r="I1466" s="50">
        <v>0.0</v>
      </c>
      <c r="J1466" s="50">
        <v>0.0</v>
      </c>
      <c r="K1466" s="50">
        <v>0.0</v>
      </c>
      <c r="L1466" s="50">
        <v>0.0</v>
      </c>
      <c r="M1466" s="50">
        <v>0.0</v>
      </c>
      <c r="N1466" s="50">
        <v>0.0</v>
      </c>
      <c r="O1466" s="50">
        <v>0.0</v>
      </c>
      <c r="P1466" s="50">
        <v>0.0</v>
      </c>
      <c r="Q1466" s="50">
        <v>0.0</v>
      </c>
      <c r="R1466" s="50">
        <v>0.0</v>
      </c>
      <c r="S1466" s="50">
        <v>0.0</v>
      </c>
      <c r="T1466" s="50">
        <v>2.8125</v>
      </c>
      <c r="U1466" s="50">
        <v>0.0</v>
      </c>
      <c r="V1466" s="50">
        <v>0.0</v>
      </c>
      <c r="W1466" s="50">
        <v>0.0</v>
      </c>
      <c r="X1466" s="50">
        <v>2.8125</v>
      </c>
      <c r="Y1466" s="50">
        <v>5.625</v>
      </c>
    </row>
    <row r="1467">
      <c r="A1467" s="26">
        <v>1461.0</v>
      </c>
      <c r="B1467" s="65">
        <v>1.2240818145416865</v>
      </c>
      <c r="C1467" s="65">
        <v>1.3644571191481147</v>
      </c>
      <c r="D1467" s="65">
        <v>1.3134260594282672</v>
      </c>
      <c r="E1467" s="65">
        <v>0.9438257055195136</v>
      </c>
      <c r="F1467" s="65">
        <v>15.44132154863257</v>
      </c>
      <c r="G1467" s="50">
        <v>0.0</v>
      </c>
      <c r="H1467" s="50">
        <v>0.0</v>
      </c>
      <c r="I1467" s="50">
        <v>0.0</v>
      </c>
      <c r="J1467" s="50">
        <v>0.0</v>
      </c>
      <c r="K1467" s="50">
        <v>0.0</v>
      </c>
      <c r="L1467" s="50">
        <v>0.0</v>
      </c>
      <c r="M1467" s="50">
        <v>0.0</v>
      </c>
      <c r="N1467" s="50">
        <v>0.0</v>
      </c>
      <c r="O1467" s="50">
        <v>0.0</v>
      </c>
      <c r="P1467" s="50">
        <v>0.0</v>
      </c>
      <c r="Q1467" s="50">
        <v>0.0</v>
      </c>
      <c r="R1467" s="50">
        <v>0.0</v>
      </c>
      <c r="S1467" s="50">
        <v>0.0</v>
      </c>
      <c r="T1467" s="50">
        <v>2.8125</v>
      </c>
      <c r="U1467" s="50">
        <v>0.0</v>
      </c>
      <c r="V1467" s="50">
        <v>0.0</v>
      </c>
      <c r="W1467" s="50">
        <v>0.0</v>
      </c>
      <c r="X1467" s="50">
        <v>2.8125</v>
      </c>
      <c r="Y1467" s="50">
        <v>5.625</v>
      </c>
    </row>
    <row r="1468">
      <c r="A1468" s="26">
        <v>1462.0</v>
      </c>
      <c r="B1468" s="65">
        <v>0.7382783476434245</v>
      </c>
      <c r="C1468" s="65">
        <v>-2.0432106680422804</v>
      </c>
      <c r="D1468" s="65">
        <v>0.8573203814338363</v>
      </c>
      <c r="E1468" s="65">
        <v>-0.6753396923363393</v>
      </c>
      <c r="F1468" s="65">
        <v>1.0291370377248452</v>
      </c>
      <c r="G1468" s="50">
        <v>0.0</v>
      </c>
      <c r="H1468" s="50">
        <v>0.0</v>
      </c>
      <c r="I1468" s="50">
        <v>0.0</v>
      </c>
      <c r="J1468" s="50">
        <v>0.0</v>
      </c>
      <c r="K1468" s="50">
        <v>0.0</v>
      </c>
      <c r="L1468" s="50">
        <v>0.0</v>
      </c>
      <c r="M1468" s="50">
        <v>0.0</v>
      </c>
      <c r="N1468" s="50">
        <v>0.0</v>
      </c>
      <c r="O1468" s="50">
        <v>7.425000000000001</v>
      </c>
      <c r="P1468" s="50">
        <v>0.0</v>
      </c>
      <c r="Q1468" s="50">
        <v>0.0</v>
      </c>
      <c r="R1468" s="50">
        <v>0.0</v>
      </c>
      <c r="S1468" s="50">
        <v>0.0</v>
      </c>
      <c r="T1468" s="50">
        <v>2.8125</v>
      </c>
      <c r="U1468" s="50">
        <v>0.0</v>
      </c>
      <c r="V1468" s="50">
        <v>0.0</v>
      </c>
      <c r="W1468" s="50">
        <v>0.0</v>
      </c>
      <c r="X1468" s="50">
        <v>2.8125</v>
      </c>
      <c r="Y1468" s="50">
        <v>13.05</v>
      </c>
    </row>
    <row r="1469">
      <c r="A1469" s="26">
        <v>1463.0</v>
      </c>
      <c r="B1469" s="65">
        <v>-0.35417538475065163</v>
      </c>
      <c r="C1469" s="65">
        <v>2.3714327058266202</v>
      </c>
      <c r="D1469" s="65">
        <v>-0.8090863778121884</v>
      </c>
      <c r="E1469" s="65">
        <v>0.9029962495593877</v>
      </c>
      <c r="F1469" s="65">
        <v>5.938113050300904</v>
      </c>
      <c r="G1469" s="50">
        <v>0.0</v>
      </c>
      <c r="H1469" s="50">
        <v>0.0</v>
      </c>
      <c r="I1469" s="50">
        <v>0.0</v>
      </c>
      <c r="J1469" s="50">
        <v>0.0</v>
      </c>
      <c r="K1469" s="50">
        <v>0.0</v>
      </c>
      <c r="L1469" s="50">
        <v>0.0</v>
      </c>
      <c r="M1469" s="50">
        <v>0.0</v>
      </c>
      <c r="N1469" s="50">
        <v>0.0</v>
      </c>
      <c r="O1469" s="50">
        <v>0.0</v>
      </c>
      <c r="P1469" s="50">
        <v>0.0</v>
      </c>
      <c r="Q1469" s="50">
        <v>0.0</v>
      </c>
      <c r="R1469" s="50">
        <v>0.0</v>
      </c>
      <c r="S1469" s="50">
        <v>0.0</v>
      </c>
      <c r="T1469" s="50">
        <v>2.8125</v>
      </c>
      <c r="U1469" s="50">
        <v>0.0</v>
      </c>
      <c r="V1469" s="50">
        <v>0.0</v>
      </c>
      <c r="W1469" s="50">
        <v>0.0</v>
      </c>
      <c r="X1469" s="50">
        <v>2.8125</v>
      </c>
      <c r="Y1469" s="50">
        <v>5.625</v>
      </c>
    </row>
    <row r="1470">
      <c r="A1470" s="26">
        <v>1464.0</v>
      </c>
      <c r="B1470" s="65">
        <v>0.2796835450679162</v>
      </c>
      <c r="C1470" s="65">
        <v>-0.5654116131154578</v>
      </c>
      <c r="D1470" s="65">
        <v>0.5982155559792496</v>
      </c>
      <c r="E1470" s="65">
        <v>-0.08669312413027629</v>
      </c>
      <c r="F1470" s="65">
        <v>1.9587217192282051</v>
      </c>
      <c r="G1470" s="50">
        <v>0.0</v>
      </c>
      <c r="H1470" s="50">
        <v>0.0</v>
      </c>
      <c r="I1470" s="50">
        <v>0.0</v>
      </c>
      <c r="J1470" s="50">
        <v>0.0</v>
      </c>
      <c r="K1470" s="50">
        <v>0.0</v>
      </c>
      <c r="L1470" s="50">
        <v>0.0</v>
      </c>
      <c r="M1470" s="50">
        <v>0.0</v>
      </c>
      <c r="N1470" s="50">
        <v>0.0</v>
      </c>
      <c r="O1470" s="50">
        <v>0.0</v>
      </c>
      <c r="P1470" s="50">
        <v>0.0</v>
      </c>
      <c r="Q1470" s="50">
        <v>0.0</v>
      </c>
      <c r="R1470" s="50">
        <v>0.0</v>
      </c>
      <c r="S1470" s="50">
        <v>0.0</v>
      </c>
      <c r="T1470" s="50">
        <v>2.8125</v>
      </c>
      <c r="U1470" s="50">
        <v>0.0</v>
      </c>
      <c r="V1470" s="50">
        <v>0.0</v>
      </c>
      <c r="W1470" s="50">
        <v>0.0</v>
      </c>
      <c r="X1470" s="50">
        <v>2.8125</v>
      </c>
      <c r="Y1470" s="50">
        <v>5.625</v>
      </c>
    </row>
    <row r="1471">
      <c r="A1471" s="26">
        <v>1465.0</v>
      </c>
      <c r="B1471" s="65">
        <v>1.0743393175088343</v>
      </c>
      <c r="C1471" s="65">
        <v>-1.9563256885869886</v>
      </c>
      <c r="D1471" s="65">
        <v>-0.8185116086669655</v>
      </c>
      <c r="E1471" s="65">
        <v>0.7562746867610372</v>
      </c>
      <c r="F1471" s="65">
        <v>5.045447722262871</v>
      </c>
      <c r="G1471" s="50">
        <v>0.0</v>
      </c>
      <c r="H1471" s="50">
        <v>0.0</v>
      </c>
      <c r="I1471" s="50">
        <v>0.0</v>
      </c>
      <c r="J1471" s="50">
        <v>0.0</v>
      </c>
      <c r="K1471" s="50">
        <v>0.0</v>
      </c>
      <c r="L1471" s="50">
        <v>0.0</v>
      </c>
      <c r="M1471" s="50">
        <v>0.0</v>
      </c>
      <c r="N1471" s="50">
        <v>0.0</v>
      </c>
      <c r="O1471" s="50">
        <v>0.0</v>
      </c>
      <c r="P1471" s="50">
        <v>0.0</v>
      </c>
      <c r="Q1471" s="50">
        <v>0.0</v>
      </c>
      <c r="R1471" s="50">
        <v>0.0</v>
      </c>
      <c r="S1471" s="50">
        <v>0.0</v>
      </c>
      <c r="T1471" s="50">
        <v>2.8125</v>
      </c>
      <c r="U1471" s="50">
        <v>0.0</v>
      </c>
      <c r="V1471" s="50">
        <v>0.0</v>
      </c>
      <c r="W1471" s="50">
        <v>0.0</v>
      </c>
      <c r="X1471" s="50">
        <v>2.8125</v>
      </c>
      <c r="Y1471" s="50">
        <v>5.625</v>
      </c>
    </row>
    <row r="1472">
      <c r="A1472" s="26">
        <v>1466.0</v>
      </c>
      <c r="B1472" s="65">
        <v>0.31648833788342867</v>
      </c>
      <c r="C1472" s="65">
        <v>1.8521995183980648</v>
      </c>
      <c r="D1472" s="65">
        <v>-1.6240774028649443</v>
      </c>
      <c r="E1472" s="65">
        <v>1.0984846503253451</v>
      </c>
      <c r="F1472" s="65">
        <v>3.269700698063471</v>
      </c>
      <c r="G1472" s="50">
        <v>0.0</v>
      </c>
      <c r="H1472" s="50">
        <v>0.0</v>
      </c>
      <c r="I1472" s="50">
        <v>0.0</v>
      </c>
      <c r="J1472" s="50">
        <v>0.0</v>
      </c>
      <c r="K1472" s="50">
        <v>0.0</v>
      </c>
      <c r="L1472" s="50">
        <v>0.0</v>
      </c>
      <c r="M1472" s="50">
        <v>0.0</v>
      </c>
      <c r="N1472" s="50">
        <v>0.0</v>
      </c>
      <c r="O1472" s="50">
        <v>0.0</v>
      </c>
      <c r="P1472" s="50">
        <v>2.475</v>
      </c>
      <c r="Q1472" s="50">
        <v>0.0</v>
      </c>
      <c r="R1472" s="50">
        <v>0.0</v>
      </c>
      <c r="S1472" s="50">
        <v>0.0</v>
      </c>
      <c r="T1472" s="50">
        <v>2.8125</v>
      </c>
      <c r="U1472" s="50">
        <v>0.0</v>
      </c>
      <c r="V1472" s="50">
        <v>0.0</v>
      </c>
      <c r="W1472" s="50">
        <v>0.0</v>
      </c>
      <c r="X1472" s="50">
        <v>2.8125</v>
      </c>
      <c r="Y1472" s="50">
        <v>8.1</v>
      </c>
    </row>
    <row r="1473">
      <c r="A1473" s="26">
        <v>1467.0</v>
      </c>
      <c r="B1473" s="65">
        <v>0.41622647444072447</v>
      </c>
      <c r="C1473" s="65">
        <v>-0.07706666742968536</v>
      </c>
      <c r="D1473" s="65">
        <v>-0.15271952769108935</v>
      </c>
      <c r="E1473" s="65">
        <v>2.022232481529669</v>
      </c>
      <c r="F1473" s="65">
        <v>6.943645681401568</v>
      </c>
      <c r="G1473" s="50">
        <v>0.0</v>
      </c>
      <c r="H1473" s="50">
        <v>0.0</v>
      </c>
      <c r="I1473" s="50">
        <v>0.0</v>
      </c>
      <c r="J1473" s="50">
        <v>0.0</v>
      </c>
      <c r="K1473" s="50">
        <v>0.0</v>
      </c>
      <c r="L1473" s="50">
        <v>0.0</v>
      </c>
      <c r="M1473" s="50">
        <v>0.0</v>
      </c>
      <c r="N1473" s="50">
        <v>0.0</v>
      </c>
      <c r="O1473" s="50">
        <v>0.0</v>
      </c>
      <c r="P1473" s="50">
        <v>0.0</v>
      </c>
      <c r="Q1473" s="50">
        <v>0.0</v>
      </c>
      <c r="R1473" s="50">
        <v>0.0</v>
      </c>
      <c r="S1473" s="50">
        <v>0.0</v>
      </c>
      <c r="T1473" s="50">
        <v>2.8125</v>
      </c>
      <c r="U1473" s="50">
        <v>0.0</v>
      </c>
      <c r="V1473" s="50">
        <v>0.0</v>
      </c>
      <c r="W1473" s="50">
        <v>0.0</v>
      </c>
      <c r="X1473" s="50">
        <v>2.8125</v>
      </c>
      <c r="Y1473" s="50">
        <v>5.625</v>
      </c>
    </row>
    <row r="1474">
      <c r="A1474" s="26">
        <v>1468.0</v>
      </c>
      <c r="B1474" s="65">
        <v>1.4178117396288463</v>
      </c>
      <c r="C1474" s="65">
        <v>-1.357210023816858</v>
      </c>
      <c r="D1474" s="65">
        <v>0.7293894192701902</v>
      </c>
      <c r="E1474" s="65">
        <v>0.12036852072431024</v>
      </c>
      <c r="F1474" s="65">
        <v>2.6904947008354614</v>
      </c>
      <c r="G1474" s="50">
        <v>0.0</v>
      </c>
      <c r="H1474" s="50">
        <v>0.0</v>
      </c>
      <c r="I1474" s="50">
        <v>0.0</v>
      </c>
      <c r="J1474" s="50">
        <v>0.0</v>
      </c>
      <c r="K1474" s="50">
        <v>0.0</v>
      </c>
      <c r="L1474" s="50">
        <v>0.0</v>
      </c>
      <c r="M1474" s="50">
        <v>0.0</v>
      </c>
      <c r="N1474" s="50">
        <v>0.0</v>
      </c>
      <c r="O1474" s="50">
        <v>0.0</v>
      </c>
      <c r="P1474" s="50">
        <v>0.0</v>
      </c>
      <c r="Q1474" s="50">
        <v>0.0</v>
      </c>
      <c r="R1474" s="50">
        <v>0.0</v>
      </c>
      <c r="S1474" s="50">
        <v>0.0</v>
      </c>
      <c r="T1474" s="50">
        <v>2.8125</v>
      </c>
      <c r="U1474" s="50">
        <v>0.0</v>
      </c>
      <c r="V1474" s="50">
        <v>0.0</v>
      </c>
      <c r="W1474" s="50">
        <v>0.0</v>
      </c>
      <c r="X1474" s="50">
        <v>2.8125</v>
      </c>
      <c r="Y1474" s="50">
        <v>5.625</v>
      </c>
    </row>
    <row r="1475">
      <c r="A1475" s="26">
        <v>1469.0</v>
      </c>
      <c r="B1475" s="65">
        <v>0.47082274385807865</v>
      </c>
      <c r="C1475" s="65">
        <v>-1.7293818677747959</v>
      </c>
      <c r="D1475" s="65">
        <v>-0.07957836450834131</v>
      </c>
      <c r="E1475" s="65">
        <v>0.3148313722179618</v>
      </c>
      <c r="F1475" s="65">
        <v>6.455801137978094</v>
      </c>
      <c r="G1475" s="50">
        <v>0.0</v>
      </c>
      <c r="H1475" s="50">
        <v>0.0</v>
      </c>
      <c r="I1475" s="50">
        <v>0.0</v>
      </c>
      <c r="J1475" s="50">
        <v>0.0</v>
      </c>
      <c r="K1475" s="50">
        <v>0.0</v>
      </c>
      <c r="L1475" s="50">
        <v>0.0</v>
      </c>
      <c r="M1475" s="50">
        <v>0.0</v>
      </c>
      <c r="N1475" s="50">
        <v>0.0</v>
      </c>
      <c r="O1475" s="50">
        <v>0.0</v>
      </c>
      <c r="P1475" s="50">
        <v>0.0</v>
      </c>
      <c r="Q1475" s="50">
        <v>0.0</v>
      </c>
      <c r="R1475" s="50">
        <v>0.0</v>
      </c>
      <c r="S1475" s="50">
        <v>0.0</v>
      </c>
      <c r="T1475" s="50">
        <v>2.8125</v>
      </c>
      <c r="U1475" s="50">
        <v>0.0</v>
      </c>
      <c r="V1475" s="50">
        <v>0.0</v>
      </c>
      <c r="W1475" s="50">
        <v>0.0</v>
      </c>
      <c r="X1475" s="50">
        <v>2.8125</v>
      </c>
      <c r="Y1475" s="50">
        <v>5.625</v>
      </c>
    </row>
    <row r="1476">
      <c r="A1476" s="26">
        <v>1470.0</v>
      </c>
      <c r="B1476" s="65">
        <v>0.878615509581103</v>
      </c>
      <c r="C1476" s="65">
        <v>-0.917223452690366</v>
      </c>
      <c r="D1476" s="65">
        <v>-0.037140836921557556</v>
      </c>
      <c r="E1476" s="65">
        <v>0.6046696885127105</v>
      </c>
      <c r="F1476" s="65">
        <v>3.681578524273187</v>
      </c>
      <c r="G1476" s="50">
        <v>0.0</v>
      </c>
      <c r="H1476" s="50">
        <v>0.0</v>
      </c>
      <c r="I1476" s="50">
        <v>0.0</v>
      </c>
      <c r="J1476" s="50">
        <v>0.0</v>
      </c>
      <c r="K1476" s="50">
        <v>0.0</v>
      </c>
      <c r="L1476" s="50">
        <v>0.0</v>
      </c>
      <c r="M1476" s="50">
        <v>0.0</v>
      </c>
      <c r="N1476" s="50">
        <v>0.0</v>
      </c>
      <c r="O1476" s="50">
        <v>7.425000000000001</v>
      </c>
      <c r="P1476" s="50">
        <v>0.0</v>
      </c>
      <c r="Q1476" s="50">
        <v>0.0</v>
      </c>
      <c r="R1476" s="50">
        <v>0.0</v>
      </c>
      <c r="S1476" s="50">
        <v>0.0</v>
      </c>
      <c r="T1476" s="50">
        <v>2.8125</v>
      </c>
      <c r="U1476" s="50">
        <v>0.0</v>
      </c>
      <c r="V1476" s="50">
        <v>0.0</v>
      </c>
      <c r="W1476" s="50">
        <v>0.0</v>
      </c>
      <c r="X1476" s="50">
        <v>2.8125</v>
      </c>
      <c r="Y1476" s="50">
        <v>13.05</v>
      </c>
    </row>
    <row r="1477">
      <c r="A1477" s="26">
        <v>1471.0</v>
      </c>
      <c r="B1477" s="65">
        <v>-2.0051666574610234</v>
      </c>
      <c r="C1477" s="65">
        <v>-0.308149019334771</v>
      </c>
      <c r="D1477" s="65">
        <v>-0.39988398567452665</v>
      </c>
      <c r="E1477" s="65">
        <v>-1.5095574058657915</v>
      </c>
      <c r="F1477" s="65">
        <v>8.26176014251334</v>
      </c>
      <c r="G1477" s="50">
        <v>0.0</v>
      </c>
      <c r="H1477" s="50">
        <v>0.0</v>
      </c>
      <c r="I1477" s="50">
        <v>0.0</v>
      </c>
      <c r="J1477" s="50">
        <v>0.0</v>
      </c>
      <c r="K1477" s="50">
        <v>0.0</v>
      </c>
      <c r="L1477" s="50">
        <v>0.0</v>
      </c>
      <c r="M1477" s="50">
        <v>0.0</v>
      </c>
      <c r="N1477" s="50">
        <v>0.0</v>
      </c>
      <c r="O1477" s="50">
        <v>0.0</v>
      </c>
      <c r="P1477" s="50">
        <v>0.0</v>
      </c>
      <c r="Q1477" s="50">
        <v>0.0</v>
      </c>
      <c r="R1477" s="50">
        <v>0.0</v>
      </c>
      <c r="S1477" s="50">
        <v>0.0</v>
      </c>
      <c r="T1477" s="50">
        <v>2.8125</v>
      </c>
      <c r="U1477" s="50">
        <v>0.0</v>
      </c>
      <c r="V1477" s="50">
        <v>5.625</v>
      </c>
      <c r="W1477" s="50">
        <v>0.0</v>
      </c>
      <c r="X1477" s="50">
        <v>2.8125</v>
      </c>
      <c r="Y1477" s="50">
        <v>11.25</v>
      </c>
    </row>
    <row r="1478">
      <c r="A1478" s="26">
        <v>1472.0</v>
      </c>
      <c r="B1478" s="65">
        <v>-1.837376765625036</v>
      </c>
      <c r="C1478" s="65">
        <v>-1.8032913161815771</v>
      </c>
      <c r="D1478" s="65">
        <v>-0.8183586337987886</v>
      </c>
      <c r="E1478" s="65">
        <v>1.041713625462626</v>
      </c>
      <c r="F1478" s="65">
        <v>1.168254223341921</v>
      </c>
      <c r="G1478" s="50">
        <v>0.0</v>
      </c>
      <c r="H1478" s="50">
        <v>0.0</v>
      </c>
      <c r="I1478" s="50">
        <v>0.0</v>
      </c>
      <c r="J1478" s="50">
        <v>9.0</v>
      </c>
      <c r="K1478" s="50">
        <v>0.0</v>
      </c>
      <c r="L1478" s="50">
        <v>0.0</v>
      </c>
      <c r="M1478" s="50">
        <v>0.0</v>
      </c>
      <c r="N1478" s="50">
        <v>0.0</v>
      </c>
      <c r="O1478" s="50">
        <v>7.425000000000001</v>
      </c>
      <c r="P1478" s="50">
        <v>2.475</v>
      </c>
      <c r="Q1478" s="50">
        <v>13.5</v>
      </c>
      <c r="R1478" s="50">
        <v>9.9</v>
      </c>
      <c r="S1478" s="50">
        <v>0.0</v>
      </c>
      <c r="T1478" s="50">
        <v>2.8125</v>
      </c>
      <c r="U1478" s="50">
        <v>0.0</v>
      </c>
      <c r="V1478" s="50">
        <v>5.625</v>
      </c>
      <c r="W1478" s="50">
        <v>4.95</v>
      </c>
      <c r="X1478" s="50">
        <v>2.8125</v>
      </c>
      <c r="Y1478" s="50">
        <v>58.50000000000001</v>
      </c>
    </row>
    <row r="1479">
      <c r="A1479" s="26">
        <v>1473.0</v>
      </c>
      <c r="B1479" s="65">
        <v>-0.1761003105498295</v>
      </c>
      <c r="C1479" s="65">
        <v>0.7375437334932634</v>
      </c>
      <c r="D1479" s="65">
        <v>0.6812557133068928</v>
      </c>
      <c r="E1479" s="65">
        <v>-0.23265964381001975</v>
      </c>
      <c r="F1479" s="65">
        <v>9.178397096295347</v>
      </c>
      <c r="G1479" s="50">
        <v>0.0</v>
      </c>
      <c r="H1479" s="50">
        <v>0.0</v>
      </c>
      <c r="I1479" s="50">
        <v>0.0</v>
      </c>
      <c r="J1479" s="50">
        <v>0.0</v>
      </c>
      <c r="K1479" s="50">
        <v>0.0</v>
      </c>
      <c r="L1479" s="50">
        <v>0.0</v>
      </c>
      <c r="M1479" s="50">
        <v>0.0</v>
      </c>
      <c r="N1479" s="50">
        <v>0.0</v>
      </c>
      <c r="O1479" s="50">
        <v>0.0</v>
      </c>
      <c r="P1479" s="50">
        <v>0.0</v>
      </c>
      <c r="Q1479" s="50">
        <v>0.0</v>
      </c>
      <c r="R1479" s="50">
        <v>0.0</v>
      </c>
      <c r="S1479" s="50">
        <v>0.0</v>
      </c>
      <c r="T1479" s="50">
        <v>2.8125</v>
      </c>
      <c r="U1479" s="50">
        <v>0.0</v>
      </c>
      <c r="V1479" s="50">
        <v>0.0</v>
      </c>
      <c r="W1479" s="50">
        <v>0.0</v>
      </c>
      <c r="X1479" s="50">
        <v>2.8125</v>
      </c>
      <c r="Y1479" s="50">
        <v>5.625</v>
      </c>
    </row>
    <row r="1480">
      <c r="A1480" s="26">
        <v>1474.0</v>
      </c>
      <c r="B1480" s="65">
        <v>-0.7330773861139435</v>
      </c>
      <c r="C1480" s="65">
        <v>-0.6503705063386918</v>
      </c>
      <c r="D1480" s="65">
        <v>1.4705682197942491</v>
      </c>
      <c r="E1480" s="65">
        <v>-1.2249764366859823</v>
      </c>
      <c r="F1480" s="65">
        <v>6.222315452109917</v>
      </c>
      <c r="G1480" s="50">
        <v>0.0</v>
      </c>
      <c r="H1480" s="50">
        <v>0.0</v>
      </c>
      <c r="I1480" s="50">
        <v>0.0</v>
      </c>
      <c r="J1480" s="50">
        <v>0.0</v>
      </c>
      <c r="K1480" s="50">
        <v>0.0</v>
      </c>
      <c r="L1480" s="50">
        <v>0.0</v>
      </c>
      <c r="M1480" s="50">
        <v>0.0</v>
      </c>
      <c r="N1480" s="50">
        <v>0.0</v>
      </c>
      <c r="O1480" s="50">
        <v>0.0</v>
      </c>
      <c r="P1480" s="50">
        <v>0.0</v>
      </c>
      <c r="Q1480" s="50">
        <v>0.0</v>
      </c>
      <c r="R1480" s="50">
        <v>0.0</v>
      </c>
      <c r="S1480" s="50">
        <v>0.0</v>
      </c>
      <c r="T1480" s="50">
        <v>2.8125</v>
      </c>
      <c r="U1480" s="50">
        <v>0.0</v>
      </c>
      <c r="V1480" s="50">
        <v>5.625</v>
      </c>
      <c r="W1480" s="50">
        <v>4.95</v>
      </c>
      <c r="X1480" s="50">
        <v>2.8125</v>
      </c>
      <c r="Y1480" s="50">
        <v>16.2</v>
      </c>
    </row>
    <row r="1481">
      <c r="A1481" s="26">
        <v>1475.0</v>
      </c>
      <c r="B1481" s="65">
        <v>-0.562603347858635</v>
      </c>
      <c r="C1481" s="65">
        <v>0.0936054586202364</v>
      </c>
      <c r="D1481" s="65">
        <v>-1.8252606662827497</v>
      </c>
      <c r="E1481" s="65">
        <v>-0.26887450473666225</v>
      </c>
      <c r="F1481" s="65">
        <v>4.813967779092543</v>
      </c>
      <c r="G1481" s="50">
        <v>0.0</v>
      </c>
      <c r="H1481" s="50">
        <v>0.0</v>
      </c>
      <c r="I1481" s="50">
        <v>0.0</v>
      </c>
      <c r="J1481" s="50">
        <v>0.0</v>
      </c>
      <c r="K1481" s="50">
        <v>0.0</v>
      </c>
      <c r="L1481" s="50">
        <v>0.0</v>
      </c>
      <c r="M1481" s="50">
        <v>0.0</v>
      </c>
      <c r="N1481" s="50">
        <v>0.0</v>
      </c>
      <c r="O1481" s="50">
        <v>7.425000000000001</v>
      </c>
      <c r="P1481" s="50">
        <v>0.0</v>
      </c>
      <c r="Q1481" s="50">
        <v>0.0</v>
      </c>
      <c r="R1481" s="50">
        <v>9.9</v>
      </c>
      <c r="S1481" s="50">
        <v>0.0</v>
      </c>
      <c r="T1481" s="50">
        <v>2.8125</v>
      </c>
      <c r="U1481" s="50">
        <v>0.0</v>
      </c>
      <c r="V1481" s="50">
        <v>0.0</v>
      </c>
      <c r="W1481" s="50">
        <v>0.0</v>
      </c>
      <c r="X1481" s="50">
        <v>2.8125</v>
      </c>
      <c r="Y1481" s="50">
        <v>22.950000000000003</v>
      </c>
    </row>
    <row r="1482">
      <c r="A1482" s="26">
        <v>1476.0</v>
      </c>
      <c r="B1482" s="65">
        <v>-0.27009564536787095</v>
      </c>
      <c r="C1482" s="65">
        <v>-0.6951306064391889</v>
      </c>
      <c r="D1482" s="65">
        <v>-0.4220311716941019</v>
      </c>
      <c r="E1482" s="65">
        <v>0.598293484896194</v>
      </c>
      <c r="F1482" s="65">
        <v>0.9684957831277324</v>
      </c>
      <c r="G1482" s="50">
        <v>0.0</v>
      </c>
      <c r="H1482" s="50">
        <v>0.0</v>
      </c>
      <c r="I1482" s="50">
        <v>0.0</v>
      </c>
      <c r="J1482" s="50">
        <v>0.0</v>
      </c>
      <c r="K1482" s="50">
        <v>0.0</v>
      </c>
      <c r="L1482" s="50">
        <v>0.0</v>
      </c>
      <c r="M1482" s="50">
        <v>0.0</v>
      </c>
      <c r="N1482" s="50">
        <v>0.0</v>
      </c>
      <c r="O1482" s="50">
        <v>7.425000000000001</v>
      </c>
      <c r="P1482" s="50">
        <v>0.0</v>
      </c>
      <c r="Q1482" s="50">
        <v>0.0</v>
      </c>
      <c r="R1482" s="50">
        <v>9.9</v>
      </c>
      <c r="S1482" s="50">
        <v>0.0</v>
      </c>
      <c r="T1482" s="50">
        <v>2.8125</v>
      </c>
      <c r="U1482" s="50">
        <v>0.0</v>
      </c>
      <c r="V1482" s="50">
        <v>0.0</v>
      </c>
      <c r="W1482" s="50">
        <v>4.95</v>
      </c>
      <c r="X1482" s="50">
        <v>2.8125</v>
      </c>
      <c r="Y1482" s="50">
        <v>27.900000000000002</v>
      </c>
    </row>
    <row r="1483">
      <c r="A1483" s="26">
        <v>1477.0</v>
      </c>
      <c r="B1483" s="65">
        <v>-0.4280233653934732</v>
      </c>
      <c r="C1483" s="65">
        <v>-0.5894448337718721</v>
      </c>
      <c r="D1483" s="65">
        <v>0.7412639747503792</v>
      </c>
      <c r="E1483" s="65">
        <v>-0.10597886626676753</v>
      </c>
      <c r="F1483" s="65">
        <v>7.574711520469219</v>
      </c>
      <c r="G1483" s="50">
        <v>0.0</v>
      </c>
      <c r="H1483" s="50">
        <v>0.0</v>
      </c>
      <c r="I1483" s="50">
        <v>0.0</v>
      </c>
      <c r="J1483" s="50">
        <v>0.0</v>
      </c>
      <c r="K1483" s="50">
        <v>0.0</v>
      </c>
      <c r="L1483" s="50">
        <v>0.0</v>
      </c>
      <c r="M1483" s="50">
        <v>0.0</v>
      </c>
      <c r="N1483" s="50">
        <v>0.0</v>
      </c>
      <c r="O1483" s="50">
        <v>0.0</v>
      </c>
      <c r="P1483" s="50">
        <v>0.0</v>
      </c>
      <c r="Q1483" s="50">
        <v>0.0</v>
      </c>
      <c r="R1483" s="50">
        <v>0.0</v>
      </c>
      <c r="S1483" s="50">
        <v>0.0</v>
      </c>
      <c r="T1483" s="50">
        <v>2.8125</v>
      </c>
      <c r="U1483" s="50">
        <v>0.0</v>
      </c>
      <c r="V1483" s="50">
        <v>0.0</v>
      </c>
      <c r="W1483" s="50">
        <v>0.0</v>
      </c>
      <c r="X1483" s="50">
        <v>2.8125</v>
      </c>
      <c r="Y1483" s="50">
        <v>5.625</v>
      </c>
    </row>
    <row r="1484">
      <c r="A1484" s="26">
        <v>1478.0</v>
      </c>
      <c r="B1484" s="65">
        <v>0.8942822228071047</v>
      </c>
      <c r="C1484" s="65">
        <v>1.5704475434962797</v>
      </c>
      <c r="D1484" s="65">
        <v>-0.6022793711759062</v>
      </c>
      <c r="E1484" s="65">
        <v>0.7347021939132098</v>
      </c>
      <c r="F1484" s="65">
        <v>5.397090281440051</v>
      </c>
      <c r="G1484" s="50">
        <v>0.0</v>
      </c>
      <c r="H1484" s="50">
        <v>0.0</v>
      </c>
      <c r="I1484" s="50">
        <v>0.0</v>
      </c>
      <c r="J1484" s="50">
        <v>0.0</v>
      </c>
      <c r="K1484" s="50">
        <v>0.0</v>
      </c>
      <c r="L1484" s="50">
        <v>0.0</v>
      </c>
      <c r="M1484" s="50">
        <v>0.0</v>
      </c>
      <c r="N1484" s="50">
        <v>0.0</v>
      </c>
      <c r="O1484" s="50">
        <v>0.0</v>
      </c>
      <c r="P1484" s="50">
        <v>0.0</v>
      </c>
      <c r="Q1484" s="50">
        <v>0.0</v>
      </c>
      <c r="R1484" s="50">
        <v>0.0</v>
      </c>
      <c r="S1484" s="50">
        <v>0.0</v>
      </c>
      <c r="T1484" s="50">
        <v>2.8125</v>
      </c>
      <c r="U1484" s="50">
        <v>0.0</v>
      </c>
      <c r="V1484" s="50">
        <v>0.0</v>
      </c>
      <c r="W1484" s="50">
        <v>0.0</v>
      </c>
      <c r="X1484" s="50">
        <v>2.8125</v>
      </c>
      <c r="Y1484" s="50">
        <v>5.625</v>
      </c>
    </row>
    <row r="1485">
      <c r="A1485" s="26">
        <v>1479.0</v>
      </c>
      <c r="B1485" s="65">
        <v>-1.4076145242290234</v>
      </c>
      <c r="C1485" s="65">
        <v>-1.0901036371688657</v>
      </c>
      <c r="D1485" s="65">
        <v>-1.052623493554727</v>
      </c>
      <c r="E1485" s="65">
        <v>-0.18330155365431292</v>
      </c>
      <c r="F1485" s="65">
        <v>0.802043854874792</v>
      </c>
      <c r="G1485" s="50">
        <v>0.0</v>
      </c>
      <c r="H1485" s="50">
        <v>0.0</v>
      </c>
      <c r="I1485" s="50">
        <v>0.0</v>
      </c>
      <c r="J1485" s="50">
        <v>0.0</v>
      </c>
      <c r="K1485" s="50">
        <v>0.0</v>
      </c>
      <c r="L1485" s="50">
        <v>0.0</v>
      </c>
      <c r="M1485" s="50">
        <v>0.0</v>
      </c>
      <c r="N1485" s="50">
        <v>0.0</v>
      </c>
      <c r="O1485" s="50">
        <v>7.425000000000001</v>
      </c>
      <c r="P1485" s="50">
        <v>0.0</v>
      </c>
      <c r="Q1485" s="50">
        <v>13.5</v>
      </c>
      <c r="R1485" s="50">
        <v>0.0</v>
      </c>
      <c r="S1485" s="50">
        <v>11.25</v>
      </c>
      <c r="T1485" s="50">
        <v>2.8125</v>
      </c>
      <c r="U1485" s="50">
        <v>9.9</v>
      </c>
      <c r="V1485" s="50">
        <v>5.625</v>
      </c>
      <c r="W1485" s="50">
        <v>4.95</v>
      </c>
      <c r="X1485" s="50">
        <v>2.8125</v>
      </c>
      <c r="Y1485" s="50">
        <v>58.275</v>
      </c>
    </row>
    <row r="1486">
      <c r="A1486" s="26">
        <v>1480.0</v>
      </c>
      <c r="B1486" s="65">
        <v>-0.9757135352755694</v>
      </c>
      <c r="C1486" s="65">
        <v>-0.4857625234304872</v>
      </c>
      <c r="D1486" s="65">
        <v>1.3118650078416167</v>
      </c>
      <c r="E1486" s="65">
        <v>-0.20074188475861865</v>
      </c>
      <c r="F1486" s="65">
        <v>2.7580901828053337</v>
      </c>
      <c r="G1486" s="50">
        <v>0.0</v>
      </c>
      <c r="H1486" s="50">
        <v>0.0</v>
      </c>
      <c r="I1486" s="50">
        <v>0.0</v>
      </c>
      <c r="J1486" s="50">
        <v>0.0</v>
      </c>
      <c r="K1486" s="50">
        <v>0.0</v>
      </c>
      <c r="L1486" s="50">
        <v>0.0</v>
      </c>
      <c r="M1486" s="50">
        <v>0.0</v>
      </c>
      <c r="N1486" s="50">
        <v>0.0</v>
      </c>
      <c r="O1486" s="50">
        <v>0.0</v>
      </c>
      <c r="P1486" s="50">
        <v>0.0</v>
      </c>
      <c r="Q1486" s="50">
        <v>0.0</v>
      </c>
      <c r="R1486" s="50">
        <v>9.9</v>
      </c>
      <c r="S1486" s="50">
        <v>0.0</v>
      </c>
      <c r="T1486" s="50">
        <v>2.8125</v>
      </c>
      <c r="U1486" s="50">
        <v>9.9</v>
      </c>
      <c r="V1486" s="50">
        <v>0.0</v>
      </c>
      <c r="W1486" s="50">
        <v>0.0</v>
      </c>
      <c r="X1486" s="50">
        <v>2.8125</v>
      </c>
      <c r="Y1486" s="50">
        <v>25.425</v>
      </c>
    </row>
    <row r="1487">
      <c r="A1487" s="26">
        <v>1481.0</v>
      </c>
      <c r="B1487" s="65">
        <v>0.5435151378490835</v>
      </c>
      <c r="C1487" s="65">
        <v>-0.5500779150501495</v>
      </c>
      <c r="D1487" s="65">
        <v>-0.479011662636601</v>
      </c>
      <c r="E1487" s="65">
        <v>-0.48938320322516476</v>
      </c>
      <c r="F1487" s="65">
        <v>2.0791956183920965</v>
      </c>
      <c r="G1487" s="50">
        <v>0.0</v>
      </c>
      <c r="H1487" s="50">
        <v>0.0</v>
      </c>
      <c r="I1487" s="50">
        <v>0.0</v>
      </c>
      <c r="J1487" s="50">
        <v>0.0</v>
      </c>
      <c r="K1487" s="50">
        <v>0.0</v>
      </c>
      <c r="L1487" s="50">
        <v>0.0</v>
      </c>
      <c r="M1487" s="50">
        <v>0.0</v>
      </c>
      <c r="N1487" s="50">
        <v>0.0</v>
      </c>
      <c r="O1487" s="50">
        <v>7.425000000000001</v>
      </c>
      <c r="P1487" s="50">
        <v>2.475</v>
      </c>
      <c r="Q1487" s="50">
        <v>0.0</v>
      </c>
      <c r="R1487" s="50">
        <v>0.0</v>
      </c>
      <c r="S1487" s="50">
        <v>0.0</v>
      </c>
      <c r="T1487" s="50">
        <v>2.8125</v>
      </c>
      <c r="U1487" s="50">
        <v>0.0</v>
      </c>
      <c r="V1487" s="50">
        <v>0.0</v>
      </c>
      <c r="W1487" s="50">
        <v>0.0</v>
      </c>
      <c r="X1487" s="50">
        <v>2.8125</v>
      </c>
      <c r="Y1487" s="50">
        <v>15.525</v>
      </c>
    </row>
    <row r="1488">
      <c r="A1488" s="26">
        <v>1482.0</v>
      </c>
      <c r="B1488" s="65">
        <v>-0.11827959107486309</v>
      </c>
      <c r="C1488" s="65">
        <v>-1.356902891400035</v>
      </c>
      <c r="D1488" s="65">
        <v>0.19653959750084363</v>
      </c>
      <c r="E1488" s="65">
        <v>0.07302243249087197</v>
      </c>
      <c r="F1488" s="65">
        <v>2.7697546025599395</v>
      </c>
      <c r="G1488" s="50">
        <v>0.0</v>
      </c>
      <c r="H1488" s="50">
        <v>0.0</v>
      </c>
      <c r="I1488" s="50">
        <v>0.0</v>
      </c>
      <c r="J1488" s="50">
        <v>0.0</v>
      </c>
      <c r="K1488" s="50">
        <v>0.0</v>
      </c>
      <c r="L1488" s="50">
        <v>0.0</v>
      </c>
      <c r="M1488" s="50">
        <v>0.0</v>
      </c>
      <c r="N1488" s="50">
        <v>0.0</v>
      </c>
      <c r="O1488" s="50">
        <v>7.425000000000001</v>
      </c>
      <c r="P1488" s="50">
        <v>0.0</v>
      </c>
      <c r="Q1488" s="50">
        <v>0.0</v>
      </c>
      <c r="R1488" s="50">
        <v>0.0</v>
      </c>
      <c r="S1488" s="50">
        <v>0.0</v>
      </c>
      <c r="T1488" s="50">
        <v>2.8125</v>
      </c>
      <c r="U1488" s="50">
        <v>0.0</v>
      </c>
      <c r="V1488" s="50">
        <v>0.0</v>
      </c>
      <c r="W1488" s="50">
        <v>0.0</v>
      </c>
      <c r="X1488" s="50">
        <v>2.8125</v>
      </c>
      <c r="Y1488" s="50">
        <v>13.05</v>
      </c>
    </row>
    <row r="1489">
      <c r="A1489" s="26">
        <v>1483.0</v>
      </c>
      <c r="B1489" s="65">
        <v>1.1806411678015367</v>
      </c>
      <c r="C1489" s="65">
        <v>1.197407386816406</v>
      </c>
      <c r="D1489" s="65">
        <v>-0.7543390986678987</v>
      </c>
      <c r="E1489" s="65">
        <v>-0.7169099980161242</v>
      </c>
      <c r="F1489" s="65">
        <v>1.4558452716639798</v>
      </c>
      <c r="G1489" s="50">
        <v>0.0</v>
      </c>
      <c r="H1489" s="50">
        <v>0.0</v>
      </c>
      <c r="I1489" s="50">
        <v>0.0</v>
      </c>
      <c r="J1489" s="50">
        <v>0.0</v>
      </c>
      <c r="K1489" s="50">
        <v>0.0</v>
      </c>
      <c r="L1489" s="50">
        <v>0.0</v>
      </c>
      <c r="M1489" s="50">
        <v>0.0</v>
      </c>
      <c r="N1489" s="50">
        <v>0.0</v>
      </c>
      <c r="O1489" s="50">
        <v>0.0</v>
      </c>
      <c r="P1489" s="50">
        <v>0.0</v>
      </c>
      <c r="Q1489" s="50">
        <v>0.0</v>
      </c>
      <c r="R1489" s="50">
        <v>0.0</v>
      </c>
      <c r="S1489" s="50">
        <v>0.0</v>
      </c>
      <c r="T1489" s="50">
        <v>2.8125</v>
      </c>
      <c r="U1489" s="50">
        <v>0.0</v>
      </c>
      <c r="V1489" s="50">
        <v>5.625</v>
      </c>
      <c r="W1489" s="50">
        <v>0.0</v>
      </c>
      <c r="X1489" s="50">
        <v>2.8125</v>
      </c>
      <c r="Y1489" s="50">
        <v>11.25</v>
      </c>
    </row>
    <row r="1490">
      <c r="A1490" s="26">
        <v>1484.0</v>
      </c>
      <c r="B1490" s="65">
        <v>1.3235345143688038</v>
      </c>
      <c r="C1490" s="65">
        <v>-1.5594190611865695</v>
      </c>
      <c r="D1490" s="65">
        <v>0.6336541816903453</v>
      </c>
      <c r="E1490" s="65">
        <v>-0.18754733556430403</v>
      </c>
      <c r="F1490" s="65">
        <v>1.2193550547626881</v>
      </c>
      <c r="G1490" s="50">
        <v>0.0</v>
      </c>
      <c r="H1490" s="50">
        <v>0.0</v>
      </c>
      <c r="I1490" s="50">
        <v>0.0</v>
      </c>
      <c r="J1490" s="50">
        <v>0.0</v>
      </c>
      <c r="K1490" s="50">
        <v>0.0</v>
      </c>
      <c r="L1490" s="50">
        <v>0.0</v>
      </c>
      <c r="M1490" s="50">
        <v>0.0</v>
      </c>
      <c r="N1490" s="50">
        <v>0.0</v>
      </c>
      <c r="O1490" s="50">
        <v>7.425000000000001</v>
      </c>
      <c r="P1490" s="50">
        <v>0.0</v>
      </c>
      <c r="Q1490" s="50">
        <v>0.0</v>
      </c>
      <c r="R1490" s="50">
        <v>0.0</v>
      </c>
      <c r="S1490" s="50">
        <v>0.0</v>
      </c>
      <c r="T1490" s="50">
        <v>2.8125</v>
      </c>
      <c r="U1490" s="50">
        <v>0.0</v>
      </c>
      <c r="V1490" s="50">
        <v>0.0</v>
      </c>
      <c r="W1490" s="50">
        <v>4.95</v>
      </c>
      <c r="X1490" s="50">
        <v>2.8125</v>
      </c>
      <c r="Y1490" s="50">
        <v>18.0</v>
      </c>
    </row>
    <row r="1491">
      <c r="A1491" s="26">
        <v>1485.0</v>
      </c>
      <c r="B1491" s="65">
        <v>-2.3679509739654745</v>
      </c>
      <c r="C1491" s="65">
        <v>-1.872502409020759</v>
      </c>
      <c r="D1491" s="65">
        <v>2.307305578125782</v>
      </c>
      <c r="E1491" s="65">
        <v>0.3957889057103269</v>
      </c>
      <c r="F1491" s="65">
        <v>4.185947786154186</v>
      </c>
      <c r="G1491" s="50">
        <v>0.0</v>
      </c>
      <c r="H1491" s="50">
        <v>0.0</v>
      </c>
      <c r="I1491" s="50">
        <v>0.0</v>
      </c>
      <c r="J1491" s="50">
        <v>0.0</v>
      </c>
      <c r="K1491" s="50">
        <v>0.0</v>
      </c>
      <c r="L1491" s="50">
        <v>0.0</v>
      </c>
      <c r="M1491" s="50">
        <v>0.0</v>
      </c>
      <c r="N1491" s="50">
        <v>0.0</v>
      </c>
      <c r="O1491" s="50">
        <v>7.425000000000001</v>
      </c>
      <c r="P1491" s="50">
        <v>0.0</v>
      </c>
      <c r="Q1491" s="50">
        <v>0.0</v>
      </c>
      <c r="R1491" s="50">
        <v>0.0</v>
      </c>
      <c r="S1491" s="50">
        <v>0.0</v>
      </c>
      <c r="T1491" s="50">
        <v>2.8125</v>
      </c>
      <c r="U1491" s="50">
        <v>9.9</v>
      </c>
      <c r="V1491" s="50">
        <v>5.625</v>
      </c>
      <c r="W1491" s="50">
        <v>0.0</v>
      </c>
      <c r="X1491" s="50">
        <v>2.8125</v>
      </c>
      <c r="Y1491" s="50">
        <v>28.575000000000003</v>
      </c>
    </row>
    <row r="1492">
      <c r="A1492" s="26">
        <v>1486.0</v>
      </c>
      <c r="B1492" s="65">
        <v>0.024787876733842494</v>
      </c>
      <c r="C1492" s="65">
        <v>0.5309152307905511</v>
      </c>
      <c r="D1492" s="65">
        <v>-2.137813262627847</v>
      </c>
      <c r="E1492" s="65">
        <v>1.242135465485144</v>
      </c>
      <c r="F1492" s="65">
        <v>3.303684262613281</v>
      </c>
      <c r="G1492" s="50">
        <v>0.0</v>
      </c>
      <c r="H1492" s="50">
        <v>0.0</v>
      </c>
      <c r="I1492" s="50">
        <v>0.0</v>
      </c>
      <c r="J1492" s="50">
        <v>0.0</v>
      </c>
      <c r="K1492" s="50">
        <v>0.0</v>
      </c>
      <c r="L1492" s="50">
        <v>0.0</v>
      </c>
      <c r="M1492" s="50">
        <v>0.0</v>
      </c>
      <c r="N1492" s="50">
        <v>0.0</v>
      </c>
      <c r="O1492" s="50">
        <v>0.0</v>
      </c>
      <c r="P1492" s="50">
        <v>0.0</v>
      </c>
      <c r="Q1492" s="50">
        <v>13.5</v>
      </c>
      <c r="R1492" s="50">
        <v>0.0</v>
      </c>
      <c r="S1492" s="50">
        <v>0.0</v>
      </c>
      <c r="T1492" s="50">
        <v>2.8125</v>
      </c>
      <c r="U1492" s="50">
        <v>0.0</v>
      </c>
      <c r="V1492" s="50">
        <v>5.625</v>
      </c>
      <c r="W1492" s="50">
        <v>0.0</v>
      </c>
      <c r="X1492" s="50">
        <v>2.8125</v>
      </c>
      <c r="Y1492" s="50">
        <v>24.75</v>
      </c>
    </row>
    <row r="1493">
      <c r="A1493" s="26">
        <v>1487.0</v>
      </c>
      <c r="B1493" s="65">
        <v>0.684626355828565</v>
      </c>
      <c r="C1493" s="65">
        <v>1.8435847305246744</v>
      </c>
      <c r="D1493" s="65">
        <v>0.8913285569337835</v>
      </c>
      <c r="E1493" s="65">
        <v>1.0615836641965257</v>
      </c>
      <c r="F1493" s="65">
        <v>2.4635819141809607</v>
      </c>
      <c r="G1493" s="50">
        <v>0.0</v>
      </c>
      <c r="H1493" s="50">
        <v>0.0</v>
      </c>
      <c r="I1493" s="50">
        <v>0.0</v>
      </c>
      <c r="J1493" s="50">
        <v>0.0</v>
      </c>
      <c r="K1493" s="50">
        <v>0.0</v>
      </c>
      <c r="L1493" s="50">
        <v>0.0</v>
      </c>
      <c r="M1493" s="50">
        <v>0.0</v>
      </c>
      <c r="N1493" s="50">
        <v>0.0</v>
      </c>
      <c r="O1493" s="50">
        <v>0.0</v>
      </c>
      <c r="P1493" s="50">
        <v>0.0</v>
      </c>
      <c r="Q1493" s="50">
        <v>0.0</v>
      </c>
      <c r="R1493" s="50">
        <v>0.0</v>
      </c>
      <c r="S1493" s="50">
        <v>0.0</v>
      </c>
      <c r="T1493" s="50">
        <v>2.8125</v>
      </c>
      <c r="U1493" s="50">
        <v>0.0</v>
      </c>
      <c r="V1493" s="50">
        <v>0.0</v>
      </c>
      <c r="W1493" s="50">
        <v>0.0</v>
      </c>
      <c r="X1493" s="50">
        <v>2.8125</v>
      </c>
      <c r="Y1493" s="50">
        <v>5.625</v>
      </c>
    </row>
    <row r="1494">
      <c r="A1494" s="26">
        <v>1488.0</v>
      </c>
      <c r="B1494" s="65">
        <v>-0.4984593851338199</v>
      </c>
      <c r="C1494" s="65">
        <v>0.4746757342437472</v>
      </c>
      <c r="D1494" s="65">
        <v>0.4850646108051293</v>
      </c>
      <c r="E1494" s="65">
        <v>-1.2942736948677334</v>
      </c>
      <c r="F1494" s="65">
        <v>5.57238836675431</v>
      </c>
      <c r="G1494" s="50">
        <v>0.0</v>
      </c>
      <c r="H1494" s="50">
        <v>0.0</v>
      </c>
      <c r="I1494" s="50">
        <v>0.0</v>
      </c>
      <c r="J1494" s="50">
        <v>0.0</v>
      </c>
      <c r="K1494" s="50">
        <v>0.0</v>
      </c>
      <c r="L1494" s="50">
        <v>0.0</v>
      </c>
      <c r="M1494" s="50">
        <v>0.0</v>
      </c>
      <c r="N1494" s="50">
        <v>0.0</v>
      </c>
      <c r="O1494" s="50">
        <v>0.0</v>
      </c>
      <c r="P1494" s="50">
        <v>0.0</v>
      </c>
      <c r="Q1494" s="50">
        <v>0.0</v>
      </c>
      <c r="R1494" s="50">
        <v>0.0</v>
      </c>
      <c r="S1494" s="50">
        <v>0.0</v>
      </c>
      <c r="T1494" s="50">
        <v>2.8125</v>
      </c>
      <c r="U1494" s="50">
        <v>0.0</v>
      </c>
      <c r="V1494" s="50">
        <v>0.0</v>
      </c>
      <c r="W1494" s="50">
        <v>0.0</v>
      </c>
      <c r="X1494" s="50">
        <v>2.8125</v>
      </c>
      <c r="Y1494" s="50">
        <v>5.625</v>
      </c>
    </row>
    <row r="1495">
      <c r="A1495" s="26">
        <v>1489.0</v>
      </c>
      <c r="B1495" s="65">
        <v>-0.9308634206922282</v>
      </c>
      <c r="C1495" s="65">
        <v>0.26964457163188865</v>
      </c>
      <c r="D1495" s="65">
        <v>-0.7087721211312912</v>
      </c>
      <c r="E1495" s="65">
        <v>0.6519439576838685</v>
      </c>
      <c r="F1495" s="65">
        <v>3.6485927693358766</v>
      </c>
      <c r="G1495" s="50">
        <v>0.0</v>
      </c>
      <c r="H1495" s="50">
        <v>0.0</v>
      </c>
      <c r="I1495" s="50">
        <v>0.0</v>
      </c>
      <c r="J1495" s="50">
        <v>0.0</v>
      </c>
      <c r="K1495" s="50">
        <v>0.0</v>
      </c>
      <c r="L1495" s="50">
        <v>0.0</v>
      </c>
      <c r="M1495" s="50">
        <v>0.0</v>
      </c>
      <c r="N1495" s="50">
        <v>0.0</v>
      </c>
      <c r="O1495" s="50">
        <v>7.425000000000001</v>
      </c>
      <c r="P1495" s="50">
        <v>0.0</v>
      </c>
      <c r="Q1495" s="50">
        <v>0.0</v>
      </c>
      <c r="R1495" s="50">
        <v>0.0</v>
      </c>
      <c r="S1495" s="50">
        <v>0.0</v>
      </c>
      <c r="T1495" s="50">
        <v>2.8125</v>
      </c>
      <c r="U1495" s="50">
        <v>0.0</v>
      </c>
      <c r="V1495" s="50">
        <v>5.625</v>
      </c>
      <c r="W1495" s="50">
        <v>0.0</v>
      </c>
      <c r="X1495" s="50">
        <v>2.8125</v>
      </c>
      <c r="Y1495" s="50">
        <v>18.675</v>
      </c>
    </row>
    <row r="1496">
      <c r="A1496" s="26">
        <v>1490.0</v>
      </c>
      <c r="B1496" s="65">
        <v>1.1913089557217542</v>
      </c>
      <c r="C1496" s="65">
        <v>-0.5176123350126826</v>
      </c>
      <c r="D1496" s="65">
        <v>-0.46937995800884225</v>
      </c>
      <c r="E1496" s="65">
        <v>0.1032843420254447</v>
      </c>
      <c r="F1496" s="65">
        <v>4.5956878684949825</v>
      </c>
      <c r="G1496" s="50">
        <v>0.0</v>
      </c>
      <c r="H1496" s="50">
        <v>0.0</v>
      </c>
      <c r="I1496" s="50">
        <v>0.0</v>
      </c>
      <c r="J1496" s="50">
        <v>0.0</v>
      </c>
      <c r="K1496" s="50">
        <v>0.0</v>
      </c>
      <c r="L1496" s="50">
        <v>0.0</v>
      </c>
      <c r="M1496" s="50">
        <v>0.0</v>
      </c>
      <c r="N1496" s="50">
        <v>0.0</v>
      </c>
      <c r="O1496" s="50">
        <v>0.0</v>
      </c>
      <c r="P1496" s="50">
        <v>0.0</v>
      </c>
      <c r="Q1496" s="50">
        <v>0.0</v>
      </c>
      <c r="R1496" s="50">
        <v>0.0</v>
      </c>
      <c r="S1496" s="50">
        <v>0.0</v>
      </c>
      <c r="T1496" s="50">
        <v>2.8125</v>
      </c>
      <c r="U1496" s="50">
        <v>0.0</v>
      </c>
      <c r="V1496" s="50">
        <v>0.0</v>
      </c>
      <c r="W1496" s="50">
        <v>0.0</v>
      </c>
      <c r="X1496" s="50">
        <v>2.8125</v>
      </c>
      <c r="Y1496" s="50">
        <v>5.625</v>
      </c>
    </row>
    <row r="1497">
      <c r="A1497" s="26">
        <v>1491.0</v>
      </c>
      <c r="B1497" s="65">
        <v>0.5873016437580748</v>
      </c>
      <c r="C1497" s="65">
        <v>0.8471250369369543</v>
      </c>
      <c r="D1497" s="65">
        <v>-0.41473477119089286</v>
      </c>
      <c r="E1497" s="65">
        <v>-0.9759057424157853</v>
      </c>
      <c r="F1497" s="65">
        <v>2.098408749155854</v>
      </c>
      <c r="G1497" s="50">
        <v>0.0</v>
      </c>
      <c r="H1497" s="50">
        <v>0.0</v>
      </c>
      <c r="I1497" s="50">
        <v>0.0</v>
      </c>
      <c r="J1497" s="50">
        <v>0.0</v>
      </c>
      <c r="K1497" s="50">
        <v>0.0</v>
      </c>
      <c r="L1497" s="50">
        <v>0.0</v>
      </c>
      <c r="M1497" s="50">
        <v>0.0</v>
      </c>
      <c r="N1497" s="50">
        <v>0.0</v>
      </c>
      <c r="O1497" s="50">
        <v>0.0</v>
      </c>
      <c r="P1497" s="50">
        <v>0.0</v>
      </c>
      <c r="Q1497" s="50">
        <v>0.0</v>
      </c>
      <c r="R1497" s="50">
        <v>0.0</v>
      </c>
      <c r="S1497" s="50">
        <v>0.0</v>
      </c>
      <c r="T1497" s="50">
        <v>2.8125</v>
      </c>
      <c r="U1497" s="50">
        <v>0.0</v>
      </c>
      <c r="V1497" s="50">
        <v>0.0</v>
      </c>
      <c r="W1497" s="50">
        <v>0.0</v>
      </c>
      <c r="X1497" s="50">
        <v>2.8125</v>
      </c>
      <c r="Y1497" s="50">
        <v>5.625</v>
      </c>
    </row>
    <row r="1498">
      <c r="A1498" s="26">
        <v>1492.0</v>
      </c>
      <c r="B1498" s="65">
        <v>-0.3530741292522053</v>
      </c>
      <c r="C1498" s="65">
        <v>-2.5462554320665682</v>
      </c>
      <c r="D1498" s="65">
        <v>0.5318050654968038</v>
      </c>
      <c r="E1498" s="65">
        <v>0.5717578909911686</v>
      </c>
      <c r="F1498" s="65">
        <v>5.945441732270613</v>
      </c>
      <c r="G1498" s="50">
        <v>0.0</v>
      </c>
      <c r="H1498" s="50">
        <v>0.0</v>
      </c>
      <c r="I1498" s="50">
        <v>0.0</v>
      </c>
      <c r="J1498" s="50">
        <v>0.0</v>
      </c>
      <c r="K1498" s="50">
        <v>0.0</v>
      </c>
      <c r="L1498" s="50">
        <v>0.0</v>
      </c>
      <c r="M1498" s="50">
        <v>0.0</v>
      </c>
      <c r="N1498" s="50">
        <v>0.0</v>
      </c>
      <c r="O1498" s="50">
        <v>7.425000000000001</v>
      </c>
      <c r="P1498" s="50">
        <v>0.0</v>
      </c>
      <c r="Q1498" s="50">
        <v>0.0</v>
      </c>
      <c r="R1498" s="50">
        <v>0.0</v>
      </c>
      <c r="S1498" s="50">
        <v>0.0</v>
      </c>
      <c r="T1498" s="50">
        <v>2.8125</v>
      </c>
      <c r="U1498" s="50">
        <v>0.0</v>
      </c>
      <c r="V1498" s="50">
        <v>5.625</v>
      </c>
      <c r="W1498" s="50">
        <v>0.0</v>
      </c>
      <c r="X1498" s="50">
        <v>2.8125</v>
      </c>
      <c r="Y1498" s="50">
        <v>18.675</v>
      </c>
    </row>
    <row r="1499">
      <c r="A1499" s="26">
        <v>1493.0</v>
      </c>
      <c r="B1499" s="65">
        <v>0.4200055451496039</v>
      </c>
      <c r="C1499" s="65">
        <v>0.790362708380819</v>
      </c>
      <c r="D1499" s="65">
        <v>1.0469320032741403</v>
      </c>
      <c r="E1499" s="65">
        <v>-1.1413856128888076</v>
      </c>
      <c r="F1499" s="65">
        <v>8.297133176152055</v>
      </c>
      <c r="G1499" s="50">
        <v>0.0</v>
      </c>
      <c r="H1499" s="50">
        <v>0.0</v>
      </c>
      <c r="I1499" s="50">
        <v>0.0</v>
      </c>
      <c r="J1499" s="50">
        <v>0.0</v>
      </c>
      <c r="K1499" s="50">
        <v>0.0</v>
      </c>
      <c r="L1499" s="50">
        <v>0.0</v>
      </c>
      <c r="M1499" s="50">
        <v>0.0</v>
      </c>
      <c r="N1499" s="50">
        <v>0.0</v>
      </c>
      <c r="O1499" s="50">
        <v>0.0</v>
      </c>
      <c r="P1499" s="50">
        <v>0.0</v>
      </c>
      <c r="Q1499" s="50">
        <v>0.0</v>
      </c>
      <c r="R1499" s="50">
        <v>0.0</v>
      </c>
      <c r="S1499" s="50">
        <v>0.0</v>
      </c>
      <c r="T1499" s="50">
        <v>2.8125</v>
      </c>
      <c r="U1499" s="50">
        <v>0.0</v>
      </c>
      <c r="V1499" s="50">
        <v>5.625</v>
      </c>
      <c r="W1499" s="50">
        <v>0.0</v>
      </c>
      <c r="X1499" s="50">
        <v>2.8125</v>
      </c>
      <c r="Y1499" s="50">
        <v>11.25</v>
      </c>
    </row>
    <row r="1500">
      <c r="A1500" s="26">
        <v>1494.0</v>
      </c>
      <c r="B1500" s="65">
        <v>2.2207647892406013</v>
      </c>
      <c r="C1500" s="65">
        <v>-0.4047869103697498</v>
      </c>
      <c r="D1500" s="65">
        <v>0.019040781897771784</v>
      </c>
      <c r="E1500" s="65">
        <v>-0.9592422055143981</v>
      </c>
      <c r="F1500" s="65">
        <v>3.4156774290485057</v>
      </c>
      <c r="G1500" s="50">
        <v>0.0</v>
      </c>
      <c r="H1500" s="50">
        <v>0.0</v>
      </c>
      <c r="I1500" s="50">
        <v>0.0</v>
      </c>
      <c r="J1500" s="50">
        <v>0.0</v>
      </c>
      <c r="K1500" s="50">
        <v>0.0</v>
      </c>
      <c r="L1500" s="50">
        <v>0.0</v>
      </c>
      <c r="M1500" s="50">
        <v>0.0</v>
      </c>
      <c r="N1500" s="50">
        <v>0.0</v>
      </c>
      <c r="O1500" s="50">
        <v>0.0</v>
      </c>
      <c r="P1500" s="50">
        <v>0.0</v>
      </c>
      <c r="Q1500" s="50">
        <v>0.0</v>
      </c>
      <c r="R1500" s="50">
        <v>0.0</v>
      </c>
      <c r="S1500" s="50">
        <v>0.0</v>
      </c>
      <c r="T1500" s="50">
        <v>2.8125</v>
      </c>
      <c r="U1500" s="50">
        <v>0.0</v>
      </c>
      <c r="V1500" s="50">
        <v>0.0</v>
      </c>
      <c r="W1500" s="50">
        <v>0.0</v>
      </c>
      <c r="X1500" s="50">
        <v>2.8125</v>
      </c>
      <c r="Y1500" s="50">
        <v>5.625</v>
      </c>
    </row>
    <row r="1501">
      <c r="A1501" s="26">
        <v>1495.0</v>
      </c>
      <c r="B1501" s="65">
        <v>0.12575210841223383</v>
      </c>
      <c r="C1501" s="65">
        <v>0.277150164345333</v>
      </c>
      <c r="D1501" s="65">
        <v>-0.08387778464894265</v>
      </c>
      <c r="E1501" s="65">
        <v>-0.25628279267453147</v>
      </c>
      <c r="F1501" s="65">
        <v>16.227207342475978</v>
      </c>
      <c r="G1501" s="50">
        <v>0.0</v>
      </c>
      <c r="H1501" s="50">
        <v>0.0</v>
      </c>
      <c r="I1501" s="50">
        <v>0.0</v>
      </c>
      <c r="J1501" s="50">
        <v>0.0</v>
      </c>
      <c r="K1501" s="50">
        <v>0.0</v>
      </c>
      <c r="L1501" s="50">
        <v>0.0</v>
      </c>
      <c r="M1501" s="50">
        <v>0.0</v>
      </c>
      <c r="N1501" s="50">
        <v>0.0</v>
      </c>
      <c r="O1501" s="50">
        <v>0.0</v>
      </c>
      <c r="P1501" s="50">
        <v>0.0</v>
      </c>
      <c r="Q1501" s="50">
        <v>0.0</v>
      </c>
      <c r="R1501" s="50">
        <v>0.0</v>
      </c>
      <c r="S1501" s="50">
        <v>0.0</v>
      </c>
      <c r="T1501" s="50">
        <v>2.8125</v>
      </c>
      <c r="U1501" s="50">
        <v>0.0</v>
      </c>
      <c r="V1501" s="50">
        <v>0.0</v>
      </c>
      <c r="W1501" s="50">
        <v>0.0</v>
      </c>
      <c r="X1501" s="50">
        <v>2.8125</v>
      </c>
      <c r="Y1501" s="50">
        <v>5.625</v>
      </c>
    </row>
    <row r="1502">
      <c r="A1502" s="26">
        <v>1496.0</v>
      </c>
      <c r="B1502" s="65">
        <v>0.4933711360976862</v>
      </c>
      <c r="C1502" s="65">
        <v>1.4673085726482316</v>
      </c>
      <c r="D1502" s="65">
        <v>0.7312157161791375</v>
      </c>
      <c r="E1502" s="65">
        <v>1.1926205050287826</v>
      </c>
      <c r="F1502" s="65">
        <v>6.792897005073382</v>
      </c>
      <c r="G1502" s="50">
        <v>0.0</v>
      </c>
      <c r="H1502" s="50">
        <v>0.0</v>
      </c>
      <c r="I1502" s="50">
        <v>0.0</v>
      </c>
      <c r="J1502" s="50">
        <v>0.0</v>
      </c>
      <c r="K1502" s="50">
        <v>0.0</v>
      </c>
      <c r="L1502" s="50">
        <v>0.0</v>
      </c>
      <c r="M1502" s="50">
        <v>0.0</v>
      </c>
      <c r="N1502" s="50">
        <v>0.0</v>
      </c>
      <c r="O1502" s="50">
        <v>0.0</v>
      </c>
      <c r="P1502" s="50">
        <v>0.0</v>
      </c>
      <c r="Q1502" s="50">
        <v>0.0</v>
      </c>
      <c r="R1502" s="50">
        <v>0.0</v>
      </c>
      <c r="S1502" s="50">
        <v>0.0</v>
      </c>
      <c r="T1502" s="50">
        <v>2.8125</v>
      </c>
      <c r="U1502" s="50">
        <v>0.0</v>
      </c>
      <c r="V1502" s="50">
        <v>0.0</v>
      </c>
      <c r="W1502" s="50">
        <v>0.0</v>
      </c>
      <c r="X1502" s="50">
        <v>2.8125</v>
      </c>
      <c r="Y1502" s="50">
        <v>5.625</v>
      </c>
    </row>
    <row r="1503">
      <c r="A1503" s="26">
        <v>1497.0</v>
      </c>
      <c r="B1503" s="65">
        <v>-0.5149271550217805</v>
      </c>
      <c r="C1503" s="65">
        <v>2.786235221368729</v>
      </c>
      <c r="D1503" s="65">
        <v>1.4958035491843513</v>
      </c>
      <c r="E1503" s="65">
        <v>-0.3331812473431118</v>
      </c>
      <c r="F1503" s="65">
        <v>4.324014776283803</v>
      </c>
      <c r="G1503" s="50">
        <v>0.0</v>
      </c>
      <c r="H1503" s="50">
        <v>0.0</v>
      </c>
      <c r="I1503" s="50">
        <v>0.0</v>
      </c>
      <c r="J1503" s="50">
        <v>0.0</v>
      </c>
      <c r="K1503" s="50">
        <v>0.0</v>
      </c>
      <c r="L1503" s="50">
        <v>0.0</v>
      </c>
      <c r="M1503" s="50">
        <v>0.0</v>
      </c>
      <c r="N1503" s="50">
        <v>0.0</v>
      </c>
      <c r="O1503" s="50">
        <v>0.0</v>
      </c>
      <c r="P1503" s="50">
        <v>0.0</v>
      </c>
      <c r="Q1503" s="50">
        <v>0.0</v>
      </c>
      <c r="R1503" s="50">
        <v>0.0</v>
      </c>
      <c r="S1503" s="50">
        <v>0.0</v>
      </c>
      <c r="T1503" s="50">
        <v>2.8125</v>
      </c>
      <c r="U1503" s="50">
        <v>0.0</v>
      </c>
      <c r="V1503" s="50">
        <v>5.625</v>
      </c>
      <c r="W1503" s="50">
        <v>0.0</v>
      </c>
      <c r="X1503" s="50">
        <v>2.8125</v>
      </c>
      <c r="Y1503" s="50">
        <v>11.25</v>
      </c>
    </row>
    <row r="1504">
      <c r="A1504" s="26">
        <v>1498.0</v>
      </c>
      <c r="B1504" s="65">
        <v>-0.32263288156531683</v>
      </c>
      <c r="C1504" s="65">
        <v>0.03929882489822471</v>
      </c>
      <c r="D1504" s="65">
        <v>0.8220868715865239</v>
      </c>
      <c r="E1504" s="65">
        <v>1.7009229438745102</v>
      </c>
      <c r="F1504" s="65">
        <v>4.509629957505093</v>
      </c>
      <c r="G1504" s="50">
        <v>0.0</v>
      </c>
      <c r="H1504" s="50">
        <v>0.0</v>
      </c>
      <c r="I1504" s="50">
        <v>0.0</v>
      </c>
      <c r="J1504" s="50">
        <v>0.0</v>
      </c>
      <c r="K1504" s="50">
        <v>0.0</v>
      </c>
      <c r="L1504" s="50">
        <v>0.0</v>
      </c>
      <c r="M1504" s="50">
        <v>0.0</v>
      </c>
      <c r="N1504" s="50">
        <v>0.0</v>
      </c>
      <c r="O1504" s="50">
        <v>7.425000000000001</v>
      </c>
      <c r="P1504" s="50">
        <v>0.0</v>
      </c>
      <c r="Q1504" s="50">
        <v>0.0</v>
      </c>
      <c r="R1504" s="50">
        <v>0.0</v>
      </c>
      <c r="S1504" s="50">
        <v>0.0</v>
      </c>
      <c r="T1504" s="50">
        <v>2.8125</v>
      </c>
      <c r="U1504" s="50">
        <v>0.0</v>
      </c>
      <c r="V1504" s="50">
        <v>0.0</v>
      </c>
      <c r="W1504" s="50">
        <v>0.0</v>
      </c>
      <c r="X1504" s="50">
        <v>2.8125</v>
      </c>
      <c r="Y1504" s="50">
        <v>13.05</v>
      </c>
    </row>
    <row r="1505">
      <c r="A1505" s="26">
        <v>1499.0</v>
      </c>
      <c r="B1505" s="65">
        <v>-0.8569523900653473</v>
      </c>
      <c r="C1505" s="65">
        <v>-0.41608741859347115</v>
      </c>
      <c r="D1505" s="65">
        <v>-0.31976504331163813</v>
      </c>
      <c r="E1505" s="65">
        <v>0.5932843922624602</v>
      </c>
      <c r="F1505" s="65">
        <v>3.353542404828003</v>
      </c>
      <c r="G1505" s="50">
        <v>0.0</v>
      </c>
      <c r="H1505" s="50">
        <v>0.0</v>
      </c>
      <c r="I1505" s="50">
        <v>0.0</v>
      </c>
      <c r="J1505" s="50">
        <v>0.0</v>
      </c>
      <c r="K1505" s="50">
        <v>0.0</v>
      </c>
      <c r="L1505" s="50">
        <v>0.0</v>
      </c>
      <c r="M1505" s="50">
        <v>0.0</v>
      </c>
      <c r="N1505" s="50">
        <v>0.0</v>
      </c>
      <c r="O1505" s="50">
        <v>0.0</v>
      </c>
      <c r="P1505" s="50">
        <v>2.475</v>
      </c>
      <c r="Q1505" s="50">
        <v>0.0</v>
      </c>
      <c r="R1505" s="50">
        <v>9.9</v>
      </c>
      <c r="S1505" s="50">
        <v>0.0</v>
      </c>
      <c r="T1505" s="50">
        <v>2.8125</v>
      </c>
      <c r="U1505" s="50">
        <v>0.0</v>
      </c>
      <c r="V1505" s="50">
        <v>5.625</v>
      </c>
      <c r="W1505" s="50">
        <v>0.0</v>
      </c>
      <c r="X1505" s="50">
        <v>2.8125</v>
      </c>
      <c r="Y1505" s="50">
        <v>23.625</v>
      </c>
    </row>
    <row r="1506">
      <c r="A1506" s="26">
        <v>1500.0</v>
      </c>
      <c r="B1506" s="65">
        <v>-0.24674064767241147</v>
      </c>
      <c r="C1506" s="65">
        <v>-0.1575532821545122</v>
      </c>
      <c r="D1506" s="65">
        <v>-1.3508013165868815</v>
      </c>
      <c r="E1506" s="65">
        <v>-0.6727603805063177</v>
      </c>
      <c r="F1506" s="65">
        <v>1.610533493629375</v>
      </c>
      <c r="G1506" s="50">
        <v>0.0</v>
      </c>
      <c r="H1506" s="50">
        <v>0.0</v>
      </c>
      <c r="I1506" s="50">
        <v>0.0</v>
      </c>
      <c r="J1506" s="50">
        <v>0.0</v>
      </c>
      <c r="K1506" s="50">
        <v>0.0</v>
      </c>
      <c r="L1506" s="50">
        <v>0.0</v>
      </c>
      <c r="M1506" s="50">
        <v>0.0</v>
      </c>
      <c r="N1506" s="50">
        <v>0.0</v>
      </c>
      <c r="O1506" s="50">
        <v>0.0</v>
      </c>
      <c r="P1506" s="50">
        <v>0.0</v>
      </c>
      <c r="Q1506" s="50">
        <v>0.0</v>
      </c>
      <c r="R1506" s="50">
        <v>0.0</v>
      </c>
      <c r="S1506" s="50">
        <v>0.0</v>
      </c>
      <c r="T1506" s="50">
        <v>2.8125</v>
      </c>
      <c r="U1506" s="50">
        <v>0.0</v>
      </c>
      <c r="V1506" s="50">
        <v>5.625</v>
      </c>
      <c r="W1506" s="50">
        <v>0.0</v>
      </c>
      <c r="X1506" s="50">
        <v>2.8125</v>
      </c>
      <c r="Y1506" s="50">
        <v>11.25</v>
      </c>
    </row>
    <row r="1507">
      <c r="A1507" s="26">
        <v>1501.0</v>
      </c>
      <c r="B1507" s="65">
        <v>-0.1937896641119607</v>
      </c>
      <c r="C1507" s="65">
        <v>0.6490101513303084</v>
      </c>
      <c r="D1507" s="65">
        <v>0.601186904491515</v>
      </c>
      <c r="E1507" s="65">
        <v>-1.1481895521958911</v>
      </c>
      <c r="F1507" s="65">
        <v>4.6627522217946815</v>
      </c>
      <c r="G1507" s="50">
        <v>0.0</v>
      </c>
      <c r="H1507" s="50">
        <v>0.0</v>
      </c>
      <c r="I1507" s="50">
        <v>0.0</v>
      </c>
      <c r="J1507" s="50">
        <v>0.0</v>
      </c>
      <c r="K1507" s="50">
        <v>0.0</v>
      </c>
      <c r="L1507" s="50">
        <v>0.0</v>
      </c>
      <c r="M1507" s="50">
        <v>0.0</v>
      </c>
      <c r="N1507" s="50">
        <v>0.0</v>
      </c>
      <c r="O1507" s="50">
        <v>0.0</v>
      </c>
      <c r="P1507" s="50">
        <v>0.0</v>
      </c>
      <c r="Q1507" s="50">
        <v>0.0</v>
      </c>
      <c r="R1507" s="50">
        <v>0.0</v>
      </c>
      <c r="S1507" s="50">
        <v>0.0</v>
      </c>
      <c r="T1507" s="50">
        <v>2.8125</v>
      </c>
      <c r="U1507" s="50">
        <v>0.0</v>
      </c>
      <c r="V1507" s="50">
        <v>5.625</v>
      </c>
      <c r="W1507" s="50">
        <v>0.0</v>
      </c>
      <c r="X1507" s="50">
        <v>2.8125</v>
      </c>
      <c r="Y1507" s="50">
        <v>11.25</v>
      </c>
    </row>
    <row r="1508">
      <c r="A1508" s="26">
        <v>1502.0</v>
      </c>
      <c r="B1508" s="65">
        <v>-0.6990878537862273</v>
      </c>
      <c r="C1508" s="65">
        <v>0.8284276628877966</v>
      </c>
      <c r="D1508" s="65">
        <v>0.4704798945443161</v>
      </c>
      <c r="E1508" s="65">
        <v>-1.1135157050380995</v>
      </c>
      <c r="F1508" s="65">
        <v>9.73784958948533</v>
      </c>
      <c r="G1508" s="50">
        <v>0.0</v>
      </c>
      <c r="H1508" s="50">
        <v>0.0</v>
      </c>
      <c r="I1508" s="50">
        <v>0.0</v>
      </c>
      <c r="J1508" s="50">
        <v>0.0</v>
      </c>
      <c r="K1508" s="50">
        <v>0.0</v>
      </c>
      <c r="L1508" s="50">
        <v>0.0</v>
      </c>
      <c r="M1508" s="50">
        <v>0.0</v>
      </c>
      <c r="N1508" s="50">
        <v>0.0</v>
      </c>
      <c r="O1508" s="50">
        <v>0.0</v>
      </c>
      <c r="P1508" s="50">
        <v>0.0</v>
      </c>
      <c r="Q1508" s="50">
        <v>0.0</v>
      </c>
      <c r="R1508" s="50">
        <v>0.0</v>
      </c>
      <c r="S1508" s="50">
        <v>0.0</v>
      </c>
      <c r="T1508" s="50">
        <v>2.8125</v>
      </c>
      <c r="U1508" s="50">
        <v>0.0</v>
      </c>
      <c r="V1508" s="50">
        <v>5.625</v>
      </c>
      <c r="W1508" s="50">
        <v>0.0</v>
      </c>
      <c r="X1508" s="50">
        <v>2.8125</v>
      </c>
      <c r="Y1508" s="50">
        <v>11.25</v>
      </c>
    </row>
    <row r="1509">
      <c r="A1509" s="26">
        <v>1503.0</v>
      </c>
      <c r="B1509" s="65">
        <v>0.14240535900432283</v>
      </c>
      <c r="C1509" s="65">
        <v>0.21166398280747048</v>
      </c>
      <c r="D1509" s="65">
        <v>0.9246357648878345</v>
      </c>
      <c r="E1509" s="65">
        <v>-0.5007275360461959</v>
      </c>
      <c r="F1509" s="65">
        <v>3.6489566353332816</v>
      </c>
      <c r="G1509" s="50">
        <v>0.0</v>
      </c>
      <c r="H1509" s="50">
        <v>0.0</v>
      </c>
      <c r="I1509" s="50">
        <v>0.0</v>
      </c>
      <c r="J1509" s="50">
        <v>0.0</v>
      </c>
      <c r="K1509" s="50">
        <v>0.0</v>
      </c>
      <c r="L1509" s="50">
        <v>0.0</v>
      </c>
      <c r="M1509" s="50">
        <v>0.0</v>
      </c>
      <c r="N1509" s="50">
        <v>0.0</v>
      </c>
      <c r="O1509" s="50">
        <v>0.0</v>
      </c>
      <c r="P1509" s="50">
        <v>0.0</v>
      </c>
      <c r="Q1509" s="50">
        <v>0.0</v>
      </c>
      <c r="R1509" s="50">
        <v>0.0</v>
      </c>
      <c r="S1509" s="50">
        <v>0.0</v>
      </c>
      <c r="T1509" s="50">
        <v>2.8125</v>
      </c>
      <c r="U1509" s="50">
        <v>0.0</v>
      </c>
      <c r="V1509" s="50">
        <v>0.0</v>
      </c>
      <c r="W1509" s="50">
        <v>0.0</v>
      </c>
      <c r="X1509" s="50">
        <v>2.8125</v>
      </c>
      <c r="Y1509" s="50">
        <v>5.625</v>
      </c>
    </row>
    <row r="1510">
      <c r="A1510" s="26">
        <v>1504.0</v>
      </c>
      <c r="B1510" s="65">
        <v>-0.578897970279941</v>
      </c>
      <c r="C1510" s="65">
        <v>-0.3642888646960426</v>
      </c>
      <c r="D1510" s="65">
        <v>-2.4597811438153525</v>
      </c>
      <c r="E1510" s="65">
        <v>-0.25514033162513455</v>
      </c>
      <c r="F1510" s="65">
        <v>6.452240754789614</v>
      </c>
      <c r="G1510" s="50">
        <v>0.0</v>
      </c>
      <c r="H1510" s="50">
        <v>0.0</v>
      </c>
      <c r="I1510" s="50">
        <v>0.0</v>
      </c>
      <c r="J1510" s="50">
        <v>0.0</v>
      </c>
      <c r="K1510" s="50">
        <v>0.0</v>
      </c>
      <c r="L1510" s="50">
        <v>0.0</v>
      </c>
      <c r="M1510" s="50">
        <v>0.0</v>
      </c>
      <c r="N1510" s="50">
        <v>0.0</v>
      </c>
      <c r="O1510" s="50">
        <v>0.0</v>
      </c>
      <c r="P1510" s="50">
        <v>0.0</v>
      </c>
      <c r="Q1510" s="50">
        <v>0.0</v>
      </c>
      <c r="R1510" s="50">
        <v>9.9</v>
      </c>
      <c r="S1510" s="50">
        <v>0.0</v>
      </c>
      <c r="T1510" s="50">
        <v>2.8125</v>
      </c>
      <c r="U1510" s="50">
        <v>0.0</v>
      </c>
      <c r="V1510" s="50">
        <v>0.0</v>
      </c>
      <c r="W1510" s="50">
        <v>4.95</v>
      </c>
      <c r="X1510" s="50">
        <v>2.8125</v>
      </c>
      <c r="Y1510" s="50">
        <v>20.475</v>
      </c>
    </row>
    <row r="1511">
      <c r="A1511" s="26">
        <v>1505.0</v>
      </c>
      <c r="B1511" s="65">
        <v>1.8057916000145429</v>
      </c>
      <c r="C1511" s="65">
        <v>1.2696257135820128</v>
      </c>
      <c r="D1511" s="65">
        <v>-0.8543075667161514</v>
      </c>
      <c r="E1511" s="65">
        <v>-1.0622653676726976</v>
      </c>
      <c r="F1511" s="65">
        <v>1.6979643551181125</v>
      </c>
      <c r="G1511" s="50">
        <v>0.0</v>
      </c>
      <c r="H1511" s="50">
        <v>0.0</v>
      </c>
      <c r="I1511" s="50">
        <v>0.0</v>
      </c>
      <c r="J1511" s="50">
        <v>0.0</v>
      </c>
      <c r="K1511" s="50">
        <v>0.0</v>
      </c>
      <c r="L1511" s="50">
        <v>0.0</v>
      </c>
      <c r="M1511" s="50">
        <v>0.0</v>
      </c>
      <c r="N1511" s="50">
        <v>0.0</v>
      </c>
      <c r="O1511" s="50">
        <v>0.0</v>
      </c>
      <c r="P1511" s="50">
        <v>0.0</v>
      </c>
      <c r="Q1511" s="50">
        <v>0.0</v>
      </c>
      <c r="R1511" s="50">
        <v>0.0</v>
      </c>
      <c r="S1511" s="50">
        <v>0.0</v>
      </c>
      <c r="T1511" s="50">
        <v>2.8125</v>
      </c>
      <c r="U1511" s="50">
        <v>0.0</v>
      </c>
      <c r="V1511" s="50">
        <v>0.0</v>
      </c>
      <c r="W1511" s="50">
        <v>0.0</v>
      </c>
      <c r="X1511" s="50">
        <v>2.8125</v>
      </c>
      <c r="Y1511" s="50">
        <v>5.625</v>
      </c>
    </row>
    <row r="1512">
      <c r="A1512" s="26">
        <v>1506.0</v>
      </c>
      <c r="B1512" s="65">
        <v>0.8592570744324338</v>
      </c>
      <c r="C1512" s="65">
        <v>-0.14214002567391465</v>
      </c>
      <c r="D1512" s="65">
        <v>0.049575496321005864</v>
      </c>
      <c r="E1512" s="65">
        <v>0.6010867824878188</v>
      </c>
      <c r="F1512" s="65">
        <v>4.6119730372836685</v>
      </c>
      <c r="G1512" s="50">
        <v>0.0</v>
      </c>
      <c r="H1512" s="50">
        <v>0.0</v>
      </c>
      <c r="I1512" s="50">
        <v>0.0</v>
      </c>
      <c r="J1512" s="50">
        <v>0.0</v>
      </c>
      <c r="K1512" s="50">
        <v>0.0</v>
      </c>
      <c r="L1512" s="50">
        <v>0.0</v>
      </c>
      <c r="M1512" s="50">
        <v>0.0</v>
      </c>
      <c r="N1512" s="50">
        <v>0.0</v>
      </c>
      <c r="O1512" s="50">
        <v>0.0</v>
      </c>
      <c r="P1512" s="50">
        <v>0.0</v>
      </c>
      <c r="Q1512" s="50">
        <v>0.0</v>
      </c>
      <c r="R1512" s="50">
        <v>0.0</v>
      </c>
      <c r="S1512" s="50">
        <v>0.0</v>
      </c>
      <c r="T1512" s="50">
        <v>2.8125</v>
      </c>
      <c r="U1512" s="50">
        <v>0.0</v>
      </c>
      <c r="V1512" s="50">
        <v>0.0</v>
      </c>
      <c r="W1512" s="50">
        <v>4.95</v>
      </c>
      <c r="X1512" s="50">
        <v>2.8125</v>
      </c>
      <c r="Y1512" s="50">
        <v>10.575</v>
      </c>
    </row>
    <row r="1513">
      <c r="A1513" s="26">
        <v>1507.0</v>
      </c>
      <c r="B1513" s="65">
        <v>-0.17930848172366634</v>
      </c>
      <c r="C1513" s="65">
        <v>0.14635263530085016</v>
      </c>
      <c r="D1513" s="65">
        <v>-1.6810821141482373</v>
      </c>
      <c r="E1513" s="65">
        <v>-0.7014140122691727</v>
      </c>
      <c r="F1513" s="65">
        <v>6.15430018035007</v>
      </c>
      <c r="G1513" s="50">
        <v>0.0</v>
      </c>
      <c r="H1513" s="50">
        <v>0.0</v>
      </c>
      <c r="I1513" s="50">
        <v>0.0</v>
      </c>
      <c r="J1513" s="50">
        <v>0.0</v>
      </c>
      <c r="K1513" s="50">
        <v>0.0</v>
      </c>
      <c r="L1513" s="50">
        <v>0.0</v>
      </c>
      <c r="M1513" s="50">
        <v>0.0</v>
      </c>
      <c r="N1513" s="50">
        <v>0.0</v>
      </c>
      <c r="O1513" s="50">
        <v>0.0</v>
      </c>
      <c r="P1513" s="50">
        <v>0.0</v>
      </c>
      <c r="Q1513" s="50">
        <v>0.0</v>
      </c>
      <c r="R1513" s="50">
        <v>9.9</v>
      </c>
      <c r="S1513" s="50">
        <v>0.0</v>
      </c>
      <c r="T1513" s="50">
        <v>2.8125</v>
      </c>
      <c r="U1513" s="50">
        <v>0.0</v>
      </c>
      <c r="V1513" s="50">
        <v>0.0</v>
      </c>
      <c r="W1513" s="50">
        <v>0.0</v>
      </c>
      <c r="X1513" s="50">
        <v>2.8125</v>
      </c>
      <c r="Y1513" s="50">
        <v>15.525</v>
      </c>
    </row>
    <row r="1514">
      <c r="A1514" s="26">
        <v>1508.0</v>
      </c>
      <c r="B1514" s="65">
        <v>-0.646528340319751</v>
      </c>
      <c r="C1514" s="65">
        <v>-1.429826323066249</v>
      </c>
      <c r="D1514" s="65">
        <v>0.31602809195092485</v>
      </c>
      <c r="E1514" s="65">
        <v>1.1836283111122137</v>
      </c>
      <c r="F1514" s="65">
        <v>2.417849619209569</v>
      </c>
      <c r="G1514" s="50">
        <v>0.0</v>
      </c>
      <c r="H1514" s="50">
        <v>0.0</v>
      </c>
      <c r="I1514" s="50">
        <v>0.0</v>
      </c>
      <c r="J1514" s="50">
        <v>0.0</v>
      </c>
      <c r="K1514" s="50">
        <v>0.0</v>
      </c>
      <c r="L1514" s="50">
        <v>0.0</v>
      </c>
      <c r="M1514" s="50">
        <v>0.0</v>
      </c>
      <c r="N1514" s="50">
        <v>0.0</v>
      </c>
      <c r="O1514" s="50">
        <v>7.425000000000001</v>
      </c>
      <c r="P1514" s="50">
        <v>2.475</v>
      </c>
      <c r="Q1514" s="50">
        <v>0.0</v>
      </c>
      <c r="R1514" s="50">
        <v>9.9</v>
      </c>
      <c r="S1514" s="50">
        <v>0.0</v>
      </c>
      <c r="T1514" s="50">
        <v>2.8125</v>
      </c>
      <c r="U1514" s="50">
        <v>0.0</v>
      </c>
      <c r="V1514" s="50">
        <v>0.0</v>
      </c>
      <c r="W1514" s="50">
        <v>0.0</v>
      </c>
      <c r="X1514" s="50">
        <v>2.8125</v>
      </c>
      <c r="Y1514" s="50">
        <v>25.425</v>
      </c>
    </row>
    <row r="1515">
      <c r="A1515" s="26">
        <v>1509.0</v>
      </c>
      <c r="B1515" s="65">
        <v>0.1545182477708346</v>
      </c>
      <c r="C1515" s="65">
        <v>0.29175405198419774</v>
      </c>
      <c r="D1515" s="65">
        <v>-0.8934923178653597</v>
      </c>
      <c r="E1515" s="65">
        <v>0.18435546566717423</v>
      </c>
      <c r="F1515" s="65">
        <v>5.430028731692255</v>
      </c>
      <c r="G1515" s="50">
        <v>0.0</v>
      </c>
      <c r="H1515" s="50">
        <v>0.0</v>
      </c>
      <c r="I1515" s="50">
        <v>0.0</v>
      </c>
      <c r="J1515" s="50">
        <v>0.0</v>
      </c>
      <c r="K1515" s="50">
        <v>0.0</v>
      </c>
      <c r="L1515" s="50">
        <v>0.0</v>
      </c>
      <c r="M1515" s="50">
        <v>0.0</v>
      </c>
      <c r="N1515" s="50">
        <v>0.0</v>
      </c>
      <c r="O1515" s="50">
        <v>0.0</v>
      </c>
      <c r="P1515" s="50">
        <v>0.0</v>
      </c>
      <c r="Q1515" s="50">
        <v>0.0</v>
      </c>
      <c r="R1515" s="50">
        <v>0.0</v>
      </c>
      <c r="S1515" s="50">
        <v>0.0</v>
      </c>
      <c r="T1515" s="50">
        <v>2.8125</v>
      </c>
      <c r="U1515" s="50">
        <v>0.0</v>
      </c>
      <c r="V1515" s="50">
        <v>0.0</v>
      </c>
      <c r="W1515" s="50">
        <v>0.0</v>
      </c>
      <c r="X1515" s="50">
        <v>2.8125</v>
      </c>
      <c r="Y1515" s="50">
        <v>5.625</v>
      </c>
    </row>
    <row r="1516">
      <c r="A1516" s="26">
        <v>1510.0</v>
      </c>
      <c r="B1516" s="65">
        <v>-0.6467538618159583</v>
      </c>
      <c r="C1516" s="65">
        <v>-0.09737208909883481</v>
      </c>
      <c r="D1516" s="65">
        <v>-0.7716300113381195</v>
      </c>
      <c r="E1516" s="65">
        <v>0.6461133595535734</v>
      </c>
      <c r="F1516" s="65">
        <v>6.473275771570505</v>
      </c>
      <c r="G1516" s="50">
        <v>0.0</v>
      </c>
      <c r="H1516" s="50">
        <v>0.0</v>
      </c>
      <c r="I1516" s="50">
        <v>0.0</v>
      </c>
      <c r="J1516" s="50">
        <v>0.0</v>
      </c>
      <c r="K1516" s="50">
        <v>0.0</v>
      </c>
      <c r="L1516" s="50">
        <v>0.0</v>
      </c>
      <c r="M1516" s="50">
        <v>0.0</v>
      </c>
      <c r="N1516" s="50">
        <v>0.0</v>
      </c>
      <c r="O1516" s="50">
        <v>0.0</v>
      </c>
      <c r="P1516" s="50">
        <v>0.0</v>
      </c>
      <c r="Q1516" s="50">
        <v>0.0</v>
      </c>
      <c r="R1516" s="50">
        <v>9.9</v>
      </c>
      <c r="S1516" s="50">
        <v>0.0</v>
      </c>
      <c r="T1516" s="50">
        <v>2.8125</v>
      </c>
      <c r="U1516" s="50">
        <v>0.0</v>
      </c>
      <c r="V1516" s="50">
        <v>5.625</v>
      </c>
      <c r="W1516" s="50">
        <v>0.0</v>
      </c>
      <c r="X1516" s="50">
        <v>2.8125</v>
      </c>
      <c r="Y1516" s="50">
        <v>21.15</v>
      </c>
    </row>
    <row r="1517">
      <c r="A1517" s="26">
        <v>1511.0</v>
      </c>
      <c r="B1517" s="65">
        <v>1.318775783543873</v>
      </c>
      <c r="C1517" s="65">
        <v>-1.4810728683890895</v>
      </c>
      <c r="D1517" s="65">
        <v>-0.10359646475129272</v>
      </c>
      <c r="E1517" s="65">
        <v>1.9389404911596768</v>
      </c>
      <c r="F1517" s="65">
        <v>5.60481023050081</v>
      </c>
      <c r="G1517" s="50">
        <v>0.0</v>
      </c>
      <c r="H1517" s="50">
        <v>0.0</v>
      </c>
      <c r="I1517" s="50">
        <v>0.0</v>
      </c>
      <c r="J1517" s="50">
        <v>0.0</v>
      </c>
      <c r="K1517" s="50">
        <v>0.0</v>
      </c>
      <c r="L1517" s="50">
        <v>0.0</v>
      </c>
      <c r="M1517" s="50">
        <v>0.0</v>
      </c>
      <c r="N1517" s="50">
        <v>0.0</v>
      </c>
      <c r="O1517" s="50">
        <v>0.0</v>
      </c>
      <c r="P1517" s="50">
        <v>0.0</v>
      </c>
      <c r="Q1517" s="50">
        <v>0.0</v>
      </c>
      <c r="R1517" s="50">
        <v>0.0</v>
      </c>
      <c r="S1517" s="50">
        <v>0.0</v>
      </c>
      <c r="T1517" s="50">
        <v>2.8125</v>
      </c>
      <c r="U1517" s="50">
        <v>0.0</v>
      </c>
      <c r="V1517" s="50">
        <v>0.0</v>
      </c>
      <c r="W1517" s="50">
        <v>0.0</v>
      </c>
      <c r="X1517" s="50">
        <v>2.8125</v>
      </c>
      <c r="Y1517" s="50">
        <v>5.625</v>
      </c>
    </row>
    <row r="1518">
      <c r="A1518" s="26">
        <v>1512.0</v>
      </c>
      <c r="B1518" s="65">
        <v>2.4008501118405903</v>
      </c>
      <c r="C1518" s="65">
        <v>1.5206054127174853</v>
      </c>
      <c r="D1518" s="65">
        <v>0.7814102627663837</v>
      </c>
      <c r="E1518" s="65">
        <v>-0.7416624760475363</v>
      </c>
      <c r="F1518" s="65">
        <v>7.232490139380576</v>
      </c>
      <c r="G1518" s="50">
        <v>0.0</v>
      </c>
      <c r="H1518" s="50">
        <v>0.0</v>
      </c>
      <c r="I1518" s="50">
        <v>0.0</v>
      </c>
      <c r="J1518" s="50">
        <v>0.0</v>
      </c>
      <c r="K1518" s="50">
        <v>0.0</v>
      </c>
      <c r="L1518" s="50">
        <v>0.0</v>
      </c>
      <c r="M1518" s="50">
        <v>0.0</v>
      </c>
      <c r="N1518" s="50">
        <v>0.0</v>
      </c>
      <c r="O1518" s="50">
        <v>0.0</v>
      </c>
      <c r="P1518" s="50">
        <v>0.0</v>
      </c>
      <c r="Q1518" s="50">
        <v>0.0</v>
      </c>
      <c r="R1518" s="50">
        <v>0.0</v>
      </c>
      <c r="S1518" s="50">
        <v>0.0</v>
      </c>
      <c r="T1518" s="50">
        <v>2.8125</v>
      </c>
      <c r="U1518" s="50">
        <v>0.0</v>
      </c>
      <c r="V1518" s="50">
        <v>0.0</v>
      </c>
      <c r="W1518" s="50">
        <v>0.0</v>
      </c>
      <c r="X1518" s="50">
        <v>2.8125</v>
      </c>
      <c r="Y1518" s="50">
        <v>5.625</v>
      </c>
    </row>
    <row r="1519">
      <c r="A1519" s="26">
        <v>1513.0</v>
      </c>
      <c r="B1519" s="65">
        <v>-2.1660794588660677</v>
      </c>
      <c r="C1519" s="65">
        <v>-0.3245765991559781</v>
      </c>
      <c r="D1519" s="65">
        <v>0.5201804845682728</v>
      </c>
      <c r="E1519" s="65">
        <v>-0.8182583386001712</v>
      </c>
      <c r="F1519" s="65">
        <v>1.9595934153771573</v>
      </c>
      <c r="G1519" s="50">
        <v>0.0</v>
      </c>
      <c r="H1519" s="50">
        <v>0.0</v>
      </c>
      <c r="I1519" s="50">
        <v>0.0</v>
      </c>
      <c r="J1519" s="50">
        <v>0.0</v>
      </c>
      <c r="K1519" s="50">
        <v>0.0</v>
      </c>
      <c r="L1519" s="50">
        <v>0.0</v>
      </c>
      <c r="M1519" s="50">
        <v>0.0</v>
      </c>
      <c r="N1519" s="50">
        <v>13.5</v>
      </c>
      <c r="O1519" s="50">
        <v>7.425000000000001</v>
      </c>
      <c r="P1519" s="50">
        <v>2.475</v>
      </c>
      <c r="Q1519" s="50">
        <v>0.0</v>
      </c>
      <c r="R1519" s="50">
        <v>9.9</v>
      </c>
      <c r="S1519" s="50">
        <v>0.0</v>
      </c>
      <c r="T1519" s="50">
        <v>2.8125</v>
      </c>
      <c r="U1519" s="50">
        <v>9.9</v>
      </c>
      <c r="V1519" s="50">
        <v>5.625</v>
      </c>
      <c r="W1519" s="50">
        <v>0.0</v>
      </c>
      <c r="X1519" s="50">
        <v>2.8125</v>
      </c>
      <c r="Y1519" s="50">
        <v>54.45</v>
      </c>
    </row>
    <row r="1520">
      <c r="A1520" s="26">
        <v>1514.0</v>
      </c>
      <c r="B1520" s="65">
        <v>-0.35533218823586427</v>
      </c>
      <c r="C1520" s="65">
        <v>-1.8310796362791508</v>
      </c>
      <c r="D1520" s="65">
        <v>-0.26963044003809655</v>
      </c>
      <c r="E1520" s="65">
        <v>-0.5440920878355087</v>
      </c>
      <c r="F1520" s="65">
        <v>4.125462006778443</v>
      </c>
      <c r="G1520" s="50">
        <v>0.0</v>
      </c>
      <c r="H1520" s="50">
        <v>0.0</v>
      </c>
      <c r="I1520" s="50">
        <v>0.0</v>
      </c>
      <c r="J1520" s="50">
        <v>0.0</v>
      </c>
      <c r="K1520" s="50">
        <v>0.0</v>
      </c>
      <c r="L1520" s="50">
        <v>0.0</v>
      </c>
      <c r="M1520" s="50">
        <v>0.0</v>
      </c>
      <c r="N1520" s="50">
        <v>0.0</v>
      </c>
      <c r="O1520" s="50">
        <v>0.0</v>
      </c>
      <c r="P1520" s="50">
        <v>0.0</v>
      </c>
      <c r="Q1520" s="50">
        <v>0.0</v>
      </c>
      <c r="R1520" s="50">
        <v>0.0</v>
      </c>
      <c r="S1520" s="50">
        <v>0.0</v>
      </c>
      <c r="T1520" s="50">
        <v>2.8125</v>
      </c>
      <c r="U1520" s="50">
        <v>0.0</v>
      </c>
      <c r="V1520" s="50">
        <v>0.0</v>
      </c>
      <c r="W1520" s="50">
        <v>4.95</v>
      </c>
      <c r="X1520" s="50">
        <v>2.8125</v>
      </c>
      <c r="Y1520" s="50">
        <v>10.575</v>
      </c>
    </row>
    <row r="1521">
      <c r="A1521" s="26">
        <v>1515.0</v>
      </c>
      <c r="B1521" s="65">
        <v>-0.13406756174364598</v>
      </c>
      <c r="C1521" s="65">
        <v>-0.23778930314022126</v>
      </c>
      <c r="D1521" s="65">
        <v>-0.24383974611147463</v>
      </c>
      <c r="E1521" s="65">
        <v>-1.0963870554358806</v>
      </c>
      <c r="F1521" s="65">
        <v>5.524006338061239</v>
      </c>
      <c r="G1521" s="50">
        <v>0.0</v>
      </c>
      <c r="H1521" s="50">
        <v>0.0</v>
      </c>
      <c r="I1521" s="50">
        <v>0.0</v>
      </c>
      <c r="J1521" s="50">
        <v>0.0</v>
      </c>
      <c r="K1521" s="50">
        <v>0.0</v>
      </c>
      <c r="L1521" s="50">
        <v>0.0</v>
      </c>
      <c r="M1521" s="50">
        <v>0.0</v>
      </c>
      <c r="N1521" s="50">
        <v>0.0</v>
      </c>
      <c r="O1521" s="50">
        <v>0.0</v>
      </c>
      <c r="P1521" s="50">
        <v>0.0</v>
      </c>
      <c r="Q1521" s="50">
        <v>0.0</v>
      </c>
      <c r="R1521" s="50">
        <v>0.0</v>
      </c>
      <c r="S1521" s="50">
        <v>0.0</v>
      </c>
      <c r="T1521" s="50">
        <v>2.8125</v>
      </c>
      <c r="U1521" s="50">
        <v>0.0</v>
      </c>
      <c r="V1521" s="50">
        <v>5.625</v>
      </c>
      <c r="W1521" s="50">
        <v>4.95</v>
      </c>
      <c r="X1521" s="50">
        <v>2.8125</v>
      </c>
      <c r="Y1521" s="50">
        <v>16.2</v>
      </c>
    </row>
    <row r="1522">
      <c r="A1522" s="26">
        <v>1516.0</v>
      </c>
      <c r="B1522" s="65">
        <v>-0.41032586749202804</v>
      </c>
      <c r="C1522" s="65">
        <v>0.22330369022941626</v>
      </c>
      <c r="D1522" s="65">
        <v>0.09031092896049643</v>
      </c>
      <c r="E1522" s="65">
        <v>0.7154661850443834</v>
      </c>
      <c r="F1522" s="65">
        <v>5.414769856873126</v>
      </c>
      <c r="G1522" s="50">
        <v>0.0</v>
      </c>
      <c r="H1522" s="50">
        <v>0.0</v>
      </c>
      <c r="I1522" s="50">
        <v>0.0</v>
      </c>
      <c r="J1522" s="50">
        <v>0.0</v>
      </c>
      <c r="K1522" s="50">
        <v>0.0</v>
      </c>
      <c r="L1522" s="50">
        <v>0.0</v>
      </c>
      <c r="M1522" s="50">
        <v>0.0</v>
      </c>
      <c r="N1522" s="50">
        <v>0.0</v>
      </c>
      <c r="O1522" s="50">
        <v>0.0</v>
      </c>
      <c r="P1522" s="50">
        <v>0.0</v>
      </c>
      <c r="Q1522" s="50">
        <v>0.0</v>
      </c>
      <c r="R1522" s="50">
        <v>0.0</v>
      </c>
      <c r="S1522" s="50">
        <v>0.0</v>
      </c>
      <c r="T1522" s="50">
        <v>2.8125</v>
      </c>
      <c r="U1522" s="50">
        <v>0.0</v>
      </c>
      <c r="V1522" s="50">
        <v>0.0</v>
      </c>
      <c r="W1522" s="50">
        <v>0.0</v>
      </c>
      <c r="X1522" s="50">
        <v>2.8125</v>
      </c>
      <c r="Y1522" s="50">
        <v>5.625</v>
      </c>
    </row>
    <row r="1523">
      <c r="A1523" s="26">
        <v>1517.0</v>
      </c>
      <c r="B1523" s="65">
        <v>0.29668993635983526</v>
      </c>
      <c r="C1523" s="65">
        <v>0.22228655221851742</v>
      </c>
      <c r="D1523" s="65">
        <v>-0.36776878809646624</v>
      </c>
      <c r="E1523" s="65">
        <v>0.3834309498444174</v>
      </c>
      <c r="F1523" s="65">
        <v>3.7754129359191633</v>
      </c>
      <c r="G1523" s="50">
        <v>0.0</v>
      </c>
      <c r="H1523" s="50">
        <v>0.0</v>
      </c>
      <c r="I1523" s="50">
        <v>0.0</v>
      </c>
      <c r="J1523" s="50">
        <v>0.0</v>
      </c>
      <c r="K1523" s="50">
        <v>0.0</v>
      </c>
      <c r="L1523" s="50">
        <v>0.0</v>
      </c>
      <c r="M1523" s="50">
        <v>0.0</v>
      </c>
      <c r="N1523" s="50">
        <v>0.0</v>
      </c>
      <c r="O1523" s="50">
        <v>7.425000000000001</v>
      </c>
      <c r="P1523" s="50">
        <v>0.0</v>
      </c>
      <c r="Q1523" s="50">
        <v>0.0</v>
      </c>
      <c r="R1523" s="50">
        <v>0.0</v>
      </c>
      <c r="S1523" s="50">
        <v>0.0</v>
      </c>
      <c r="T1523" s="50">
        <v>2.8125</v>
      </c>
      <c r="U1523" s="50">
        <v>0.0</v>
      </c>
      <c r="V1523" s="50">
        <v>0.0</v>
      </c>
      <c r="W1523" s="50">
        <v>0.0</v>
      </c>
      <c r="X1523" s="50">
        <v>2.8125</v>
      </c>
      <c r="Y1523" s="50">
        <v>13.05</v>
      </c>
    </row>
    <row r="1524">
      <c r="A1524" s="26">
        <v>1518.0</v>
      </c>
      <c r="B1524" s="65">
        <v>0.19716515072251586</v>
      </c>
      <c r="C1524" s="65">
        <v>-0.5631590914134706</v>
      </c>
      <c r="D1524" s="65">
        <v>0.04981481322321551</v>
      </c>
      <c r="E1524" s="65">
        <v>1.0825773993182717</v>
      </c>
      <c r="F1524" s="65">
        <v>8.215665774670802</v>
      </c>
      <c r="G1524" s="50">
        <v>0.0</v>
      </c>
      <c r="H1524" s="50">
        <v>0.0</v>
      </c>
      <c r="I1524" s="50">
        <v>0.0</v>
      </c>
      <c r="J1524" s="50">
        <v>0.0</v>
      </c>
      <c r="K1524" s="50">
        <v>0.0</v>
      </c>
      <c r="L1524" s="50">
        <v>0.0</v>
      </c>
      <c r="M1524" s="50">
        <v>0.0</v>
      </c>
      <c r="N1524" s="50">
        <v>0.0</v>
      </c>
      <c r="O1524" s="50">
        <v>0.0</v>
      </c>
      <c r="P1524" s="50">
        <v>0.0</v>
      </c>
      <c r="Q1524" s="50">
        <v>0.0</v>
      </c>
      <c r="R1524" s="50">
        <v>0.0</v>
      </c>
      <c r="S1524" s="50">
        <v>0.0</v>
      </c>
      <c r="T1524" s="50">
        <v>2.8125</v>
      </c>
      <c r="U1524" s="50">
        <v>0.0</v>
      </c>
      <c r="V1524" s="50">
        <v>5.625</v>
      </c>
      <c r="W1524" s="50">
        <v>0.0</v>
      </c>
      <c r="X1524" s="50">
        <v>2.8125</v>
      </c>
      <c r="Y1524" s="50">
        <v>11.25</v>
      </c>
    </row>
    <row r="1525">
      <c r="A1525" s="26">
        <v>1519.0</v>
      </c>
      <c r="B1525" s="65">
        <v>1.5295325847008059</v>
      </c>
      <c r="C1525" s="65">
        <v>-1.018672607577792</v>
      </c>
      <c r="D1525" s="65">
        <v>1.3267458913701857</v>
      </c>
      <c r="E1525" s="65">
        <v>1.0205676305482867</v>
      </c>
      <c r="F1525" s="65">
        <v>7.031021128036159</v>
      </c>
      <c r="G1525" s="50">
        <v>0.0</v>
      </c>
      <c r="H1525" s="50">
        <v>0.0</v>
      </c>
      <c r="I1525" s="50">
        <v>0.0</v>
      </c>
      <c r="J1525" s="50">
        <v>0.0</v>
      </c>
      <c r="K1525" s="50">
        <v>0.0</v>
      </c>
      <c r="L1525" s="50">
        <v>0.0</v>
      </c>
      <c r="M1525" s="50">
        <v>0.0</v>
      </c>
      <c r="N1525" s="50">
        <v>0.0</v>
      </c>
      <c r="O1525" s="50">
        <v>0.0</v>
      </c>
      <c r="P1525" s="50">
        <v>0.0</v>
      </c>
      <c r="Q1525" s="50">
        <v>0.0</v>
      </c>
      <c r="R1525" s="50">
        <v>0.0</v>
      </c>
      <c r="S1525" s="50">
        <v>0.0</v>
      </c>
      <c r="T1525" s="50">
        <v>2.8125</v>
      </c>
      <c r="U1525" s="50">
        <v>0.0</v>
      </c>
      <c r="V1525" s="50">
        <v>0.0</v>
      </c>
      <c r="W1525" s="50">
        <v>0.0</v>
      </c>
      <c r="X1525" s="50">
        <v>2.8125</v>
      </c>
      <c r="Y1525" s="50">
        <v>5.625</v>
      </c>
    </row>
    <row r="1526">
      <c r="A1526" s="26">
        <v>1520.0</v>
      </c>
      <c r="B1526" s="65">
        <v>0.5765596422862883</v>
      </c>
      <c r="C1526" s="65">
        <v>-0.6105191074043984</v>
      </c>
      <c r="D1526" s="65">
        <v>0.40420869680785276</v>
      </c>
      <c r="E1526" s="65">
        <v>1.248298146367779</v>
      </c>
      <c r="F1526" s="65">
        <v>5.560361920693082</v>
      </c>
      <c r="G1526" s="50">
        <v>0.0</v>
      </c>
      <c r="H1526" s="50">
        <v>0.0</v>
      </c>
      <c r="I1526" s="50">
        <v>0.0</v>
      </c>
      <c r="J1526" s="50">
        <v>0.0</v>
      </c>
      <c r="K1526" s="50">
        <v>0.0</v>
      </c>
      <c r="L1526" s="50">
        <v>0.0</v>
      </c>
      <c r="M1526" s="50">
        <v>0.0</v>
      </c>
      <c r="N1526" s="50">
        <v>0.0</v>
      </c>
      <c r="O1526" s="50">
        <v>0.0</v>
      </c>
      <c r="P1526" s="50">
        <v>0.0</v>
      </c>
      <c r="Q1526" s="50">
        <v>0.0</v>
      </c>
      <c r="R1526" s="50">
        <v>0.0</v>
      </c>
      <c r="S1526" s="50">
        <v>0.0</v>
      </c>
      <c r="T1526" s="50">
        <v>2.8125</v>
      </c>
      <c r="U1526" s="50">
        <v>0.0</v>
      </c>
      <c r="V1526" s="50">
        <v>0.0</v>
      </c>
      <c r="W1526" s="50">
        <v>0.0</v>
      </c>
      <c r="X1526" s="50">
        <v>2.8125</v>
      </c>
      <c r="Y1526" s="50">
        <v>5.625</v>
      </c>
    </row>
    <row r="1527">
      <c r="A1527" s="26">
        <v>1521.0</v>
      </c>
      <c r="B1527" s="65">
        <v>-0.2036947710904185</v>
      </c>
      <c r="C1527" s="65">
        <v>1.7569921625825327</v>
      </c>
      <c r="D1527" s="65">
        <v>-0.1904444667525467</v>
      </c>
      <c r="E1527" s="65">
        <v>1.02264759468785</v>
      </c>
      <c r="F1527" s="65">
        <v>16.00645311427491</v>
      </c>
      <c r="G1527" s="50">
        <v>0.0</v>
      </c>
      <c r="H1527" s="50">
        <v>0.0</v>
      </c>
      <c r="I1527" s="50">
        <v>0.0</v>
      </c>
      <c r="J1527" s="50">
        <v>0.0</v>
      </c>
      <c r="K1527" s="50">
        <v>0.0</v>
      </c>
      <c r="L1527" s="50">
        <v>0.0</v>
      </c>
      <c r="M1527" s="50">
        <v>0.0</v>
      </c>
      <c r="N1527" s="50">
        <v>0.0</v>
      </c>
      <c r="O1527" s="50">
        <v>0.0</v>
      </c>
      <c r="P1527" s="50">
        <v>0.0</v>
      </c>
      <c r="Q1527" s="50">
        <v>0.0</v>
      </c>
      <c r="R1527" s="50">
        <v>0.0</v>
      </c>
      <c r="S1527" s="50">
        <v>0.0</v>
      </c>
      <c r="T1527" s="50">
        <v>2.8125</v>
      </c>
      <c r="U1527" s="50">
        <v>0.0</v>
      </c>
      <c r="V1527" s="50">
        <v>0.0</v>
      </c>
      <c r="W1527" s="50">
        <v>0.0</v>
      </c>
      <c r="X1527" s="50">
        <v>2.8125</v>
      </c>
      <c r="Y1527" s="50">
        <v>5.625</v>
      </c>
    </row>
    <row r="1528">
      <c r="A1528" s="26">
        <v>1522.0</v>
      </c>
      <c r="B1528" s="65">
        <v>0.5301318568978227</v>
      </c>
      <c r="C1528" s="65">
        <v>-1.4151931564122784</v>
      </c>
      <c r="D1528" s="65">
        <v>-0.9965243022621328</v>
      </c>
      <c r="E1528" s="65">
        <v>-0.8459099459550617</v>
      </c>
      <c r="F1528" s="65">
        <v>7.871822537604839</v>
      </c>
      <c r="G1528" s="50">
        <v>0.0</v>
      </c>
      <c r="H1528" s="50">
        <v>0.0</v>
      </c>
      <c r="I1528" s="50">
        <v>0.0</v>
      </c>
      <c r="J1528" s="50">
        <v>0.0</v>
      </c>
      <c r="K1528" s="50">
        <v>0.0</v>
      </c>
      <c r="L1528" s="50">
        <v>0.0</v>
      </c>
      <c r="M1528" s="50">
        <v>0.0</v>
      </c>
      <c r="N1528" s="50">
        <v>0.0</v>
      </c>
      <c r="O1528" s="50">
        <v>7.425000000000001</v>
      </c>
      <c r="P1528" s="50">
        <v>0.0</v>
      </c>
      <c r="Q1528" s="50">
        <v>0.0</v>
      </c>
      <c r="R1528" s="50">
        <v>0.0</v>
      </c>
      <c r="S1528" s="50">
        <v>0.0</v>
      </c>
      <c r="T1528" s="50">
        <v>2.8125</v>
      </c>
      <c r="U1528" s="50">
        <v>0.0</v>
      </c>
      <c r="V1528" s="50">
        <v>5.625</v>
      </c>
      <c r="W1528" s="50">
        <v>0.0</v>
      </c>
      <c r="X1528" s="50">
        <v>2.8125</v>
      </c>
      <c r="Y1528" s="50">
        <v>18.675</v>
      </c>
    </row>
    <row r="1529">
      <c r="A1529" s="26">
        <v>1523.0</v>
      </c>
      <c r="B1529" s="65">
        <v>-0.8801211761730833</v>
      </c>
      <c r="C1529" s="65">
        <v>1.1291877722842694</v>
      </c>
      <c r="D1529" s="65">
        <v>2.2295659492748667</v>
      </c>
      <c r="E1529" s="65">
        <v>1.2682276728108315</v>
      </c>
      <c r="F1529" s="65">
        <v>4.12191213258751</v>
      </c>
      <c r="G1529" s="50">
        <v>0.0</v>
      </c>
      <c r="H1529" s="50">
        <v>0.0</v>
      </c>
      <c r="I1529" s="50">
        <v>0.0</v>
      </c>
      <c r="J1529" s="50">
        <v>0.0</v>
      </c>
      <c r="K1529" s="50">
        <v>0.0</v>
      </c>
      <c r="L1529" s="50">
        <v>0.0</v>
      </c>
      <c r="M1529" s="50">
        <v>0.0</v>
      </c>
      <c r="N1529" s="50">
        <v>0.0</v>
      </c>
      <c r="O1529" s="50">
        <v>0.0</v>
      </c>
      <c r="P1529" s="50">
        <v>0.0</v>
      </c>
      <c r="Q1529" s="50">
        <v>0.0</v>
      </c>
      <c r="R1529" s="50">
        <v>0.0</v>
      </c>
      <c r="S1529" s="50">
        <v>0.0</v>
      </c>
      <c r="T1529" s="50">
        <v>2.8125</v>
      </c>
      <c r="U1529" s="50">
        <v>0.0</v>
      </c>
      <c r="V1529" s="50">
        <v>0.0</v>
      </c>
      <c r="W1529" s="50">
        <v>0.0</v>
      </c>
      <c r="X1529" s="50">
        <v>2.8125</v>
      </c>
      <c r="Y1529" s="50">
        <v>5.625</v>
      </c>
    </row>
    <row r="1530">
      <c r="A1530" s="26">
        <v>1524.0</v>
      </c>
      <c r="B1530" s="65">
        <v>-0.8502497571832726</v>
      </c>
      <c r="C1530" s="65">
        <v>-0.8169219204906005</v>
      </c>
      <c r="D1530" s="65">
        <v>1.764447395322955</v>
      </c>
      <c r="E1530" s="65">
        <v>-0.9616152121768455</v>
      </c>
      <c r="F1530" s="65">
        <v>1.8174290108657463</v>
      </c>
      <c r="G1530" s="50">
        <v>0.0</v>
      </c>
      <c r="H1530" s="50">
        <v>0.0</v>
      </c>
      <c r="I1530" s="50">
        <v>0.0</v>
      </c>
      <c r="J1530" s="50">
        <v>0.0</v>
      </c>
      <c r="K1530" s="50">
        <v>0.0</v>
      </c>
      <c r="L1530" s="50">
        <v>0.0</v>
      </c>
      <c r="M1530" s="50">
        <v>0.0</v>
      </c>
      <c r="N1530" s="50">
        <v>0.0</v>
      </c>
      <c r="O1530" s="50">
        <v>0.0</v>
      </c>
      <c r="P1530" s="50">
        <v>0.0</v>
      </c>
      <c r="Q1530" s="50">
        <v>0.0</v>
      </c>
      <c r="R1530" s="50">
        <v>9.9</v>
      </c>
      <c r="S1530" s="50">
        <v>0.0</v>
      </c>
      <c r="T1530" s="50">
        <v>2.8125</v>
      </c>
      <c r="U1530" s="50">
        <v>9.9</v>
      </c>
      <c r="V1530" s="50">
        <v>5.625</v>
      </c>
      <c r="W1530" s="50">
        <v>0.0</v>
      </c>
      <c r="X1530" s="50">
        <v>2.8125</v>
      </c>
      <c r="Y1530" s="50">
        <v>31.05</v>
      </c>
    </row>
    <row r="1531">
      <c r="A1531" s="26">
        <v>1525.0</v>
      </c>
      <c r="B1531" s="65">
        <v>-1.482048814917598</v>
      </c>
      <c r="C1531" s="65">
        <v>0.49892827971118037</v>
      </c>
      <c r="D1531" s="65">
        <v>-0.6723989769707642</v>
      </c>
      <c r="E1531" s="65">
        <v>0.7652750103920812</v>
      </c>
      <c r="F1531" s="65">
        <v>0.4514295111139606</v>
      </c>
      <c r="G1531" s="50">
        <v>0.0</v>
      </c>
      <c r="H1531" s="50">
        <v>0.0</v>
      </c>
      <c r="I1531" s="50">
        <v>0.0</v>
      </c>
      <c r="J1531" s="50">
        <v>0.0</v>
      </c>
      <c r="K1531" s="50">
        <v>0.0</v>
      </c>
      <c r="L1531" s="50">
        <v>0.0</v>
      </c>
      <c r="M1531" s="50">
        <v>0.0</v>
      </c>
      <c r="N1531" s="50">
        <v>13.5</v>
      </c>
      <c r="O1531" s="50">
        <v>7.425000000000001</v>
      </c>
      <c r="P1531" s="50">
        <v>2.475</v>
      </c>
      <c r="Q1531" s="50">
        <v>13.5</v>
      </c>
      <c r="R1531" s="50">
        <v>9.9</v>
      </c>
      <c r="S1531" s="50">
        <v>11.25</v>
      </c>
      <c r="T1531" s="50">
        <v>2.8125</v>
      </c>
      <c r="U1531" s="50">
        <v>9.9</v>
      </c>
      <c r="V1531" s="50">
        <v>5.625</v>
      </c>
      <c r="W1531" s="50">
        <v>0.0</v>
      </c>
      <c r="X1531" s="50">
        <v>2.8125</v>
      </c>
      <c r="Y1531" s="50">
        <v>79.2</v>
      </c>
    </row>
    <row r="1532">
      <c r="A1532" s="26">
        <v>1526.0</v>
      </c>
      <c r="B1532" s="65">
        <v>0.0056484749915540495</v>
      </c>
      <c r="C1532" s="65">
        <v>0.055871399593540164</v>
      </c>
      <c r="D1532" s="65">
        <v>0.9028770373216686</v>
      </c>
      <c r="E1532" s="65">
        <v>0.8508032264373188</v>
      </c>
      <c r="F1532" s="65">
        <v>4.597636178789889</v>
      </c>
      <c r="G1532" s="50">
        <v>0.0</v>
      </c>
      <c r="H1532" s="50">
        <v>0.0</v>
      </c>
      <c r="I1532" s="50">
        <v>0.0</v>
      </c>
      <c r="J1532" s="50">
        <v>0.0</v>
      </c>
      <c r="K1532" s="50">
        <v>0.0</v>
      </c>
      <c r="L1532" s="50">
        <v>0.0</v>
      </c>
      <c r="M1532" s="50">
        <v>0.0</v>
      </c>
      <c r="N1532" s="50">
        <v>0.0</v>
      </c>
      <c r="O1532" s="50">
        <v>0.0</v>
      </c>
      <c r="P1532" s="50">
        <v>0.0</v>
      </c>
      <c r="Q1532" s="50">
        <v>0.0</v>
      </c>
      <c r="R1532" s="50">
        <v>0.0</v>
      </c>
      <c r="S1532" s="50">
        <v>0.0</v>
      </c>
      <c r="T1532" s="50">
        <v>2.8125</v>
      </c>
      <c r="U1532" s="50">
        <v>0.0</v>
      </c>
      <c r="V1532" s="50">
        <v>5.625</v>
      </c>
      <c r="W1532" s="50">
        <v>0.0</v>
      </c>
      <c r="X1532" s="50">
        <v>2.8125</v>
      </c>
      <c r="Y1532" s="50">
        <v>11.25</v>
      </c>
    </row>
    <row r="1533">
      <c r="A1533" s="26">
        <v>1527.0</v>
      </c>
      <c r="B1533" s="65">
        <v>-0.7086954913054722</v>
      </c>
      <c r="C1533" s="65">
        <v>0.0025839921292056048</v>
      </c>
      <c r="D1533" s="65">
        <v>-1.2361172043972266</v>
      </c>
      <c r="E1533" s="65">
        <v>-0.4887316290278364</v>
      </c>
      <c r="F1533" s="65">
        <v>6.009280385976198</v>
      </c>
      <c r="G1533" s="50">
        <v>0.0</v>
      </c>
      <c r="H1533" s="50">
        <v>0.0</v>
      </c>
      <c r="I1533" s="50">
        <v>0.0</v>
      </c>
      <c r="J1533" s="50">
        <v>0.0</v>
      </c>
      <c r="K1533" s="50">
        <v>0.0</v>
      </c>
      <c r="L1533" s="50">
        <v>0.0</v>
      </c>
      <c r="M1533" s="50">
        <v>0.0</v>
      </c>
      <c r="N1533" s="50">
        <v>0.0</v>
      </c>
      <c r="O1533" s="50">
        <v>0.0</v>
      </c>
      <c r="P1533" s="50">
        <v>0.0</v>
      </c>
      <c r="Q1533" s="50">
        <v>0.0</v>
      </c>
      <c r="R1533" s="50">
        <v>0.0</v>
      </c>
      <c r="S1533" s="50">
        <v>0.0</v>
      </c>
      <c r="T1533" s="50">
        <v>2.8125</v>
      </c>
      <c r="U1533" s="50">
        <v>0.0</v>
      </c>
      <c r="V1533" s="50">
        <v>5.625</v>
      </c>
      <c r="W1533" s="50">
        <v>0.0</v>
      </c>
      <c r="X1533" s="50">
        <v>2.8125</v>
      </c>
      <c r="Y1533" s="50">
        <v>11.25</v>
      </c>
    </row>
    <row r="1534">
      <c r="A1534" s="26">
        <v>1528.0</v>
      </c>
      <c r="B1534" s="65">
        <v>-0.440624397439346</v>
      </c>
      <c r="C1534" s="65">
        <v>0.8284188664870518</v>
      </c>
      <c r="D1534" s="65">
        <v>-1.5278185454798705</v>
      </c>
      <c r="E1534" s="65">
        <v>-0.6346434929329746</v>
      </c>
      <c r="F1534" s="65">
        <v>1.5702897817171744</v>
      </c>
      <c r="G1534" s="50">
        <v>0.0</v>
      </c>
      <c r="H1534" s="50">
        <v>0.0</v>
      </c>
      <c r="I1534" s="50">
        <v>0.0</v>
      </c>
      <c r="J1534" s="50">
        <v>0.0</v>
      </c>
      <c r="K1534" s="50">
        <v>0.0</v>
      </c>
      <c r="L1534" s="50">
        <v>0.0</v>
      </c>
      <c r="M1534" s="50">
        <v>0.0</v>
      </c>
      <c r="N1534" s="50">
        <v>0.0</v>
      </c>
      <c r="O1534" s="50">
        <v>0.0</v>
      </c>
      <c r="P1534" s="50">
        <v>0.0</v>
      </c>
      <c r="Q1534" s="50">
        <v>0.0</v>
      </c>
      <c r="R1534" s="50">
        <v>0.0</v>
      </c>
      <c r="S1534" s="50">
        <v>0.0</v>
      </c>
      <c r="T1534" s="50">
        <v>2.8125</v>
      </c>
      <c r="U1534" s="50">
        <v>0.0</v>
      </c>
      <c r="V1534" s="50">
        <v>5.625</v>
      </c>
      <c r="W1534" s="50">
        <v>4.95</v>
      </c>
      <c r="X1534" s="50">
        <v>2.8125</v>
      </c>
      <c r="Y1534" s="50">
        <v>16.2</v>
      </c>
    </row>
    <row r="1535">
      <c r="A1535" s="26">
        <v>1529.0</v>
      </c>
      <c r="B1535" s="65">
        <v>1.4827565944662064</v>
      </c>
      <c r="C1535" s="65">
        <v>-0.9661415285981513</v>
      </c>
      <c r="D1535" s="65">
        <v>0.6749475379760804</v>
      </c>
      <c r="E1535" s="65">
        <v>0.9976330610522464</v>
      </c>
      <c r="F1535" s="65">
        <v>1.3478443094720571</v>
      </c>
      <c r="G1535" s="50">
        <v>0.0</v>
      </c>
      <c r="H1535" s="50">
        <v>0.0</v>
      </c>
      <c r="I1535" s="50">
        <v>0.0</v>
      </c>
      <c r="J1535" s="50">
        <v>0.0</v>
      </c>
      <c r="K1535" s="50">
        <v>0.0</v>
      </c>
      <c r="L1535" s="50">
        <v>0.0</v>
      </c>
      <c r="M1535" s="50">
        <v>0.0</v>
      </c>
      <c r="N1535" s="50">
        <v>0.0</v>
      </c>
      <c r="O1535" s="50">
        <v>0.0</v>
      </c>
      <c r="P1535" s="50">
        <v>0.0</v>
      </c>
      <c r="Q1535" s="50">
        <v>0.0</v>
      </c>
      <c r="R1535" s="50">
        <v>0.0</v>
      </c>
      <c r="S1535" s="50">
        <v>0.0</v>
      </c>
      <c r="T1535" s="50">
        <v>2.8125</v>
      </c>
      <c r="U1535" s="50">
        <v>0.0</v>
      </c>
      <c r="V1535" s="50">
        <v>0.0</v>
      </c>
      <c r="W1535" s="50">
        <v>0.0</v>
      </c>
      <c r="X1535" s="50">
        <v>0.0</v>
      </c>
      <c r="Y1535" s="50">
        <v>2.8125</v>
      </c>
    </row>
    <row r="1536">
      <c r="A1536" s="26">
        <v>1530.0</v>
      </c>
      <c r="B1536" s="65">
        <v>2.3176737471407463</v>
      </c>
      <c r="C1536" s="65">
        <v>0.19631335436780362</v>
      </c>
      <c r="D1536" s="65">
        <v>-0.3165421027650849</v>
      </c>
      <c r="E1536" s="65">
        <v>1.0629333399683714</v>
      </c>
      <c r="F1536" s="65">
        <v>3.848217169968279</v>
      </c>
      <c r="G1536" s="50">
        <v>0.0</v>
      </c>
      <c r="H1536" s="50">
        <v>0.0</v>
      </c>
      <c r="I1536" s="50">
        <v>0.0</v>
      </c>
      <c r="J1536" s="50">
        <v>0.0</v>
      </c>
      <c r="K1536" s="50">
        <v>0.0</v>
      </c>
      <c r="L1536" s="50">
        <v>0.0</v>
      </c>
      <c r="M1536" s="50">
        <v>0.0</v>
      </c>
      <c r="N1536" s="50">
        <v>0.0</v>
      </c>
      <c r="O1536" s="50">
        <v>0.0</v>
      </c>
      <c r="P1536" s="50">
        <v>0.0</v>
      </c>
      <c r="Q1536" s="50">
        <v>0.0</v>
      </c>
      <c r="R1536" s="50">
        <v>0.0</v>
      </c>
      <c r="S1536" s="50">
        <v>0.0</v>
      </c>
      <c r="T1536" s="50">
        <v>2.8125</v>
      </c>
      <c r="U1536" s="50">
        <v>0.0</v>
      </c>
      <c r="V1536" s="50">
        <v>0.0</v>
      </c>
      <c r="W1536" s="50">
        <v>0.0</v>
      </c>
      <c r="X1536" s="50">
        <v>2.8125</v>
      </c>
      <c r="Y1536" s="50">
        <v>5.625</v>
      </c>
    </row>
    <row r="1537">
      <c r="A1537" s="26">
        <v>1531.0</v>
      </c>
      <c r="B1537" s="65">
        <v>1.1846496111609328</v>
      </c>
      <c r="C1537" s="65">
        <v>0.3109781798862518</v>
      </c>
      <c r="D1537" s="65">
        <v>-1.5842337021611792</v>
      </c>
      <c r="E1537" s="65">
        <v>0.1558943939079971</v>
      </c>
      <c r="F1537" s="65">
        <v>6.115094734986579</v>
      </c>
      <c r="G1537" s="50">
        <v>0.0</v>
      </c>
      <c r="H1537" s="50">
        <v>0.0</v>
      </c>
      <c r="I1537" s="50">
        <v>0.0</v>
      </c>
      <c r="J1537" s="50">
        <v>0.0</v>
      </c>
      <c r="K1537" s="50">
        <v>0.0</v>
      </c>
      <c r="L1537" s="50">
        <v>0.0</v>
      </c>
      <c r="M1537" s="50">
        <v>0.0</v>
      </c>
      <c r="N1537" s="50">
        <v>0.0</v>
      </c>
      <c r="O1537" s="50">
        <v>0.0</v>
      </c>
      <c r="P1537" s="50">
        <v>0.0</v>
      </c>
      <c r="Q1537" s="50">
        <v>0.0</v>
      </c>
      <c r="R1537" s="50">
        <v>0.0</v>
      </c>
      <c r="S1537" s="50">
        <v>0.0</v>
      </c>
      <c r="T1537" s="50">
        <v>2.8125</v>
      </c>
      <c r="U1537" s="50">
        <v>0.0</v>
      </c>
      <c r="V1537" s="50">
        <v>0.0</v>
      </c>
      <c r="W1537" s="50">
        <v>0.0</v>
      </c>
      <c r="X1537" s="50">
        <v>2.8125</v>
      </c>
      <c r="Y1537" s="50">
        <v>5.625</v>
      </c>
    </row>
    <row r="1538">
      <c r="A1538" s="26">
        <v>1532.0</v>
      </c>
      <c r="B1538" s="65">
        <v>-0.30566438047872185</v>
      </c>
      <c r="C1538" s="65">
        <v>0.21873370473190742</v>
      </c>
      <c r="D1538" s="65">
        <v>0.17780701363106624</v>
      </c>
      <c r="E1538" s="65">
        <v>0.9460246372212747</v>
      </c>
      <c r="F1538" s="65">
        <v>5.810081176991245</v>
      </c>
      <c r="G1538" s="50">
        <v>0.0</v>
      </c>
      <c r="H1538" s="50">
        <v>0.0</v>
      </c>
      <c r="I1538" s="50">
        <v>0.0</v>
      </c>
      <c r="J1538" s="50">
        <v>0.0</v>
      </c>
      <c r="K1538" s="50">
        <v>0.0</v>
      </c>
      <c r="L1538" s="50">
        <v>0.0</v>
      </c>
      <c r="M1538" s="50">
        <v>0.0</v>
      </c>
      <c r="N1538" s="50">
        <v>0.0</v>
      </c>
      <c r="O1538" s="50">
        <v>0.0</v>
      </c>
      <c r="P1538" s="50">
        <v>0.0</v>
      </c>
      <c r="Q1538" s="50">
        <v>0.0</v>
      </c>
      <c r="R1538" s="50">
        <v>0.0</v>
      </c>
      <c r="S1538" s="50">
        <v>0.0</v>
      </c>
      <c r="T1538" s="50">
        <v>2.8125</v>
      </c>
      <c r="U1538" s="50">
        <v>0.0</v>
      </c>
      <c r="V1538" s="50">
        <v>5.625</v>
      </c>
      <c r="W1538" s="50">
        <v>0.0</v>
      </c>
      <c r="X1538" s="50">
        <v>2.8125</v>
      </c>
      <c r="Y1538" s="50">
        <v>11.25</v>
      </c>
    </row>
    <row r="1539">
      <c r="A1539" s="26">
        <v>1533.0</v>
      </c>
      <c r="B1539" s="65">
        <v>-0.030051493846630917</v>
      </c>
      <c r="C1539" s="65">
        <v>-1.3446248013359767</v>
      </c>
      <c r="D1539" s="65">
        <v>-0.375118649372454</v>
      </c>
      <c r="E1539" s="65">
        <v>-0.3809190000496064</v>
      </c>
      <c r="F1539" s="65">
        <v>1.4748979906224757</v>
      </c>
      <c r="G1539" s="50">
        <v>0.0</v>
      </c>
      <c r="H1539" s="50">
        <v>0.0</v>
      </c>
      <c r="I1539" s="50">
        <v>0.0</v>
      </c>
      <c r="J1539" s="50">
        <v>0.0</v>
      </c>
      <c r="K1539" s="50">
        <v>0.0</v>
      </c>
      <c r="L1539" s="50">
        <v>0.0</v>
      </c>
      <c r="M1539" s="50">
        <v>0.0</v>
      </c>
      <c r="N1539" s="50">
        <v>0.0</v>
      </c>
      <c r="O1539" s="50">
        <v>0.0</v>
      </c>
      <c r="P1539" s="50">
        <v>0.0</v>
      </c>
      <c r="Q1539" s="50">
        <v>0.0</v>
      </c>
      <c r="R1539" s="50">
        <v>0.0</v>
      </c>
      <c r="S1539" s="50">
        <v>0.0</v>
      </c>
      <c r="T1539" s="50">
        <v>2.8125</v>
      </c>
      <c r="U1539" s="50">
        <v>9.9</v>
      </c>
      <c r="V1539" s="50">
        <v>0.0</v>
      </c>
      <c r="W1539" s="50">
        <v>0.0</v>
      </c>
      <c r="X1539" s="50">
        <v>2.8125</v>
      </c>
      <c r="Y1539" s="50">
        <v>15.525</v>
      </c>
    </row>
    <row r="1540">
      <c r="A1540" s="26">
        <v>1534.0</v>
      </c>
      <c r="B1540" s="65">
        <v>-0.15754695817050726</v>
      </c>
      <c r="C1540" s="65">
        <v>-0.21545329981633726</v>
      </c>
      <c r="D1540" s="65">
        <v>-0.864732156943158</v>
      </c>
      <c r="E1540" s="65">
        <v>-0.9448013763656932</v>
      </c>
      <c r="F1540" s="65">
        <v>8.542416120392456</v>
      </c>
      <c r="G1540" s="50">
        <v>0.0</v>
      </c>
      <c r="H1540" s="50">
        <v>0.0</v>
      </c>
      <c r="I1540" s="50">
        <v>0.0</v>
      </c>
      <c r="J1540" s="50">
        <v>0.0</v>
      </c>
      <c r="K1540" s="50">
        <v>0.0</v>
      </c>
      <c r="L1540" s="50">
        <v>0.0</v>
      </c>
      <c r="M1540" s="50">
        <v>0.0</v>
      </c>
      <c r="N1540" s="50">
        <v>0.0</v>
      </c>
      <c r="O1540" s="50">
        <v>0.0</v>
      </c>
      <c r="P1540" s="50">
        <v>0.0</v>
      </c>
      <c r="Q1540" s="50">
        <v>0.0</v>
      </c>
      <c r="R1540" s="50">
        <v>0.0</v>
      </c>
      <c r="S1540" s="50">
        <v>0.0</v>
      </c>
      <c r="T1540" s="50">
        <v>2.8125</v>
      </c>
      <c r="U1540" s="50">
        <v>0.0</v>
      </c>
      <c r="V1540" s="50">
        <v>5.625</v>
      </c>
      <c r="W1540" s="50">
        <v>0.0</v>
      </c>
      <c r="X1540" s="50">
        <v>2.8125</v>
      </c>
      <c r="Y1540" s="50">
        <v>11.25</v>
      </c>
    </row>
    <row r="1541">
      <c r="A1541" s="26">
        <v>1535.0</v>
      </c>
      <c r="B1541" s="65">
        <v>-0.6046577871523984</v>
      </c>
      <c r="C1541" s="65">
        <v>-0.5235491197678821</v>
      </c>
      <c r="D1541" s="65">
        <v>0.07083707585865924</v>
      </c>
      <c r="E1541" s="65">
        <v>-1.067237816006372</v>
      </c>
      <c r="F1541" s="65">
        <v>9.962329570760796</v>
      </c>
      <c r="G1541" s="50">
        <v>0.0</v>
      </c>
      <c r="H1541" s="50">
        <v>0.0</v>
      </c>
      <c r="I1541" s="50">
        <v>0.0</v>
      </c>
      <c r="J1541" s="50">
        <v>0.0</v>
      </c>
      <c r="K1541" s="50">
        <v>0.0</v>
      </c>
      <c r="L1541" s="50">
        <v>0.0</v>
      </c>
      <c r="M1541" s="50">
        <v>0.0</v>
      </c>
      <c r="N1541" s="50">
        <v>0.0</v>
      </c>
      <c r="O1541" s="50">
        <v>0.0</v>
      </c>
      <c r="P1541" s="50">
        <v>0.0</v>
      </c>
      <c r="Q1541" s="50">
        <v>0.0</v>
      </c>
      <c r="R1541" s="50">
        <v>0.0</v>
      </c>
      <c r="S1541" s="50">
        <v>0.0</v>
      </c>
      <c r="T1541" s="50">
        <v>2.8125</v>
      </c>
      <c r="U1541" s="50">
        <v>0.0</v>
      </c>
      <c r="V1541" s="50">
        <v>5.625</v>
      </c>
      <c r="W1541" s="50">
        <v>0.0</v>
      </c>
      <c r="X1541" s="50">
        <v>2.8125</v>
      </c>
      <c r="Y1541" s="50">
        <v>11.25</v>
      </c>
    </row>
    <row r="1542">
      <c r="A1542" s="26">
        <v>1536.0</v>
      </c>
      <c r="B1542" s="65">
        <v>-1.0247637208842177</v>
      </c>
      <c r="C1542" s="65">
        <v>-1.501725326103009</v>
      </c>
      <c r="D1542" s="65">
        <v>0.11589189217310948</v>
      </c>
      <c r="E1542" s="65">
        <v>1.0180308387231003</v>
      </c>
      <c r="F1542" s="65">
        <v>1.7847697438560806</v>
      </c>
      <c r="G1542" s="50">
        <v>0.0</v>
      </c>
      <c r="H1542" s="50">
        <v>0.0</v>
      </c>
      <c r="I1542" s="50">
        <v>0.0</v>
      </c>
      <c r="J1542" s="50">
        <v>0.0</v>
      </c>
      <c r="K1542" s="50">
        <v>0.0</v>
      </c>
      <c r="L1542" s="50">
        <v>0.0</v>
      </c>
      <c r="M1542" s="50">
        <v>0.0</v>
      </c>
      <c r="N1542" s="50">
        <v>0.0</v>
      </c>
      <c r="O1542" s="50">
        <v>7.425000000000001</v>
      </c>
      <c r="P1542" s="50">
        <v>2.475</v>
      </c>
      <c r="Q1542" s="50">
        <v>0.0</v>
      </c>
      <c r="R1542" s="50">
        <v>0.0</v>
      </c>
      <c r="S1542" s="50">
        <v>0.0</v>
      </c>
      <c r="T1542" s="50">
        <v>2.8125</v>
      </c>
      <c r="U1542" s="50">
        <v>0.0</v>
      </c>
      <c r="V1542" s="50">
        <v>0.0</v>
      </c>
      <c r="W1542" s="50">
        <v>0.0</v>
      </c>
      <c r="X1542" s="50">
        <v>2.8125</v>
      </c>
      <c r="Y1542" s="50">
        <v>15.525</v>
      </c>
    </row>
    <row r="1543">
      <c r="A1543" s="26">
        <v>1537.0</v>
      </c>
      <c r="B1543" s="65">
        <v>1.2152946246062808</v>
      </c>
      <c r="C1543" s="65">
        <v>-0.10326324129761448</v>
      </c>
      <c r="D1543" s="65">
        <v>-0.553803874452336</v>
      </c>
      <c r="E1543" s="65">
        <v>0.5281916867348434</v>
      </c>
      <c r="F1543" s="65">
        <v>10.926488723552133</v>
      </c>
      <c r="G1543" s="50">
        <v>0.0</v>
      </c>
      <c r="H1543" s="50">
        <v>0.0</v>
      </c>
      <c r="I1543" s="50">
        <v>0.0</v>
      </c>
      <c r="J1543" s="50">
        <v>0.0</v>
      </c>
      <c r="K1543" s="50">
        <v>0.0</v>
      </c>
      <c r="L1543" s="50">
        <v>0.0</v>
      </c>
      <c r="M1543" s="50">
        <v>0.0</v>
      </c>
      <c r="N1543" s="50">
        <v>0.0</v>
      </c>
      <c r="O1543" s="50">
        <v>0.0</v>
      </c>
      <c r="P1543" s="50">
        <v>0.0</v>
      </c>
      <c r="Q1543" s="50">
        <v>0.0</v>
      </c>
      <c r="R1543" s="50">
        <v>0.0</v>
      </c>
      <c r="S1543" s="50">
        <v>0.0</v>
      </c>
      <c r="T1543" s="50">
        <v>2.8125</v>
      </c>
      <c r="U1543" s="50">
        <v>0.0</v>
      </c>
      <c r="V1543" s="50">
        <v>0.0</v>
      </c>
      <c r="W1543" s="50">
        <v>0.0</v>
      </c>
      <c r="X1543" s="50">
        <v>2.8125</v>
      </c>
      <c r="Y1543" s="50">
        <v>5.625</v>
      </c>
    </row>
    <row r="1544">
      <c r="A1544" s="26">
        <v>1538.0</v>
      </c>
      <c r="B1544" s="65">
        <v>-0.8024328473072803</v>
      </c>
      <c r="C1544" s="65">
        <v>0.4352651866553142</v>
      </c>
      <c r="D1544" s="65">
        <v>-2.1014015261689094</v>
      </c>
      <c r="E1544" s="65">
        <v>1.2018313828128253</v>
      </c>
      <c r="F1544" s="65">
        <v>3.314176055801559</v>
      </c>
      <c r="G1544" s="50">
        <v>0.0</v>
      </c>
      <c r="H1544" s="50">
        <v>0.0</v>
      </c>
      <c r="I1544" s="50">
        <v>0.0</v>
      </c>
      <c r="J1544" s="50">
        <v>0.0</v>
      </c>
      <c r="K1544" s="50">
        <v>0.0</v>
      </c>
      <c r="L1544" s="50">
        <v>0.0</v>
      </c>
      <c r="M1544" s="50">
        <v>0.0</v>
      </c>
      <c r="N1544" s="50">
        <v>0.0</v>
      </c>
      <c r="O1544" s="50">
        <v>0.0</v>
      </c>
      <c r="P1544" s="50">
        <v>0.0</v>
      </c>
      <c r="Q1544" s="50">
        <v>13.5</v>
      </c>
      <c r="R1544" s="50">
        <v>9.9</v>
      </c>
      <c r="S1544" s="50">
        <v>0.0</v>
      </c>
      <c r="T1544" s="50">
        <v>2.8125</v>
      </c>
      <c r="U1544" s="50">
        <v>0.0</v>
      </c>
      <c r="V1544" s="50">
        <v>0.0</v>
      </c>
      <c r="W1544" s="50">
        <v>0.0</v>
      </c>
      <c r="X1544" s="50">
        <v>2.8125</v>
      </c>
      <c r="Y1544" s="50">
        <v>29.025</v>
      </c>
    </row>
    <row r="1545">
      <c r="A1545" s="26">
        <v>1539.0</v>
      </c>
      <c r="B1545" s="65">
        <v>0.043945475063462025</v>
      </c>
      <c r="C1545" s="65">
        <v>-0.7650844606351314</v>
      </c>
      <c r="D1545" s="65">
        <v>1.7301367982087343</v>
      </c>
      <c r="E1545" s="65">
        <v>-1.4290788756894361</v>
      </c>
      <c r="F1545" s="65">
        <v>9.895898459421655</v>
      </c>
      <c r="G1545" s="50">
        <v>0.0</v>
      </c>
      <c r="H1545" s="50">
        <v>0.0</v>
      </c>
      <c r="I1545" s="50">
        <v>0.0</v>
      </c>
      <c r="J1545" s="50">
        <v>0.0</v>
      </c>
      <c r="K1545" s="50">
        <v>0.0</v>
      </c>
      <c r="L1545" s="50">
        <v>0.0</v>
      </c>
      <c r="M1545" s="50">
        <v>0.0</v>
      </c>
      <c r="N1545" s="50">
        <v>0.0</v>
      </c>
      <c r="O1545" s="50">
        <v>0.0</v>
      </c>
      <c r="P1545" s="50">
        <v>0.0</v>
      </c>
      <c r="Q1545" s="50">
        <v>0.0</v>
      </c>
      <c r="R1545" s="50">
        <v>0.0</v>
      </c>
      <c r="S1545" s="50">
        <v>0.0</v>
      </c>
      <c r="T1545" s="50">
        <v>2.8125</v>
      </c>
      <c r="U1545" s="50">
        <v>0.0</v>
      </c>
      <c r="V1545" s="50">
        <v>0.0</v>
      </c>
      <c r="W1545" s="50">
        <v>0.0</v>
      </c>
      <c r="X1545" s="50">
        <v>2.8125</v>
      </c>
      <c r="Y1545" s="50">
        <v>5.625</v>
      </c>
    </row>
    <row r="1546">
      <c r="A1546" s="26">
        <v>1540.0</v>
      </c>
      <c r="B1546" s="65">
        <v>-0.3984974254748674</v>
      </c>
      <c r="C1546" s="65">
        <v>-0.11633058479915094</v>
      </c>
      <c r="D1546" s="65">
        <v>0.7394905992631066</v>
      </c>
      <c r="E1546" s="65">
        <v>-1.4027629472118395</v>
      </c>
      <c r="F1546" s="65">
        <v>7.585822619859496</v>
      </c>
      <c r="G1546" s="50">
        <v>0.0</v>
      </c>
      <c r="H1546" s="50">
        <v>0.0</v>
      </c>
      <c r="I1546" s="50">
        <v>0.0</v>
      </c>
      <c r="J1546" s="50">
        <v>0.0</v>
      </c>
      <c r="K1546" s="50">
        <v>0.0</v>
      </c>
      <c r="L1546" s="50">
        <v>0.0</v>
      </c>
      <c r="M1546" s="50">
        <v>0.0</v>
      </c>
      <c r="N1546" s="50">
        <v>0.0</v>
      </c>
      <c r="O1546" s="50">
        <v>0.0</v>
      </c>
      <c r="P1546" s="50">
        <v>0.0</v>
      </c>
      <c r="Q1546" s="50">
        <v>0.0</v>
      </c>
      <c r="R1546" s="50">
        <v>0.0</v>
      </c>
      <c r="S1546" s="50">
        <v>0.0</v>
      </c>
      <c r="T1546" s="50">
        <v>2.8125</v>
      </c>
      <c r="U1546" s="50">
        <v>9.9</v>
      </c>
      <c r="V1546" s="50">
        <v>5.625</v>
      </c>
      <c r="W1546" s="50">
        <v>4.95</v>
      </c>
      <c r="X1546" s="50">
        <v>2.8125</v>
      </c>
      <c r="Y1546" s="50">
        <v>26.099999999999998</v>
      </c>
    </row>
    <row r="1547">
      <c r="A1547" s="26">
        <v>1541.0</v>
      </c>
      <c r="B1547" s="65">
        <v>-0.09593319954645271</v>
      </c>
      <c r="C1547" s="65">
        <v>0.7283017324761587</v>
      </c>
      <c r="D1547" s="65">
        <v>0.5351918704135568</v>
      </c>
      <c r="E1547" s="65">
        <v>0.6713548035205977</v>
      </c>
      <c r="F1547" s="65">
        <v>2.571699278644328</v>
      </c>
      <c r="G1547" s="50">
        <v>0.0</v>
      </c>
      <c r="H1547" s="50">
        <v>0.0</v>
      </c>
      <c r="I1547" s="50">
        <v>0.0</v>
      </c>
      <c r="J1547" s="50">
        <v>0.0</v>
      </c>
      <c r="K1547" s="50">
        <v>0.0</v>
      </c>
      <c r="L1547" s="50">
        <v>0.0</v>
      </c>
      <c r="M1547" s="50">
        <v>0.0</v>
      </c>
      <c r="N1547" s="50">
        <v>0.0</v>
      </c>
      <c r="O1547" s="50">
        <v>0.0</v>
      </c>
      <c r="P1547" s="50">
        <v>0.0</v>
      </c>
      <c r="Q1547" s="50">
        <v>0.0</v>
      </c>
      <c r="R1547" s="50">
        <v>0.0</v>
      </c>
      <c r="S1547" s="50">
        <v>0.0</v>
      </c>
      <c r="T1547" s="50">
        <v>2.8125</v>
      </c>
      <c r="U1547" s="50">
        <v>0.0</v>
      </c>
      <c r="V1547" s="50">
        <v>5.625</v>
      </c>
      <c r="W1547" s="50">
        <v>0.0</v>
      </c>
      <c r="X1547" s="50">
        <v>2.8125</v>
      </c>
      <c r="Y1547" s="50">
        <v>11.25</v>
      </c>
    </row>
    <row r="1548">
      <c r="A1548" s="26">
        <v>1542.0</v>
      </c>
      <c r="B1548" s="65">
        <v>0.5645447418545553</v>
      </c>
      <c r="C1548" s="65">
        <v>-0.9241746078398025</v>
      </c>
      <c r="D1548" s="65">
        <v>0.33743047278211263</v>
      </c>
      <c r="E1548" s="65">
        <v>-0.3747244207816357</v>
      </c>
      <c r="F1548" s="65">
        <v>15.062144386318852</v>
      </c>
      <c r="G1548" s="50">
        <v>0.0</v>
      </c>
      <c r="H1548" s="50">
        <v>0.0</v>
      </c>
      <c r="I1548" s="50">
        <v>0.0</v>
      </c>
      <c r="J1548" s="50">
        <v>0.0</v>
      </c>
      <c r="K1548" s="50">
        <v>0.0</v>
      </c>
      <c r="L1548" s="50">
        <v>0.0</v>
      </c>
      <c r="M1548" s="50">
        <v>0.0</v>
      </c>
      <c r="N1548" s="50">
        <v>0.0</v>
      </c>
      <c r="O1548" s="50">
        <v>0.0</v>
      </c>
      <c r="P1548" s="50">
        <v>0.0</v>
      </c>
      <c r="Q1548" s="50">
        <v>0.0</v>
      </c>
      <c r="R1548" s="50">
        <v>0.0</v>
      </c>
      <c r="S1548" s="50">
        <v>0.0</v>
      </c>
      <c r="T1548" s="50">
        <v>2.8125</v>
      </c>
      <c r="U1548" s="50">
        <v>0.0</v>
      </c>
      <c r="V1548" s="50">
        <v>0.0</v>
      </c>
      <c r="W1548" s="50">
        <v>0.0</v>
      </c>
      <c r="X1548" s="50">
        <v>2.8125</v>
      </c>
      <c r="Y1548" s="50">
        <v>5.625</v>
      </c>
    </row>
    <row r="1549">
      <c r="A1549" s="26">
        <v>1543.0</v>
      </c>
      <c r="B1549" s="65">
        <v>0.6044492896626903</v>
      </c>
      <c r="C1549" s="65">
        <v>-1.4445742255151441</v>
      </c>
      <c r="D1549" s="65">
        <v>1.5101037647596305</v>
      </c>
      <c r="E1549" s="65">
        <v>-0.8287196273449994</v>
      </c>
      <c r="F1549" s="65">
        <v>1.8503238119482985</v>
      </c>
      <c r="G1549" s="50">
        <v>0.0</v>
      </c>
      <c r="H1549" s="50">
        <v>0.0</v>
      </c>
      <c r="I1549" s="50">
        <v>0.0</v>
      </c>
      <c r="J1549" s="50">
        <v>0.0</v>
      </c>
      <c r="K1549" s="50">
        <v>0.0</v>
      </c>
      <c r="L1549" s="50">
        <v>0.0</v>
      </c>
      <c r="M1549" s="50">
        <v>0.0</v>
      </c>
      <c r="N1549" s="50">
        <v>0.0</v>
      </c>
      <c r="O1549" s="50">
        <v>7.425000000000001</v>
      </c>
      <c r="P1549" s="50">
        <v>0.0</v>
      </c>
      <c r="Q1549" s="50">
        <v>0.0</v>
      </c>
      <c r="R1549" s="50">
        <v>0.0</v>
      </c>
      <c r="S1549" s="50">
        <v>0.0</v>
      </c>
      <c r="T1549" s="50">
        <v>2.8125</v>
      </c>
      <c r="U1549" s="50">
        <v>0.0</v>
      </c>
      <c r="V1549" s="50">
        <v>0.0</v>
      </c>
      <c r="W1549" s="50">
        <v>0.0</v>
      </c>
      <c r="X1549" s="50">
        <v>2.8125</v>
      </c>
      <c r="Y1549" s="50">
        <v>13.05</v>
      </c>
    </row>
    <row r="1550">
      <c r="A1550" s="26">
        <v>1544.0</v>
      </c>
      <c r="B1550" s="65">
        <v>-1.2747636544148953</v>
      </c>
      <c r="C1550" s="65">
        <v>0.2605995078645554</v>
      </c>
      <c r="D1550" s="65">
        <v>-0.4283972476510914</v>
      </c>
      <c r="E1550" s="65">
        <v>-2.2211382902963077</v>
      </c>
      <c r="F1550" s="65">
        <v>5.950344137969315</v>
      </c>
      <c r="G1550" s="50">
        <v>0.0</v>
      </c>
      <c r="H1550" s="50">
        <v>0.0</v>
      </c>
      <c r="I1550" s="50">
        <v>0.0</v>
      </c>
      <c r="J1550" s="50">
        <v>0.0</v>
      </c>
      <c r="K1550" s="50">
        <v>0.0</v>
      </c>
      <c r="L1550" s="50">
        <v>0.0</v>
      </c>
      <c r="M1550" s="50">
        <v>0.0</v>
      </c>
      <c r="N1550" s="50">
        <v>0.0</v>
      </c>
      <c r="O1550" s="50">
        <v>0.0</v>
      </c>
      <c r="P1550" s="50">
        <v>0.0</v>
      </c>
      <c r="Q1550" s="50">
        <v>0.0</v>
      </c>
      <c r="R1550" s="50">
        <v>9.9</v>
      </c>
      <c r="S1550" s="50">
        <v>0.0</v>
      </c>
      <c r="T1550" s="50">
        <v>2.8125</v>
      </c>
      <c r="U1550" s="50">
        <v>0.0</v>
      </c>
      <c r="V1550" s="50">
        <v>5.625</v>
      </c>
      <c r="W1550" s="50">
        <v>0.0</v>
      </c>
      <c r="X1550" s="50">
        <v>2.8125</v>
      </c>
      <c r="Y1550" s="50">
        <v>21.15</v>
      </c>
    </row>
    <row r="1551">
      <c r="A1551" s="26">
        <v>1545.0</v>
      </c>
      <c r="B1551" s="65">
        <v>-0.7951171038341198</v>
      </c>
      <c r="C1551" s="65">
        <v>-0.9152841644588059</v>
      </c>
      <c r="D1551" s="65">
        <v>-0.7417198843563892</v>
      </c>
      <c r="E1551" s="65">
        <v>1.093289716195489</v>
      </c>
      <c r="F1551" s="65">
        <v>6.257498349473277</v>
      </c>
      <c r="G1551" s="50">
        <v>0.0</v>
      </c>
      <c r="H1551" s="50">
        <v>0.0</v>
      </c>
      <c r="I1551" s="50">
        <v>0.0</v>
      </c>
      <c r="J1551" s="50">
        <v>0.0</v>
      </c>
      <c r="K1551" s="50">
        <v>0.0</v>
      </c>
      <c r="L1551" s="50">
        <v>0.0</v>
      </c>
      <c r="M1551" s="50">
        <v>0.0</v>
      </c>
      <c r="N1551" s="50">
        <v>0.0</v>
      </c>
      <c r="O1551" s="50">
        <v>7.425000000000001</v>
      </c>
      <c r="P1551" s="50">
        <v>0.0</v>
      </c>
      <c r="Q1551" s="50">
        <v>0.0</v>
      </c>
      <c r="R1551" s="50">
        <v>0.0</v>
      </c>
      <c r="S1551" s="50">
        <v>0.0</v>
      </c>
      <c r="T1551" s="50">
        <v>2.8125</v>
      </c>
      <c r="U1551" s="50">
        <v>0.0</v>
      </c>
      <c r="V1551" s="50">
        <v>0.0</v>
      </c>
      <c r="W1551" s="50">
        <v>0.0</v>
      </c>
      <c r="X1551" s="50">
        <v>2.8125</v>
      </c>
      <c r="Y1551" s="50">
        <v>13.05</v>
      </c>
    </row>
    <row r="1552">
      <c r="A1552" s="26">
        <v>1546.0</v>
      </c>
      <c r="B1552" s="65">
        <v>-0.3537228901262146</v>
      </c>
      <c r="C1552" s="65">
        <v>-0.12399720572296835</v>
      </c>
      <c r="D1552" s="65">
        <v>-0.26970603633262996</v>
      </c>
      <c r="E1552" s="65">
        <v>2.6545488701034574</v>
      </c>
      <c r="F1552" s="65">
        <v>6.215265676051108</v>
      </c>
      <c r="G1552" s="50">
        <v>0.0</v>
      </c>
      <c r="H1552" s="50">
        <v>0.0</v>
      </c>
      <c r="I1552" s="50">
        <v>0.0</v>
      </c>
      <c r="J1552" s="50">
        <v>0.0</v>
      </c>
      <c r="K1552" s="50">
        <v>0.0</v>
      </c>
      <c r="L1552" s="50">
        <v>0.0</v>
      </c>
      <c r="M1552" s="50">
        <v>0.0</v>
      </c>
      <c r="N1552" s="50">
        <v>0.0</v>
      </c>
      <c r="O1552" s="50">
        <v>0.0</v>
      </c>
      <c r="P1552" s="50">
        <v>0.0</v>
      </c>
      <c r="Q1552" s="50">
        <v>0.0</v>
      </c>
      <c r="R1552" s="50">
        <v>9.9</v>
      </c>
      <c r="S1552" s="50">
        <v>0.0</v>
      </c>
      <c r="T1552" s="50">
        <v>2.8125</v>
      </c>
      <c r="U1552" s="50">
        <v>0.0</v>
      </c>
      <c r="V1552" s="50">
        <v>0.0</v>
      </c>
      <c r="W1552" s="50">
        <v>0.0</v>
      </c>
      <c r="X1552" s="50">
        <v>2.8125</v>
      </c>
      <c r="Y1552" s="50">
        <v>15.525</v>
      </c>
    </row>
    <row r="1553">
      <c r="A1553" s="26">
        <v>1547.0</v>
      </c>
      <c r="B1553" s="65">
        <v>-0.04795662973342378</v>
      </c>
      <c r="C1553" s="65">
        <v>-0.8145396149613866</v>
      </c>
      <c r="D1553" s="65">
        <v>0.9461334165317156</v>
      </c>
      <c r="E1553" s="65">
        <v>-0.028744957819795608</v>
      </c>
      <c r="F1553" s="65">
        <v>2.8805007610182822</v>
      </c>
      <c r="G1553" s="50">
        <v>0.0</v>
      </c>
      <c r="H1553" s="50">
        <v>0.0</v>
      </c>
      <c r="I1553" s="50">
        <v>0.0</v>
      </c>
      <c r="J1553" s="50">
        <v>0.0</v>
      </c>
      <c r="K1553" s="50">
        <v>0.0</v>
      </c>
      <c r="L1553" s="50">
        <v>0.0</v>
      </c>
      <c r="M1553" s="50">
        <v>0.0</v>
      </c>
      <c r="N1553" s="50">
        <v>0.0</v>
      </c>
      <c r="O1553" s="50">
        <v>7.425000000000001</v>
      </c>
      <c r="P1553" s="50">
        <v>0.0</v>
      </c>
      <c r="Q1553" s="50">
        <v>0.0</v>
      </c>
      <c r="R1553" s="50">
        <v>0.0</v>
      </c>
      <c r="S1553" s="50">
        <v>0.0</v>
      </c>
      <c r="T1553" s="50">
        <v>2.8125</v>
      </c>
      <c r="U1553" s="50">
        <v>0.0</v>
      </c>
      <c r="V1553" s="50">
        <v>5.625</v>
      </c>
      <c r="W1553" s="50">
        <v>0.0</v>
      </c>
      <c r="X1553" s="50">
        <v>2.8125</v>
      </c>
      <c r="Y1553" s="50">
        <v>18.675</v>
      </c>
    </row>
    <row r="1554">
      <c r="A1554" s="26">
        <v>1548.0</v>
      </c>
      <c r="B1554" s="65">
        <v>-1.032820274219666</v>
      </c>
      <c r="C1554" s="65">
        <v>0.9542857688026553</v>
      </c>
      <c r="D1554" s="65">
        <v>-0.9220827251053636</v>
      </c>
      <c r="E1554" s="65">
        <v>-0.1866156230252881</v>
      </c>
      <c r="F1554" s="65">
        <v>3.9632493225060155</v>
      </c>
      <c r="G1554" s="50">
        <v>0.0</v>
      </c>
      <c r="H1554" s="50">
        <v>0.0</v>
      </c>
      <c r="I1554" s="50">
        <v>0.0</v>
      </c>
      <c r="J1554" s="50">
        <v>0.0</v>
      </c>
      <c r="K1554" s="50">
        <v>0.0</v>
      </c>
      <c r="L1554" s="50">
        <v>0.0</v>
      </c>
      <c r="M1554" s="50">
        <v>0.0</v>
      </c>
      <c r="N1554" s="50">
        <v>0.0</v>
      </c>
      <c r="O1554" s="50">
        <v>0.0</v>
      </c>
      <c r="P1554" s="50">
        <v>0.0</v>
      </c>
      <c r="Q1554" s="50">
        <v>0.0</v>
      </c>
      <c r="R1554" s="50">
        <v>9.9</v>
      </c>
      <c r="S1554" s="50">
        <v>0.0</v>
      </c>
      <c r="T1554" s="50">
        <v>2.8125</v>
      </c>
      <c r="U1554" s="50">
        <v>0.0</v>
      </c>
      <c r="V1554" s="50">
        <v>5.625</v>
      </c>
      <c r="W1554" s="50">
        <v>0.0</v>
      </c>
      <c r="X1554" s="50">
        <v>2.8125</v>
      </c>
      <c r="Y1554" s="50">
        <v>21.15</v>
      </c>
    </row>
    <row r="1555">
      <c r="A1555" s="26">
        <v>1549.0</v>
      </c>
      <c r="B1555" s="65">
        <v>-3.556953068326699</v>
      </c>
      <c r="C1555" s="65">
        <v>-0.3277049086383778</v>
      </c>
      <c r="D1555" s="65">
        <v>0.6545538462028014</v>
      </c>
      <c r="E1555" s="65">
        <v>1.0312280107434204</v>
      </c>
      <c r="F1555" s="65">
        <v>2.5928406609783714</v>
      </c>
      <c r="G1555" s="50">
        <v>0.0</v>
      </c>
      <c r="H1555" s="50">
        <v>0.0</v>
      </c>
      <c r="I1555" s="50">
        <v>0.0</v>
      </c>
      <c r="J1555" s="50">
        <v>0.0</v>
      </c>
      <c r="K1555" s="50">
        <v>0.0</v>
      </c>
      <c r="L1555" s="50">
        <v>0.0</v>
      </c>
      <c r="M1555" s="50">
        <v>0.0</v>
      </c>
      <c r="N1555" s="50">
        <v>0.0</v>
      </c>
      <c r="O1555" s="50">
        <v>7.425000000000001</v>
      </c>
      <c r="P1555" s="50">
        <v>2.475</v>
      </c>
      <c r="Q1555" s="50">
        <v>0.0</v>
      </c>
      <c r="R1555" s="50">
        <v>9.9</v>
      </c>
      <c r="S1555" s="50">
        <v>11.25</v>
      </c>
      <c r="T1555" s="50">
        <v>2.8125</v>
      </c>
      <c r="U1555" s="50">
        <v>0.0</v>
      </c>
      <c r="V1555" s="50">
        <v>5.625</v>
      </c>
      <c r="W1555" s="50">
        <v>0.0</v>
      </c>
      <c r="X1555" s="50">
        <v>2.8125</v>
      </c>
      <c r="Y1555" s="50">
        <v>42.3</v>
      </c>
    </row>
    <row r="1556">
      <c r="A1556" s="26">
        <v>1550.0</v>
      </c>
      <c r="B1556" s="65">
        <v>0.49787208381534087</v>
      </c>
      <c r="C1556" s="65">
        <v>0.8710746918323685</v>
      </c>
      <c r="D1556" s="65">
        <v>0.004719165401848717</v>
      </c>
      <c r="E1556" s="65">
        <v>1.6270320385742971</v>
      </c>
      <c r="F1556" s="65">
        <v>2.3048774975684587</v>
      </c>
      <c r="G1556" s="50">
        <v>0.0</v>
      </c>
      <c r="H1556" s="50">
        <v>0.0</v>
      </c>
      <c r="I1556" s="50">
        <v>0.0</v>
      </c>
      <c r="J1556" s="50">
        <v>0.0</v>
      </c>
      <c r="K1556" s="50">
        <v>0.0</v>
      </c>
      <c r="L1556" s="50">
        <v>0.0</v>
      </c>
      <c r="M1556" s="50">
        <v>0.0</v>
      </c>
      <c r="N1556" s="50">
        <v>0.0</v>
      </c>
      <c r="O1556" s="50">
        <v>0.0</v>
      </c>
      <c r="P1556" s="50">
        <v>0.0</v>
      </c>
      <c r="Q1556" s="50">
        <v>0.0</v>
      </c>
      <c r="R1556" s="50">
        <v>0.0</v>
      </c>
      <c r="S1556" s="50">
        <v>0.0</v>
      </c>
      <c r="T1556" s="50">
        <v>2.8125</v>
      </c>
      <c r="U1556" s="50">
        <v>0.0</v>
      </c>
      <c r="V1556" s="50">
        <v>0.0</v>
      </c>
      <c r="W1556" s="50">
        <v>0.0</v>
      </c>
      <c r="X1556" s="50">
        <v>2.8125</v>
      </c>
      <c r="Y1556" s="50">
        <v>5.625</v>
      </c>
    </row>
    <row r="1557">
      <c r="A1557" s="26">
        <v>1551.0</v>
      </c>
      <c r="B1557" s="65">
        <v>-0.3306855888225035</v>
      </c>
      <c r="C1557" s="65">
        <v>-0.3032036938066884</v>
      </c>
      <c r="D1557" s="65">
        <v>-0.44940523180747943</v>
      </c>
      <c r="E1557" s="65">
        <v>1.6072702219951638</v>
      </c>
      <c r="F1557" s="65">
        <v>2.8606364089279763</v>
      </c>
      <c r="G1557" s="50">
        <v>0.0</v>
      </c>
      <c r="H1557" s="50">
        <v>0.0</v>
      </c>
      <c r="I1557" s="50">
        <v>0.0</v>
      </c>
      <c r="J1557" s="50">
        <v>0.0</v>
      </c>
      <c r="K1557" s="50">
        <v>0.0</v>
      </c>
      <c r="L1557" s="50">
        <v>0.0</v>
      </c>
      <c r="M1557" s="50">
        <v>0.0</v>
      </c>
      <c r="N1557" s="50">
        <v>0.0</v>
      </c>
      <c r="O1557" s="50">
        <v>0.0</v>
      </c>
      <c r="P1557" s="50">
        <v>0.0</v>
      </c>
      <c r="Q1557" s="50">
        <v>0.0</v>
      </c>
      <c r="R1557" s="50">
        <v>0.0</v>
      </c>
      <c r="S1557" s="50">
        <v>0.0</v>
      </c>
      <c r="T1557" s="50">
        <v>2.8125</v>
      </c>
      <c r="U1557" s="50">
        <v>0.0</v>
      </c>
      <c r="V1557" s="50">
        <v>0.0</v>
      </c>
      <c r="W1557" s="50">
        <v>0.0</v>
      </c>
      <c r="X1557" s="50">
        <v>2.8125</v>
      </c>
      <c r="Y1557" s="50">
        <v>5.625</v>
      </c>
    </row>
    <row r="1558">
      <c r="A1558" s="26">
        <v>1552.0</v>
      </c>
      <c r="B1558" s="65">
        <v>-0.9243094916310239</v>
      </c>
      <c r="C1558" s="65">
        <v>-0.5236591897700613</v>
      </c>
      <c r="D1558" s="65">
        <v>0.1294166278087733</v>
      </c>
      <c r="E1558" s="65">
        <v>0.8600633440964579</v>
      </c>
      <c r="F1558" s="65">
        <v>8.046355174081</v>
      </c>
      <c r="G1558" s="50">
        <v>0.0</v>
      </c>
      <c r="H1558" s="50">
        <v>0.0</v>
      </c>
      <c r="I1558" s="50">
        <v>0.0</v>
      </c>
      <c r="J1558" s="50">
        <v>0.0</v>
      </c>
      <c r="K1558" s="50">
        <v>0.0</v>
      </c>
      <c r="L1558" s="50">
        <v>0.0</v>
      </c>
      <c r="M1558" s="50">
        <v>0.0</v>
      </c>
      <c r="N1558" s="50">
        <v>0.0</v>
      </c>
      <c r="O1558" s="50">
        <v>0.0</v>
      </c>
      <c r="P1558" s="50">
        <v>0.0</v>
      </c>
      <c r="Q1558" s="50">
        <v>0.0</v>
      </c>
      <c r="R1558" s="50">
        <v>0.0</v>
      </c>
      <c r="S1558" s="50">
        <v>0.0</v>
      </c>
      <c r="T1558" s="50">
        <v>2.8125</v>
      </c>
      <c r="U1558" s="50">
        <v>0.0</v>
      </c>
      <c r="V1558" s="50">
        <v>5.625</v>
      </c>
      <c r="W1558" s="50">
        <v>0.0</v>
      </c>
      <c r="X1558" s="50">
        <v>2.8125</v>
      </c>
      <c r="Y1558" s="50">
        <v>11.25</v>
      </c>
    </row>
    <row r="1559">
      <c r="A1559" s="26">
        <v>1553.0</v>
      </c>
      <c r="B1559" s="65">
        <v>0.885197087217751</v>
      </c>
      <c r="C1559" s="65">
        <v>-0.36803784419205143</v>
      </c>
      <c r="D1559" s="65">
        <v>-0.19579147048703296</v>
      </c>
      <c r="E1559" s="65">
        <v>-0.3307303693200084</v>
      </c>
      <c r="F1559" s="65">
        <v>4.311486906335719</v>
      </c>
      <c r="G1559" s="50">
        <v>0.0</v>
      </c>
      <c r="H1559" s="50">
        <v>0.0</v>
      </c>
      <c r="I1559" s="50">
        <v>0.0</v>
      </c>
      <c r="J1559" s="50">
        <v>0.0</v>
      </c>
      <c r="K1559" s="50">
        <v>0.0</v>
      </c>
      <c r="L1559" s="50">
        <v>0.0</v>
      </c>
      <c r="M1559" s="50">
        <v>0.0</v>
      </c>
      <c r="N1559" s="50">
        <v>0.0</v>
      </c>
      <c r="O1559" s="50">
        <v>0.0</v>
      </c>
      <c r="P1559" s="50">
        <v>0.0</v>
      </c>
      <c r="Q1559" s="50">
        <v>0.0</v>
      </c>
      <c r="R1559" s="50">
        <v>0.0</v>
      </c>
      <c r="S1559" s="50">
        <v>0.0</v>
      </c>
      <c r="T1559" s="50">
        <v>2.8125</v>
      </c>
      <c r="U1559" s="50">
        <v>0.0</v>
      </c>
      <c r="V1559" s="50">
        <v>0.0</v>
      </c>
      <c r="W1559" s="50">
        <v>0.0</v>
      </c>
      <c r="X1559" s="50">
        <v>2.8125</v>
      </c>
      <c r="Y1559" s="50">
        <v>5.625</v>
      </c>
    </row>
    <row r="1560">
      <c r="A1560" s="26">
        <v>1554.0</v>
      </c>
      <c r="B1560" s="65">
        <v>-0.16738625476180513</v>
      </c>
      <c r="C1560" s="65">
        <v>0.08544353518684804</v>
      </c>
      <c r="D1560" s="65">
        <v>0.2131507797744337</v>
      </c>
      <c r="E1560" s="65">
        <v>1.804928711773253</v>
      </c>
      <c r="F1560" s="65">
        <v>8.234943399813249</v>
      </c>
      <c r="G1560" s="50">
        <v>0.0</v>
      </c>
      <c r="H1560" s="50">
        <v>0.0</v>
      </c>
      <c r="I1560" s="50">
        <v>0.0</v>
      </c>
      <c r="J1560" s="50">
        <v>0.0</v>
      </c>
      <c r="K1560" s="50">
        <v>0.0</v>
      </c>
      <c r="L1560" s="50">
        <v>0.0</v>
      </c>
      <c r="M1560" s="50">
        <v>0.0</v>
      </c>
      <c r="N1560" s="50">
        <v>0.0</v>
      </c>
      <c r="O1560" s="50">
        <v>0.0</v>
      </c>
      <c r="P1560" s="50">
        <v>0.0</v>
      </c>
      <c r="Q1560" s="50">
        <v>0.0</v>
      </c>
      <c r="R1560" s="50">
        <v>0.0</v>
      </c>
      <c r="S1560" s="50">
        <v>0.0</v>
      </c>
      <c r="T1560" s="50">
        <v>2.8125</v>
      </c>
      <c r="U1560" s="50">
        <v>0.0</v>
      </c>
      <c r="V1560" s="50">
        <v>5.625</v>
      </c>
      <c r="W1560" s="50">
        <v>0.0</v>
      </c>
      <c r="X1560" s="50">
        <v>2.8125</v>
      </c>
      <c r="Y1560" s="50">
        <v>11.25</v>
      </c>
    </row>
    <row r="1561">
      <c r="A1561" s="26">
        <v>1555.0</v>
      </c>
      <c r="B1561" s="65">
        <v>-1.3598930240536475</v>
      </c>
      <c r="C1561" s="65">
        <v>-0.5320988108540118</v>
      </c>
      <c r="D1561" s="65">
        <v>-1.772164369085292</v>
      </c>
      <c r="E1561" s="65">
        <v>-0.2685158051027346</v>
      </c>
      <c r="F1561" s="65">
        <v>5.521748685675281</v>
      </c>
      <c r="G1561" s="50">
        <v>0.0</v>
      </c>
      <c r="H1561" s="50">
        <v>0.0</v>
      </c>
      <c r="I1561" s="50">
        <v>0.0</v>
      </c>
      <c r="J1561" s="50">
        <v>0.0</v>
      </c>
      <c r="K1561" s="50">
        <v>0.0</v>
      </c>
      <c r="L1561" s="50">
        <v>0.0</v>
      </c>
      <c r="M1561" s="50">
        <v>0.0</v>
      </c>
      <c r="N1561" s="50">
        <v>0.0</v>
      </c>
      <c r="O1561" s="50">
        <v>0.0</v>
      </c>
      <c r="P1561" s="50">
        <v>2.475</v>
      </c>
      <c r="Q1561" s="50">
        <v>0.0</v>
      </c>
      <c r="R1561" s="50">
        <v>0.0</v>
      </c>
      <c r="S1561" s="50">
        <v>0.0</v>
      </c>
      <c r="T1561" s="50">
        <v>2.8125</v>
      </c>
      <c r="U1561" s="50">
        <v>0.0</v>
      </c>
      <c r="V1561" s="50">
        <v>5.625</v>
      </c>
      <c r="W1561" s="50">
        <v>0.0</v>
      </c>
      <c r="X1561" s="50">
        <v>2.8125</v>
      </c>
      <c r="Y1561" s="50">
        <v>13.725</v>
      </c>
    </row>
    <row r="1562">
      <c r="A1562" s="26">
        <v>1556.0</v>
      </c>
      <c r="B1562" s="65">
        <v>0.35626729945092683</v>
      </c>
      <c r="C1562" s="65">
        <v>2.5962617518106526</v>
      </c>
      <c r="D1562" s="65">
        <v>-0.06717634382031025</v>
      </c>
      <c r="E1562" s="65">
        <v>-0.2143744157391006</v>
      </c>
      <c r="F1562" s="65">
        <v>3.291816161586059</v>
      </c>
      <c r="G1562" s="50">
        <v>0.0</v>
      </c>
      <c r="H1562" s="50">
        <v>0.0</v>
      </c>
      <c r="I1562" s="50">
        <v>0.0</v>
      </c>
      <c r="J1562" s="50">
        <v>0.0</v>
      </c>
      <c r="K1562" s="50">
        <v>0.0</v>
      </c>
      <c r="L1562" s="50">
        <v>0.0</v>
      </c>
      <c r="M1562" s="50">
        <v>0.0</v>
      </c>
      <c r="N1562" s="50">
        <v>0.0</v>
      </c>
      <c r="O1562" s="50">
        <v>0.0</v>
      </c>
      <c r="P1562" s="50">
        <v>0.0</v>
      </c>
      <c r="Q1562" s="50">
        <v>0.0</v>
      </c>
      <c r="R1562" s="50">
        <v>0.0</v>
      </c>
      <c r="S1562" s="50">
        <v>0.0</v>
      </c>
      <c r="T1562" s="50">
        <v>2.8125</v>
      </c>
      <c r="U1562" s="50">
        <v>0.0</v>
      </c>
      <c r="V1562" s="50">
        <v>0.0</v>
      </c>
      <c r="W1562" s="50">
        <v>0.0</v>
      </c>
      <c r="X1562" s="50">
        <v>2.8125</v>
      </c>
      <c r="Y1562" s="50">
        <v>5.625</v>
      </c>
    </row>
    <row r="1563">
      <c r="A1563" s="26">
        <v>1557.0</v>
      </c>
      <c r="B1563" s="65">
        <v>-1.8432352961085854</v>
      </c>
      <c r="C1563" s="65">
        <v>-0.36340666478635125</v>
      </c>
      <c r="D1563" s="65">
        <v>1.075179405999264</v>
      </c>
      <c r="E1563" s="65">
        <v>0.44002862437628565</v>
      </c>
      <c r="F1563" s="65">
        <v>7.414501009250138</v>
      </c>
      <c r="G1563" s="50">
        <v>0.0</v>
      </c>
      <c r="H1563" s="50">
        <v>0.0</v>
      </c>
      <c r="I1563" s="50">
        <v>0.0</v>
      </c>
      <c r="J1563" s="50">
        <v>0.0</v>
      </c>
      <c r="K1563" s="50">
        <v>0.0</v>
      </c>
      <c r="L1563" s="50">
        <v>0.0</v>
      </c>
      <c r="M1563" s="50">
        <v>0.0</v>
      </c>
      <c r="N1563" s="50">
        <v>0.0</v>
      </c>
      <c r="O1563" s="50">
        <v>0.0</v>
      </c>
      <c r="P1563" s="50">
        <v>0.0</v>
      </c>
      <c r="Q1563" s="50">
        <v>0.0</v>
      </c>
      <c r="R1563" s="50">
        <v>0.0</v>
      </c>
      <c r="S1563" s="50">
        <v>0.0</v>
      </c>
      <c r="T1563" s="50">
        <v>2.8125</v>
      </c>
      <c r="U1563" s="50">
        <v>0.0</v>
      </c>
      <c r="V1563" s="50">
        <v>5.625</v>
      </c>
      <c r="W1563" s="50">
        <v>0.0</v>
      </c>
      <c r="X1563" s="50">
        <v>2.8125</v>
      </c>
      <c r="Y1563" s="50">
        <v>11.25</v>
      </c>
    </row>
    <row r="1564">
      <c r="A1564" s="26">
        <v>1558.0</v>
      </c>
      <c r="B1564" s="65">
        <v>-0.05332157850273206</v>
      </c>
      <c r="C1564" s="65">
        <v>-0.1606712701985069</v>
      </c>
      <c r="D1564" s="65">
        <v>-0.5486281613391752</v>
      </c>
      <c r="E1564" s="65">
        <v>1.6186577696948612</v>
      </c>
      <c r="F1564" s="65">
        <v>5.825775943807907</v>
      </c>
      <c r="G1564" s="50">
        <v>0.0</v>
      </c>
      <c r="H1564" s="50">
        <v>0.0</v>
      </c>
      <c r="I1564" s="50">
        <v>0.0</v>
      </c>
      <c r="J1564" s="50">
        <v>0.0</v>
      </c>
      <c r="K1564" s="50">
        <v>0.0</v>
      </c>
      <c r="L1564" s="50">
        <v>0.0</v>
      </c>
      <c r="M1564" s="50">
        <v>0.0</v>
      </c>
      <c r="N1564" s="50">
        <v>0.0</v>
      </c>
      <c r="O1564" s="50">
        <v>0.0</v>
      </c>
      <c r="P1564" s="50">
        <v>0.0</v>
      </c>
      <c r="Q1564" s="50">
        <v>0.0</v>
      </c>
      <c r="R1564" s="50">
        <v>0.0</v>
      </c>
      <c r="S1564" s="50">
        <v>0.0</v>
      </c>
      <c r="T1564" s="50">
        <v>2.8125</v>
      </c>
      <c r="U1564" s="50">
        <v>0.0</v>
      </c>
      <c r="V1564" s="50">
        <v>0.0</v>
      </c>
      <c r="W1564" s="50">
        <v>0.0</v>
      </c>
      <c r="X1564" s="50">
        <v>2.8125</v>
      </c>
      <c r="Y1564" s="50">
        <v>5.625</v>
      </c>
    </row>
    <row r="1565">
      <c r="A1565" s="26">
        <v>1559.0</v>
      </c>
      <c r="B1565" s="65">
        <v>0.49412399148506286</v>
      </c>
      <c r="C1565" s="65">
        <v>-2.206009566986894</v>
      </c>
      <c r="D1565" s="65">
        <v>1.7190073383812745</v>
      </c>
      <c r="E1565" s="65">
        <v>-0.2419087740058808</v>
      </c>
      <c r="F1565" s="65">
        <v>6.502858405536552</v>
      </c>
      <c r="G1565" s="50">
        <v>0.0</v>
      </c>
      <c r="H1565" s="50">
        <v>0.0</v>
      </c>
      <c r="I1565" s="50">
        <v>0.0</v>
      </c>
      <c r="J1565" s="50">
        <v>0.0</v>
      </c>
      <c r="K1565" s="50">
        <v>0.0</v>
      </c>
      <c r="L1565" s="50">
        <v>0.0</v>
      </c>
      <c r="M1565" s="50">
        <v>0.0</v>
      </c>
      <c r="N1565" s="50">
        <v>0.0</v>
      </c>
      <c r="O1565" s="50">
        <v>7.425000000000001</v>
      </c>
      <c r="P1565" s="50">
        <v>0.0</v>
      </c>
      <c r="Q1565" s="50">
        <v>0.0</v>
      </c>
      <c r="R1565" s="50">
        <v>0.0</v>
      </c>
      <c r="S1565" s="50">
        <v>0.0</v>
      </c>
      <c r="T1565" s="50">
        <v>2.8125</v>
      </c>
      <c r="U1565" s="50">
        <v>0.0</v>
      </c>
      <c r="V1565" s="50">
        <v>0.0</v>
      </c>
      <c r="W1565" s="50">
        <v>0.0</v>
      </c>
      <c r="X1565" s="50">
        <v>2.8125</v>
      </c>
      <c r="Y1565" s="50">
        <v>13.05</v>
      </c>
    </row>
    <row r="1566">
      <c r="A1566" s="26">
        <v>1560.0</v>
      </c>
      <c r="B1566" s="65">
        <v>0.17696178521323055</v>
      </c>
      <c r="C1566" s="65">
        <v>1.93354748717991</v>
      </c>
      <c r="D1566" s="65">
        <v>1.5042780580242885</v>
      </c>
      <c r="E1566" s="65">
        <v>-0.0042044442925879425</v>
      </c>
      <c r="F1566" s="65">
        <v>6.360844782582773</v>
      </c>
      <c r="G1566" s="50">
        <v>0.0</v>
      </c>
      <c r="H1566" s="50">
        <v>0.0</v>
      </c>
      <c r="I1566" s="50">
        <v>0.0</v>
      </c>
      <c r="J1566" s="50">
        <v>0.0</v>
      </c>
      <c r="K1566" s="50">
        <v>0.0</v>
      </c>
      <c r="L1566" s="50">
        <v>0.0</v>
      </c>
      <c r="M1566" s="50">
        <v>0.0</v>
      </c>
      <c r="N1566" s="50">
        <v>0.0</v>
      </c>
      <c r="O1566" s="50">
        <v>0.0</v>
      </c>
      <c r="P1566" s="50">
        <v>0.0</v>
      </c>
      <c r="Q1566" s="50">
        <v>0.0</v>
      </c>
      <c r="R1566" s="50">
        <v>0.0</v>
      </c>
      <c r="S1566" s="50">
        <v>0.0</v>
      </c>
      <c r="T1566" s="50">
        <v>2.8125</v>
      </c>
      <c r="U1566" s="50">
        <v>0.0</v>
      </c>
      <c r="V1566" s="50">
        <v>0.0</v>
      </c>
      <c r="W1566" s="50">
        <v>0.0</v>
      </c>
      <c r="X1566" s="50">
        <v>2.8125</v>
      </c>
      <c r="Y1566" s="50">
        <v>5.625</v>
      </c>
    </row>
    <row r="1567">
      <c r="A1567" s="26">
        <v>1561.0</v>
      </c>
      <c r="B1567" s="65">
        <v>-1.491697090995125</v>
      </c>
      <c r="C1567" s="65">
        <v>1.0177651973551758</v>
      </c>
      <c r="D1567" s="65">
        <v>-1.3301060726572553</v>
      </c>
      <c r="E1567" s="65">
        <v>-0.804039365433538</v>
      </c>
      <c r="F1567" s="65">
        <v>4.064550977231939</v>
      </c>
      <c r="G1567" s="50">
        <v>0.0</v>
      </c>
      <c r="H1567" s="50">
        <v>0.0</v>
      </c>
      <c r="I1567" s="50">
        <v>0.0</v>
      </c>
      <c r="J1567" s="50">
        <v>0.0</v>
      </c>
      <c r="K1567" s="50">
        <v>0.0</v>
      </c>
      <c r="L1567" s="50">
        <v>0.0</v>
      </c>
      <c r="M1567" s="50">
        <v>0.0</v>
      </c>
      <c r="N1567" s="50">
        <v>0.0</v>
      </c>
      <c r="O1567" s="50">
        <v>0.0</v>
      </c>
      <c r="P1567" s="50">
        <v>0.0</v>
      </c>
      <c r="Q1567" s="50">
        <v>0.0</v>
      </c>
      <c r="R1567" s="50">
        <v>0.0</v>
      </c>
      <c r="S1567" s="50">
        <v>0.0</v>
      </c>
      <c r="T1567" s="50">
        <v>2.8125</v>
      </c>
      <c r="U1567" s="50">
        <v>0.0</v>
      </c>
      <c r="V1567" s="50">
        <v>5.625</v>
      </c>
      <c r="W1567" s="50">
        <v>4.95</v>
      </c>
      <c r="X1567" s="50">
        <v>2.8125</v>
      </c>
      <c r="Y1567" s="50">
        <v>16.2</v>
      </c>
    </row>
    <row r="1568">
      <c r="A1568" s="26">
        <v>1562.0</v>
      </c>
      <c r="B1568" s="65">
        <v>-0.3327802979369301</v>
      </c>
      <c r="C1568" s="65">
        <v>-1.2736968354347213</v>
      </c>
      <c r="D1568" s="65">
        <v>1.5223449781386837</v>
      </c>
      <c r="E1568" s="65">
        <v>0.8019746217785425</v>
      </c>
      <c r="F1568" s="65">
        <v>3.7991579674568334</v>
      </c>
      <c r="G1568" s="50">
        <v>0.0</v>
      </c>
      <c r="H1568" s="50">
        <v>0.0</v>
      </c>
      <c r="I1568" s="50">
        <v>0.0</v>
      </c>
      <c r="J1568" s="50">
        <v>0.0</v>
      </c>
      <c r="K1568" s="50">
        <v>0.0</v>
      </c>
      <c r="L1568" s="50">
        <v>0.0</v>
      </c>
      <c r="M1568" s="50">
        <v>0.0</v>
      </c>
      <c r="N1568" s="50">
        <v>0.0</v>
      </c>
      <c r="O1568" s="50">
        <v>0.0</v>
      </c>
      <c r="P1568" s="50">
        <v>0.0</v>
      </c>
      <c r="Q1568" s="50">
        <v>0.0</v>
      </c>
      <c r="R1568" s="50">
        <v>0.0</v>
      </c>
      <c r="S1568" s="50">
        <v>0.0</v>
      </c>
      <c r="T1568" s="50">
        <v>2.8125</v>
      </c>
      <c r="U1568" s="50">
        <v>0.0</v>
      </c>
      <c r="V1568" s="50">
        <v>5.625</v>
      </c>
      <c r="W1568" s="50">
        <v>0.0</v>
      </c>
      <c r="X1568" s="50">
        <v>2.8125</v>
      </c>
      <c r="Y1568" s="50">
        <v>11.25</v>
      </c>
    </row>
    <row r="1569">
      <c r="A1569" s="26">
        <v>1563.0</v>
      </c>
      <c r="B1569" s="65">
        <v>-0.7739997725163538</v>
      </c>
      <c r="C1569" s="65">
        <v>1.5418839334770063</v>
      </c>
      <c r="D1569" s="65">
        <v>-0.8878982398510411</v>
      </c>
      <c r="E1569" s="65">
        <v>0.04245955236874738</v>
      </c>
      <c r="F1569" s="65">
        <v>4.58227925688544</v>
      </c>
      <c r="G1569" s="50">
        <v>0.0</v>
      </c>
      <c r="H1569" s="50">
        <v>0.0</v>
      </c>
      <c r="I1569" s="50">
        <v>0.0</v>
      </c>
      <c r="J1569" s="50">
        <v>0.0</v>
      </c>
      <c r="K1569" s="50">
        <v>0.0</v>
      </c>
      <c r="L1569" s="50">
        <v>0.0</v>
      </c>
      <c r="M1569" s="50">
        <v>0.0</v>
      </c>
      <c r="N1569" s="50">
        <v>0.0</v>
      </c>
      <c r="O1569" s="50">
        <v>0.0</v>
      </c>
      <c r="P1569" s="50">
        <v>0.0</v>
      </c>
      <c r="Q1569" s="50">
        <v>0.0</v>
      </c>
      <c r="R1569" s="50">
        <v>0.0</v>
      </c>
      <c r="S1569" s="50">
        <v>0.0</v>
      </c>
      <c r="T1569" s="50">
        <v>2.8125</v>
      </c>
      <c r="U1569" s="50">
        <v>0.0</v>
      </c>
      <c r="V1569" s="50">
        <v>0.0</v>
      </c>
      <c r="W1569" s="50">
        <v>4.95</v>
      </c>
      <c r="X1569" s="50">
        <v>2.8125</v>
      </c>
      <c r="Y1569" s="50">
        <v>10.575</v>
      </c>
    </row>
    <row r="1570">
      <c r="A1570" s="26">
        <v>1564.0</v>
      </c>
      <c r="B1570" s="65">
        <v>0.7670775777953206</v>
      </c>
      <c r="C1570" s="65">
        <v>-1.2744312908349746</v>
      </c>
      <c r="D1570" s="65">
        <v>-1.2221182111130184</v>
      </c>
      <c r="E1570" s="65">
        <v>0.7974657523368378</v>
      </c>
      <c r="F1570" s="65">
        <v>2.87305187063027</v>
      </c>
      <c r="G1570" s="50">
        <v>0.0</v>
      </c>
      <c r="H1570" s="50">
        <v>0.0</v>
      </c>
      <c r="I1570" s="50">
        <v>0.0</v>
      </c>
      <c r="J1570" s="50">
        <v>0.0</v>
      </c>
      <c r="K1570" s="50">
        <v>0.0</v>
      </c>
      <c r="L1570" s="50">
        <v>0.0</v>
      </c>
      <c r="M1570" s="50">
        <v>0.0</v>
      </c>
      <c r="N1570" s="50">
        <v>0.0</v>
      </c>
      <c r="O1570" s="50">
        <v>0.0</v>
      </c>
      <c r="P1570" s="50">
        <v>0.0</v>
      </c>
      <c r="Q1570" s="50">
        <v>0.0</v>
      </c>
      <c r="R1570" s="50">
        <v>0.0</v>
      </c>
      <c r="S1570" s="50">
        <v>0.0</v>
      </c>
      <c r="T1570" s="50">
        <v>2.8125</v>
      </c>
      <c r="U1570" s="50">
        <v>0.0</v>
      </c>
      <c r="V1570" s="50">
        <v>0.0</v>
      </c>
      <c r="W1570" s="50">
        <v>0.0</v>
      </c>
      <c r="X1570" s="50">
        <v>2.8125</v>
      </c>
      <c r="Y1570" s="50">
        <v>5.625</v>
      </c>
    </row>
    <row r="1571">
      <c r="A1571" s="26">
        <v>1565.0</v>
      </c>
      <c r="B1571" s="65">
        <v>1.661570490248519</v>
      </c>
      <c r="C1571" s="65">
        <v>0.16046481714134897</v>
      </c>
      <c r="D1571" s="65">
        <v>-1.000486945935384</v>
      </c>
      <c r="E1571" s="65">
        <v>-1.2043312263304442</v>
      </c>
      <c r="F1571" s="65">
        <v>2.7066480983659305</v>
      </c>
      <c r="G1571" s="50">
        <v>0.0</v>
      </c>
      <c r="H1571" s="50">
        <v>0.0</v>
      </c>
      <c r="I1571" s="50">
        <v>0.0</v>
      </c>
      <c r="J1571" s="50">
        <v>0.0</v>
      </c>
      <c r="K1571" s="50">
        <v>0.0</v>
      </c>
      <c r="L1571" s="50">
        <v>0.0</v>
      </c>
      <c r="M1571" s="50">
        <v>0.0</v>
      </c>
      <c r="N1571" s="50">
        <v>0.0</v>
      </c>
      <c r="O1571" s="50">
        <v>0.0</v>
      </c>
      <c r="P1571" s="50">
        <v>0.0</v>
      </c>
      <c r="Q1571" s="50">
        <v>0.0</v>
      </c>
      <c r="R1571" s="50">
        <v>0.0</v>
      </c>
      <c r="S1571" s="50">
        <v>0.0</v>
      </c>
      <c r="T1571" s="50">
        <v>2.8125</v>
      </c>
      <c r="U1571" s="50">
        <v>0.0</v>
      </c>
      <c r="V1571" s="50">
        <v>0.0</v>
      </c>
      <c r="W1571" s="50">
        <v>0.0</v>
      </c>
      <c r="X1571" s="50">
        <v>2.8125</v>
      </c>
      <c r="Y1571" s="50">
        <v>5.625</v>
      </c>
    </row>
    <row r="1572">
      <c r="A1572" s="26">
        <v>1566.0</v>
      </c>
      <c r="B1572" s="65">
        <v>-0.9313673469495584</v>
      </c>
      <c r="C1572" s="65">
        <v>-0.23655017630251168</v>
      </c>
      <c r="D1572" s="65">
        <v>-1.0168775029703723</v>
      </c>
      <c r="E1572" s="65">
        <v>-0.545934035129959</v>
      </c>
      <c r="F1572" s="65">
        <v>5.394934270734961</v>
      </c>
      <c r="G1572" s="50">
        <v>0.0</v>
      </c>
      <c r="H1572" s="50">
        <v>0.0</v>
      </c>
      <c r="I1572" s="50">
        <v>0.0</v>
      </c>
      <c r="J1572" s="50">
        <v>0.0</v>
      </c>
      <c r="K1572" s="50">
        <v>0.0</v>
      </c>
      <c r="L1572" s="50">
        <v>0.0</v>
      </c>
      <c r="M1572" s="50">
        <v>0.0</v>
      </c>
      <c r="N1572" s="50">
        <v>0.0</v>
      </c>
      <c r="O1572" s="50">
        <v>0.0</v>
      </c>
      <c r="P1572" s="50">
        <v>0.0</v>
      </c>
      <c r="Q1572" s="50">
        <v>0.0</v>
      </c>
      <c r="R1572" s="50">
        <v>9.9</v>
      </c>
      <c r="S1572" s="50">
        <v>0.0</v>
      </c>
      <c r="T1572" s="50">
        <v>2.8125</v>
      </c>
      <c r="U1572" s="50">
        <v>0.0</v>
      </c>
      <c r="V1572" s="50">
        <v>5.625</v>
      </c>
      <c r="W1572" s="50">
        <v>0.0</v>
      </c>
      <c r="X1572" s="50">
        <v>2.8125</v>
      </c>
      <c r="Y1572" s="50">
        <v>21.15</v>
      </c>
    </row>
    <row r="1573">
      <c r="A1573" s="26">
        <v>1567.0</v>
      </c>
      <c r="B1573" s="65">
        <v>-0.8761157877151249</v>
      </c>
      <c r="C1573" s="65">
        <v>1.1142730638904819</v>
      </c>
      <c r="D1573" s="65">
        <v>1.2594796451338595</v>
      </c>
      <c r="E1573" s="65">
        <v>-0.0011743999055475406</v>
      </c>
      <c r="F1573" s="65">
        <v>2.8816024957248585</v>
      </c>
      <c r="G1573" s="50">
        <v>0.0</v>
      </c>
      <c r="H1573" s="50">
        <v>0.0</v>
      </c>
      <c r="I1573" s="50">
        <v>0.0</v>
      </c>
      <c r="J1573" s="50">
        <v>0.0</v>
      </c>
      <c r="K1573" s="50">
        <v>0.0</v>
      </c>
      <c r="L1573" s="50">
        <v>0.0</v>
      </c>
      <c r="M1573" s="50">
        <v>0.0</v>
      </c>
      <c r="N1573" s="50">
        <v>0.0</v>
      </c>
      <c r="O1573" s="50">
        <v>0.0</v>
      </c>
      <c r="P1573" s="50">
        <v>0.0</v>
      </c>
      <c r="Q1573" s="50">
        <v>0.0</v>
      </c>
      <c r="R1573" s="50">
        <v>0.0</v>
      </c>
      <c r="S1573" s="50">
        <v>0.0</v>
      </c>
      <c r="T1573" s="50">
        <v>2.8125</v>
      </c>
      <c r="U1573" s="50">
        <v>0.0</v>
      </c>
      <c r="V1573" s="50">
        <v>0.0</v>
      </c>
      <c r="W1573" s="50">
        <v>4.95</v>
      </c>
      <c r="X1573" s="50">
        <v>2.8125</v>
      </c>
      <c r="Y1573" s="50">
        <v>10.575</v>
      </c>
    </row>
    <row r="1574">
      <c r="A1574" s="26">
        <v>1568.0</v>
      </c>
      <c r="B1574" s="65">
        <v>1.9442427868555725</v>
      </c>
      <c r="C1574" s="65">
        <v>-1.043841595134667</v>
      </c>
      <c r="D1574" s="65">
        <v>-0.031209504221999276</v>
      </c>
      <c r="E1574" s="65">
        <v>0.4094325898522967</v>
      </c>
      <c r="F1574" s="65">
        <v>4.035901913201392</v>
      </c>
      <c r="G1574" s="50">
        <v>0.0</v>
      </c>
      <c r="H1574" s="50">
        <v>0.0</v>
      </c>
      <c r="I1574" s="50">
        <v>0.0</v>
      </c>
      <c r="J1574" s="50">
        <v>0.0</v>
      </c>
      <c r="K1574" s="50">
        <v>0.0</v>
      </c>
      <c r="L1574" s="50">
        <v>0.0</v>
      </c>
      <c r="M1574" s="50">
        <v>0.0</v>
      </c>
      <c r="N1574" s="50">
        <v>0.0</v>
      </c>
      <c r="O1574" s="50">
        <v>0.0</v>
      </c>
      <c r="P1574" s="50">
        <v>0.0</v>
      </c>
      <c r="Q1574" s="50">
        <v>0.0</v>
      </c>
      <c r="R1574" s="50">
        <v>0.0</v>
      </c>
      <c r="S1574" s="50">
        <v>0.0</v>
      </c>
      <c r="T1574" s="50">
        <v>0.0</v>
      </c>
      <c r="U1574" s="50">
        <v>0.0</v>
      </c>
      <c r="V1574" s="50">
        <v>0.0</v>
      </c>
      <c r="W1574" s="50">
        <v>0.0</v>
      </c>
      <c r="X1574" s="50">
        <v>2.8125</v>
      </c>
      <c r="Y1574" s="50">
        <v>2.8125</v>
      </c>
    </row>
    <row r="1575">
      <c r="A1575" s="26">
        <v>1569.0</v>
      </c>
      <c r="B1575" s="65">
        <v>-0.8095280640467543</v>
      </c>
      <c r="C1575" s="65">
        <v>-0.4825691424838239</v>
      </c>
      <c r="D1575" s="65">
        <v>-0.08056476855908357</v>
      </c>
      <c r="E1575" s="65">
        <v>2.2357658984369975</v>
      </c>
      <c r="F1575" s="65">
        <v>4.184486632777772</v>
      </c>
      <c r="G1575" s="50">
        <v>0.0</v>
      </c>
      <c r="H1575" s="50">
        <v>0.0</v>
      </c>
      <c r="I1575" s="50">
        <v>0.0</v>
      </c>
      <c r="J1575" s="50">
        <v>0.0</v>
      </c>
      <c r="K1575" s="50">
        <v>0.0</v>
      </c>
      <c r="L1575" s="50">
        <v>0.0</v>
      </c>
      <c r="M1575" s="50">
        <v>0.0</v>
      </c>
      <c r="N1575" s="50">
        <v>0.0</v>
      </c>
      <c r="O1575" s="50">
        <v>0.0</v>
      </c>
      <c r="P1575" s="50">
        <v>0.0</v>
      </c>
      <c r="Q1575" s="50">
        <v>0.0</v>
      </c>
      <c r="R1575" s="50">
        <v>0.0</v>
      </c>
      <c r="S1575" s="50">
        <v>0.0</v>
      </c>
      <c r="T1575" s="50">
        <v>2.8125</v>
      </c>
      <c r="U1575" s="50">
        <v>0.0</v>
      </c>
      <c r="V1575" s="50">
        <v>0.0</v>
      </c>
      <c r="W1575" s="50">
        <v>0.0</v>
      </c>
      <c r="X1575" s="50">
        <v>2.8125</v>
      </c>
      <c r="Y1575" s="50">
        <v>5.625</v>
      </c>
    </row>
    <row r="1576">
      <c r="A1576" s="26">
        <v>1570.0</v>
      </c>
      <c r="B1576" s="65">
        <v>1.9973384852155847</v>
      </c>
      <c r="C1576" s="65">
        <v>-0.7667332260240044</v>
      </c>
      <c r="D1576" s="65">
        <v>-0.019572576687456437</v>
      </c>
      <c r="E1576" s="65">
        <v>-0.19459319493577917</v>
      </c>
      <c r="F1576" s="65">
        <v>3.260231974709237</v>
      </c>
      <c r="G1576" s="50">
        <v>0.0</v>
      </c>
      <c r="H1576" s="50">
        <v>0.0</v>
      </c>
      <c r="I1576" s="50">
        <v>0.0</v>
      </c>
      <c r="J1576" s="50">
        <v>0.0</v>
      </c>
      <c r="K1576" s="50">
        <v>0.0</v>
      </c>
      <c r="L1576" s="50">
        <v>0.0</v>
      </c>
      <c r="M1576" s="50">
        <v>0.0</v>
      </c>
      <c r="N1576" s="50">
        <v>0.0</v>
      </c>
      <c r="O1576" s="50">
        <v>0.0</v>
      </c>
      <c r="P1576" s="50">
        <v>0.0</v>
      </c>
      <c r="Q1576" s="50">
        <v>0.0</v>
      </c>
      <c r="R1576" s="50">
        <v>0.0</v>
      </c>
      <c r="S1576" s="50">
        <v>0.0</v>
      </c>
      <c r="T1576" s="50">
        <v>2.8125</v>
      </c>
      <c r="U1576" s="50">
        <v>0.0</v>
      </c>
      <c r="V1576" s="50">
        <v>0.0</v>
      </c>
      <c r="W1576" s="50">
        <v>0.0</v>
      </c>
      <c r="X1576" s="50">
        <v>2.8125</v>
      </c>
      <c r="Y1576" s="50">
        <v>5.625</v>
      </c>
    </row>
    <row r="1577">
      <c r="A1577" s="26">
        <v>1571.0</v>
      </c>
      <c r="B1577" s="65">
        <v>0.7781629962503428</v>
      </c>
      <c r="C1577" s="65">
        <v>-1.016212059204842</v>
      </c>
      <c r="D1577" s="65">
        <v>-1.9787294392799888</v>
      </c>
      <c r="E1577" s="65">
        <v>0.49124289472705635</v>
      </c>
      <c r="F1577" s="65">
        <v>3.0353893342974096</v>
      </c>
      <c r="G1577" s="50">
        <v>0.0</v>
      </c>
      <c r="H1577" s="50">
        <v>0.0</v>
      </c>
      <c r="I1577" s="50">
        <v>0.0</v>
      </c>
      <c r="J1577" s="50">
        <v>0.0</v>
      </c>
      <c r="K1577" s="50">
        <v>0.0</v>
      </c>
      <c r="L1577" s="50">
        <v>0.0</v>
      </c>
      <c r="M1577" s="50">
        <v>0.0</v>
      </c>
      <c r="N1577" s="50">
        <v>0.0</v>
      </c>
      <c r="O1577" s="50">
        <v>7.425000000000001</v>
      </c>
      <c r="P1577" s="50">
        <v>0.0</v>
      </c>
      <c r="Q1577" s="50">
        <v>0.0</v>
      </c>
      <c r="R1577" s="50">
        <v>0.0</v>
      </c>
      <c r="S1577" s="50">
        <v>0.0</v>
      </c>
      <c r="T1577" s="50">
        <v>2.8125</v>
      </c>
      <c r="U1577" s="50">
        <v>0.0</v>
      </c>
      <c r="V1577" s="50">
        <v>0.0</v>
      </c>
      <c r="W1577" s="50">
        <v>0.0</v>
      </c>
      <c r="X1577" s="50">
        <v>2.8125</v>
      </c>
      <c r="Y1577" s="50">
        <v>13.05</v>
      </c>
    </row>
    <row r="1578">
      <c r="A1578" s="26">
        <v>1572.0</v>
      </c>
      <c r="B1578" s="65">
        <v>0.703223344907956</v>
      </c>
      <c r="C1578" s="65">
        <v>-0.36082275134116865</v>
      </c>
      <c r="D1578" s="65">
        <v>-1.2304846254055353</v>
      </c>
      <c r="E1578" s="65">
        <v>-0.8079455061270877</v>
      </c>
      <c r="F1578" s="65">
        <v>5.720503904064675</v>
      </c>
      <c r="G1578" s="50">
        <v>0.0</v>
      </c>
      <c r="H1578" s="50">
        <v>0.0</v>
      </c>
      <c r="I1578" s="50">
        <v>0.0</v>
      </c>
      <c r="J1578" s="50">
        <v>0.0</v>
      </c>
      <c r="K1578" s="50">
        <v>0.0</v>
      </c>
      <c r="L1578" s="50">
        <v>0.0</v>
      </c>
      <c r="M1578" s="50">
        <v>0.0</v>
      </c>
      <c r="N1578" s="50">
        <v>0.0</v>
      </c>
      <c r="O1578" s="50">
        <v>0.0</v>
      </c>
      <c r="P1578" s="50">
        <v>0.0</v>
      </c>
      <c r="Q1578" s="50">
        <v>0.0</v>
      </c>
      <c r="R1578" s="50">
        <v>0.0</v>
      </c>
      <c r="S1578" s="50">
        <v>0.0</v>
      </c>
      <c r="T1578" s="50">
        <v>2.8125</v>
      </c>
      <c r="U1578" s="50">
        <v>0.0</v>
      </c>
      <c r="V1578" s="50">
        <v>0.0</v>
      </c>
      <c r="W1578" s="50">
        <v>0.0</v>
      </c>
      <c r="X1578" s="50">
        <v>2.8125</v>
      </c>
      <c r="Y1578" s="50">
        <v>5.625</v>
      </c>
    </row>
    <row r="1579">
      <c r="A1579" s="26">
        <v>1573.0</v>
      </c>
      <c r="B1579" s="65">
        <v>0.4883766098071314</v>
      </c>
      <c r="C1579" s="65">
        <v>-1.7238833511037048</v>
      </c>
      <c r="D1579" s="65">
        <v>-1.5781587439840201</v>
      </c>
      <c r="E1579" s="65">
        <v>-0.5857955821455009</v>
      </c>
      <c r="F1579" s="65">
        <v>8.474908353257687</v>
      </c>
      <c r="G1579" s="50">
        <v>0.0</v>
      </c>
      <c r="H1579" s="50">
        <v>0.0</v>
      </c>
      <c r="I1579" s="50">
        <v>0.0</v>
      </c>
      <c r="J1579" s="50">
        <v>0.0</v>
      </c>
      <c r="K1579" s="50">
        <v>0.0</v>
      </c>
      <c r="L1579" s="50">
        <v>0.0</v>
      </c>
      <c r="M1579" s="50">
        <v>0.0</v>
      </c>
      <c r="N1579" s="50">
        <v>0.0</v>
      </c>
      <c r="O1579" s="50">
        <v>0.0</v>
      </c>
      <c r="P1579" s="50">
        <v>0.0</v>
      </c>
      <c r="Q1579" s="50">
        <v>0.0</v>
      </c>
      <c r="R1579" s="50">
        <v>0.0</v>
      </c>
      <c r="S1579" s="50">
        <v>0.0</v>
      </c>
      <c r="T1579" s="50">
        <v>2.8125</v>
      </c>
      <c r="U1579" s="50">
        <v>0.0</v>
      </c>
      <c r="V1579" s="50">
        <v>0.0</v>
      </c>
      <c r="W1579" s="50">
        <v>0.0</v>
      </c>
      <c r="X1579" s="50">
        <v>2.8125</v>
      </c>
      <c r="Y1579" s="50">
        <v>5.625</v>
      </c>
    </row>
    <row r="1580">
      <c r="A1580" s="26">
        <v>1574.0</v>
      </c>
      <c r="B1580" s="65">
        <v>-1.3799565068412578</v>
      </c>
      <c r="C1580" s="65">
        <v>1.0175380318169287</v>
      </c>
      <c r="D1580" s="65">
        <v>-0.4293773375696313</v>
      </c>
      <c r="E1580" s="65">
        <v>0.14484238551213863</v>
      </c>
      <c r="F1580" s="65">
        <v>4.674342868921103</v>
      </c>
      <c r="G1580" s="50">
        <v>0.0</v>
      </c>
      <c r="H1580" s="50">
        <v>0.0</v>
      </c>
      <c r="I1580" s="50">
        <v>0.0</v>
      </c>
      <c r="J1580" s="50">
        <v>0.0</v>
      </c>
      <c r="K1580" s="50">
        <v>0.0</v>
      </c>
      <c r="L1580" s="50">
        <v>0.0</v>
      </c>
      <c r="M1580" s="50">
        <v>0.0</v>
      </c>
      <c r="N1580" s="50">
        <v>0.0</v>
      </c>
      <c r="O1580" s="50">
        <v>0.0</v>
      </c>
      <c r="P1580" s="50">
        <v>0.0</v>
      </c>
      <c r="Q1580" s="50">
        <v>0.0</v>
      </c>
      <c r="R1580" s="50">
        <v>0.0</v>
      </c>
      <c r="S1580" s="50">
        <v>0.0</v>
      </c>
      <c r="T1580" s="50">
        <v>2.8125</v>
      </c>
      <c r="U1580" s="50">
        <v>0.0</v>
      </c>
      <c r="V1580" s="50">
        <v>0.0</v>
      </c>
      <c r="W1580" s="50">
        <v>0.0</v>
      </c>
      <c r="X1580" s="50">
        <v>2.8125</v>
      </c>
      <c r="Y1580" s="50">
        <v>5.625</v>
      </c>
    </row>
    <row r="1581">
      <c r="A1581" s="26">
        <v>1575.0</v>
      </c>
      <c r="B1581" s="65">
        <v>0.5906463886455345</v>
      </c>
      <c r="C1581" s="65">
        <v>-0.8503574440714634</v>
      </c>
      <c r="D1581" s="65">
        <v>-0.9797153999041454</v>
      </c>
      <c r="E1581" s="65">
        <v>1.842319107526065</v>
      </c>
      <c r="F1581" s="65">
        <v>5.238689881059013</v>
      </c>
      <c r="G1581" s="50">
        <v>0.0</v>
      </c>
      <c r="H1581" s="50">
        <v>0.0</v>
      </c>
      <c r="I1581" s="50">
        <v>0.0</v>
      </c>
      <c r="J1581" s="50">
        <v>0.0</v>
      </c>
      <c r="K1581" s="50">
        <v>0.0</v>
      </c>
      <c r="L1581" s="50">
        <v>0.0</v>
      </c>
      <c r="M1581" s="50">
        <v>0.0</v>
      </c>
      <c r="N1581" s="50">
        <v>0.0</v>
      </c>
      <c r="O1581" s="50">
        <v>0.0</v>
      </c>
      <c r="P1581" s="50">
        <v>0.0</v>
      </c>
      <c r="Q1581" s="50">
        <v>0.0</v>
      </c>
      <c r="R1581" s="50">
        <v>0.0</v>
      </c>
      <c r="S1581" s="50">
        <v>0.0</v>
      </c>
      <c r="T1581" s="50">
        <v>2.8125</v>
      </c>
      <c r="U1581" s="50">
        <v>0.0</v>
      </c>
      <c r="V1581" s="50">
        <v>0.0</v>
      </c>
      <c r="W1581" s="50">
        <v>0.0</v>
      </c>
      <c r="X1581" s="50">
        <v>2.8125</v>
      </c>
      <c r="Y1581" s="50">
        <v>5.625</v>
      </c>
    </row>
    <row r="1582">
      <c r="A1582" s="26">
        <v>1576.0</v>
      </c>
      <c r="B1582" s="65">
        <v>-0.05591357746834373</v>
      </c>
      <c r="C1582" s="65">
        <v>-0.462950289000453</v>
      </c>
      <c r="D1582" s="65">
        <v>-1.4374020498230593</v>
      </c>
      <c r="E1582" s="65">
        <v>1.9874003697837839</v>
      </c>
      <c r="F1582" s="65">
        <v>4.74772379338683</v>
      </c>
      <c r="G1582" s="50">
        <v>0.0</v>
      </c>
      <c r="H1582" s="50">
        <v>0.0</v>
      </c>
      <c r="I1582" s="50">
        <v>0.0</v>
      </c>
      <c r="J1582" s="50">
        <v>0.0</v>
      </c>
      <c r="K1582" s="50">
        <v>0.0</v>
      </c>
      <c r="L1582" s="50">
        <v>0.0</v>
      </c>
      <c r="M1582" s="50">
        <v>0.0</v>
      </c>
      <c r="N1582" s="50">
        <v>0.0</v>
      </c>
      <c r="O1582" s="50">
        <v>0.0</v>
      </c>
      <c r="P1582" s="50">
        <v>0.0</v>
      </c>
      <c r="Q1582" s="50">
        <v>0.0</v>
      </c>
      <c r="R1582" s="50">
        <v>0.0</v>
      </c>
      <c r="S1582" s="50">
        <v>0.0</v>
      </c>
      <c r="T1582" s="50">
        <v>2.8125</v>
      </c>
      <c r="U1582" s="50">
        <v>0.0</v>
      </c>
      <c r="V1582" s="50">
        <v>0.0</v>
      </c>
      <c r="W1582" s="50">
        <v>0.0</v>
      </c>
      <c r="X1582" s="50">
        <v>2.8125</v>
      </c>
      <c r="Y1582" s="50">
        <v>5.625</v>
      </c>
    </row>
    <row r="1583">
      <c r="A1583" s="26">
        <v>1577.0</v>
      </c>
      <c r="B1583" s="65">
        <v>-1.6296227346790177</v>
      </c>
      <c r="C1583" s="65">
        <v>-0.7904159800015239</v>
      </c>
      <c r="D1583" s="65">
        <v>1.086333039238677</v>
      </c>
      <c r="E1583" s="65">
        <v>-0.98410884315777</v>
      </c>
      <c r="F1583" s="65">
        <v>7.516910793079534</v>
      </c>
      <c r="G1583" s="50">
        <v>0.0</v>
      </c>
      <c r="H1583" s="50">
        <v>0.0</v>
      </c>
      <c r="I1583" s="50">
        <v>0.0</v>
      </c>
      <c r="J1583" s="50">
        <v>0.0</v>
      </c>
      <c r="K1583" s="50">
        <v>0.0</v>
      </c>
      <c r="L1583" s="50">
        <v>0.0</v>
      </c>
      <c r="M1583" s="50">
        <v>0.0</v>
      </c>
      <c r="N1583" s="50">
        <v>0.0</v>
      </c>
      <c r="O1583" s="50">
        <v>0.0</v>
      </c>
      <c r="P1583" s="50">
        <v>0.0</v>
      </c>
      <c r="Q1583" s="50">
        <v>0.0</v>
      </c>
      <c r="R1583" s="50">
        <v>0.0</v>
      </c>
      <c r="S1583" s="50">
        <v>0.0</v>
      </c>
      <c r="T1583" s="50">
        <v>2.8125</v>
      </c>
      <c r="U1583" s="50">
        <v>0.0</v>
      </c>
      <c r="V1583" s="50">
        <v>5.625</v>
      </c>
      <c r="W1583" s="50">
        <v>0.0</v>
      </c>
      <c r="X1583" s="50">
        <v>2.8125</v>
      </c>
      <c r="Y1583" s="50">
        <v>11.25</v>
      </c>
    </row>
    <row r="1584">
      <c r="A1584" s="26">
        <v>1578.0</v>
      </c>
      <c r="B1584" s="65">
        <v>-0.9577351710838413</v>
      </c>
      <c r="C1584" s="65">
        <v>-0.03661467767279219</v>
      </c>
      <c r="D1584" s="65">
        <v>1.9541124513911916</v>
      </c>
      <c r="E1584" s="65">
        <v>1.280879591958895</v>
      </c>
      <c r="F1584" s="65">
        <v>1.6299672538153596</v>
      </c>
      <c r="G1584" s="50">
        <v>0.0</v>
      </c>
      <c r="H1584" s="50">
        <v>0.0</v>
      </c>
      <c r="I1584" s="50">
        <v>0.0</v>
      </c>
      <c r="J1584" s="50">
        <v>0.0</v>
      </c>
      <c r="K1584" s="50">
        <v>0.0</v>
      </c>
      <c r="L1584" s="50">
        <v>0.0</v>
      </c>
      <c r="M1584" s="50">
        <v>0.0</v>
      </c>
      <c r="N1584" s="50">
        <v>0.0</v>
      </c>
      <c r="O1584" s="50">
        <v>0.0</v>
      </c>
      <c r="P1584" s="50">
        <v>0.0</v>
      </c>
      <c r="Q1584" s="50">
        <v>0.0</v>
      </c>
      <c r="R1584" s="50">
        <v>0.0</v>
      </c>
      <c r="S1584" s="50">
        <v>0.0</v>
      </c>
      <c r="T1584" s="50">
        <v>2.8125</v>
      </c>
      <c r="U1584" s="50">
        <v>0.0</v>
      </c>
      <c r="V1584" s="50">
        <v>5.625</v>
      </c>
      <c r="W1584" s="50">
        <v>0.0</v>
      </c>
      <c r="X1584" s="50">
        <v>2.8125</v>
      </c>
      <c r="Y1584" s="50">
        <v>11.25</v>
      </c>
    </row>
    <row r="1585">
      <c r="A1585" s="26">
        <v>1579.0</v>
      </c>
      <c r="B1585" s="65">
        <v>1.1257539223478985</v>
      </c>
      <c r="C1585" s="65">
        <v>0.13117745202248407</v>
      </c>
      <c r="D1585" s="65">
        <v>0.16693231182572302</v>
      </c>
      <c r="E1585" s="65">
        <v>-0.2604239210051894</v>
      </c>
      <c r="F1585" s="65">
        <v>5.386867793952037</v>
      </c>
      <c r="G1585" s="50">
        <v>0.0</v>
      </c>
      <c r="H1585" s="50">
        <v>0.0</v>
      </c>
      <c r="I1585" s="50">
        <v>0.0</v>
      </c>
      <c r="J1585" s="50">
        <v>0.0</v>
      </c>
      <c r="K1585" s="50">
        <v>0.0</v>
      </c>
      <c r="L1585" s="50">
        <v>0.0</v>
      </c>
      <c r="M1585" s="50">
        <v>0.0</v>
      </c>
      <c r="N1585" s="50">
        <v>0.0</v>
      </c>
      <c r="O1585" s="50">
        <v>0.0</v>
      </c>
      <c r="P1585" s="50">
        <v>0.0</v>
      </c>
      <c r="Q1585" s="50">
        <v>0.0</v>
      </c>
      <c r="R1585" s="50">
        <v>0.0</v>
      </c>
      <c r="S1585" s="50">
        <v>0.0</v>
      </c>
      <c r="T1585" s="50">
        <v>2.8125</v>
      </c>
      <c r="U1585" s="50">
        <v>0.0</v>
      </c>
      <c r="V1585" s="50">
        <v>0.0</v>
      </c>
      <c r="W1585" s="50">
        <v>0.0</v>
      </c>
      <c r="X1585" s="50">
        <v>2.8125</v>
      </c>
      <c r="Y1585" s="50">
        <v>5.625</v>
      </c>
    </row>
    <row r="1586">
      <c r="A1586" s="26">
        <v>1580.0</v>
      </c>
      <c r="B1586" s="65">
        <v>1.5140107813949248</v>
      </c>
      <c r="C1586" s="65">
        <v>-0.5668437380047857</v>
      </c>
      <c r="D1586" s="65">
        <v>2.270796758170585</v>
      </c>
      <c r="E1586" s="65">
        <v>-0.7350422391126186</v>
      </c>
      <c r="F1586" s="65">
        <v>4.255774370146661</v>
      </c>
      <c r="G1586" s="50">
        <v>0.0</v>
      </c>
      <c r="H1586" s="50">
        <v>0.0</v>
      </c>
      <c r="I1586" s="50">
        <v>0.0</v>
      </c>
      <c r="J1586" s="50">
        <v>0.0</v>
      </c>
      <c r="K1586" s="50">
        <v>0.0</v>
      </c>
      <c r="L1586" s="50">
        <v>0.0</v>
      </c>
      <c r="M1586" s="50">
        <v>0.0</v>
      </c>
      <c r="N1586" s="50">
        <v>0.0</v>
      </c>
      <c r="O1586" s="50">
        <v>0.0</v>
      </c>
      <c r="P1586" s="50">
        <v>0.0</v>
      </c>
      <c r="Q1586" s="50">
        <v>0.0</v>
      </c>
      <c r="R1586" s="50">
        <v>0.0</v>
      </c>
      <c r="S1586" s="50">
        <v>0.0</v>
      </c>
      <c r="T1586" s="50">
        <v>2.8125</v>
      </c>
      <c r="U1586" s="50">
        <v>0.0</v>
      </c>
      <c r="V1586" s="50">
        <v>0.0</v>
      </c>
      <c r="W1586" s="50">
        <v>0.0</v>
      </c>
      <c r="X1586" s="50">
        <v>2.8125</v>
      </c>
      <c r="Y1586" s="50">
        <v>5.625</v>
      </c>
    </row>
    <row r="1587">
      <c r="A1587" s="26">
        <v>1581.0</v>
      </c>
      <c r="B1587" s="65">
        <v>-0.3367636914528207</v>
      </c>
      <c r="C1587" s="65">
        <v>0.012121432192738632</v>
      </c>
      <c r="D1587" s="65">
        <v>-0.3596857326711541</v>
      </c>
      <c r="E1587" s="65">
        <v>1.8122905495163273</v>
      </c>
      <c r="F1587" s="65">
        <v>2.2538254090178635</v>
      </c>
      <c r="G1587" s="50">
        <v>0.0</v>
      </c>
      <c r="H1587" s="50">
        <v>0.0</v>
      </c>
      <c r="I1587" s="50">
        <v>0.0</v>
      </c>
      <c r="J1587" s="50">
        <v>0.0</v>
      </c>
      <c r="K1587" s="50">
        <v>0.0</v>
      </c>
      <c r="L1587" s="50">
        <v>0.0</v>
      </c>
      <c r="M1587" s="50">
        <v>0.0</v>
      </c>
      <c r="N1587" s="50">
        <v>0.0</v>
      </c>
      <c r="O1587" s="50">
        <v>7.425000000000001</v>
      </c>
      <c r="P1587" s="50">
        <v>0.0</v>
      </c>
      <c r="Q1587" s="50">
        <v>0.0</v>
      </c>
      <c r="R1587" s="50">
        <v>0.0</v>
      </c>
      <c r="S1587" s="50">
        <v>0.0</v>
      </c>
      <c r="T1587" s="50">
        <v>2.8125</v>
      </c>
      <c r="U1587" s="50">
        <v>0.0</v>
      </c>
      <c r="V1587" s="50">
        <v>5.625</v>
      </c>
      <c r="W1587" s="50">
        <v>0.0</v>
      </c>
      <c r="X1587" s="50">
        <v>2.8125</v>
      </c>
      <c r="Y1587" s="50">
        <v>18.675</v>
      </c>
    </row>
    <row r="1588">
      <c r="A1588" s="26">
        <v>1582.0</v>
      </c>
      <c r="B1588" s="65">
        <v>1.36998590010006</v>
      </c>
      <c r="C1588" s="65">
        <v>-1.7376922226581002</v>
      </c>
      <c r="D1588" s="65">
        <v>-1.40122676117639</v>
      </c>
      <c r="E1588" s="65">
        <v>0.5049134084386986</v>
      </c>
      <c r="F1588" s="65">
        <v>11.009515500032773</v>
      </c>
      <c r="G1588" s="50">
        <v>0.0</v>
      </c>
      <c r="H1588" s="50">
        <v>0.0</v>
      </c>
      <c r="I1588" s="50">
        <v>0.0</v>
      </c>
      <c r="J1588" s="50">
        <v>0.0</v>
      </c>
      <c r="K1588" s="50">
        <v>0.0</v>
      </c>
      <c r="L1588" s="50">
        <v>0.0</v>
      </c>
      <c r="M1588" s="50">
        <v>0.0</v>
      </c>
      <c r="N1588" s="50">
        <v>0.0</v>
      </c>
      <c r="O1588" s="50">
        <v>0.0</v>
      </c>
      <c r="P1588" s="50">
        <v>0.0</v>
      </c>
      <c r="Q1588" s="50">
        <v>0.0</v>
      </c>
      <c r="R1588" s="50">
        <v>0.0</v>
      </c>
      <c r="S1588" s="50">
        <v>0.0</v>
      </c>
      <c r="T1588" s="50">
        <v>2.8125</v>
      </c>
      <c r="U1588" s="50">
        <v>0.0</v>
      </c>
      <c r="V1588" s="50">
        <v>0.0</v>
      </c>
      <c r="W1588" s="50">
        <v>0.0</v>
      </c>
      <c r="X1588" s="50">
        <v>2.8125</v>
      </c>
      <c r="Y1588" s="50">
        <v>5.625</v>
      </c>
    </row>
    <row r="1589">
      <c r="A1589" s="26">
        <v>1583.0</v>
      </c>
      <c r="B1589" s="65">
        <v>-0.2745070980543217</v>
      </c>
      <c r="C1589" s="65">
        <v>0.05572179789202006</v>
      </c>
      <c r="D1589" s="65">
        <v>-1.9140517873783494</v>
      </c>
      <c r="E1589" s="65">
        <v>0.8341126742468596</v>
      </c>
      <c r="F1589" s="65">
        <v>5.733095502948507</v>
      </c>
      <c r="G1589" s="50">
        <v>0.0</v>
      </c>
      <c r="H1589" s="50">
        <v>0.0</v>
      </c>
      <c r="I1589" s="50">
        <v>0.0</v>
      </c>
      <c r="J1589" s="50">
        <v>0.0</v>
      </c>
      <c r="K1589" s="50">
        <v>0.0</v>
      </c>
      <c r="L1589" s="50">
        <v>0.0</v>
      </c>
      <c r="M1589" s="50">
        <v>0.0</v>
      </c>
      <c r="N1589" s="50">
        <v>0.0</v>
      </c>
      <c r="O1589" s="50">
        <v>0.0</v>
      </c>
      <c r="P1589" s="50">
        <v>0.0</v>
      </c>
      <c r="Q1589" s="50">
        <v>0.0</v>
      </c>
      <c r="R1589" s="50">
        <v>0.0</v>
      </c>
      <c r="S1589" s="50">
        <v>0.0</v>
      </c>
      <c r="T1589" s="50">
        <v>2.8125</v>
      </c>
      <c r="U1589" s="50">
        <v>0.0</v>
      </c>
      <c r="V1589" s="50">
        <v>0.0</v>
      </c>
      <c r="W1589" s="50">
        <v>0.0</v>
      </c>
      <c r="X1589" s="50">
        <v>2.8125</v>
      </c>
      <c r="Y1589" s="50">
        <v>5.625</v>
      </c>
    </row>
    <row r="1590">
      <c r="A1590" s="26">
        <v>1584.0</v>
      </c>
      <c r="B1590" s="65">
        <v>0.045649634777597564</v>
      </c>
      <c r="C1590" s="65">
        <v>1.1209964349935706</v>
      </c>
      <c r="D1590" s="65">
        <v>-0.2690090723061372</v>
      </c>
      <c r="E1590" s="65">
        <v>0.6214204620504822</v>
      </c>
      <c r="F1590" s="65">
        <v>19.001664342268697</v>
      </c>
      <c r="G1590" s="50">
        <v>0.0</v>
      </c>
      <c r="H1590" s="50">
        <v>0.0</v>
      </c>
      <c r="I1590" s="50">
        <v>0.0</v>
      </c>
      <c r="J1590" s="50">
        <v>0.0</v>
      </c>
      <c r="K1590" s="50">
        <v>0.0</v>
      </c>
      <c r="L1590" s="50">
        <v>0.0</v>
      </c>
      <c r="M1590" s="50">
        <v>0.0</v>
      </c>
      <c r="N1590" s="50">
        <v>0.0</v>
      </c>
      <c r="O1590" s="50">
        <v>0.0</v>
      </c>
      <c r="P1590" s="50">
        <v>0.0</v>
      </c>
      <c r="Q1590" s="50">
        <v>0.0</v>
      </c>
      <c r="R1590" s="50">
        <v>0.0</v>
      </c>
      <c r="S1590" s="50">
        <v>0.0</v>
      </c>
      <c r="T1590" s="50">
        <v>2.8125</v>
      </c>
      <c r="U1590" s="50">
        <v>0.0</v>
      </c>
      <c r="V1590" s="50">
        <v>0.0</v>
      </c>
      <c r="W1590" s="50">
        <v>0.0</v>
      </c>
      <c r="X1590" s="50">
        <v>2.8125</v>
      </c>
      <c r="Y1590" s="50">
        <v>5.625</v>
      </c>
    </row>
    <row r="1591">
      <c r="A1591" s="26">
        <v>1585.0</v>
      </c>
      <c r="B1591" s="65">
        <v>-0.19167891772245294</v>
      </c>
      <c r="C1591" s="65">
        <v>0.6232552946462386</v>
      </c>
      <c r="D1591" s="65">
        <v>0.8818903345756557</v>
      </c>
      <c r="E1591" s="65">
        <v>-0.08602802273945888</v>
      </c>
      <c r="F1591" s="65">
        <v>1.5800877398409787</v>
      </c>
      <c r="G1591" s="50">
        <v>0.0</v>
      </c>
      <c r="H1591" s="50">
        <v>0.0</v>
      </c>
      <c r="I1591" s="50">
        <v>0.0</v>
      </c>
      <c r="J1591" s="50">
        <v>0.0</v>
      </c>
      <c r="K1591" s="50">
        <v>0.0</v>
      </c>
      <c r="L1591" s="50">
        <v>0.0</v>
      </c>
      <c r="M1591" s="50">
        <v>0.0</v>
      </c>
      <c r="N1591" s="50">
        <v>0.0</v>
      </c>
      <c r="O1591" s="50">
        <v>0.0</v>
      </c>
      <c r="P1591" s="50">
        <v>0.0</v>
      </c>
      <c r="Q1591" s="50">
        <v>0.0</v>
      </c>
      <c r="R1591" s="50">
        <v>0.0</v>
      </c>
      <c r="S1591" s="50">
        <v>0.0</v>
      </c>
      <c r="T1591" s="50">
        <v>2.8125</v>
      </c>
      <c r="U1591" s="50">
        <v>0.0</v>
      </c>
      <c r="V1591" s="50">
        <v>0.0</v>
      </c>
      <c r="W1591" s="50">
        <v>0.0</v>
      </c>
      <c r="X1591" s="50">
        <v>2.8125</v>
      </c>
      <c r="Y1591" s="50">
        <v>5.625</v>
      </c>
    </row>
    <row r="1592">
      <c r="A1592" s="26">
        <v>1586.0</v>
      </c>
      <c r="B1592" s="65">
        <v>0.12516568607663336</v>
      </c>
      <c r="C1592" s="65">
        <v>2.149599124386796</v>
      </c>
      <c r="D1592" s="65">
        <v>1.0439501304593097</v>
      </c>
      <c r="E1592" s="65">
        <v>0.8510313687714068</v>
      </c>
      <c r="F1592" s="65">
        <v>7.463114012965777</v>
      </c>
      <c r="G1592" s="50">
        <v>0.0</v>
      </c>
      <c r="H1592" s="50">
        <v>0.0</v>
      </c>
      <c r="I1592" s="50">
        <v>0.0</v>
      </c>
      <c r="J1592" s="50">
        <v>0.0</v>
      </c>
      <c r="K1592" s="50">
        <v>0.0</v>
      </c>
      <c r="L1592" s="50">
        <v>0.0</v>
      </c>
      <c r="M1592" s="50">
        <v>0.0</v>
      </c>
      <c r="N1592" s="50">
        <v>0.0</v>
      </c>
      <c r="O1592" s="50">
        <v>0.0</v>
      </c>
      <c r="P1592" s="50">
        <v>0.0</v>
      </c>
      <c r="Q1592" s="50">
        <v>0.0</v>
      </c>
      <c r="R1592" s="50">
        <v>0.0</v>
      </c>
      <c r="S1592" s="50">
        <v>0.0</v>
      </c>
      <c r="T1592" s="50">
        <v>2.8125</v>
      </c>
      <c r="U1592" s="50">
        <v>0.0</v>
      </c>
      <c r="V1592" s="50">
        <v>0.0</v>
      </c>
      <c r="W1592" s="50">
        <v>0.0</v>
      </c>
      <c r="X1592" s="50">
        <v>2.8125</v>
      </c>
      <c r="Y1592" s="50">
        <v>5.625</v>
      </c>
    </row>
    <row r="1593">
      <c r="A1593" s="26">
        <v>1587.0</v>
      </c>
      <c r="B1593" s="65">
        <v>-0.26611455889922947</v>
      </c>
      <c r="C1593" s="65">
        <v>-0.16565601409822928</v>
      </c>
      <c r="D1593" s="65">
        <v>0.12967119395763432</v>
      </c>
      <c r="E1593" s="65">
        <v>0.25358088105203175</v>
      </c>
      <c r="F1593" s="65">
        <v>4.528181577497701</v>
      </c>
      <c r="G1593" s="50">
        <v>0.0</v>
      </c>
      <c r="H1593" s="50">
        <v>0.0</v>
      </c>
      <c r="I1593" s="50">
        <v>0.0</v>
      </c>
      <c r="J1593" s="50">
        <v>0.0</v>
      </c>
      <c r="K1593" s="50">
        <v>0.0</v>
      </c>
      <c r="L1593" s="50">
        <v>0.0</v>
      </c>
      <c r="M1593" s="50">
        <v>0.0</v>
      </c>
      <c r="N1593" s="50">
        <v>0.0</v>
      </c>
      <c r="O1593" s="50">
        <v>0.0</v>
      </c>
      <c r="P1593" s="50">
        <v>0.0</v>
      </c>
      <c r="Q1593" s="50">
        <v>0.0</v>
      </c>
      <c r="R1593" s="50">
        <v>0.0</v>
      </c>
      <c r="S1593" s="50">
        <v>0.0</v>
      </c>
      <c r="T1593" s="50">
        <v>2.8125</v>
      </c>
      <c r="U1593" s="50">
        <v>0.0</v>
      </c>
      <c r="V1593" s="50">
        <v>5.625</v>
      </c>
      <c r="W1593" s="50">
        <v>0.0</v>
      </c>
      <c r="X1593" s="50">
        <v>2.8125</v>
      </c>
      <c r="Y1593" s="50">
        <v>11.25</v>
      </c>
    </row>
    <row r="1594">
      <c r="A1594" s="26">
        <v>1588.0</v>
      </c>
      <c r="B1594" s="65">
        <v>-0.6586823518185966</v>
      </c>
      <c r="C1594" s="65">
        <v>1.8744273973567618</v>
      </c>
      <c r="D1594" s="65">
        <v>-1.2697341812161553</v>
      </c>
      <c r="E1594" s="65">
        <v>1.1537055097117053</v>
      </c>
      <c r="F1594" s="65">
        <v>5.06497856994173</v>
      </c>
      <c r="G1594" s="50">
        <v>0.0</v>
      </c>
      <c r="H1594" s="50">
        <v>0.0</v>
      </c>
      <c r="I1594" s="50">
        <v>0.0</v>
      </c>
      <c r="J1594" s="50">
        <v>0.0</v>
      </c>
      <c r="K1594" s="50">
        <v>0.0</v>
      </c>
      <c r="L1594" s="50">
        <v>0.0</v>
      </c>
      <c r="M1594" s="50">
        <v>0.0</v>
      </c>
      <c r="N1594" s="50">
        <v>0.0</v>
      </c>
      <c r="O1594" s="50">
        <v>0.0</v>
      </c>
      <c r="P1594" s="50">
        <v>0.0</v>
      </c>
      <c r="Q1594" s="50">
        <v>0.0</v>
      </c>
      <c r="R1594" s="50">
        <v>0.0</v>
      </c>
      <c r="S1594" s="50">
        <v>0.0</v>
      </c>
      <c r="T1594" s="50">
        <v>2.8125</v>
      </c>
      <c r="U1594" s="50">
        <v>0.0</v>
      </c>
      <c r="V1594" s="50">
        <v>5.625</v>
      </c>
      <c r="W1594" s="50">
        <v>0.0</v>
      </c>
      <c r="X1594" s="50">
        <v>2.8125</v>
      </c>
      <c r="Y1594" s="50">
        <v>11.25</v>
      </c>
    </row>
    <row r="1595">
      <c r="A1595" s="26">
        <v>1589.0</v>
      </c>
      <c r="B1595" s="65">
        <v>-0.8759026915468019</v>
      </c>
      <c r="C1595" s="65">
        <v>-0.5884601824759613</v>
      </c>
      <c r="D1595" s="65">
        <v>-1.5544733946844027</v>
      </c>
      <c r="E1595" s="65">
        <v>1.776429160283112</v>
      </c>
      <c r="F1595" s="65">
        <v>3.2802261963603265</v>
      </c>
      <c r="G1595" s="50">
        <v>0.0</v>
      </c>
      <c r="H1595" s="50">
        <v>0.0</v>
      </c>
      <c r="I1595" s="50">
        <v>0.0</v>
      </c>
      <c r="J1595" s="50">
        <v>0.0</v>
      </c>
      <c r="K1595" s="50">
        <v>0.0</v>
      </c>
      <c r="L1595" s="50">
        <v>0.0</v>
      </c>
      <c r="M1595" s="50">
        <v>0.0</v>
      </c>
      <c r="N1595" s="50">
        <v>0.0</v>
      </c>
      <c r="O1595" s="50">
        <v>7.425000000000001</v>
      </c>
      <c r="P1595" s="50">
        <v>2.475</v>
      </c>
      <c r="Q1595" s="50">
        <v>0.0</v>
      </c>
      <c r="R1595" s="50">
        <v>9.9</v>
      </c>
      <c r="S1595" s="50">
        <v>0.0</v>
      </c>
      <c r="T1595" s="50">
        <v>2.8125</v>
      </c>
      <c r="U1595" s="50">
        <v>0.0</v>
      </c>
      <c r="V1595" s="50">
        <v>0.0</v>
      </c>
      <c r="W1595" s="50">
        <v>0.0</v>
      </c>
      <c r="X1595" s="50">
        <v>2.8125</v>
      </c>
      <c r="Y1595" s="50">
        <v>25.425</v>
      </c>
    </row>
    <row r="1596">
      <c r="A1596" s="26">
        <v>1590.0</v>
      </c>
      <c r="B1596" s="65">
        <v>-0.05581407190677509</v>
      </c>
      <c r="C1596" s="65">
        <v>0.03461868401150702</v>
      </c>
      <c r="D1596" s="65">
        <v>-0.6696210710563906</v>
      </c>
      <c r="E1596" s="65">
        <v>-0.4988040386158678</v>
      </c>
      <c r="F1596" s="65">
        <v>4.0785173827385615</v>
      </c>
      <c r="G1596" s="50">
        <v>0.0</v>
      </c>
      <c r="H1596" s="50">
        <v>0.0</v>
      </c>
      <c r="I1596" s="50">
        <v>0.0</v>
      </c>
      <c r="J1596" s="50">
        <v>0.0</v>
      </c>
      <c r="K1596" s="50">
        <v>0.0</v>
      </c>
      <c r="L1596" s="50">
        <v>0.0</v>
      </c>
      <c r="M1596" s="50">
        <v>0.0</v>
      </c>
      <c r="N1596" s="50">
        <v>0.0</v>
      </c>
      <c r="O1596" s="50">
        <v>0.0</v>
      </c>
      <c r="P1596" s="50">
        <v>0.0</v>
      </c>
      <c r="Q1596" s="50">
        <v>0.0</v>
      </c>
      <c r="R1596" s="50">
        <v>0.0</v>
      </c>
      <c r="S1596" s="50">
        <v>0.0</v>
      </c>
      <c r="T1596" s="50">
        <v>2.8125</v>
      </c>
      <c r="U1596" s="50">
        <v>9.9</v>
      </c>
      <c r="V1596" s="50">
        <v>0.0</v>
      </c>
      <c r="W1596" s="50">
        <v>0.0</v>
      </c>
      <c r="X1596" s="50">
        <v>2.8125</v>
      </c>
      <c r="Y1596" s="50">
        <v>15.525</v>
      </c>
    </row>
    <row r="1597">
      <c r="A1597" s="26">
        <v>1591.0</v>
      </c>
      <c r="B1597" s="65">
        <v>-0.46346611372386187</v>
      </c>
      <c r="C1597" s="65">
        <v>-1.0595670244959576</v>
      </c>
      <c r="D1597" s="65">
        <v>0.22487874099423494</v>
      </c>
      <c r="E1597" s="65">
        <v>0.35631383048015997</v>
      </c>
      <c r="F1597" s="65">
        <v>3.5168716970001266</v>
      </c>
      <c r="G1597" s="50">
        <v>0.0</v>
      </c>
      <c r="H1597" s="50">
        <v>0.0</v>
      </c>
      <c r="I1597" s="50">
        <v>0.0</v>
      </c>
      <c r="J1597" s="50">
        <v>0.0</v>
      </c>
      <c r="K1597" s="50">
        <v>0.0</v>
      </c>
      <c r="L1597" s="50">
        <v>0.0</v>
      </c>
      <c r="M1597" s="50">
        <v>0.0</v>
      </c>
      <c r="N1597" s="50">
        <v>0.0</v>
      </c>
      <c r="O1597" s="50">
        <v>0.0</v>
      </c>
      <c r="P1597" s="50">
        <v>0.0</v>
      </c>
      <c r="Q1597" s="50">
        <v>0.0</v>
      </c>
      <c r="R1597" s="50">
        <v>0.0</v>
      </c>
      <c r="S1597" s="50">
        <v>0.0</v>
      </c>
      <c r="T1597" s="50">
        <v>2.8125</v>
      </c>
      <c r="U1597" s="50">
        <v>0.0</v>
      </c>
      <c r="V1597" s="50">
        <v>5.625</v>
      </c>
      <c r="W1597" s="50">
        <v>4.95</v>
      </c>
      <c r="X1597" s="50">
        <v>2.8125</v>
      </c>
      <c r="Y1597" s="50">
        <v>16.2</v>
      </c>
    </row>
    <row r="1598">
      <c r="A1598" s="26">
        <v>1592.0</v>
      </c>
      <c r="B1598" s="65">
        <v>-1.0875016719500425</v>
      </c>
      <c r="C1598" s="65">
        <v>1.0447250115626934</v>
      </c>
      <c r="D1598" s="65">
        <v>0.7956084445501155</v>
      </c>
      <c r="E1598" s="65">
        <v>-0.6498038073053477</v>
      </c>
      <c r="F1598" s="65">
        <v>5.7333479871429915</v>
      </c>
      <c r="G1598" s="50">
        <v>0.0</v>
      </c>
      <c r="H1598" s="50">
        <v>0.0</v>
      </c>
      <c r="I1598" s="50">
        <v>0.0</v>
      </c>
      <c r="J1598" s="50">
        <v>0.0</v>
      </c>
      <c r="K1598" s="50">
        <v>0.0</v>
      </c>
      <c r="L1598" s="50">
        <v>0.0</v>
      </c>
      <c r="M1598" s="50">
        <v>0.0</v>
      </c>
      <c r="N1598" s="50">
        <v>0.0</v>
      </c>
      <c r="O1598" s="50">
        <v>0.0</v>
      </c>
      <c r="P1598" s="50">
        <v>0.0</v>
      </c>
      <c r="Q1598" s="50">
        <v>0.0</v>
      </c>
      <c r="R1598" s="50">
        <v>0.0</v>
      </c>
      <c r="S1598" s="50">
        <v>0.0</v>
      </c>
      <c r="T1598" s="50">
        <v>2.8125</v>
      </c>
      <c r="U1598" s="50">
        <v>0.0</v>
      </c>
      <c r="V1598" s="50">
        <v>0.0</v>
      </c>
      <c r="W1598" s="50">
        <v>0.0</v>
      </c>
      <c r="X1598" s="50">
        <v>2.8125</v>
      </c>
      <c r="Y1598" s="50">
        <v>5.625</v>
      </c>
    </row>
    <row r="1599">
      <c r="A1599" s="26">
        <v>1593.0</v>
      </c>
      <c r="B1599" s="65">
        <v>-0.44613842866554726</v>
      </c>
      <c r="C1599" s="65">
        <v>-0.7426951904696764</v>
      </c>
      <c r="D1599" s="65">
        <v>0.2312548692855367</v>
      </c>
      <c r="E1599" s="65">
        <v>-1.810122853065511</v>
      </c>
      <c r="F1599" s="65">
        <v>12.810803877107464</v>
      </c>
      <c r="G1599" s="50">
        <v>0.0</v>
      </c>
      <c r="H1599" s="50">
        <v>0.0</v>
      </c>
      <c r="I1599" s="50">
        <v>0.0</v>
      </c>
      <c r="J1599" s="50">
        <v>0.0</v>
      </c>
      <c r="K1599" s="50">
        <v>0.0</v>
      </c>
      <c r="L1599" s="50">
        <v>0.0</v>
      </c>
      <c r="M1599" s="50">
        <v>0.0</v>
      </c>
      <c r="N1599" s="50">
        <v>0.0</v>
      </c>
      <c r="O1599" s="50">
        <v>0.0</v>
      </c>
      <c r="P1599" s="50">
        <v>0.0</v>
      </c>
      <c r="Q1599" s="50">
        <v>0.0</v>
      </c>
      <c r="R1599" s="50">
        <v>0.0</v>
      </c>
      <c r="S1599" s="50">
        <v>0.0</v>
      </c>
      <c r="T1599" s="50">
        <v>2.8125</v>
      </c>
      <c r="U1599" s="50">
        <v>0.0</v>
      </c>
      <c r="V1599" s="50">
        <v>5.625</v>
      </c>
      <c r="W1599" s="50">
        <v>0.0</v>
      </c>
      <c r="X1599" s="50">
        <v>2.8125</v>
      </c>
      <c r="Y1599" s="50">
        <v>11.25</v>
      </c>
    </row>
    <row r="1600">
      <c r="A1600" s="26">
        <v>1594.0</v>
      </c>
      <c r="B1600" s="65">
        <v>-0.4663552929618586</v>
      </c>
      <c r="C1600" s="65">
        <v>0.17180225552050205</v>
      </c>
      <c r="D1600" s="65">
        <v>-1.0814794397361644</v>
      </c>
      <c r="E1600" s="65">
        <v>0.3542512088491456</v>
      </c>
      <c r="F1600" s="65">
        <v>2.3842169074328585</v>
      </c>
      <c r="G1600" s="50">
        <v>0.0</v>
      </c>
      <c r="H1600" s="50">
        <v>0.0</v>
      </c>
      <c r="I1600" s="50">
        <v>0.0</v>
      </c>
      <c r="J1600" s="50">
        <v>0.0</v>
      </c>
      <c r="K1600" s="50">
        <v>0.0</v>
      </c>
      <c r="L1600" s="50">
        <v>0.0</v>
      </c>
      <c r="M1600" s="50">
        <v>0.0</v>
      </c>
      <c r="N1600" s="50">
        <v>0.0</v>
      </c>
      <c r="O1600" s="50">
        <v>0.0</v>
      </c>
      <c r="P1600" s="50">
        <v>0.0</v>
      </c>
      <c r="Q1600" s="50">
        <v>0.0</v>
      </c>
      <c r="R1600" s="50">
        <v>9.9</v>
      </c>
      <c r="S1600" s="50">
        <v>0.0</v>
      </c>
      <c r="T1600" s="50">
        <v>2.8125</v>
      </c>
      <c r="U1600" s="50">
        <v>0.0</v>
      </c>
      <c r="V1600" s="50">
        <v>5.625</v>
      </c>
      <c r="W1600" s="50">
        <v>4.95</v>
      </c>
      <c r="X1600" s="50">
        <v>2.8125</v>
      </c>
      <c r="Y1600" s="50">
        <v>26.099999999999998</v>
      </c>
    </row>
    <row r="1601">
      <c r="A1601" s="26">
        <v>1595.0</v>
      </c>
      <c r="B1601" s="65">
        <v>-0.26187534478950303</v>
      </c>
      <c r="C1601" s="65">
        <v>0.3504303091625077</v>
      </c>
      <c r="D1601" s="65">
        <v>-0.23349747125202183</v>
      </c>
      <c r="E1601" s="65">
        <v>0.5496228375178368</v>
      </c>
      <c r="F1601" s="65">
        <v>9.494087131959674</v>
      </c>
      <c r="G1601" s="50">
        <v>0.0</v>
      </c>
      <c r="H1601" s="50">
        <v>0.0</v>
      </c>
      <c r="I1601" s="50">
        <v>0.0</v>
      </c>
      <c r="J1601" s="50">
        <v>0.0</v>
      </c>
      <c r="K1601" s="50">
        <v>0.0</v>
      </c>
      <c r="L1601" s="50">
        <v>0.0</v>
      </c>
      <c r="M1601" s="50">
        <v>0.0</v>
      </c>
      <c r="N1601" s="50">
        <v>0.0</v>
      </c>
      <c r="O1601" s="50">
        <v>0.0</v>
      </c>
      <c r="P1601" s="50">
        <v>0.0</v>
      </c>
      <c r="Q1601" s="50">
        <v>0.0</v>
      </c>
      <c r="R1601" s="50">
        <v>0.0</v>
      </c>
      <c r="S1601" s="50">
        <v>0.0</v>
      </c>
      <c r="T1601" s="50">
        <v>2.8125</v>
      </c>
      <c r="U1601" s="50">
        <v>0.0</v>
      </c>
      <c r="V1601" s="50">
        <v>0.0</v>
      </c>
      <c r="W1601" s="50">
        <v>0.0</v>
      </c>
      <c r="X1601" s="50">
        <v>2.8125</v>
      </c>
      <c r="Y1601" s="50">
        <v>5.625</v>
      </c>
    </row>
    <row r="1602">
      <c r="A1602" s="26">
        <v>1596.0</v>
      </c>
      <c r="B1602" s="65">
        <v>-0.2616265982260099</v>
      </c>
      <c r="C1602" s="65">
        <v>1.1068398838084261</v>
      </c>
      <c r="D1602" s="65">
        <v>-0.840470778393121</v>
      </c>
      <c r="E1602" s="65">
        <v>2.225568319659277</v>
      </c>
      <c r="F1602" s="65">
        <v>7.719986965219509</v>
      </c>
      <c r="G1602" s="50">
        <v>0.0</v>
      </c>
      <c r="H1602" s="50">
        <v>0.0</v>
      </c>
      <c r="I1602" s="50">
        <v>0.0</v>
      </c>
      <c r="J1602" s="50">
        <v>0.0</v>
      </c>
      <c r="K1602" s="50">
        <v>0.0</v>
      </c>
      <c r="L1602" s="50">
        <v>0.0</v>
      </c>
      <c r="M1602" s="50">
        <v>0.0</v>
      </c>
      <c r="N1602" s="50">
        <v>0.0</v>
      </c>
      <c r="O1602" s="50">
        <v>0.0</v>
      </c>
      <c r="P1602" s="50">
        <v>0.0</v>
      </c>
      <c r="Q1602" s="50">
        <v>0.0</v>
      </c>
      <c r="R1602" s="50">
        <v>0.0</v>
      </c>
      <c r="S1602" s="50">
        <v>0.0</v>
      </c>
      <c r="T1602" s="50">
        <v>2.8125</v>
      </c>
      <c r="U1602" s="50">
        <v>0.0</v>
      </c>
      <c r="V1602" s="50">
        <v>0.0</v>
      </c>
      <c r="W1602" s="50">
        <v>0.0</v>
      </c>
      <c r="X1602" s="50">
        <v>2.8125</v>
      </c>
      <c r="Y1602" s="50">
        <v>5.625</v>
      </c>
    </row>
    <row r="1603">
      <c r="A1603" s="26">
        <v>1597.0</v>
      </c>
      <c r="B1603" s="65">
        <v>0.37777008422506586</v>
      </c>
      <c r="C1603" s="65">
        <v>-0.620392850119779</v>
      </c>
      <c r="D1603" s="65">
        <v>0.3347732911811791</v>
      </c>
      <c r="E1603" s="65">
        <v>-0.8564304761871276</v>
      </c>
      <c r="F1603" s="65">
        <v>4.290752859798082</v>
      </c>
      <c r="G1603" s="50">
        <v>0.0</v>
      </c>
      <c r="H1603" s="50">
        <v>0.0</v>
      </c>
      <c r="I1603" s="50">
        <v>0.0</v>
      </c>
      <c r="J1603" s="50">
        <v>0.0</v>
      </c>
      <c r="K1603" s="50">
        <v>0.0</v>
      </c>
      <c r="L1603" s="50">
        <v>0.0</v>
      </c>
      <c r="M1603" s="50">
        <v>0.0</v>
      </c>
      <c r="N1603" s="50">
        <v>0.0</v>
      </c>
      <c r="O1603" s="50">
        <v>0.0</v>
      </c>
      <c r="P1603" s="50">
        <v>0.0</v>
      </c>
      <c r="Q1603" s="50">
        <v>0.0</v>
      </c>
      <c r="R1603" s="50">
        <v>9.9</v>
      </c>
      <c r="S1603" s="50">
        <v>0.0</v>
      </c>
      <c r="T1603" s="50">
        <v>2.8125</v>
      </c>
      <c r="U1603" s="50">
        <v>0.0</v>
      </c>
      <c r="V1603" s="50">
        <v>0.0</v>
      </c>
      <c r="W1603" s="50">
        <v>0.0</v>
      </c>
      <c r="X1603" s="50">
        <v>2.8125</v>
      </c>
      <c r="Y1603" s="50">
        <v>15.525</v>
      </c>
    </row>
    <row r="1604">
      <c r="A1604" s="26">
        <v>1598.0</v>
      </c>
      <c r="B1604" s="65">
        <v>-0.6148345718113429</v>
      </c>
      <c r="C1604" s="65">
        <v>-0.9995309092382212</v>
      </c>
      <c r="D1604" s="65">
        <v>-0.438630261360577</v>
      </c>
      <c r="E1604" s="65">
        <v>0.08504786521731986</v>
      </c>
      <c r="F1604" s="65">
        <v>3.8131272656900648</v>
      </c>
      <c r="G1604" s="50">
        <v>0.0</v>
      </c>
      <c r="H1604" s="50">
        <v>0.0</v>
      </c>
      <c r="I1604" s="50">
        <v>0.0</v>
      </c>
      <c r="J1604" s="50">
        <v>0.0</v>
      </c>
      <c r="K1604" s="50">
        <v>0.0</v>
      </c>
      <c r="L1604" s="50">
        <v>0.0</v>
      </c>
      <c r="M1604" s="50">
        <v>0.0</v>
      </c>
      <c r="N1604" s="50">
        <v>0.0</v>
      </c>
      <c r="O1604" s="50">
        <v>7.425000000000001</v>
      </c>
      <c r="P1604" s="50">
        <v>2.475</v>
      </c>
      <c r="Q1604" s="50">
        <v>0.0</v>
      </c>
      <c r="R1604" s="50">
        <v>9.9</v>
      </c>
      <c r="S1604" s="50">
        <v>0.0</v>
      </c>
      <c r="T1604" s="50">
        <v>2.8125</v>
      </c>
      <c r="U1604" s="50">
        <v>0.0</v>
      </c>
      <c r="V1604" s="50">
        <v>5.625</v>
      </c>
      <c r="W1604" s="50">
        <v>0.0</v>
      </c>
      <c r="X1604" s="50">
        <v>2.8125</v>
      </c>
      <c r="Y1604" s="50">
        <v>31.05</v>
      </c>
    </row>
    <row r="1605">
      <c r="A1605" s="26">
        <v>1599.0</v>
      </c>
      <c r="B1605" s="65">
        <v>0.006682453515801706</v>
      </c>
      <c r="C1605" s="65">
        <v>0.5184776491861575</v>
      </c>
      <c r="D1605" s="65">
        <v>0.7037105978417758</v>
      </c>
      <c r="E1605" s="65">
        <v>-0.9836493998615751</v>
      </c>
      <c r="F1605" s="65">
        <v>2.703484827861267</v>
      </c>
      <c r="G1605" s="50">
        <v>0.0</v>
      </c>
      <c r="H1605" s="50">
        <v>0.0</v>
      </c>
      <c r="I1605" s="50">
        <v>0.0</v>
      </c>
      <c r="J1605" s="50">
        <v>0.0</v>
      </c>
      <c r="K1605" s="50">
        <v>0.0</v>
      </c>
      <c r="L1605" s="50">
        <v>0.0</v>
      </c>
      <c r="M1605" s="50">
        <v>0.0</v>
      </c>
      <c r="N1605" s="50">
        <v>0.0</v>
      </c>
      <c r="O1605" s="50">
        <v>0.0</v>
      </c>
      <c r="P1605" s="50">
        <v>0.0</v>
      </c>
      <c r="Q1605" s="50">
        <v>0.0</v>
      </c>
      <c r="R1605" s="50">
        <v>0.0</v>
      </c>
      <c r="S1605" s="50">
        <v>0.0</v>
      </c>
      <c r="T1605" s="50">
        <v>2.8125</v>
      </c>
      <c r="U1605" s="50">
        <v>0.0</v>
      </c>
      <c r="V1605" s="50">
        <v>5.625</v>
      </c>
      <c r="W1605" s="50">
        <v>0.0</v>
      </c>
      <c r="X1605" s="50">
        <v>2.8125</v>
      </c>
      <c r="Y1605" s="50">
        <v>11.25</v>
      </c>
    </row>
    <row r="1606">
      <c r="A1606" s="26">
        <v>1600.0</v>
      </c>
      <c r="B1606" s="65">
        <v>0.2579073197824465</v>
      </c>
      <c r="C1606" s="65">
        <v>1.283985286635288</v>
      </c>
      <c r="D1606" s="65">
        <v>1.996268349198186</v>
      </c>
      <c r="E1606" s="65">
        <v>1.023942079212555</v>
      </c>
      <c r="F1606" s="65">
        <v>3.4772642078500473</v>
      </c>
      <c r="G1606" s="50">
        <v>0.0</v>
      </c>
      <c r="H1606" s="50">
        <v>0.0</v>
      </c>
      <c r="I1606" s="50">
        <v>0.0</v>
      </c>
      <c r="J1606" s="50">
        <v>0.0</v>
      </c>
      <c r="K1606" s="50">
        <v>0.0</v>
      </c>
      <c r="L1606" s="50">
        <v>0.0</v>
      </c>
      <c r="M1606" s="50">
        <v>0.0</v>
      </c>
      <c r="N1606" s="50">
        <v>0.0</v>
      </c>
      <c r="O1606" s="50">
        <v>0.0</v>
      </c>
      <c r="P1606" s="50">
        <v>0.0</v>
      </c>
      <c r="Q1606" s="50">
        <v>0.0</v>
      </c>
      <c r="R1606" s="50">
        <v>0.0</v>
      </c>
      <c r="S1606" s="50">
        <v>0.0</v>
      </c>
      <c r="T1606" s="50">
        <v>2.8125</v>
      </c>
      <c r="U1606" s="50">
        <v>0.0</v>
      </c>
      <c r="V1606" s="50">
        <v>0.0</v>
      </c>
      <c r="W1606" s="50">
        <v>0.0</v>
      </c>
      <c r="X1606" s="50">
        <v>2.8125</v>
      </c>
      <c r="Y1606" s="50">
        <v>5.625</v>
      </c>
    </row>
    <row r="1607">
      <c r="A1607" s="26">
        <v>1601.0</v>
      </c>
      <c r="B1607" s="65">
        <v>0.08043382019829877</v>
      </c>
      <c r="C1607" s="65">
        <v>-1.6602463544239612</v>
      </c>
      <c r="D1607" s="65">
        <v>-1.2894715233202343</v>
      </c>
      <c r="E1607" s="65">
        <v>-0.2593914849748682</v>
      </c>
      <c r="F1607" s="65">
        <v>2.032310565401256</v>
      </c>
      <c r="G1607" s="50">
        <v>0.0</v>
      </c>
      <c r="H1607" s="50">
        <v>0.0</v>
      </c>
      <c r="I1607" s="50">
        <v>0.0</v>
      </c>
      <c r="J1607" s="50">
        <v>0.0</v>
      </c>
      <c r="K1607" s="50">
        <v>0.0</v>
      </c>
      <c r="L1607" s="50">
        <v>0.0</v>
      </c>
      <c r="M1607" s="50">
        <v>0.0</v>
      </c>
      <c r="N1607" s="50">
        <v>0.0</v>
      </c>
      <c r="O1607" s="50">
        <v>0.0</v>
      </c>
      <c r="P1607" s="50">
        <v>2.475</v>
      </c>
      <c r="Q1607" s="50">
        <v>0.0</v>
      </c>
      <c r="R1607" s="50">
        <v>0.0</v>
      </c>
      <c r="S1607" s="50">
        <v>0.0</v>
      </c>
      <c r="T1607" s="50">
        <v>2.8125</v>
      </c>
      <c r="U1607" s="50">
        <v>0.0</v>
      </c>
      <c r="V1607" s="50">
        <v>0.0</v>
      </c>
      <c r="W1607" s="50">
        <v>0.0</v>
      </c>
      <c r="X1607" s="50">
        <v>2.8125</v>
      </c>
      <c r="Y1607" s="50">
        <v>8.1</v>
      </c>
    </row>
    <row r="1608">
      <c r="A1608" s="26">
        <v>1602.0</v>
      </c>
      <c r="B1608" s="65">
        <v>-0.33186133653112776</v>
      </c>
      <c r="C1608" s="65">
        <v>0.7792713807341407</v>
      </c>
      <c r="D1608" s="65">
        <v>-0.7430373670822356</v>
      </c>
      <c r="E1608" s="65">
        <v>-0.8714335596916791</v>
      </c>
      <c r="F1608" s="65">
        <v>8.085692785643658</v>
      </c>
      <c r="G1608" s="50">
        <v>0.0</v>
      </c>
      <c r="H1608" s="50">
        <v>0.0</v>
      </c>
      <c r="I1608" s="50">
        <v>0.0</v>
      </c>
      <c r="J1608" s="50">
        <v>0.0</v>
      </c>
      <c r="K1608" s="50">
        <v>0.0</v>
      </c>
      <c r="L1608" s="50">
        <v>0.0</v>
      </c>
      <c r="M1608" s="50">
        <v>0.0</v>
      </c>
      <c r="N1608" s="50">
        <v>0.0</v>
      </c>
      <c r="O1608" s="50">
        <v>0.0</v>
      </c>
      <c r="P1608" s="50">
        <v>0.0</v>
      </c>
      <c r="Q1608" s="50">
        <v>0.0</v>
      </c>
      <c r="R1608" s="50">
        <v>0.0</v>
      </c>
      <c r="S1608" s="50">
        <v>0.0</v>
      </c>
      <c r="T1608" s="50">
        <v>2.8125</v>
      </c>
      <c r="U1608" s="50">
        <v>0.0</v>
      </c>
      <c r="V1608" s="50">
        <v>5.625</v>
      </c>
      <c r="W1608" s="50">
        <v>0.0</v>
      </c>
      <c r="X1608" s="50">
        <v>2.8125</v>
      </c>
      <c r="Y1608" s="50">
        <v>11.25</v>
      </c>
    </row>
    <row r="1609">
      <c r="A1609" s="26">
        <v>1603.0</v>
      </c>
      <c r="B1609" s="65">
        <v>1.0187893749201793</v>
      </c>
      <c r="C1609" s="65">
        <v>-0.8713105610706708</v>
      </c>
      <c r="D1609" s="65">
        <v>-0.6886265606597408</v>
      </c>
      <c r="E1609" s="65">
        <v>-0.4521378414854254</v>
      </c>
      <c r="F1609" s="65">
        <v>4.529625280996167</v>
      </c>
      <c r="G1609" s="50">
        <v>0.0</v>
      </c>
      <c r="H1609" s="50">
        <v>0.0</v>
      </c>
      <c r="I1609" s="50">
        <v>0.0</v>
      </c>
      <c r="J1609" s="50">
        <v>0.0</v>
      </c>
      <c r="K1609" s="50">
        <v>0.0</v>
      </c>
      <c r="L1609" s="50">
        <v>0.0</v>
      </c>
      <c r="M1609" s="50">
        <v>0.0</v>
      </c>
      <c r="N1609" s="50">
        <v>0.0</v>
      </c>
      <c r="O1609" s="50">
        <v>7.425000000000001</v>
      </c>
      <c r="P1609" s="50">
        <v>0.0</v>
      </c>
      <c r="Q1609" s="50">
        <v>0.0</v>
      </c>
      <c r="R1609" s="50">
        <v>0.0</v>
      </c>
      <c r="S1609" s="50">
        <v>0.0</v>
      </c>
      <c r="T1609" s="50">
        <v>2.8125</v>
      </c>
      <c r="U1609" s="50">
        <v>0.0</v>
      </c>
      <c r="V1609" s="50">
        <v>0.0</v>
      </c>
      <c r="W1609" s="50">
        <v>0.0</v>
      </c>
      <c r="X1609" s="50">
        <v>2.8125</v>
      </c>
      <c r="Y1609" s="50">
        <v>13.05</v>
      </c>
    </row>
    <row r="1610">
      <c r="A1610" s="26">
        <v>1604.0</v>
      </c>
      <c r="B1610" s="65">
        <v>-0.3104369028157652</v>
      </c>
      <c r="C1610" s="65">
        <v>-0.9070042929903882</v>
      </c>
      <c r="D1610" s="65">
        <v>0.21996338186180897</v>
      </c>
      <c r="E1610" s="65">
        <v>-1.6720645623283</v>
      </c>
      <c r="F1610" s="65">
        <v>3.1285242566590834</v>
      </c>
      <c r="G1610" s="50">
        <v>0.0</v>
      </c>
      <c r="H1610" s="50">
        <v>0.0</v>
      </c>
      <c r="I1610" s="50">
        <v>0.0</v>
      </c>
      <c r="J1610" s="50">
        <v>0.0</v>
      </c>
      <c r="K1610" s="50">
        <v>0.0</v>
      </c>
      <c r="L1610" s="50">
        <v>0.0</v>
      </c>
      <c r="M1610" s="50">
        <v>0.0</v>
      </c>
      <c r="N1610" s="50">
        <v>0.0</v>
      </c>
      <c r="O1610" s="50">
        <v>0.0</v>
      </c>
      <c r="P1610" s="50">
        <v>0.0</v>
      </c>
      <c r="Q1610" s="50">
        <v>0.0</v>
      </c>
      <c r="R1610" s="50">
        <v>0.0</v>
      </c>
      <c r="S1610" s="50">
        <v>0.0</v>
      </c>
      <c r="T1610" s="50">
        <v>2.8125</v>
      </c>
      <c r="U1610" s="50">
        <v>0.0</v>
      </c>
      <c r="V1610" s="50">
        <v>5.625</v>
      </c>
      <c r="W1610" s="50">
        <v>4.95</v>
      </c>
      <c r="X1610" s="50">
        <v>2.8125</v>
      </c>
      <c r="Y1610" s="50">
        <v>16.2</v>
      </c>
    </row>
    <row r="1611">
      <c r="A1611" s="26">
        <v>1605.0</v>
      </c>
      <c r="B1611" s="65">
        <v>-0.5945312588002571</v>
      </c>
      <c r="C1611" s="65">
        <v>1.6100971407792608</v>
      </c>
      <c r="D1611" s="65">
        <v>-1.075394742444214</v>
      </c>
      <c r="E1611" s="65">
        <v>-0.34741047708156</v>
      </c>
      <c r="F1611" s="65">
        <v>2.8759575222577443</v>
      </c>
      <c r="G1611" s="50">
        <v>0.0</v>
      </c>
      <c r="H1611" s="50">
        <v>0.0</v>
      </c>
      <c r="I1611" s="50">
        <v>0.0</v>
      </c>
      <c r="J1611" s="50">
        <v>0.0</v>
      </c>
      <c r="K1611" s="50">
        <v>0.0</v>
      </c>
      <c r="L1611" s="50">
        <v>0.0</v>
      </c>
      <c r="M1611" s="50">
        <v>0.0</v>
      </c>
      <c r="N1611" s="50">
        <v>0.0</v>
      </c>
      <c r="O1611" s="50">
        <v>0.0</v>
      </c>
      <c r="P1611" s="50">
        <v>0.0</v>
      </c>
      <c r="Q1611" s="50">
        <v>0.0</v>
      </c>
      <c r="R1611" s="50">
        <v>9.9</v>
      </c>
      <c r="S1611" s="50">
        <v>0.0</v>
      </c>
      <c r="T1611" s="50">
        <v>2.8125</v>
      </c>
      <c r="U1611" s="50">
        <v>0.0</v>
      </c>
      <c r="V1611" s="50">
        <v>5.625</v>
      </c>
      <c r="W1611" s="50">
        <v>0.0</v>
      </c>
      <c r="X1611" s="50">
        <v>2.8125</v>
      </c>
      <c r="Y1611" s="50">
        <v>21.15</v>
      </c>
    </row>
    <row r="1612">
      <c r="A1612" s="26">
        <v>1606.0</v>
      </c>
      <c r="B1612" s="65">
        <v>0.36988767610167966</v>
      </c>
      <c r="C1612" s="65">
        <v>0.6627855417308186</v>
      </c>
      <c r="D1612" s="65">
        <v>-1.1001247193396233</v>
      </c>
      <c r="E1612" s="65">
        <v>-1.5046445094138114</v>
      </c>
      <c r="F1612" s="65">
        <v>1.2848534975929273</v>
      </c>
      <c r="G1612" s="50">
        <v>0.0</v>
      </c>
      <c r="H1612" s="50">
        <v>0.0</v>
      </c>
      <c r="I1612" s="50">
        <v>0.0</v>
      </c>
      <c r="J1612" s="50">
        <v>0.0</v>
      </c>
      <c r="K1612" s="50">
        <v>0.0</v>
      </c>
      <c r="L1612" s="50">
        <v>0.0</v>
      </c>
      <c r="M1612" s="50">
        <v>0.0</v>
      </c>
      <c r="N1612" s="50">
        <v>0.0</v>
      </c>
      <c r="O1612" s="50">
        <v>0.0</v>
      </c>
      <c r="P1612" s="50">
        <v>0.0</v>
      </c>
      <c r="Q1612" s="50">
        <v>0.0</v>
      </c>
      <c r="R1612" s="50">
        <v>0.0</v>
      </c>
      <c r="S1612" s="50">
        <v>0.0</v>
      </c>
      <c r="T1612" s="50">
        <v>2.8125</v>
      </c>
      <c r="U1612" s="50">
        <v>9.9</v>
      </c>
      <c r="V1612" s="50">
        <v>5.625</v>
      </c>
      <c r="W1612" s="50">
        <v>0.0</v>
      </c>
      <c r="X1612" s="50">
        <v>2.8125</v>
      </c>
      <c r="Y1612" s="50">
        <v>21.15</v>
      </c>
    </row>
    <row r="1613">
      <c r="A1613" s="26">
        <v>1607.0</v>
      </c>
      <c r="B1613" s="65">
        <v>1.2622061494263392</v>
      </c>
      <c r="C1613" s="65">
        <v>0.6262003554594757</v>
      </c>
      <c r="D1613" s="65">
        <v>-1.8070279386558672</v>
      </c>
      <c r="E1613" s="65">
        <v>1.141187297963826</v>
      </c>
      <c r="F1613" s="65">
        <v>5.195676846077024</v>
      </c>
      <c r="G1613" s="50">
        <v>0.0</v>
      </c>
      <c r="H1613" s="50">
        <v>0.0</v>
      </c>
      <c r="I1613" s="50">
        <v>0.0</v>
      </c>
      <c r="J1613" s="50">
        <v>0.0</v>
      </c>
      <c r="K1613" s="50">
        <v>0.0</v>
      </c>
      <c r="L1613" s="50">
        <v>0.0</v>
      </c>
      <c r="M1613" s="50">
        <v>0.0</v>
      </c>
      <c r="N1613" s="50">
        <v>0.0</v>
      </c>
      <c r="O1613" s="50">
        <v>0.0</v>
      </c>
      <c r="P1613" s="50">
        <v>0.0</v>
      </c>
      <c r="Q1613" s="50">
        <v>0.0</v>
      </c>
      <c r="R1613" s="50">
        <v>0.0</v>
      </c>
      <c r="S1613" s="50">
        <v>0.0</v>
      </c>
      <c r="T1613" s="50">
        <v>2.8125</v>
      </c>
      <c r="U1613" s="50">
        <v>0.0</v>
      </c>
      <c r="V1613" s="50">
        <v>0.0</v>
      </c>
      <c r="W1613" s="50">
        <v>0.0</v>
      </c>
      <c r="X1613" s="50">
        <v>2.8125</v>
      </c>
      <c r="Y1613" s="50">
        <v>5.625</v>
      </c>
    </row>
    <row r="1614">
      <c r="A1614" s="26">
        <v>1608.0</v>
      </c>
      <c r="B1614" s="65">
        <v>1.296643972046089</v>
      </c>
      <c r="C1614" s="65">
        <v>0.4041684358228395</v>
      </c>
      <c r="D1614" s="65">
        <v>0.25811923994203784</v>
      </c>
      <c r="E1614" s="65">
        <v>0.33447592116935415</v>
      </c>
      <c r="F1614" s="65">
        <v>7.207287196520504</v>
      </c>
      <c r="G1614" s="50">
        <v>0.0</v>
      </c>
      <c r="H1614" s="50">
        <v>0.0</v>
      </c>
      <c r="I1614" s="50">
        <v>0.0</v>
      </c>
      <c r="J1614" s="50">
        <v>0.0</v>
      </c>
      <c r="K1614" s="50">
        <v>0.0</v>
      </c>
      <c r="L1614" s="50">
        <v>0.0</v>
      </c>
      <c r="M1614" s="50">
        <v>0.0</v>
      </c>
      <c r="N1614" s="50">
        <v>0.0</v>
      </c>
      <c r="O1614" s="50">
        <v>0.0</v>
      </c>
      <c r="P1614" s="50">
        <v>0.0</v>
      </c>
      <c r="Q1614" s="50">
        <v>0.0</v>
      </c>
      <c r="R1614" s="50">
        <v>0.0</v>
      </c>
      <c r="S1614" s="50">
        <v>0.0</v>
      </c>
      <c r="T1614" s="50">
        <v>2.8125</v>
      </c>
      <c r="U1614" s="50">
        <v>0.0</v>
      </c>
      <c r="V1614" s="50">
        <v>0.0</v>
      </c>
      <c r="W1614" s="50">
        <v>0.0</v>
      </c>
      <c r="X1614" s="50">
        <v>2.8125</v>
      </c>
      <c r="Y1614" s="50">
        <v>5.625</v>
      </c>
    </row>
    <row r="1615">
      <c r="A1615" s="26">
        <v>1609.0</v>
      </c>
      <c r="B1615" s="65">
        <v>-1.1511829301197256</v>
      </c>
      <c r="C1615" s="65">
        <v>1.3283603006337639</v>
      </c>
      <c r="D1615" s="65">
        <v>0.4035798342694956</v>
      </c>
      <c r="E1615" s="65">
        <v>-1.450821552329244</v>
      </c>
      <c r="F1615" s="65">
        <v>2.9019551385842117</v>
      </c>
      <c r="G1615" s="50">
        <v>0.0</v>
      </c>
      <c r="H1615" s="50">
        <v>0.0</v>
      </c>
      <c r="I1615" s="50">
        <v>0.0</v>
      </c>
      <c r="J1615" s="50">
        <v>0.0</v>
      </c>
      <c r="K1615" s="50">
        <v>0.0</v>
      </c>
      <c r="L1615" s="50">
        <v>0.0</v>
      </c>
      <c r="M1615" s="50">
        <v>0.0</v>
      </c>
      <c r="N1615" s="50">
        <v>0.0</v>
      </c>
      <c r="O1615" s="50">
        <v>0.0</v>
      </c>
      <c r="P1615" s="50">
        <v>0.0</v>
      </c>
      <c r="Q1615" s="50">
        <v>0.0</v>
      </c>
      <c r="R1615" s="50">
        <v>0.0</v>
      </c>
      <c r="S1615" s="50">
        <v>0.0</v>
      </c>
      <c r="T1615" s="50">
        <v>2.8125</v>
      </c>
      <c r="U1615" s="50">
        <v>9.9</v>
      </c>
      <c r="V1615" s="50">
        <v>0.0</v>
      </c>
      <c r="W1615" s="50">
        <v>4.95</v>
      </c>
      <c r="X1615" s="50">
        <v>2.8125</v>
      </c>
      <c r="Y1615" s="50">
        <v>20.475</v>
      </c>
    </row>
    <row r="1616">
      <c r="A1616" s="26">
        <v>1610.0</v>
      </c>
      <c r="B1616" s="65">
        <v>1.5804375249480993</v>
      </c>
      <c r="C1616" s="65">
        <v>-0.7718050732520086</v>
      </c>
      <c r="D1616" s="65">
        <v>0.7403789820918674</v>
      </c>
      <c r="E1616" s="65">
        <v>0.8677813425245535</v>
      </c>
      <c r="F1616" s="65">
        <v>2.50635410342758</v>
      </c>
      <c r="G1616" s="50">
        <v>0.0</v>
      </c>
      <c r="H1616" s="50">
        <v>0.0</v>
      </c>
      <c r="I1616" s="50">
        <v>0.0</v>
      </c>
      <c r="J1616" s="50">
        <v>0.0</v>
      </c>
      <c r="K1616" s="50">
        <v>0.0</v>
      </c>
      <c r="L1616" s="50">
        <v>0.0</v>
      </c>
      <c r="M1616" s="50">
        <v>0.0</v>
      </c>
      <c r="N1616" s="50">
        <v>0.0</v>
      </c>
      <c r="O1616" s="50">
        <v>0.0</v>
      </c>
      <c r="P1616" s="50">
        <v>0.0</v>
      </c>
      <c r="Q1616" s="50">
        <v>0.0</v>
      </c>
      <c r="R1616" s="50">
        <v>0.0</v>
      </c>
      <c r="S1616" s="50">
        <v>0.0</v>
      </c>
      <c r="T1616" s="50">
        <v>2.8125</v>
      </c>
      <c r="U1616" s="50">
        <v>0.0</v>
      </c>
      <c r="V1616" s="50">
        <v>0.0</v>
      </c>
      <c r="W1616" s="50">
        <v>0.0</v>
      </c>
      <c r="X1616" s="50">
        <v>2.8125</v>
      </c>
      <c r="Y1616" s="50">
        <v>5.625</v>
      </c>
    </row>
    <row r="1617">
      <c r="A1617" s="26">
        <v>1611.0</v>
      </c>
      <c r="B1617" s="65">
        <v>-0.4881124262948419</v>
      </c>
      <c r="C1617" s="65">
        <v>-0.06389154922353477</v>
      </c>
      <c r="D1617" s="65">
        <v>1.0379978014516398</v>
      </c>
      <c r="E1617" s="65">
        <v>-0.43892280597904637</v>
      </c>
      <c r="F1617" s="65">
        <v>3.1654894257641115</v>
      </c>
      <c r="G1617" s="50">
        <v>0.0</v>
      </c>
      <c r="H1617" s="50">
        <v>0.0</v>
      </c>
      <c r="I1617" s="50">
        <v>0.0</v>
      </c>
      <c r="J1617" s="50">
        <v>0.0</v>
      </c>
      <c r="K1617" s="50">
        <v>0.0</v>
      </c>
      <c r="L1617" s="50">
        <v>0.0</v>
      </c>
      <c r="M1617" s="50">
        <v>0.0</v>
      </c>
      <c r="N1617" s="50">
        <v>0.0</v>
      </c>
      <c r="O1617" s="50">
        <v>0.0</v>
      </c>
      <c r="P1617" s="50">
        <v>0.0</v>
      </c>
      <c r="Q1617" s="50">
        <v>0.0</v>
      </c>
      <c r="R1617" s="50">
        <v>0.0</v>
      </c>
      <c r="S1617" s="50">
        <v>0.0</v>
      </c>
      <c r="T1617" s="50">
        <v>2.8125</v>
      </c>
      <c r="U1617" s="50">
        <v>0.0</v>
      </c>
      <c r="V1617" s="50">
        <v>5.625</v>
      </c>
      <c r="W1617" s="50">
        <v>0.0</v>
      </c>
      <c r="X1617" s="50">
        <v>2.8125</v>
      </c>
      <c r="Y1617" s="50">
        <v>11.25</v>
      </c>
    </row>
    <row r="1618">
      <c r="A1618" s="26">
        <v>1612.0</v>
      </c>
      <c r="B1618" s="65">
        <v>1.4902854345657808</v>
      </c>
      <c r="C1618" s="65">
        <v>0.011648007694221241</v>
      </c>
      <c r="D1618" s="65">
        <v>0.8531566269522735</v>
      </c>
      <c r="E1618" s="65">
        <v>0.513261526993142</v>
      </c>
      <c r="F1618" s="65">
        <v>4.354631342803785</v>
      </c>
      <c r="G1618" s="50">
        <v>0.0</v>
      </c>
      <c r="H1618" s="50">
        <v>0.0</v>
      </c>
      <c r="I1618" s="50">
        <v>0.0</v>
      </c>
      <c r="J1618" s="50">
        <v>0.0</v>
      </c>
      <c r="K1618" s="50">
        <v>0.0</v>
      </c>
      <c r="L1618" s="50">
        <v>0.0</v>
      </c>
      <c r="M1618" s="50">
        <v>0.0</v>
      </c>
      <c r="N1618" s="50">
        <v>0.0</v>
      </c>
      <c r="O1618" s="50">
        <v>0.0</v>
      </c>
      <c r="P1618" s="50">
        <v>0.0</v>
      </c>
      <c r="Q1618" s="50">
        <v>0.0</v>
      </c>
      <c r="R1618" s="50">
        <v>0.0</v>
      </c>
      <c r="S1618" s="50">
        <v>0.0</v>
      </c>
      <c r="T1618" s="50">
        <v>2.8125</v>
      </c>
      <c r="U1618" s="50">
        <v>0.0</v>
      </c>
      <c r="V1618" s="50">
        <v>0.0</v>
      </c>
      <c r="W1618" s="50">
        <v>0.0</v>
      </c>
      <c r="X1618" s="50">
        <v>2.8125</v>
      </c>
      <c r="Y1618" s="50">
        <v>5.625</v>
      </c>
    </row>
    <row r="1619">
      <c r="A1619" s="26">
        <v>1613.0</v>
      </c>
      <c r="B1619" s="65">
        <v>1.7752961985641253</v>
      </c>
      <c r="C1619" s="65">
        <v>1.1598644937671534</v>
      </c>
      <c r="D1619" s="65">
        <v>-1.2906256167763166</v>
      </c>
      <c r="E1619" s="65">
        <v>-0.6213193149452417</v>
      </c>
      <c r="F1619" s="65">
        <v>8.14178669221252</v>
      </c>
      <c r="G1619" s="50">
        <v>0.0</v>
      </c>
      <c r="H1619" s="50">
        <v>0.0</v>
      </c>
      <c r="I1619" s="50">
        <v>0.0</v>
      </c>
      <c r="J1619" s="50">
        <v>0.0</v>
      </c>
      <c r="K1619" s="50">
        <v>0.0</v>
      </c>
      <c r="L1619" s="50">
        <v>0.0</v>
      </c>
      <c r="M1619" s="50">
        <v>0.0</v>
      </c>
      <c r="N1619" s="50">
        <v>0.0</v>
      </c>
      <c r="O1619" s="50">
        <v>0.0</v>
      </c>
      <c r="P1619" s="50">
        <v>0.0</v>
      </c>
      <c r="Q1619" s="50">
        <v>0.0</v>
      </c>
      <c r="R1619" s="50">
        <v>0.0</v>
      </c>
      <c r="S1619" s="50">
        <v>0.0</v>
      </c>
      <c r="T1619" s="50">
        <v>2.8125</v>
      </c>
      <c r="U1619" s="50">
        <v>0.0</v>
      </c>
      <c r="V1619" s="50">
        <v>0.0</v>
      </c>
      <c r="W1619" s="50">
        <v>0.0</v>
      </c>
      <c r="X1619" s="50">
        <v>2.8125</v>
      </c>
      <c r="Y1619" s="50">
        <v>5.625</v>
      </c>
    </row>
    <row r="1620">
      <c r="A1620" s="26">
        <v>1614.0</v>
      </c>
      <c r="B1620" s="65">
        <v>0.9440094557315047</v>
      </c>
      <c r="C1620" s="65">
        <v>0.15829319265131242</v>
      </c>
      <c r="D1620" s="65">
        <v>-1.3718839078487763</v>
      </c>
      <c r="E1620" s="65">
        <v>0.1303201901011653</v>
      </c>
      <c r="F1620" s="65">
        <v>5.569714242569317</v>
      </c>
      <c r="G1620" s="50">
        <v>0.0</v>
      </c>
      <c r="H1620" s="50">
        <v>0.0</v>
      </c>
      <c r="I1620" s="50">
        <v>0.0</v>
      </c>
      <c r="J1620" s="50">
        <v>0.0</v>
      </c>
      <c r="K1620" s="50">
        <v>0.0</v>
      </c>
      <c r="L1620" s="50">
        <v>0.0</v>
      </c>
      <c r="M1620" s="50">
        <v>0.0</v>
      </c>
      <c r="N1620" s="50">
        <v>0.0</v>
      </c>
      <c r="O1620" s="50">
        <v>0.0</v>
      </c>
      <c r="P1620" s="50">
        <v>0.0</v>
      </c>
      <c r="Q1620" s="50">
        <v>0.0</v>
      </c>
      <c r="R1620" s="50">
        <v>0.0</v>
      </c>
      <c r="S1620" s="50">
        <v>0.0</v>
      </c>
      <c r="T1620" s="50">
        <v>2.8125</v>
      </c>
      <c r="U1620" s="50">
        <v>0.0</v>
      </c>
      <c r="V1620" s="50">
        <v>0.0</v>
      </c>
      <c r="W1620" s="50">
        <v>0.0</v>
      </c>
      <c r="X1620" s="50">
        <v>2.8125</v>
      </c>
      <c r="Y1620" s="50">
        <v>5.625</v>
      </c>
    </row>
    <row r="1621">
      <c r="A1621" s="26">
        <v>1615.0</v>
      </c>
      <c r="B1621" s="65">
        <v>-0.0330654540872783</v>
      </c>
      <c r="C1621" s="65">
        <v>-0.24848073787116906</v>
      </c>
      <c r="D1621" s="65">
        <v>-0.4227390415836287</v>
      </c>
      <c r="E1621" s="65">
        <v>0.7119970124448383</v>
      </c>
      <c r="F1621" s="65">
        <v>7.888718457641836</v>
      </c>
      <c r="G1621" s="50">
        <v>0.0</v>
      </c>
      <c r="H1621" s="50">
        <v>0.0</v>
      </c>
      <c r="I1621" s="50">
        <v>0.0</v>
      </c>
      <c r="J1621" s="50">
        <v>0.0</v>
      </c>
      <c r="K1621" s="50">
        <v>0.0</v>
      </c>
      <c r="L1621" s="50">
        <v>0.0</v>
      </c>
      <c r="M1621" s="50">
        <v>0.0</v>
      </c>
      <c r="N1621" s="50">
        <v>0.0</v>
      </c>
      <c r="O1621" s="50">
        <v>0.0</v>
      </c>
      <c r="P1621" s="50">
        <v>0.0</v>
      </c>
      <c r="Q1621" s="50">
        <v>0.0</v>
      </c>
      <c r="R1621" s="50">
        <v>0.0</v>
      </c>
      <c r="S1621" s="50">
        <v>0.0</v>
      </c>
      <c r="T1621" s="50">
        <v>2.8125</v>
      </c>
      <c r="U1621" s="50">
        <v>0.0</v>
      </c>
      <c r="V1621" s="50">
        <v>0.0</v>
      </c>
      <c r="W1621" s="50">
        <v>0.0</v>
      </c>
      <c r="X1621" s="50">
        <v>2.8125</v>
      </c>
      <c r="Y1621" s="50">
        <v>5.625</v>
      </c>
    </row>
    <row r="1622">
      <c r="A1622" s="26">
        <v>1616.0</v>
      </c>
      <c r="B1622" s="65">
        <v>-0.6526719328117251</v>
      </c>
      <c r="C1622" s="65">
        <v>0.732456058451103</v>
      </c>
      <c r="D1622" s="65">
        <v>0.249229299290551</v>
      </c>
      <c r="E1622" s="65">
        <v>0.19357839323115456</v>
      </c>
      <c r="F1622" s="65">
        <v>7.603537414677196</v>
      </c>
      <c r="G1622" s="50">
        <v>0.0</v>
      </c>
      <c r="H1622" s="50">
        <v>0.0</v>
      </c>
      <c r="I1622" s="50">
        <v>0.0</v>
      </c>
      <c r="J1622" s="50">
        <v>0.0</v>
      </c>
      <c r="K1622" s="50">
        <v>0.0</v>
      </c>
      <c r="L1622" s="50">
        <v>0.0</v>
      </c>
      <c r="M1622" s="50">
        <v>0.0</v>
      </c>
      <c r="N1622" s="50">
        <v>0.0</v>
      </c>
      <c r="O1622" s="50">
        <v>0.0</v>
      </c>
      <c r="P1622" s="50">
        <v>0.0</v>
      </c>
      <c r="Q1622" s="50">
        <v>0.0</v>
      </c>
      <c r="R1622" s="50">
        <v>0.0</v>
      </c>
      <c r="S1622" s="50">
        <v>0.0</v>
      </c>
      <c r="T1622" s="50">
        <v>2.8125</v>
      </c>
      <c r="U1622" s="50">
        <v>0.0</v>
      </c>
      <c r="V1622" s="50">
        <v>0.0</v>
      </c>
      <c r="W1622" s="50">
        <v>0.0</v>
      </c>
      <c r="X1622" s="50">
        <v>2.8125</v>
      </c>
      <c r="Y1622" s="50">
        <v>5.625</v>
      </c>
    </row>
    <row r="1623">
      <c r="A1623" s="26">
        <v>1617.0</v>
      </c>
      <c r="B1623" s="65">
        <v>-1.9729839539550749</v>
      </c>
      <c r="C1623" s="65">
        <v>0.12603702701957764</v>
      </c>
      <c r="D1623" s="65">
        <v>-1.3964849272392745</v>
      </c>
      <c r="E1623" s="65">
        <v>-1.29588963542051</v>
      </c>
      <c r="F1623" s="65">
        <v>5.678221666188055</v>
      </c>
      <c r="G1623" s="50">
        <v>0.0</v>
      </c>
      <c r="H1623" s="50">
        <v>0.0</v>
      </c>
      <c r="I1623" s="50">
        <v>0.0</v>
      </c>
      <c r="J1623" s="50">
        <v>0.0</v>
      </c>
      <c r="K1623" s="50">
        <v>0.0</v>
      </c>
      <c r="L1623" s="50">
        <v>0.0</v>
      </c>
      <c r="M1623" s="50">
        <v>0.0</v>
      </c>
      <c r="N1623" s="50">
        <v>0.0</v>
      </c>
      <c r="O1623" s="50">
        <v>0.0</v>
      </c>
      <c r="P1623" s="50">
        <v>0.0</v>
      </c>
      <c r="Q1623" s="50">
        <v>0.0</v>
      </c>
      <c r="R1623" s="50">
        <v>0.0</v>
      </c>
      <c r="S1623" s="50">
        <v>0.0</v>
      </c>
      <c r="T1623" s="50">
        <v>2.8125</v>
      </c>
      <c r="U1623" s="50">
        <v>9.9</v>
      </c>
      <c r="V1623" s="50">
        <v>5.625</v>
      </c>
      <c r="W1623" s="50">
        <v>0.0</v>
      </c>
      <c r="X1623" s="50">
        <v>2.8125</v>
      </c>
      <c r="Y1623" s="50">
        <v>21.15</v>
      </c>
    </row>
    <row r="1624">
      <c r="A1624" s="26">
        <v>1618.0</v>
      </c>
      <c r="B1624" s="65">
        <v>1.0174015254411863</v>
      </c>
      <c r="C1624" s="65">
        <v>0.14389450081464772</v>
      </c>
      <c r="D1624" s="65">
        <v>-0.6684639574341704</v>
      </c>
      <c r="E1624" s="65">
        <v>-1.0606909143328236</v>
      </c>
      <c r="F1624" s="65">
        <v>2.089881914707232</v>
      </c>
      <c r="G1624" s="50">
        <v>0.0</v>
      </c>
      <c r="H1624" s="50">
        <v>0.0</v>
      </c>
      <c r="I1624" s="50">
        <v>0.0</v>
      </c>
      <c r="J1624" s="50">
        <v>0.0</v>
      </c>
      <c r="K1624" s="50">
        <v>0.0</v>
      </c>
      <c r="L1624" s="50">
        <v>0.0</v>
      </c>
      <c r="M1624" s="50">
        <v>0.0</v>
      </c>
      <c r="N1624" s="50">
        <v>0.0</v>
      </c>
      <c r="O1624" s="50">
        <v>0.0</v>
      </c>
      <c r="P1624" s="50">
        <v>0.0</v>
      </c>
      <c r="Q1624" s="50">
        <v>0.0</v>
      </c>
      <c r="R1624" s="50">
        <v>0.0</v>
      </c>
      <c r="S1624" s="50">
        <v>0.0</v>
      </c>
      <c r="T1624" s="50">
        <v>2.8125</v>
      </c>
      <c r="U1624" s="50">
        <v>0.0</v>
      </c>
      <c r="V1624" s="50">
        <v>0.0</v>
      </c>
      <c r="W1624" s="50">
        <v>0.0</v>
      </c>
      <c r="X1624" s="50">
        <v>2.8125</v>
      </c>
      <c r="Y1624" s="50">
        <v>5.625</v>
      </c>
    </row>
    <row r="1625">
      <c r="A1625" s="26">
        <v>1619.0</v>
      </c>
      <c r="B1625" s="65">
        <v>-0.20240172789115982</v>
      </c>
      <c r="C1625" s="65">
        <v>-1.4482059867642867</v>
      </c>
      <c r="D1625" s="65">
        <v>-0.8730895586381524</v>
      </c>
      <c r="E1625" s="65">
        <v>-0.9535918334065091</v>
      </c>
      <c r="F1625" s="65">
        <v>5.113098331066583</v>
      </c>
      <c r="G1625" s="50">
        <v>0.0</v>
      </c>
      <c r="H1625" s="50">
        <v>0.0</v>
      </c>
      <c r="I1625" s="50">
        <v>0.0</v>
      </c>
      <c r="J1625" s="50">
        <v>0.0</v>
      </c>
      <c r="K1625" s="50">
        <v>0.0</v>
      </c>
      <c r="L1625" s="50">
        <v>0.0</v>
      </c>
      <c r="M1625" s="50">
        <v>0.0</v>
      </c>
      <c r="N1625" s="50">
        <v>0.0</v>
      </c>
      <c r="O1625" s="50">
        <v>0.0</v>
      </c>
      <c r="P1625" s="50">
        <v>0.0</v>
      </c>
      <c r="Q1625" s="50">
        <v>0.0</v>
      </c>
      <c r="R1625" s="50">
        <v>0.0</v>
      </c>
      <c r="S1625" s="50">
        <v>0.0</v>
      </c>
      <c r="T1625" s="50">
        <v>2.8125</v>
      </c>
      <c r="U1625" s="50">
        <v>0.0</v>
      </c>
      <c r="V1625" s="50">
        <v>0.0</v>
      </c>
      <c r="W1625" s="50">
        <v>0.0</v>
      </c>
      <c r="X1625" s="50">
        <v>2.8125</v>
      </c>
      <c r="Y1625" s="50">
        <v>5.625</v>
      </c>
    </row>
    <row r="1626">
      <c r="A1626" s="26">
        <v>1620.0</v>
      </c>
      <c r="B1626" s="65">
        <v>0.34296688112530693</v>
      </c>
      <c r="C1626" s="65">
        <v>0.9207078680572222</v>
      </c>
      <c r="D1626" s="65">
        <v>-0.42458455422426156</v>
      </c>
      <c r="E1626" s="65">
        <v>0.6393923203050118</v>
      </c>
      <c r="F1626" s="65">
        <v>12.774233684204162</v>
      </c>
      <c r="G1626" s="50">
        <v>0.0</v>
      </c>
      <c r="H1626" s="50">
        <v>0.0</v>
      </c>
      <c r="I1626" s="50">
        <v>0.0</v>
      </c>
      <c r="J1626" s="50">
        <v>0.0</v>
      </c>
      <c r="K1626" s="50">
        <v>0.0</v>
      </c>
      <c r="L1626" s="50">
        <v>0.0</v>
      </c>
      <c r="M1626" s="50">
        <v>0.0</v>
      </c>
      <c r="N1626" s="50">
        <v>0.0</v>
      </c>
      <c r="O1626" s="50">
        <v>0.0</v>
      </c>
      <c r="P1626" s="50">
        <v>0.0</v>
      </c>
      <c r="Q1626" s="50">
        <v>0.0</v>
      </c>
      <c r="R1626" s="50">
        <v>0.0</v>
      </c>
      <c r="S1626" s="50">
        <v>0.0</v>
      </c>
      <c r="T1626" s="50">
        <v>2.8125</v>
      </c>
      <c r="U1626" s="50">
        <v>0.0</v>
      </c>
      <c r="V1626" s="50">
        <v>0.0</v>
      </c>
      <c r="W1626" s="50">
        <v>0.0</v>
      </c>
      <c r="X1626" s="50">
        <v>2.8125</v>
      </c>
      <c r="Y1626" s="50">
        <v>5.625</v>
      </c>
    </row>
    <row r="1627">
      <c r="A1627" s="26">
        <v>1621.0</v>
      </c>
      <c r="B1627" s="65">
        <v>1.1071990042768802</v>
      </c>
      <c r="C1627" s="65">
        <v>-0.4026139092332177</v>
      </c>
      <c r="D1627" s="65">
        <v>-0.21808353937433503</v>
      </c>
      <c r="E1627" s="65">
        <v>0.2326962827326583</v>
      </c>
      <c r="F1627" s="65">
        <v>3.817722374722644</v>
      </c>
      <c r="G1627" s="50">
        <v>0.0</v>
      </c>
      <c r="H1627" s="50">
        <v>0.0</v>
      </c>
      <c r="I1627" s="50">
        <v>0.0</v>
      </c>
      <c r="J1627" s="50">
        <v>0.0</v>
      </c>
      <c r="K1627" s="50">
        <v>0.0</v>
      </c>
      <c r="L1627" s="50">
        <v>0.0</v>
      </c>
      <c r="M1627" s="50">
        <v>0.0</v>
      </c>
      <c r="N1627" s="50">
        <v>0.0</v>
      </c>
      <c r="O1627" s="50">
        <v>0.0</v>
      </c>
      <c r="P1627" s="50">
        <v>0.0</v>
      </c>
      <c r="Q1627" s="50">
        <v>0.0</v>
      </c>
      <c r="R1627" s="50">
        <v>0.0</v>
      </c>
      <c r="S1627" s="50">
        <v>0.0</v>
      </c>
      <c r="T1627" s="50">
        <v>2.8125</v>
      </c>
      <c r="U1627" s="50">
        <v>0.0</v>
      </c>
      <c r="V1627" s="50">
        <v>0.0</v>
      </c>
      <c r="W1627" s="50">
        <v>0.0</v>
      </c>
      <c r="X1627" s="50">
        <v>2.8125</v>
      </c>
      <c r="Y1627" s="50">
        <v>5.625</v>
      </c>
    </row>
    <row r="1628">
      <c r="A1628" s="26">
        <v>1622.0</v>
      </c>
      <c r="B1628" s="65">
        <v>-0.5458078728543599</v>
      </c>
      <c r="C1628" s="65">
        <v>-1.5792417080567611</v>
      </c>
      <c r="D1628" s="65">
        <v>-1.1123334203597814</v>
      </c>
      <c r="E1628" s="65">
        <v>-1.2395474115227323</v>
      </c>
      <c r="F1628" s="65">
        <v>5.4336302519442485</v>
      </c>
      <c r="G1628" s="50">
        <v>0.0</v>
      </c>
      <c r="H1628" s="50">
        <v>0.0</v>
      </c>
      <c r="I1628" s="50">
        <v>0.0</v>
      </c>
      <c r="J1628" s="50">
        <v>0.0</v>
      </c>
      <c r="K1628" s="50">
        <v>0.0</v>
      </c>
      <c r="L1628" s="50">
        <v>0.0</v>
      </c>
      <c r="M1628" s="50">
        <v>0.0</v>
      </c>
      <c r="N1628" s="50">
        <v>0.0</v>
      </c>
      <c r="O1628" s="50">
        <v>0.0</v>
      </c>
      <c r="P1628" s="50">
        <v>0.0</v>
      </c>
      <c r="Q1628" s="50">
        <v>0.0</v>
      </c>
      <c r="R1628" s="50">
        <v>0.0</v>
      </c>
      <c r="S1628" s="50">
        <v>0.0</v>
      </c>
      <c r="T1628" s="50">
        <v>2.8125</v>
      </c>
      <c r="U1628" s="50">
        <v>0.0</v>
      </c>
      <c r="V1628" s="50">
        <v>0.0</v>
      </c>
      <c r="W1628" s="50">
        <v>0.0</v>
      </c>
      <c r="X1628" s="50">
        <v>2.8125</v>
      </c>
      <c r="Y1628" s="50">
        <v>5.625</v>
      </c>
    </row>
    <row r="1629">
      <c r="A1629" s="26">
        <v>1623.0</v>
      </c>
      <c r="B1629" s="65">
        <v>-2.81379744824821</v>
      </c>
      <c r="C1629" s="65">
        <v>-1.9136463772143928</v>
      </c>
      <c r="D1629" s="65">
        <v>-1.0967825133454536</v>
      </c>
      <c r="E1629" s="65">
        <v>0.5405678729569401</v>
      </c>
      <c r="F1629" s="65">
        <v>4.168275505734226</v>
      </c>
      <c r="G1629" s="50">
        <v>0.0</v>
      </c>
      <c r="H1629" s="50">
        <v>0.0</v>
      </c>
      <c r="I1629" s="50">
        <v>0.0</v>
      </c>
      <c r="J1629" s="50">
        <v>0.0</v>
      </c>
      <c r="K1629" s="50">
        <v>0.0</v>
      </c>
      <c r="L1629" s="50">
        <v>0.0</v>
      </c>
      <c r="M1629" s="50">
        <v>0.0</v>
      </c>
      <c r="N1629" s="50">
        <v>0.0</v>
      </c>
      <c r="O1629" s="50">
        <v>7.425000000000001</v>
      </c>
      <c r="P1629" s="50">
        <v>2.475</v>
      </c>
      <c r="Q1629" s="50">
        <v>0.0</v>
      </c>
      <c r="R1629" s="50">
        <v>9.9</v>
      </c>
      <c r="S1629" s="50">
        <v>0.0</v>
      </c>
      <c r="T1629" s="50">
        <v>2.8125</v>
      </c>
      <c r="U1629" s="50">
        <v>9.9</v>
      </c>
      <c r="V1629" s="50">
        <v>5.625</v>
      </c>
      <c r="W1629" s="50">
        <v>4.95</v>
      </c>
      <c r="X1629" s="50">
        <v>2.8125</v>
      </c>
      <c r="Y1629" s="50">
        <v>45.900000000000006</v>
      </c>
    </row>
    <row r="1630">
      <c r="A1630" s="26">
        <v>1624.0</v>
      </c>
      <c r="B1630" s="65">
        <v>-0.7683731756424398</v>
      </c>
      <c r="C1630" s="65">
        <v>-0.6432586715372592</v>
      </c>
      <c r="D1630" s="65">
        <v>0.7455677107868651</v>
      </c>
      <c r="E1630" s="65">
        <v>1.3776996614830612</v>
      </c>
      <c r="F1630" s="65">
        <v>4.744748238084045</v>
      </c>
      <c r="G1630" s="50">
        <v>0.0</v>
      </c>
      <c r="H1630" s="50">
        <v>0.0</v>
      </c>
      <c r="I1630" s="50">
        <v>0.0</v>
      </c>
      <c r="J1630" s="50">
        <v>0.0</v>
      </c>
      <c r="K1630" s="50">
        <v>0.0</v>
      </c>
      <c r="L1630" s="50">
        <v>0.0</v>
      </c>
      <c r="M1630" s="50">
        <v>0.0</v>
      </c>
      <c r="N1630" s="50">
        <v>0.0</v>
      </c>
      <c r="O1630" s="50">
        <v>0.0</v>
      </c>
      <c r="P1630" s="50">
        <v>0.0</v>
      </c>
      <c r="Q1630" s="50">
        <v>0.0</v>
      </c>
      <c r="R1630" s="50">
        <v>9.9</v>
      </c>
      <c r="S1630" s="50">
        <v>0.0</v>
      </c>
      <c r="T1630" s="50">
        <v>2.8125</v>
      </c>
      <c r="U1630" s="50">
        <v>0.0</v>
      </c>
      <c r="V1630" s="50">
        <v>5.625</v>
      </c>
      <c r="W1630" s="50">
        <v>0.0</v>
      </c>
      <c r="X1630" s="50">
        <v>2.8125</v>
      </c>
      <c r="Y1630" s="50">
        <v>21.15</v>
      </c>
    </row>
    <row r="1631">
      <c r="A1631" s="26">
        <v>1625.0</v>
      </c>
      <c r="B1631" s="65">
        <v>3.1654945367573912</v>
      </c>
      <c r="C1631" s="65">
        <v>0.15622063170227807</v>
      </c>
      <c r="D1631" s="65">
        <v>-0.3146523540685928</v>
      </c>
      <c r="E1631" s="65">
        <v>0.4244582353834176</v>
      </c>
      <c r="F1631" s="65">
        <v>8.360525571211952</v>
      </c>
      <c r="G1631" s="50">
        <v>0.0</v>
      </c>
      <c r="H1631" s="50">
        <v>0.0</v>
      </c>
      <c r="I1631" s="50">
        <v>0.0</v>
      </c>
      <c r="J1631" s="50">
        <v>0.0</v>
      </c>
      <c r="K1631" s="50">
        <v>0.0</v>
      </c>
      <c r="L1631" s="50">
        <v>0.0</v>
      </c>
      <c r="M1631" s="50">
        <v>0.0</v>
      </c>
      <c r="N1631" s="50">
        <v>0.0</v>
      </c>
      <c r="O1631" s="50">
        <v>0.0</v>
      </c>
      <c r="P1631" s="50">
        <v>0.0</v>
      </c>
      <c r="Q1631" s="50">
        <v>0.0</v>
      </c>
      <c r="R1631" s="50">
        <v>0.0</v>
      </c>
      <c r="S1631" s="50">
        <v>0.0</v>
      </c>
      <c r="T1631" s="50">
        <v>2.8125</v>
      </c>
      <c r="U1631" s="50">
        <v>0.0</v>
      </c>
      <c r="V1631" s="50">
        <v>0.0</v>
      </c>
      <c r="W1631" s="50">
        <v>0.0</v>
      </c>
      <c r="X1631" s="50">
        <v>2.8125</v>
      </c>
      <c r="Y1631" s="50">
        <v>5.625</v>
      </c>
    </row>
    <row r="1632">
      <c r="A1632" s="26">
        <v>1626.0</v>
      </c>
      <c r="B1632" s="65">
        <v>0.5737204136498405</v>
      </c>
      <c r="C1632" s="65">
        <v>-1.446777604267045</v>
      </c>
      <c r="D1632" s="65">
        <v>-0.31043442409054056</v>
      </c>
      <c r="E1632" s="65">
        <v>1.376440953790726</v>
      </c>
      <c r="F1632" s="65">
        <v>3.4374947514796337</v>
      </c>
      <c r="G1632" s="50">
        <v>0.0</v>
      </c>
      <c r="H1632" s="50">
        <v>0.0</v>
      </c>
      <c r="I1632" s="50">
        <v>0.0</v>
      </c>
      <c r="J1632" s="50">
        <v>0.0</v>
      </c>
      <c r="K1632" s="50">
        <v>0.0</v>
      </c>
      <c r="L1632" s="50">
        <v>0.0</v>
      </c>
      <c r="M1632" s="50">
        <v>0.0</v>
      </c>
      <c r="N1632" s="50">
        <v>0.0</v>
      </c>
      <c r="O1632" s="50">
        <v>0.0</v>
      </c>
      <c r="P1632" s="50">
        <v>0.0</v>
      </c>
      <c r="Q1632" s="50">
        <v>0.0</v>
      </c>
      <c r="R1632" s="50">
        <v>0.0</v>
      </c>
      <c r="S1632" s="50">
        <v>0.0</v>
      </c>
      <c r="T1632" s="50">
        <v>2.8125</v>
      </c>
      <c r="U1632" s="50">
        <v>0.0</v>
      </c>
      <c r="V1632" s="50">
        <v>0.0</v>
      </c>
      <c r="W1632" s="50">
        <v>0.0</v>
      </c>
      <c r="X1632" s="50">
        <v>2.8125</v>
      </c>
      <c r="Y1632" s="50">
        <v>5.625</v>
      </c>
    </row>
    <row r="1633">
      <c r="A1633" s="26">
        <v>1627.0</v>
      </c>
      <c r="B1633" s="65">
        <v>-0.009155379576785999</v>
      </c>
      <c r="C1633" s="65">
        <v>-0.9659438553206918</v>
      </c>
      <c r="D1633" s="65">
        <v>0.09742524853674189</v>
      </c>
      <c r="E1633" s="65">
        <v>0.6269553640680207</v>
      </c>
      <c r="F1633" s="65">
        <v>4.3799588799525875</v>
      </c>
      <c r="G1633" s="50">
        <v>0.0</v>
      </c>
      <c r="H1633" s="50">
        <v>0.0</v>
      </c>
      <c r="I1633" s="50">
        <v>0.0</v>
      </c>
      <c r="J1633" s="50">
        <v>0.0</v>
      </c>
      <c r="K1633" s="50">
        <v>0.0</v>
      </c>
      <c r="L1633" s="50">
        <v>0.0</v>
      </c>
      <c r="M1633" s="50">
        <v>0.0</v>
      </c>
      <c r="N1633" s="50">
        <v>0.0</v>
      </c>
      <c r="O1633" s="50">
        <v>0.0</v>
      </c>
      <c r="P1633" s="50">
        <v>2.475</v>
      </c>
      <c r="Q1633" s="50">
        <v>0.0</v>
      </c>
      <c r="R1633" s="50">
        <v>0.0</v>
      </c>
      <c r="S1633" s="50">
        <v>0.0</v>
      </c>
      <c r="T1633" s="50">
        <v>2.8125</v>
      </c>
      <c r="U1633" s="50">
        <v>0.0</v>
      </c>
      <c r="V1633" s="50">
        <v>0.0</v>
      </c>
      <c r="W1633" s="50">
        <v>0.0</v>
      </c>
      <c r="X1633" s="50">
        <v>2.8125</v>
      </c>
      <c r="Y1633" s="50">
        <v>8.1</v>
      </c>
    </row>
    <row r="1634">
      <c r="A1634" s="26">
        <v>1628.0</v>
      </c>
      <c r="B1634" s="65">
        <v>-1.7424357291520383</v>
      </c>
      <c r="C1634" s="65">
        <v>-0.17613066864299107</v>
      </c>
      <c r="D1634" s="65">
        <v>-0.2767756803990241</v>
      </c>
      <c r="E1634" s="65">
        <v>-2.692351344437835</v>
      </c>
      <c r="F1634" s="65">
        <v>8.630330156851862</v>
      </c>
      <c r="G1634" s="50">
        <v>0.0</v>
      </c>
      <c r="H1634" s="50">
        <v>0.0</v>
      </c>
      <c r="I1634" s="50">
        <v>0.0</v>
      </c>
      <c r="J1634" s="50">
        <v>0.0</v>
      </c>
      <c r="K1634" s="50">
        <v>0.0</v>
      </c>
      <c r="L1634" s="50">
        <v>0.0</v>
      </c>
      <c r="M1634" s="50">
        <v>0.0</v>
      </c>
      <c r="N1634" s="50">
        <v>0.0</v>
      </c>
      <c r="O1634" s="50">
        <v>0.0</v>
      </c>
      <c r="P1634" s="50">
        <v>2.475</v>
      </c>
      <c r="Q1634" s="50">
        <v>0.0</v>
      </c>
      <c r="R1634" s="50">
        <v>9.9</v>
      </c>
      <c r="S1634" s="50">
        <v>0.0</v>
      </c>
      <c r="T1634" s="50">
        <v>2.8125</v>
      </c>
      <c r="U1634" s="50">
        <v>9.9</v>
      </c>
      <c r="V1634" s="50">
        <v>5.625</v>
      </c>
      <c r="W1634" s="50">
        <v>4.95</v>
      </c>
      <c r="X1634" s="50">
        <v>2.8125</v>
      </c>
      <c r="Y1634" s="50">
        <v>38.475</v>
      </c>
    </row>
    <row r="1635">
      <c r="A1635" s="26">
        <v>1629.0</v>
      </c>
      <c r="B1635" s="65">
        <v>0.6227444570245447</v>
      </c>
      <c r="C1635" s="65">
        <v>0.11508242131374584</v>
      </c>
      <c r="D1635" s="65">
        <v>0.563752192916463</v>
      </c>
      <c r="E1635" s="65">
        <v>-0.18346970667171777</v>
      </c>
      <c r="F1635" s="65">
        <v>1.6416568432167704</v>
      </c>
      <c r="G1635" s="50">
        <v>0.0</v>
      </c>
      <c r="H1635" s="50">
        <v>0.0</v>
      </c>
      <c r="I1635" s="50">
        <v>0.0</v>
      </c>
      <c r="J1635" s="50">
        <v>0.0</v>
      </c>
      <c r="K1635" s="50">
        <v>0.0</v>
      </c>
      <c r="L1635" s="50">
        <v>0.0</v>
      </c>
      <c r="M1635" s="50">
        <v>0.0</v>
      </c>
      <c r="N1635" s="50">
        <v>0.0</v>
      </c>
      <c r="O1635" s="50">
        <v>0.0</v>
      </c>
      <c r="P1635" s="50">
        <v>0.0</v>
      </c>
      <c r="Q1635" s="50">
        <v>0.0</v>
      </c>
      <c r="R1635" s="50">
        <v>0.0</v>
      </c>
      <c r="S1635" s="50">
        <v>0.0</v>
      </c>
      <c r="T1635" s="50">
        <v>2.8125</v>
      </c>
      <c r="U1635" s="50">
        <v>0.0</v>
      </c>
      <c r="V1635" s="50">
        <v>5.625</v>
      </c>
      <c r="W1635" s="50">
        <v>0.0</v>
      </c>
      <c r="X1635" s="50">
        <v>2.8125</v>
      </c>
      <c r="Y1635" s="50">
        <v>11.25</v>
      </c>
    </row>
    <row r="1636">
      <c r="A1636" s="26">
        <v>1630.0</v>
      </c>
      <c r="B1636" s="65">
        <v>1.2293405531956043</v>
      </c>
      <c r="C1636" s="65">
        <v>0.19383844170681439</v>
      </c>
      <c r="D1636" s="65">
        <v>0.4062153818350206</v>
      </c>
      <c r="E1636" s="65">
        <v>0.12876153313892988</v>
      </c>
      <c r="F1636" s="65">
        <v>2.9993999330756105</v>
      </c>
      <c r="G1636" s="50">
        <v>0.0</v>
      </c>
      <c r="H1636" s="50">
        <v>0.0</v>
      </c>
      <c r="I1636" s="50">
        <v>0.0</v>
      </c>
      <c r="J1636" s="50">
        <v>0.0</v>
      </c>
      <c r="K1636" s="50">
        <v>0.0</v>
      </c>
      <c r="L1636" s="50">
        <v>0.0</v>
      </c>
      <c r="M1636" s="50">
        <v>0.0</v>
      </c>
      <c r="N1636" s="50">
        <v>0.0</v>
      </c>
      <c r="O1636" s="50">
        <v>0.0</v>
      </c>
      <c r="P1636" s="50">
        <v>0.0</v>
      </c>
      <c r="Q1636" s="50">
        <v>0.0</v>
      </c>
      <c r="R1636" s="50">
        <v>0.0</v>
      </c>
      <c r="S1636" s="50">
        <v>0.0</v>
      </c>
      <c r="T1636" s="50">
        <v>2.8125</v>
      </c>
      <c r="U1636" s="50">
        <v>0.0</v>
      </c>
      <c r="V1636" s="50">
        <v>0.0</v>
      </c>
      <c r="W1636" s="50">
        <v>0.0</v>
      </c>
      <c r="X1636" s="50">
        <v>2.8125</v>
      </c>
      <c r="Y1636" s="50">
        <v>5.625</v>
      </c>
    </row>
    <row r="1637">
      <c r="A1637" s="26">
        <v>1631.0</v>
      </c>
      <c r="B1637" s="65">
        <v>-0.8429305847148669</v>
      </c>
      <c r="C1637" s="65">
        <v>-0.1371283795837059</v>
      </c>
      <c r="D1637" s="65">
        <v>1.40250992524502</v>
      </c>
      <c r="E1637" s="65">
        <v>1.7740887932323834</v>
      </c>
      <c r="F1637" s="65">
        <v>4.693102302121003</v>
      </c>
      <c r="G1637" s="50">
        <v>0.0</v>
      </c>
      <c r="H1637" s="50">
        <v>0.0</v>
      </c>
      <c r="I1637" s="50">
        <v>0.0</v>
      </c>
      <c r="J1637" s="50">
        <v>0.0</v>
      </c>
      <c r="K1637" s="50">
        <v>0.0</v>
      </c>
      <c r="L1637" s="50">
        <v>0.0</v>
      </c>
      <c r="M1637" s="50">
        <v>0.0</v>
      </c>
      <c r="N1637" s="50">
        <v>0.0</v>
      </c>
      <c r="O1637" s="50">
        <v>0.0</v>
      </c>
      <c r="P1637" s="50">
        <v>0.0</v>
      </c>
      <c r="Q1637" s="50">
        <v>0.0</v>
      </c>
      <c r="R1637" s="50">
        <v>0.0</v>
      </c>
      <c r="S1637" s="50">
        <v>0.0</v>
      </c>
      <c r="T1637" s="50">
        <v>2.8125</v>
      </c>
      <c r="U1637" s="50">
        <v>0.0</v>
      </c>
      <c r="V1637" s="50">
        <v>0.0</v>
      </c>
      <c r="W1637" s="50">
        <v>0.0</v>
      </c>
      <c r="X1637" s="50">
        <v>2.8125</v>
      </c>
      <c r="Y1637" s="50">
        <v>5.625</v>
      </c>
    </row>
    <row r="1638">
      <c r="A1638" s="26">
        <v>1632.0</v>
      </c>
      <c r="B1638" s="65">
        <v>0.225625502540447</v>
      </c>
      <c r="C1638" s="65">
        <v>0.9695527218725093</v>
      </c>
      <c r="D1638" s="65">
        <v>1.8311568348787788</v>
      </c>
      <c r="E1638" s="65">
        <v>-0.739450389738494</v>
      </c>
      <c r="F1638" s="65">
        <v>5.064485079293616</v>
      </c>
      <c r="G1638" s="50">
        <v>0.0</v>
      </c>
      <c r="H1638" s="50">
        <v>0.0</v>
      </c>
      <c r="I1638" s="50">
        <v>0.0</v>
      </c>
      <c r="J1638" s="50">
        <v>0.0</v>
      </c>
      <c r="K1638" s="50">
        <v>0.0</v>
      </c>
      <c r="L1638" s="50">
        <v>0.0</v>
      </c>
      <c r="M1638" s="50">
        <v>0.0</v>
      </c>
      <c r="N1638" s="50">
        <v>0.0</v>
      </c>
      <c r="O1638" s="50">
        <v>0.0</v>
      </c>
      <c r="P1638" s="50">
        <v>0.0</v>
      </c>
      <c r="Q1638" s="50">
        <v>0.0</v>
      </c>
      <c r="R1638" s="50">
        <v>0.0</v>
      </c>
      <c r="S1638" s="50">
        <v>0.0</v>
      </c>
      <c r="T1638" s="50">
        <v>2.8125</v>
      </c>
      <c r="U1638" s="50">
        <v>0.0</v>
      </c>
      <c r="V1638" s="50">
        <v>5.625</v>
      </c>
      <c r="W1638" s="50">
        <v>0.0</v>
      </c>
      <c r="X1638" s="50">
        <v>2.8125</v>
      </c>
      <c r="Y1638" s="50">
        <v>11.25</v>
      </c>
    </row>
    <row r="1639">
      <c r="A1639" s="26">
        <v>1633.0</v>
      </c>
      <c r="B1639" s="65">
        <v>-0.47373964690894743</v>
      </c>
      <c r="C1639" s="65">
        <v>0.7091306785368873</v>
      </c>
      <c r="D1639" s="65">
        <v>0.9241260136059004</v>
      </c>
      <c r="E1639" s="65">
        <v>0.7957102027167</v>
      </c>
      <c r="F1639" s="65">
        <v>8.365741206494592</v>
      </c>
      <c r="G1639" s="50">
        <v>0.0</v>
      </c>
      <c r="H1639" s="50">
        <v>0.0</v>
      </c>
      <c r="I1639" s="50">
        <v>0.0</v>
      </c>
      <c r="J1639" s="50">
        <v>0.0</v>
      </c>
      <c r="K1639" s="50">
        <v>0.0</v>
      </c>
      <c r="L1639" s="50">
        <v>0.0</v>
      </c>
      <c r="M1639" s="50">
        <v>0.0</v>
      </c>
      <c r="N1639" s="50">
        <v>0.0</v>
      </c>
      <c r="O1639" s="50">
        <v>0.0</v>
      </c>
      <c r="P1639" s="50">
        <v>0.0</v>
      </c>
      <c r="Q1639" s="50">
        <v>0.0</v>
      </c>
      <c r="R1639" s="50">
        <v>0.0</v>
      </c>
      <c r="S1639" s="50">
        <v>0.0</v>
      </c>
      <c r="T1639" s="50">
        <v>2.8125</v>
      </c>
      <c r="U1639" s="50">
        <v>0.0</v>
      </c>
      <c r="V1639" s="50">
        <v>0.0</v>
      </c>
      <c r="W1639" s="50">
        <v>0.0</v>
      </c>
      <c r="X1639" s="50">
        <v>2.8125</v>
      </c>
      <c r="Y1639" s="50">
        <v>5.625</v>
      </c>
    </row>
    <row r="1640">
      <c r="A1640" s="26">
        <v>1634.0</v>
      </c>
      <c r="B1640" s="65">
        <v>-0.16573707099144405</v>
      </c>
      <c r="C1640" s="65">
        <v>-1.514456820034039</v>
      </c>
      <c r="D1640" s="65">
        <v>1.5596317410291505</v>
      </c>
      <c r="E1640" s="65">
        <v>0.2552504759461368</v>
      </c>
      <c r="F1640" s="65">
        <v>2.6757898411551424</v>
      </c>
      <c r="G1640" s="50">
        <v>0.0</v>
      </c>
      <c r="H1640" s="50">
        <v>0.0</v>
      </c>
      <c r="I1640" s="50">
        <v>0.0</v>
      </c>
      <c r="J1640" s="50">
        <v>0.0</v>
      </c>
      <c r="K1640" s="50">
        <v>0.0</v>
      </c>
      <c r="L1640" s="50">
        <v>0.0</v>
      </c>
      <c r="M1640" s="50">
        <v>0.0</v>
      </c>
      <c r="N1640" s="50">
        <v>0.0</v>
      </c>
      <c r="O1640" s="50">
        <v>0.0</v>
      </c>
      <c r="P1640" s="50">
        <v>0.0</v>
      </c>
      <c r="Q1640" s="50">
        <v>0.0</v>
      </c>
      <c r="R1640" s="50">
        <v>0.0</v>
      </c>
      <c r="S1640" s="50">
        <v>0.0</v>
      </c>
      <c r="T1640" s="50">
        <v>2.8125</v>
      </c>
      <c r="U1640" s="50">
        <v>0.0</v>
      </c>
      <c r="V1640" s="50">
        <v>0.0</v>
      </c>
      <c r="W1640" s="50">
        <v>0.0</v>
      </c>
      <c r="X1640" s="50">
        <v>2.8125</v>
      </c>
      <c r="Y1640" s="50">
        <v>5.625</v>
      </c>
    </row>
    <row r="1641">
      <c r="A1641" s="26">
        <v>1635.0</v>
      </c>
      <c r="B1641" s="65">
        <v>0.6443828791492702</v>
      </c>
      <c r="C1641" s="65">
        <v>0.5402764854291799</v>
      </c>
      <c r="D1641" s="65">
        <v>1.0129758830799354</v>
      </c>
      <c r="E1641" s="65">
        <v>0.7178335174468393</v>
      </c>
      <c r="F1641" s="65">
        <v>3.1500811579855177</v>
      </c>
      <c r="G1641" s="50">
        <v>0.0</v>
      </c>
      <c r="H1641" s="50">
        <v>0.0</v>
      </c>
      <c r="I1641" s="50">
        <v>0.0</v>
      </c>
      <c r="J1641" s="50">
        <v>0.0</v>
      </c>
      <c r="K1641" s="50">
        <v>0.0</v>
      </c>
      <c r="L1641" s="50">
        <v>0.0</v>
      </c>
      <c r="M1641" s="50">
        <v>0.0</v>
      </c>
      <c r="N1641" s="50">
        <v>0.0</v>
      </c>
      <c r="O1641" s="50">
        <v>0.0</v>
      </c>
      <c r="P1641" s="50">
        <v>0.0</v>
      </c>
      <c r="Q1641" s="50">
        <v>0.0</v>
      </c>
      <c r="R1641" s="50">
        <v>0.0</v>
      </c>
      <c r="S1641" s="50">
        <v>0.0</v>
      </c>
      <c r="T1641" s="50">
        <v>2.8125</v>
      </c>
      <c r="U1641" s="50">
        <v>0.0</v>
      </c>
      <c r="V1641" s="50">
        <v>0.0</v>
      </c>
      <c r="W1641" s="50">
        <v>0.0</v>
      </c>
      <c r="X1641" s="50">
        <v>2.8125</v>
      </c>
      <c r="Y1641" s="50">
        <v>5.625</v>
      </c>
    </row>
    <row r="1642">
      <c r="A1642" s="26">
        <v>1636.0</v>
      </c>
      <c r="B1642" s="65">
        <v>0.9940862268921711</v>
      </c>
      <c r="C1642" s="65">
        <v>-0.48959927394330965</v>
      </c>
      <c r="D1642" s="65">
        <v>-0.6647872794044581</v>
      </c>
      <c r="E1642" s="65">
        <v>1.754687486450109</v>
      </c>
      <c r="F1642" s="65">
        <v>10.117725693031286</v>
      </c>
      <c r="G1642" s="50">
        <v>0.0</v>
      </c>
      <c r="H1642" s="50">
        <v>0.0</v>
      </c>
      <c r="I1642" s="50">
        <v>0.0</v>
      </c>
      <c r="J1642" s="50">
        <v>0.0</v>
      </c>
      <c r="K1642" s="50">
        <v>0.0</v>
      </c>
      <c r="L1642" s="50">
        <v>0.0</v>
      </c>
      <c r="M1642" s="50">
        <v>0.0</v>
      </c>
      <c r="N1642" s="50">
        <v>0.0</v>
      </c>
      <c r="O1642" s="50">
        <v>0.0</v>
      </c>
      <c r="P1642" s="50">
        <v>0.0</v>
      </c>
      <c r="Q1642" s="50">
        <v>0.0</v>
      </c>
      <c r="R1642" s="50">
        <v>0.0</v>
      </c>
      <c r="S1642" s="50">
        <v>0.0</v>
      </c>
      <c r="T1642" s="50">
        <v>2.8125</v>
      </c>
      <c r="U1642" s="50">
        <v>0.0</v>
      </c>
      <c r="V1642" s="50">
        <v>0.0</v>
      </c>
      <c r="W1642" s="50">
        <v>0.0</v>
      </c>
      <c r="X1642" s="50">
        <v>2.8125</v>
      </c>
      <c r="Y1642" s="50">
        <v>5.625</v>
      </c>
    </row>
    <row r="1643">
      <c r="A1643" s="26">
        <v>1637.0</v>
      </c>
      <c r="B1643" s="65">
        <v>-1.8092135191649938</v>
      </c>
      <c r="C1643" s="65">
        <v>0.11055859861676273</v>
      </c>
      <c r="D1643" s="65">
        <v>1.1359618217727594</v>
      </c>
      <c r="E1643" s="65">
        <v>0.7667985332997738</v>
      </c>
      <c r="F1643" s="65">
        <v>1.1826036615608244</v>
      </c>
      <c r="G1643" s="50">
        <v>0.0</v>
      </c>
      <c r="H1643" s="50">
        <v>0.0</v>
      </c>
      <c r="I1643" s="50">
        <v>0.0</v>
      </c>
      <c r="J1643" s="50">
        <v>0.0</v>
      </c>
      <c r="K1643" s="50">
        <v>0.0</v>
      </c>
      <c r="L1643" s="50">
        <v>0.0</v>
      </c>
      <c r="M1643" s="50">
        <v>0.0</v>
      </c>
      <c r="N1643" s="50">
        <v>0.0</v>
      </c>
      <c r="O1643" s="50">
        <v>0.0</v>
      </c>
      <c r="P1643" s="50">
        <v>0.0</v>
      </c>
      <c r="Q1643" s="50">
        <v>0.0</v>
      </c>
      <c r="R1643" s="50">
        <v>0.0</v>
      </c>
      <c r="S1643" s="50">
        <v>0.0</v>
      </c>
      <c r="T1643" s="50">
        <v>2.8125</v>
      </c>
      <c r="U1643" s="50">
        <v>0.0</v>
      </c>
      <c r="V1643" s="50">
        <v>5.625</v>
      </c>
      <c r="W1643" s="50">
        <v>4.95</v>
      </c>
      <c r="X1643" s="50">
        <v>2.8125</v>
      </c>
      <c r="Y1643" s="50">
        <v>16.2</v>
      </c>
    </row>
    <row r="1644">
      <c r="A1644" s="26">
        <v>1638.0</v>
      </c>
      <c r="B1644" s="65">
        <v>0.4004603621916241</v>
      </c>
      <c r="C1644" s="65">
        <v>-0.23923471256321854</v>
      </c>
      <c r="D1644" s="65">
        <v>1.5758402279838133</v>
      </c>
      <c r="E1644" s="65">
        <v>0.37845286598692823</v>
      </c>
      <c r="F1644" s="65">
        <v>2.4959969829237307</v>
      </c>
      <c r="G1644" s="50">
        <v>0.0</v>
      </c>
      <c r="H1644" s="50">
        <v>0.0</v>
      </c>
      <c r="I1644" s="50">
        <v>0.0</v>
      </c>
      <c r="J1644" s="50">
        <v>0.0</v>
      </c>
      <c r="K1644" s="50">
        <v>0.0</v>
      </c>
      <c r="L1644" s="50">
        <v>0.0</v>
      </c>
      <c r="M1644" s="50">
        <v>0.0</v>
      </c>
      <c r="N1644" s="50">
        <v>0.0</v>
      </c>
      <c r="O1644" s="50">
        <v>7.425000000000001</v>
      </c>
      <c r="P1644" s="50">
        <v>0.0</v>
      </c>
      <c r="Q1644" s="50">
        <v>0.0</v>
      </c>
      <c r="R1644" s="50">
        <v>0.0</v>
      </c>
      <c r="S1644" s="50">
        <v>0.0</v>
      </c>
      <c r="T1644" s="50">
        <v>2.8125</v>
      </c>
      <c r="U1644" s="50">
        <v>0.0</v>
      </c>
      <c r="V1644" s="50">
        <v>0.0</v>
      </c>
      <c r="W1644" s="50">
        <v>0.0</v>
      </c>
      <c r="X1644" s="50">
        <v>2.8125</v>
      </c>
      <c r="Y1644" s="50">
        <v>13.05</v>
      </c>
    </row>
    <row r="1645">
      <c r="A1645" s="26">
        <v>1639.0</v>
      </c>
      <c r="B1645" s="65">
        <v>-0.044344426911207505</v>
      </c>
      <c r="C1645" s="65">
        <v>-0.6632708679061747</v>
      </c>
      <c r="D1645" s="65">
        <v>3.137058148458034</v>
      </c>
      <c r="E1645" s="65">
        <v>-1.4324830263261994</v>
      </c>
      <c r="F1645" s="65">
        <v>2.0940573764491957</v>
      </c>
      <c r="G1645" s="50">
        <v>0.0</v>
      </c>
      <c r="H1645" s="50">
        <v>0.0</v>
      </c>
      <c r="I1645" s="50">
        <v>0.0</v>
      </c>
      <c r="J1645" s="50">
        <v>0.0</v>
      </c>
      <c r="K1645" s="50">
        <v>0.0</v>
      </c>
      <c r="L1645" s="50">
        <v>0.0</v>
      </c>
      <c r="M1645" s="50">
        <v>0.0</v>
      </c>
      <c r="N1645" s="50">
        <v>0.0</v>
      </c>
      <c r="O1645" s="50">
        <v>0.0</v>
      </c>
      <c r="P1645" s="50">
        <v>0.0</v>
      </c>
      <c r="Q1645" s="50">
        <v>0.0</v>
      </c>
      <c r="R1645" s="50">
        <v>0.0</v>
      </c>
      <c r="S1645" s="50">
        <v>0.0</v>
      </c>
      <c r="T1645" s="50">
        <v>2.8125</v>
      </c>
      <c r="U1645" s="50">
        <v>0.0</v>
      </c>
      <c r="V1645" s="50">
        <v>0.0</v>
      </c>
      <c r="W1645" s="50">
        <v>0.0</v>
      </c>
      <c r="X1645" s="50">
        <v>2.8125</v>
      </c>
      <c r="Y1645" s="50">
        <v>5.625</v>
      </c>
    </row>
    <row r="1646">
      <c r="A1646" s="26">
        <v>1640.0</v>
      </c>
      <c r="B1646" s="65">
        <v>0.7568459011065128</v>
      </c>
      <c r="C1646" s="65">
        <v>-1.285041596454229</v>
      </c>
      <c r="D1646" s="65">
        <v>-0.06399563146531694</v>
      </c>
      <c r="E1646" s="65">
        <v>-0.47416453125738584</v>
      </c>
      <c r="F1646" s="65">
        <v>0.7501333262101668</v>
      </c>
      <c r="G1646" s="50">
        <v>0.0</v>
      </c>
      <c r="H1646" s="50">
        <v>0.0</v>
      </c>
      <c r="I1646" s="50">
        <v>13.5</v>
      </c>
      <c r="J1646" s="50">
        <v>0.0</v>
      </c>
      <c r="K1646" s="50">
        <v>0.0</v>
      </c>
      <c r="L1646" s="50">
        <v>0.0</v>
      </c>
      <c r="M1646" s="50">
        <v>0.0</v>
      </c>
      <c r="N1646" s="50">
        <v>0.0</v>
      </c>
      <c r="O1646" s="50">
        <v>0.0</v>
      </c>
      <c r="P1646" s="50">
        <v>0.0</v>
      </c>
      <c r="Q1646" s="50">
        <v>0.0</v>
      </c>
      <c r="R1646" s="50">
        <v>0.0</v>
      </c>
      <c r="S1646" s="50">
        <v>0.0</v>
      </c>
      <c r="T1646" s="50">
        <v>2.8125</v>
      </c>
      <c r="U1646" s="50">
        <v>0.0</v>
      </c>
      <c r="V1646" s="50">
        <v>0.0</v>
      </c>
      <c r="W1646" s="50">
        <v>4.95</v>
      </c>
      <c r="X1646" s="50">
        <v>2.8125</v>
      </c>
      <c r="Y1646" s="50">
        <v>24.075</v>
      </c>
    </row>
    <row r="1647">
      <c r="A1647" s="26">
        <v>1641.0</v>
      </c>
      <c r="B1647" s="65">
        <v>0.5428179240969772</v>
      </c>
      <c r="C1647" s="65">
        <v>-1.1532273089363199</v>
      </c>
      <c r="D1647" s="65">
        <v>0.593125587212595</v>
      </c>
      <c r="E1647" s="65">
        <v>0.2730861914322728</v>
      </c>
      <c r="F1647" s="65">
        <v>4.8690826143360395</v>
      </c>
      <c r="G1647" s="50">
        <v>0.0</v>
      </c>
      <c r="H1647" s="50">
        <v>0.0</v>
      </c>
      <c r="I1647" s="50">
        <v>0.0</v>
      </c>
      <c r="J1647" s="50">
        <v>0.0</v>
      </c>
      <c r="K1647" s="50">
        <v>0.0</v>
      </c>
      <c r="L1647" s="50">
        <v>0.0</v>
      </c>
      <c r="M1647" s="50">
        <v>0.0</v>
      </c>
      <c r="N1647" s="50">
        <v>0.0</v>
      </c>
      <c r="O1647" s="50">
        <v>0.0</v>
      </c>
      <c r="P1647" s="50">
        <v>0.0</v>
      </c>
      <c r="Q1647" s="50">
        <v>0.0</v>
      </c>
      <c r="R1647" s="50">
        <v>0.0</v>
      </c>
      <c r="S1647" s="50">
        <v>0.0</v>
      </c>
      <c r="T1647" s="50">
        <v>2.8125</v>
      </c>
      <c r="U1647" s="50">
        <v>0.0</v>
      </c>
      <c r="V1647" s="50">
        <v>0.0</v>
      </c>
      <c r="W1647" s="50">
        <v>0.0</v>
      </c>
      <c r="X1647" s="50">
        <v>2.8125</v>
      </c>
      <c r="Y1647" s="50">
        <v>5.625</v>
      </c>
    </row>
    <row r="1648">
      <c r="A1648" s="26">
        <v>1642.0</v>
      </c>
      <c r="B1648" s="65">
        <v>0.8861775881513085</v>
      </c>
      <c r="C1648" s="65">
        <v>-1.493508323731626</v>
      </c>
      <c r="D1648" s="65">
        <v>-0.20236115869396246</v>
      </c>
      <c r="E1648" s="65">
        <v>0.4510970302211156</v>
      </c>
      <c r="F1648" s="65">
        <v>11.489584165944764</v>
      </c>
      <c r="G1648" s="50">
        <v>0.0</v>
      </c>
      <c r="H1648" s="50">
        <v>0.0</v>
      </c>
      <c r="I1648" s="50">
        <v>0.0</v>
      </c>
      <c r="J1648" s="50">
        <v>0.0</v>
      </c>
      <c r="K1648" s="50">
        <v>0.0</v>
      </c>
      <c r="L1648" s="50">
        <v>0.0</v>
      </c>
      <c r="M1648" s="50">
        <v>0.0</v>
      </c>
      <c r="N1648" s="50">
        <v>0.0</v>
      </c>
      <c r="O1648" s="50">
        <v>0.0</v>
      </c>
      <c r="P1648" s="50">
        <v>0.0</v>
      </c>
      <c r="Q1648" s="50">
        <v>0.0</v>
      </c>
      <c r="R1648" s="50">
        <v>0.0</v>
      </c>
      <c r="S1648" s="50">
        <v>0.0</v>
      </c>
      <c r="T1648" s="50">
        <v>2.8125</v>
      </c>
      <c r="U1648" s="50">
        <v>0.0</v>
      </c>
      <c r="V1648" s="50">
        <v>0.0</v>
      </c>
      <c r="W1648" s="50">
        <v>0.0</v>
      </c>
      <c r="X1648" s="50">
        <v>2.8125</v>
      </c>
      <c r="Y1648" s="50">
        <v>5.625</v>
      </c>
    </row>
    <row r="1649">
      <c r="A1649" s="26">
        <v>1643.0</v>
      </c>
      <c r="B1649" s="65">
        <v>-0.37584938886479563</v>
      </c>
      <c r="C1649" s="65">
        <v>1.0793396322270319</v>
      </c>
      <c r="D1649" s="65">
        <v>0.15873648077894828</v>
      </c>
      <c r="E1649" s="65">
        <v>-0.5162129095934505</v>
      </c>
      <c r="F1649" s="65">
        <v>2.2065155146274784</v>
      </c>
      <c r="G1649" s="50">
        <v>0.0</v>
      </c>
      <c r="H1649" s="50">
        <v>0.0</v>
      </c>
      <c r="I1649" s="50">
        <v>0.0</v>
      </c>
      <c r="J1649" s="50">
        <v>0.0</v>
      </c>
      <c r="K1649" s="50">
        <v>0.0</v>
      </c>
      <c r="L1649" s="50">
        <v>0.0</v>
      </c>
      <c r="M1649" s="50">
        <v>0.0</v>
      </c>
      <c r="N1649" s="50">
        <v>0.0</v>
      </c>
      <c r="O1649" s="50">
        <v>0.0</v>
      </c>
      <c r="P1649" s="50">
        <v>0.0</v>
      </c>
      <c r="Q1649" s="50">
        <v>0.0</v>
      </c>
      <c r="R1649" s="50">
        <v>0.0</v>
      </c>
      <c r="S1649" s="50">
        <v>0.0</v>
      </c>
      <c r="T1649" s="50">
        <v>2.8125</v>
      </c>
      <c r="U1649" s="50">
        <v>0.0</v>
      </c>
      <c r="V1649" s="50">
        <v>0.0</v>
      </c>
      <c r="W1649" s="50">
        <v>0.0</v>
      </c>
      <c r="X1649" s="50">
        <v>2.8125</v>
      </c>
      <c r="Y1649" s="50">
        <v>5.625</v>
      </c>
    </row>
    <row r="1650">
      <c r="A1650" s="26">
        <v>1644.0</v>
      </c>
      <c r="B1650" s="65">
        <v>-1.359227666406936</v>
      </c>
      <c r="C1650" s="65">
        <v>-1.2257972599605533</v>
      </c>
      <c r="D1650" s="65">
        <v>1.1534451326958397</v>
      </c>
      <c r="E1650" s="65">
        <v>0.010548467109969028</v>
      </c>
      <c r="F1650" s="65">
        <v>18.742283005759997</v>
      </c>
      <c r="G1650" s="50">
        <v>0.0</v>
      </c>
      <c r="H1650" s="50">
        <v>0.0</v>
      </c>
      <c r="I1650" s="50">
        <v>0.0</v>
      </c>
      <c r="J1650" s="50">
        <v>0.0</v>
      </c>
      <c r="K1650" s="50">
        <v>0.0</v>
      </c>
      <c r="L1650" s="50">
        <v>0.0</v>
      </c>
      <c r="M1650" s="50">
        <v>0.0</v>
      </c>
      <c r="N1650" s="50">
        <v>0.0</v>
      </c>
      <c r="O1650" s="50">
        <v>0.0</v>
      </c>
      <c r="P1650" s="50">
        <v>0.0</v>
      </c>
      <c r="Q1650" s="50">
        <v>0.0</v>
      </c>
      <c r="R1650" s="50">
        <v>0.0</v>
      </c>
      <c r="S1650" s="50">
        <v>0.0</v>
      </c>
      <c r="T1650" s="50">
        <v>2.8125</v>
      </c>
      <c r="U1650" s="50">
        <v>0.0</v>
      </c>
      <c r="V1650" s="50">
        <v>5.625</v>
      </c>
      <c r="W1650" s="50">
        <v>0.0</v>
      </c>
      <c r="X1650" s="50">
        <v>2.8125</v>
      </c>
      <c r="Y1650" s="50">
        <v>11.25</v>
      </c>
    </row>
    <row r="1651">
      <c r="A1651" s="26">
        <v>1645.0</v>
      </c>
      <c r="B1651" s="65">
        <v>-0.02988856999340408</v>
      </c>
      <c r="C1651" s="65">
        <v>-0.07753207714996639</v>
      </c>
      <c r="D1651" s="65">
        <v>-0.8766795977031853</v>
      </c>
      <c r="E1651" s="65">
        <v>0.7290314318190476</v>
      </c>
      <c r="F1651" s="65">
        <v>3.3248107459191676</v>
      </c>
      <c r="G1651" s="50">
        <v>0.0</v>
      </c>
      <c r="H1651" s="50">
        <v>0.0</v>
      </c>
      <c r="I1651" s="50">
        <v>0.0</v>
      </c>
      <c r="J1651" s="50">
        <v>0.0</v>
      </c>
      <c r="K1651" s="50">
        <v>0.0</v>
      </c>
      <c r="L1651" s="50">
        <v>0.0</v>
      </c>
      <c r="M1651" s="50">
        <v>0.0</v>
      </c>
      <c r="N1651" s="50">
        <v>0.0</v>
      </c>
      <c r="O1651" s="50">
        <v>0.0</v>
      </c>
      <c r="P1651" s="50">
        <v>0.0</v>
      </c>
      <c r="Q1651" s="50">
        <v>0.0</v>
      </c>
      <c r="R1651" s="50">
        <v>0.0</v>
      </c>
      <c r="S1651" s="50">
        <v>0.0</v>
      </c>
      <c r="T1651" s="50">
        <v>2.8125</v>
      </c>
      <c r="U1651" s="50">
        <v>0.0</v>
      </c>
      <c r="V1651" s="50">
        <v>0.0</v>
      </c>
      <c r="W1651" s="50">
        <v>0.0</v>
      </c>
      <c r="X1651" s="50">
        <v>2.8125</v>
      </c>
      <c r="Y1651" s="50">
        <v>5.625</v>
      </c>
    </row>
    <row r="1652">
      <c r="A1652" s="26">
        <v>1646.0</v>
      </c>
      <c r="B1652" s="65">
        <v>0.7859695828061093</v>
      </c>
      <c r="C1652" s="65">
        <v>-0.56302877766808</v>
      </c>
      <c r="D1652" s="65">
        <v>-0.24135285571452703</v>
      </c>
      <c r="E1652" s="65">
        <v>0.6660633518151602</v>
      </c>
      <c r="F1652" s="65">
        <v>3.5568381909981612</v>
      </c>
      <c r="G1652" s="50">
        <v>0.0</v>
      </c>
      <c r="H1652" s="50">
        <v>0.0</v>
      </c>
      <c r="I1652" s="50">
        <v>0.0</v>
      </c>
      <c r="J1652" s="50">
        <v>0.0</v>
      </c>
      <c r="K1652" s="50">
        <v>0.0</v>
      </c>
      <c r="L1652" s="50">
        <v>0.0</v>
      </c>
      <c r="M1652" s="50">
        <v>0.0</v>
      </c>
      <c r="N1652" s="50">
        <v>0.0</v>
      </c>
      <c r="O1652" s="50">
        <v>0.0</v>
      </c>
      <c r="P1652" s="50">
        <v>0.0</v>
      </c>
      <c r="Q1652" s="50">
        <v>0.0</v>
      </c>
      <c r="R1652" s="50">
        <v>0.0</v>
      </c>
      <c r="S1652" s="50">
        <v>0.0</v>
      </c>
      <c r="T1652" s="50">
        <v>2.8125</v>
      </c>
      <c r="U1652" s="50">
        <v>0.0</v>
      </c>
      <c r="V1652" s="50">
        <v>0.0</v>
      </c>
      <c r="W1652" s="50">
        <v>0.0</v>
      </c>
      <c r="X1652" s="50">
        <v>2.8125</v>
      </c>
      <c r="Y1652" s="50">
        <v>5.625</v>
      </c>
    </row>
    <row r="1653">
      <c r="A1653" s="26">
        <v>1647.0</v>
      </c>
      <c r="B1653" s="65">
        <v>-0.9819872246396746</v>
      </c>
      <c r="C1653" s="65">
        <v>0.44457158828172055</v>
      </c>
      <c r="D1653" s="65">
        <v>0.44743608273983804</v>
      </c>
      <c r="E1653" s="65">
        <v>-0.4296665493623197</v>
      </c>
      <c r="F1653" s="65">
        <v>10.060221025912538</v>
      </c>
      <c r="G1653" s="50">
        <v>0.0</v>
      </c>
      <c r="H1653" s="50">
        <v>0.0</v>
      </c>
      <c r="I1653" s="50">
        <v>0.0</v>
      </c>
      <c r="J1653" s="50">
        <v>0.0</v>
      </c>
      <c r="K1653" s="50">
        <v>0.0</v>
      </c>
      <c r="L1653" s="50">
        <v>0.0</v>
      </c>
      <c r="M1653" s="50">
        <v>0.0</v>
      </c>
      <c r="N1653" s="50">
        <v>0.0</v>
      </c>
      <c r="O1653" s="50">
        <v>0.0</v>
      </c>
      <c r="P1653" s="50">
        <v>0.0</v>
      </c>
      <c r="Q1653" s="50">
        <v>0.0</v>
      </c>
      <c r="R1653" s="50">
        <v>0.0</v>
      </c>
      <c r="S1653" s="50">
        <v>0.0</v>
      </c>
      <c r="T1653" s="50">
        <v>2.8125</v>
      </c>
      <c r="U1653" s="50">
        <v>9.9</v>
      </c>
      <c r="V1653" s="50">
        <v>0.0</v>
      </c>
      <c r="W1653" s="50">
        <v>0.0</v>
      </c>
      <c r="X1653" s="50">
        <v>2.8125</v>
      </c>
      <c r="Y1653" s="50">
        <v>15.525</v>
      </c>
    </row>
    <row r="1654">
      <c r="A1654" s="26">
        <v>1648.0</v>
      </c>
      <c r="B1654" s="65">
        <v>1.7251998063778997</v>
      </c>
      <c r="C1654" s="65">
        <v>-0.4856760717907324</v>
      </c>
      <c r="D1654" s="65">
        <v>0.2064751335870837</v>
      </c>
      <c r="E1654" s="65">
        <v>0.39600741638503756</v>
      </c>
      <c r="F1654" s="65">
        <v>8.207368430345259</v>
      </c>
      <c r="G1654" s="50">
        <v>0.0</v>
      </c>
      <c r="H1654" s="50">
        <v>0.0</v>
      </c>
      <c r="I1654" s="50">
        <v>0.0</v>
      </c>
      <c r="J1654" s="50">
        <v>0.0</v>
      </c>
      <c r="K1654" s="50">
        <v>0.0</v>
      </c>
      <c r="L1654" s="50">
        <v>0.0</v>
      </c>
      <c r="M1654" s="50">
        <v>0.0</v>
      </c>
      <c r="N1654" s="50">
        <v>0.0</v>
      </c>
      <c r="O1654" s="50">
        <v>0.0</v>
      </c>
      <c r="P1654" s="50">
        <v>0.0</v>
      </c>
      <c r="Q1654" s="50">
        <v>0.0</v>
      </c>
      <c r="R1654" s="50">
        <v>0.0</v>
      </c>
      <c r="S1654" s="50">
        <v>0.0</v>
      </c>
      <c r="T1654" s="50">
        <v>2.8125</v>
      </c>
      <c r="U1654" s="50">
        <v>0.0</v>
      </c>
      <c r="V1654" s="50">
        <v>0.0</v>
      </c>
      <c r="W1654" s="50">
        <v>0.0</v>
      </c>
      <c r="X1654" s="50">
        <v>2.8125</v>
      </c>
      <c r="Y1654" s="50">
        <v>5.625</v>
      </c>
    </row>
    <row r="1655">
      <c r="A1655" s="26">
        <v>1649.0</v>
      </c>
      <c r="B1655" s="65">
        <v>0.9308732487661187</v>
      </c>
      <c r="C1655" s="65">
        <v>0.88619869738408</v>
      </c>
      <c r="D1655" s="65">
        <v>0.4026237049479709</v>
      </c>
      <c r="E1655" s="65">
        <v>0.004099945304681343</v>
      </c>
      <c r="F1655" s="65">
        <v>2.9906304786514655</v>
      </c>
      <c r="G1655" s="50">
        <v>0.0</v>
      </c>
      <c r="H1655" s="50">
        <v>0.0</v>
      </c>
      <c r="I1655" s="50">
        <v>0.0</v>
      </c>
      <c r="J1655" s="50">
        <v>0.0</v>
      </c>
      <c r="K1655" s="50">
        <v>0.0</v>
      </c>
      <c r="L1655" s="50">
        <v>0.0</v>
      </c>
      <c r="M1655" s="50">
        <v>0.0</v>
      </c>
      <c r="N1655" s="50">
        <v>0.0</v>
      </c>
      <c r="O1655" s="50">
        <v>0.0</v>
      </c>
      <c r="P1655" s="50">
        <v>0.0</v>
      </c>
      <c r="Q1655" s="50">
        <v>0.0</v>
      </c>
      <c r="R1655" s="50">
        <v>0.0</v>
      </c>
      <c r="S1655" s="50">
        <v>0.0</v>
      </c>
      <c r="T1655" s="50">
        <v>2.8125</v>
      </c>
      <c r="U1655" s="50">
        <v>0.0</v>
      </c>
      <c r="V1655" s="50">
        <v>0.0</v>
      </c>
      <c r="W1655" s="50">
        <v>0.0</v>
      </c>
      <c r="X1655" s="50">
        <v>2.8125</v>
      </c>
      <c r="Y1655" s="50">
        <v>5.625</v>
      </c>
    </row>
    <row r="1656">
      <c r="A1656" s="26">
        <v>1650.0</v>
      </c>
      <c r="B1656" s="65">
        <v>1.0416648905659607</v>
      </c>
      <c r="C1656" s="65">
        <v>-0.4071246136165687</v>
      </c>
      <c r="D1656" s="65">
        <v>-1.138055295924968</v>
      </c>
      <c r="E1656" s="65">
        <v>-0.12277909100440602</v>
      </c>
      <c r="F1656" s="65">
        <v>11.46085196443552</v>
      </c>
      <c r="G1656" s="50">
        <v>0.0</v>
      </c>
      <c r="H1656" s="50">
        <v>0.0</v>
      </c>
      <c r="I1656" s="50">
        <v>0.0</v>
      </c>
      <c r="J1656" s="50">
        <v>0.0</v>
      </c>
      <c r="K1656" s="50">
        <v>0.0</v>
      </c>
      <c r="L1656" s="50">
        <v>0.0</v>
      </c>
      <c r="M1656" s="50">
        <v>0.0</v>
      </c>
      <c r="N1656" s="50">
        <v>0.0</v>
      </c>
      <c r="O1656" s="50">
        <v>0.0</v>
      </c>
      <c r="P1656" s="50">
        <v>0.0</v>
      </c>
      <c r="Q1656" s="50">
        <v>0.0</v>
      </c>
      <c r="R1656" s="50">
        <v>0.0</v>
      </c>
      <c r="S1656" s="50">
        <v>0.0</v>
      </c>
      <c r="T1656" s="50">
        <v>2.8125</v>
      </c>
      <c r="U1656" s="50">
        <v>0.0</v>
      </c>
      <c r="V1656" s="50">
        <v>0.0</v>
      </c>
      <c r="W1656" s="50">
        <v>0.0</v>
      </c>
      <c r="X1656" s="50">
        <v>2.8125</v>
      </c>
      <c r="Y1656" s="50">
        <v>5.625</v>
      </c>
    </row>
    <row r="1657">
      <c r="A1657" s="26">
        <v>1651.0</v>
      </c>
      <c r="B1657" s="65">
        <v>1.3404673376882819</v>
      </c>
      <c r="C1657" s="65">
        <v>-0.6765702239894626</v>
      </c>
      <c r="D1657" s="65">
        <v>-0.12847517553011728</v>
      </c>
      <c r="E1657" s="65">
        <v>-0.627982274633902</v>
      </c>
      <c r="F1657" s="65">
        <v>5.506816265043861</v>
      </c>
      <c r="G1657" s="50">
        <v>0.0</v>
      </c>
      <c r="H1657" s="50">
        <v>0.0</v>
      </c>
      <c r="I1657" s="50">
        <v>0.0</v>
      </c>
      <c r="J1657" s="50">
        <v>0.0</v>
      </c>
      <c r="K1657" s="50">
        <v>0.0</v>
      </c>
      <c r="L1657" s="50">
        <v>0.0</v>
      </c>
      <c r="M1657" s="50">
        <v>0.0</v>
      </c>
      <c r="N1657" s="50">
        <v>0.0</v>
      </c>
      <c r="O1657" s="50">
        <v>0.0</v>
      </c>
      <c r="P1657" s="50">
        <v>0.0</v>
      </c>
      <c r="Q1657" s="50">
        <v>0.0</v>
      </c>
      <c r="R1657" s="50">
        <v>0.0</v>
      </c>
      <c r="S1657" s="50">
        <v>0.0</v>
      </c>
      <c r="T1657" s="50">
        <v>2.8125</v>
      </c>
      <c r="U1657" s="50">
        <v>0.0</v>
      </c>
      <c r="V1657" s="50">
        <v>0.0</v>
      </c>
      <c r="W1657" s="50">
        <v>0.0</v>
      </c>
      <c r="X1657" s="50">
        <v>2.8125</v>
      </c>
      <c r="Y1657" s="50">
        <v>5.625</v>
      </c>
    </row>
    <row r="1658">
      <c r="A1658" s="26">
        <v>1652.0</v>
      </c>
      <c r="B1658" s="65">
        <v>0.28936031451955146</v>
      </c>
      <c r="C1658" s="65">
        <v>7.373513810608215E-4</v>
      </c>
      <c r="D1658" s="65">
        <v>-0.3255662402197158</v>
      </c>
      <c r="E1658" s="65">
        <v>-0.5917222566680133</v>
      </c>
      <c r="F1658" s="65">
        <v>3.7474757742658547</v>
      </c>
      <c r="G1658" s="50">
        <v>0.0</v>
      </c>
      <c r="H1658" s="50">
        <v>0.0</v>
      </c>
      <c r="I1658" s="50">
        <v>0.0</v>
      </c>
      <c r="J1658" s="50">
        <v>0.0</v>
      </c>
      <c r="K1658" s="50">
        <v>0.0</v>
      </c>
      <c r="L1658" s="50">
        <v>0.0</v>
      </c>
      <c r="M1658" s="50">
        <v>0.0</v>
      </c>
      <c r="N1658" s="50">
        <v>0.0</v>
      </c>
      <c r="O1658" s="50">
        <v>7.425000000000001</v>
      </c>
      <c r="P1658" s="50">
        <v>0.0</v>
      </c>
      <c r="Q1658" s="50">
        <v>0.0</v>
      </c>
      <c r="R1658" s="50">
        <v>0.0</v>
      </c>
      <c r="S1658" s="50">
        <v>0.0</v>
      </c>
      <c r="T1658" s="50">
        <v>2.8125</v>
      </c>
      <c r="U1658" s="50">
        <v>0.0</v>
      </c>
      <c r="V1658" s="50">
        <v>0.0</v>
      </c>
      <c r="W1658" s="50">
        <v>0.0</v>
      </c>
      <c r="X1658" s="50">
        <v>2.8125</v>
      </c>
      <c r="Y1658" s="50">
        <v>13.05</v>
      </c>
    </row>
    <row r="1659">
      <c r="A1659" s="26">
        <v>1653.0</v>
      </c>
      <c r="B1659" s="65">
        <v>0.9303359444573284</v>
      </c>
      <c r="C1659" s="65">
        <v>0.5017230903239704</v>
      </c>
      <c r="D1659" s="65">
        <v>-0.1705723361508187</v>
      </c>
      <c r="E1659" s="65">
        <v>-0.6004279381300307</v>
      </c>
      <c r="F1659" s="65">
        <v>3.656839145082884</v>
      </c>
      <c r="G1659" s="50">
        <v>0.0</v>
      </c>
      <c r="H1659" s="50">
        <v>0.0</v>
      </c>
      <c r="I1659" s="50">
        <v>0.0</v>
      </c>
      <c r="J1659" s="50">
        <v>0.0</v>
      </c>
      <c r="K1659" s="50">
        <v>0.0</v>
      </c>
      <c r="L1659" s="50">
        <v>0.0</v>
      </c>
      <c r="M1659" s="50">
        <v>0.0</v>
      </c>
      <c r="N1659" s="50">
        <v>0.0</v>
      </c>
      <c r="O1659" s="50">
        <v>0.0</v>
      </c>
      <c r="P1659" s="50">
        <v>0.0</v>
      </c>
      <c r="Q1659" s="50">
        <v>0.0</v>
      </c>
      <c r="R1659" s="50">
        <v>0.0</v>
      </c>
      <c r="S1659" s="50">
        <v>0.0</v>
      </c>
      <c r="T1659" s="50">
        <v>2.8125</v>
      </c>
      <c r="U1659" s="50">
        <v>0.0</v>
      </c>
      <c r="V1659" s="50">
        <v>0.0</v>
      </c>
      <c r="W1659" s="50">
        <v>0.0</v>
      </c>
      <c r="X1659" s="50">
        <v>2.8125</v>
      </c>
      <c r="Y1659" s="50">
        <v>5.625</v>
      </c>
    </row>
    <row r="1660">
      <c r="A1660" s="26">
        <v>1654.0</v>
      </c>
      <c r="B1660" s="65">
        <v>0.5319370968662528</v>
      </c>
      <c r="C1660" s="65">
        <v>-0.08818569201594932</v>
      </c>
      <c r="D1660" s="65">
        <v>0.6307461379865745</v>
      </c>
      <c r="E1660" s="65">
        <v>-0.8305388600007599</v>
      </c>
      <c r="F1660" s="65">
        <v>7.304576206173943</v>
      </c>
      <c r="G1660" s="50">
        <v>0.0</v>
      </c>
      <c r="H1660" s="50">
        <v>0.0</v>
      </c>
      <c r="I1660" s="50">
        <v>0.0</v>
      </c>
      <c r="J1660" s="50">
        <v>0.0</v>
      </c>
      <c r="K1660" s="50">
        <v>0.0</v>
      </c>
      <c r="L1660" s="50">
        <v>0.0</v>
      </c>
      <c r="M1660" s="50">
        <v>0.0</v>
      </c>
      <c r="N1660" s="50">
        <v>0.0</v>
      </c>
      <c r="O1660" s="50">
        <v>0.0</v>
      </c>
      <c r="P1660" s="50">
        <v>0.0</v>
      </c>
      <c r="Q1660" s="50">
        <v>0.0</v>
      </c>
      <c r="R1660" s="50">
        <v>0.0</v>
      </c>
      <c r="S1660" s="50">
        <v>0.0</v>
      </c>
      <c r="T1660" s="50">
        <v>2.8125</v>
      </c>
      <c r="U1660" s="50">
        <v>0.0</v>
      </c>
      <c r="V1660" s="50">
        <v>0.0</v>
      </c>
      <c r="W1660" s="50">
        <v>0.0</v>
      </c>
      <c r="X1660" s="50">
        <v>2.8125</v>
      </c>
      <c r="Y1660" s="50">
        <v>5.625</v>
      </c>
    </row>
    <row r="1661">
      <c r="A1661" s="26">
        <v>1655.0</v>
      </c>
      <c r="B1661" s="65">
        <v>-0.7452441037700386</v>
      </c>
      <c r="C1661" s="65">
        <v>-1.0061244737800799</v>
      </c>
      <c r="D1661" s="65">
        <v>-0.6409417917660811</v>
      </c>
      <c r="E1661" s="65">
        <v>0.5920749545546589</v>
      </c>
      <c r="F1661" s="65">
        <v>6.026015076483343</v>
      </c>
      <c r="G1661" s="50">
        <v>0.0</v>
      </c>
      <c r="H1661" s="50">
        <v>0.0</v>
      </c>
      <c r="I1661" s="50">
        <v>0.0</v>
      </c>
      <c r="J1661" s="50">
        <v>0.0</v>
      </c>
      <c r="K1661" s="50">
        <v>0.0</v>
      </c>
      <c r="L1661" s="50">
        <v>0.0</v>
      </c>
      <c r="M1661" s="50">
        <v>0.0</v>
      </c>
      <c r="N1661" s="50">
        <v>0.0</v>
      </c>
      <c r="O1661" s="50">
        <v>0.0</v>
      </c>
      <c r="P1661" s="50">
        <v>0.0</v>
      </c>
      <c r="Q1661" s="50">
        <v>0.0</v>
      </c>
      <c r="R1661" s="50">
        <v>0.0</v>
      </c>
      <c r="S1661" s="50">
        <v>0.0</v>
      </c>
      <c r="T1661" s="50">
        <v>2.8125</v>
      </c>
      <c r="U1661" s="50">
        <v>0.0</v>
      </c>
      <c r="V1661" s="50">
        <v>0.0</v>
      </c>
      <c r="W1661" s="50">
        <v>0.0</v>
      </c>
      <c r="X1661" s="50">
        <v>2.8125</v>
      </c>
      <c r="Y1661" s="50">
        <v>5.625</v>
      </c>
    </row>
    <row r="1662">
      <c r="A1662" s="26">
        <v>1656.0</v>
      </c>
      <c r="B1662" s="65">
        <v>0.9069579215830884</v>
      </c>
      <c r="C1662" s="65">
        <v>0.7037824860830737</v>
      </c>
      <c r="D1662" s="65">
        <v>0.43995752311239905</v>
      </c>
      <c r="E1662" s="65">
        <v>-0.8186305249119873</v>
      </c>
      <c r="F1662" s="65">
        <v>4.230746982814486</v>
      </c>
      <c r="G1662" s="50">
        <v>0.0</v>
      </c>
      <c r="H1662" s="50">
        <v>0.0</v>
      </c>
      <c r="I1662" s="50">
        <v>0.0</v>
      </c>
      <c r="J1662" s="50">
        <v>0.0</v>
      </c>
      <c r="K1662" s="50">
        <v>0.0</v>
      </c>
      <c r="L1662" s="50">
        <v>0.0</v>
      </c>
      <c r="M1662" s="50">
        <v>0.0</v>
      </c>
      <c r="N1662" s="50">
        <v>0.0</v>
      </c>
      <c r="O1662" s="50">
        <v>0.0</v>
      </c>
      <c r="P1662" s="50">
        <v>0.0</v>
      </c>
      <c r="Q1662" s="50">
        <v>0.0</v>
      </c>
      <c r="R1662" s="50">
        <v>0.0</v>
      </c>
      <c r="S1662" s="50">
        <v>0.0</v>
      </c>
      <c r="T1662" s="50">
        <v>2.8125</v>
      </c>
      <c r="U1662" s="50">
        <v>0.0</v>
      </c>
      <c r="V1662" s="50">
        <v>0.0</v>
      </c>
      <c r="W1662" s="50">
        <v>0.0</v>
      </c>
      <c r="X1662" s="50">
        <v>2.8125</v>
      </c>
      <c r="Y1662" s="50">
        <v>5.625</v>
      </c>
    </row>
    <row r="1663">
      <c r="A1663" s="26">
        <v>1657.0</v>
      </c>
      <c r="B1663" s="65">
        <v>-1.3331119487628638</v>
      </c>
      <c r="C1663" s="65">
        <v>-0.362925784561523</v>
      </c>
      <c r="D1663" s="65">
        <v>0.3027230254237571</v>
      </c>
      <c r="E1663" s="65">
        <v>0.42423921681648696</v>
      </c>
      <c r="F1663" s="65">
        <v>2.5259848478965847</v>
      </c>
      <c r="G1663" s="50">
        <v>0.0</v>
      </c>
      <c r="H1663" s="50">
        <v>0.0</v>
      </c>
      <c r="I1663" s="50">
        <v>0.0</v>
      </c>
      <c r="J1663" s="50">
        <v>0.0</v>
      </c>
      <c r="K1663" s="50">
        <v>0.0</v>
      </c>
      <c r="L1663" s="50">
        <v>0.0</v>
      </c>
      <c r="M1663" s="50">
        <v>0.0</v>
      </c>
      <c r="N1663" s="50">
        <v>0.0</v>
      </c>
      <c r="O1663" s="50">
        <v>7.425000000000001</v>
      </c>
      <c r="P1663" s="50">
        <v>0.0</v>
      </c>
      <c r="Q1663" s="50">
        <v>0.0</v>
      </c>
      <c r="R1663" s="50">
        <v>0.0</v>
      </c>
      <c r="S1663" s="50">
        <v>0.0</v>
      </c>
      <c r="T1663" s="50">
        <v>2.8125</v>
      </c>
      <c r="U1663" s="50">
        <v>0.0</v>
      </c>
      <c r="V1663" s="50">
        <v>0.0</v>
      </c>
      <c r="W1663" s="50">
        <v>0.0</v>
      </c>
      <c r="X1663" s="50">
        <v>2.8125</v>
      </c>
      <c r="Y1663" s="50">
        <v>13.05</v>
      </c>
    </row>
    <row r="1664">
      <c r="A1664" s="26">
        <v>1658.0</v>
      </c>
      <c r="B1664" s="65">
        <v>-1.3556721779336758</v>
      </c>
      <c r="C1664" s="65">
        <v>0.16325980505634716</v>
      </c>
      <c r="D1664" s="65">
        <v>-0.830941241681397</v>
      </c>
      <c r="E1664" s="65">
        <v>-0.7542429005692127</v>
      </c>
      <c r="F1664" s="65">
        <v>2.1480429826819503</v>
      </c>
      <c r="G1664" s="50">
        <v>0.0</v>
      </c>
      <c r="H1664" s="50">
        <v>0.0</v>
      </c>
      <c r="I1664" s="50">
        <v>0.0</v>
      </c>
      <c r="J1664" s="50">
        <v>0.0</v>
      </c>
      <c r="K1664" s="50">
        <v>0.0</v>
      </c>
      <c r="L1664" s="50">
        <v>0.0</v>
      </c>
      <c r="M1664" s="50">
        <v>0.0</v>
      </c>
      <c r="N1664" s="50">
        <v>0.0</v>
      </c>
      <c r="O1664" s="50">
        <v>7.425000000000001</v>
      </c>
      <c r="P1664" s="50">
        <v>2.475</v>
      </c>
      <c r="Q1664" s="50">
        <v>0.0</v>
      </c>
      <c r="R1664" s="50">
        <v>9.9</v>
      </c>
      <c r="S1664" s="50">
        <v>0.0</v>
      </c>
      <c r="T1664" s="50">
        <v>2.8125</v>
      </c>
      <c r="U1664" s="50">
        <v>0.0</v>
      </c>
      <c r="V1664" s="50">
        <v>0.0</v>
      </c>
      <c r="W1664" s="50">
        <v>4.95</v>
      </c>
      <c r="X1664" s="50">
        <v>2.8125</v>
      </c>
      <c r="Y1664" s="50">
        <v>30.375</v>
      </c>
    </row>
    <row r="1665">
      <c r="A1665" s="26">
        <v>1659.0</v>
      </c>
      <c r="B1665" s="65">
        <v>-0.17971111828144068</v>
      </c>
      <c r="C1665" s="65">
        <v>-0.9985460561543602</v>
      </c>
      <c r="D1665" s="65">
        <v>1.845052064983221</v>
      </c>
      <c r="E1665" s="65">
        <v>-0.31356609529822077</v>
      </c>
      <c r="F1665" s="65">
        <v>1.7359608527916826</v>
      </c>
      <c r="G1665" s="50">
        <v>0.0</v>
      </c>
      <c r="H1665" s="50">
        <v>0.0</v>
      </c>
      <c r="I1665" s="50">
        <v>0.0</v>
      </c>
      <c r="J1665" s="50">
        <v>0.0</v>
      </c>
      <c r="K1665" s="50">
        <v>0.0</v>
      </c>
      <c r="L1665" s="50">
        <v>0.0</v>
      </c>
      <c r="M1665" s="50">
        <v>0.0</v>
      </c>
      <c r="N1665" s="50">
        <v>0.0</v>
      </c>
      <c r="O1665" s="50">
        <v>7.425000000000001</v>
      </c>
      <c r="P1665" s="50">
        <v>0.0</v>
      </c>
      <c r="Q1665" s="50">
        <v>0.0</v>
      </c>
      <c r="R1665" s="50">
        <v>0.0</v>
      </c>
      <c r="S1665" s="50">
        <v>0.0</v>
      </c>
      <c r="T1665" s="50">
        <v>2.8125</v>
      </c>
      <c r="U1665" s="50">
        <v>9.9</v>
      </c>
      <c r="V1665" s="50">
        <v>0.0</v>
      </c>
      <c r="W1665" s="50">
        <v>4.95</v>
      </c>
      <c r="X1665" s="50">
        <v>2.8125</v>
      </c>
      <c r="Y1665" s="50">
        <v>27.900000000000002</v>
      </c>
    </row>
    <row r="1666">
      <c r="A1666" s="26">
        <v>1660.0</v>
      </c>
      <c r="B1666" s="65">
        <v>1.0077500177290393</v>
      </c>
      <c r="C1666" s="65">
        <v>1.120937573462332</v>
      </c>
      <c r="D1666" s="65">
        <v>0.5756365763060688</v>
      </c>
      <c r="E1666" s="65">
        <v>-0.7275338707240396</v>
      </c>
      <c r="F1666" s="65">
        <v>2.395984716519155</v>
      </c>
      <c r="G1666" s="50">
        <v>0.0</v>
      </c>
      <c r="H1666" s="50">
        <v>0.0</v>
      </c>
      <c r="I1666" s="50">
        <v>0.0</v>
      </c>
      <c r="J1666" s="50">
        <v>0.0</v>
      </c>
      <c r="K1666" s="50">
        <v>0.0</v>
      </c>
      <c r="L1666" s="50">
        <v>0.0</v>
      </c>
      <c r="M1666" s="50">
        <v>0.0</v>
      </c>
      <c r="N1666" s="50">
        <v>0.0</v>
      </c>
      <c r="O1666" s="50">
        <v>0.0</v>
      </c>
      <c r="P1666" s="50">
        <v>0.0</v>
      </c>
      <c r="Q1666" s="50">
        <v>0.0</v>
      </c>
      <c r="R1666" s="50">
        <v>0.0</v>
      </c>
      <c r="S1666" s="50">
        <v>0.0</v>
      </c>
      <c r="T1666" s="50">
        <v>2.8125</v>
      </c>
      <c r="U1666" s="50">
        <v>0.0</v>
      </c>
      <c r="V1666" s="50">
        <v>5.625</v>
      </c>
      <c r="W1666" s="50">
        <v>0.0</v>
      </c>
      <c r="X1666" s="50">
        <v>2.8125</v>
      </c>
      <c r="Y1666" s="50">
        <v>11.25</v>
      </c>
    </row>
    <row r="1667">
      <c r="A1667" s="26">
        <v>1661.0</v>
      </c>
      <c r="B1667" s="65">
        <v>-0.3019400837182375</v>
      </c>
      <c r="C1667" s="65">
        <v>-0.20406045105478218</v>
      </c>
      <c r="D1667" s="65">
        <v>-0.8224018588157781</v>
      </c>
      <c r="E1667" s="65">
        <v>0.6710347756998276</v>
      </c>
      <c r="F1667" s="65">
        <v>6.889497447167433</v>
      </c>
      <c r="G1667" s="50">
        <v>0.0</v>
      </c>
      <c r="H1667" s="50">
        <v>0.0</v>
      </c>
      <c r="I1667" s="50">
        <v>0.0</v>
      </c>
      <c r="J1667" s="50">
        <v>0.0</v>
      </c>
      <c r="K1667" s="50">
        <v>0.0</v>
      </c>
      <c r="L1667" s="50">
        <v>0.0</v>
      </c>
      <c r="M1667" s="50">
        <v>0.0</v>
      </c>
      <c r="N1667" s="50">
        <v>0.0</v>
      </c>
      <c r="O1667" s="50">
        <v>0.0</v>
      </c>
      <c r="P1667" s="50">
        <v>0.0</v>
      </c>
      <c r="Q1667" s="50">
        <v>0.0</v>
      </c>
      <c r="R1667" s="50">
        <v>0.0</v>
      </c>
      <c r="S1667" s="50">
        <v>0.0</v>
      </c>
      <c r="T1667" s="50">
        <v>2.8125</v>
      </c>
      <c r="U1667" s="50">
        <v>0.0</v>
      </c>
      <c r="V1667" s="50">
        <v>0.0</v>
      </c>
      <c r="W1667" s="50">
        <v>0.0</v>
      </c>
      <c r="X1667" s="50">
        <v>2.8125</v>
      </c>
      <c r="Y1667" s="50">
        <v>5.625</v>
      </c>
    </row>
    <row r="1668">
      <c r="A1668" s="26">
        <v>1662.0</v>
      </c>
      <c r="B1668" s="65">
        <v>0.47303882683653725</v>
      </c>
      <c r="C1668" s="65">
        <v>-1.8050786890542965</v>
      </c>
      <c r="D1668" s="65">
        <v>1.4762836762194047</v>
      </c>
      <c r="E1668" s="65">
        <v>-2.1463645325478633</v>
      </c>
      <c r="F1668" s="65">
        <v>5.590618896646525</v>
      </c>
      <c r="G1668" s="50">
        <v>0.0</v>
      </c>
      <c r="H1668" s="50">
        <v>0.0</v>
      </c>
      <c r="I1668" s="50">
        <v>0.0</v>
      </c>
      <c r="J1668" s="50">
        <v>0.0</v>
      </c>
      <c r="K1668" s="50">
        <v>0.0</v>
      </c>
      <c r="L1668" s="50">
        <v>0.0</v>
      </c>
      <c r="M1668" s="50">
        <v>0.0</v>
      </c>
      <c r="N1668" s="50">
        <v>0.0</v>
      </c>
      <c r="O1668" s="50">
        <v>0.0</v>
      </c>
      <c r="P1668" s="50">
        <v>0.0</v>
      </c>
      <c r="Q1668" s="50">
        <v>0.0</v>
      </c>
      <c r="R1668" s="50">
        <v>0.0</v>
      </c>
      <c r="S1668" s="50">
        <v>0.0</v>
      </c>
      <c r="T1668" s="50">
        <v>2.8125</v>
      </c>
      <c r="U1668" s="50">
        <v>0.0</v>
      </c>
      <c r="V1668" s="50">
        <v>5.625</v>
      </c>
      <c r="W1668" s="50">
        <v>4.95</v>
      </c>
      <c r="X1668" s="50">
        <v>2.8125</v>
      </c>
      <c r="Y1668" s="50">
        <v>16.2</v>
      </c>
    </row>
    <row r="1669">
      <c r="A1669" s="26">
        <v>1663.0</v>
      </c>
      <c r="B1669" s="65">
        <v>-1.733187633429099</v>
      </c>
      <c r="C1669" s="65">
        <v>0.017332735043612484</v>
      </c>
      <c r="D1669" s="65">
        <v>-1.531663447925602</v>
      </c>
      <c r="E1669" s="65">
        <v>-1.3078572062123772</v>
      </c>
      <c r="F1669" s="65">
        <v>2.8326375626786944</v>
      </c>
      <c r="G1669" s="50">
        <v>0.0</v>
      </c>
      <c r="H1669" s="50">
        <v>0.0</v>
      </c>
      <c r="I1669" s="50">
        <v>0.0</v>
      </c>
      <c r="J1669" s="50">
        <v>0.0</v>
      </c>
      <c r="K1669" s="50">
        <v>0.0</v>
      </c>
      <c r="L1669" s="50">
        <v>0.0</v>
      </c>
      <c r="M1669" s="50">
        <v>0.0</v>
      </c>
      <c r="N1669" s="50">
        <v>0.0</v>
      </c>
      <c r="O1669" s="50">
        <v>0.0</v>
      </c>
      <c r="P1669" s="50">
        <v>0.0</v>
      </c>
      <c r="Q1669" s="50">
        <v>0.0</v>
      </c>
      <c r="R1669" s="50">
        <v>9.9</v>
      </c>
      <c r="S1669" s="50">
        <v>0.0</v>
      </c>
      <c r="T1669" s="50">
        <v>2.8125</v>
      </c>
      <c r="U1669" s="50">
        <v>9.9</v>
      </c>
      <c r="V1669" s="50">
        <v>5.625</v>
      </c>
      <c r="W1669" s="50">
        <v>0.0</v>
      </c>
      <c r="X1669" s="50">
        <v>2.8125</v>
      </c>
      <c r="Y1669" s="50">
        <v>31.05</v>
      </c>
    </row>
    <row r="1670">
      <c r="A1670" s="26">
        <v>1664.0</v>
      </c>
      <c r="B1670" s="65">
        <v>-0.7927951162876521</v>
      </c>
      <c r="C1670" s="65">
        <v>-0.09467461990573554</v>
      </c>
      <c r="D1670" s="65">
        <v>1.1404287601262029</v>
      </c>
      <c r="E1670" s="65">
        <v>1.30542204088154</v>
      </c>
      <c r="F1670" s="65">
        <v>6.148461837489645</v>
      </c>
      <c r="G1670" s="50">
        <v>0.0</v>
      </c>
      <c r="H1670" s="50">
        <v>0.0</v>
      </c>
      <c r="I1670" s="50">
        <v>0.0</v>
      </c>
      <c r="J1670" s="50">
        <v>0.0</v>
      </c>
      <c r="K1670" s="50">
        <v>0.0</v>
      </c>
      <c r="L1670" s="50">
        <v>0.0</v>
      </c>
      <c r="M1670" s="50">
        <v>0.0</v>
      </c>
      <c r="N1670" s="50">
        <v>0.0</v>
      </c>
      <c r="O1670" s="50">
        <v>0.0</v>
      </c>
      <c r="P1670" s="50">
        <v>0.0</v>
      </c>
      <c r="Q1670" s="50">
        <v>0.0</v>
      </c>
      <c r="R1670" s="50">
        <v>0.0</v>
      </c>
      <c r="S1670" s="50">
        <v>0.0</v>
      </c>
      <c r="T1670" s="50">
        <v>2.8125</v>
      </c>
      <c r="U1670" s="50">
        <v>0.0</v>
      </c>
      <c r="V1670" s="50">
        <v>5.625</v>
      </c>
      <c r="W1670" s="50">
        <v>0.0</v>
      </c>
      <c r="X1670" s="50">
        <v>2.8125</v>
      </c>
      <c r="Y1670" s="50">
        <v>11.25</v>
      </c>
    </row>
    <row r="1671">
      <c r="A1671" s="26">
        <v>1665.0</v>
      </c>
      <c r="B1671" s="65">
        <v>-0.25214202952830145</v>
      </c>
      <c r="C1671" s="65">
        <v>-0.21997929513138814</v>
      </c>
      <c r="D1671" s="65">
        <v>-1.7887164609457982</v>
      </c>
      <c r="E1671" s="65">
        <v>-0.12871807574688657</v>
      </c>
      <c r="F1671" s="65">
        <v>3.1578244622264675</v>
      </c>
      <c r="G1671" s="50">
        <v>0.0</v>
      </c>
      <c r="H1671" s="50">
        <v>0.0</v>
      </c>
      <c r="I1671" s="50">
        <v>0.0</v>
      </c>
      <c r="J1671" s="50">
        <v>0.0</v>
      </c>
      <c r="K1671" s="50">
        <v>0.0</v>
      </c>
      <c r="L1671" s="50">
        <v>0.0</v>
      </c>
      <c r="M1671" s="50">
        <v>0.0</v>
      </c>
      <c r="N1671" s="50">
        <v>0.0</v>
      </c>
      <c r="O1671" s="50">
        <v>7.425000000000001</v>
      </c>
      <c r="P1671" s="50">
        <v>2.475</v>
      </c>
      <c r="Q1671" s="50">
        <v>0.0</v>
      </c>
      <c r="R1671" s="50">
        <v>0.0</v>
      </c>
      <c r="S1671" s="50">
        <v>0.0</v>
      </c>
      <c r="T1671" s="50">
        <v>2.8125</v>
      </c>
      <c r="U1671" s="50">
        <v>0.0</v>
      </c>
      <c r="V1671" s="50">
        <v>5.625</v>
      </c>
      <c r="W1671" s="50">
        <v>0.0</v>
      </c>
      <c r="X1671" s="50">
        <v>2.8125</v>
      </c>
      <c r="Y1671" s="50">
        <v>21.15</v>
      </c>
    </row>
    <row r="1672">
      <c r="A1672" s="26">
        <v>1666.0</v>
      </c>
      <c r="B1672" s="65">
        <v>1.8003163078382727</v>
      </c>
      <c r="C1672" s="65">
        <v>-1.7924987447185388</v>
      </c>
      <c r="D1672" s="65">
        <v>0.8151077326215019</v>
      </c>
      <c r="E1672" s="65">
        <v>1.2201620969536187</v>
      </c>
      <c r="F1672" s="65">
        <v>2.2350970515530664</v>
      </c>
      <c r="G1672" s="50">
        <v>0.0</v>
      </c>
      <c r="H1672" s="50">
        <v>0.0</v>
      </c>
      <c r="I1672" s="50">
        <v>0.0</v>
      </c>
      <c r="J1672" s="50">
        <v>0.0</v>
      </c>
      <c r="K1672" s="50">
        <v>0.0</v>
      </c>
      <c r="L1672" s="50">
        <v>0.0</v>
      </c>
      <c r="M1672" s="50">
        <v>0.0</v>
      </c>
      <c r="N1672" s="50">
        <v>0.0</v>
      </c>
      <c r="O1672" s="50">
        <v>0.0</v>
      </c>
      <c r="P1672" s="50">
        <v>0.0</v>
      </c>
      <c r="Q1672" s="50">
        <v>0.0</v>
      </c>
      <c r="R1672" s="50">
        <v>0.0</v>
      </c>
      <c r="S1672" s="50">
        <v>0.0</v>
      </c>
      <c r="T1672" s="50">
        <v>2.8125</v>
      </c>
      <c r="U1672" s="50">
        <v>0.0</v>
      </c>
      <c r="V1672" s="50">
        <v>0.0</v>
      </c>
      <c r="W1672" s="50">
        <v>0.0</v>
      </c>
      <c r="X1672" s="50">
        <v>0.0</v>
      </c>
      <c r="Y1672" s="50">
        <v>2.8125</v>
      </c>
    </row>
    <row r="1673">
      <c r="A1673" s="26">
        <v>1667.0</v>
      </c>
      <c r="B1673" s="65">
        <v>-0.4296980652406992</v>
      </c>
      <c r="C1673" s="65">
        <v>1.0911446639758633</v>
      </c>
      <c r="D1673" s="65">
        <v>-1.0728179310778885</v>
      </c>
      <c r="E1673" s="65">
        <v>1.0320697740643827</v>
      </c>
      <c r="F1673" s="65">
        <v>3.976551397594028</v>
      </c>
      <c r="G1673" s="50">
        <v>0.0</v>
      </c>
      <c r="H1673" s="50">
        <v>0.0</v>
      </c>
      <c r="I1673" s="50">
        <v>0.0</v>
      </c>
      <c r="J1673" s="50">
        <v>0.0</v>
      </c>
      <c r="K1673" s="50">
        <v>0.0</v>
      </c>
      <c r="L1673" s="50">
        <v>0.0</v>
      </c>
      <c r="M1673" s="50">
        <v>0.0</v>
      </c>
      <c r="N1673" s="50">
        <v>0.0</v>
      </c>
      <c r="O1673" s="50">
        <v>0.0</v>
      </c>
      <c r="P1673" s="50">
        <v>0.0</v>
      </c>
      <c r="Q1673" s="50">
        <v>0.0</v>
      </c>
      <c r="R1673" s="50">
        <v>0.0</v>
      </c>
      <c r="S1673" s="50">
        <v>0.0</v>
      </c>
      <c r="T1673" s="50">
        <v>2.8125</v>
      </c>
      <c r="U1673" s="50">
        <v>0.0</v>
      </c>
      <c r="V1673" s="50">
        <v>0.0</v>
      </c>
      <c r="W1673" s="50">
        <v>0.0</v>
      </c>
      <c r="X1673" s="50">
        <v>2.8125</v>
      </c>
      <c r="Y1673" s="50">
        <v>5.625</v>
      </c>
    </row>
    <row r="1674">
      <c r="A1674" s="26">
        <v>1668.0</v>
      </c>
      <c r="B1674" s="65">
        <v>-0.22189132609876827</v>
      </c>
      <c r="C1674" s="65">
        <v>0.4029465237962207</v>
      </c>
      <c r="D1674" s="65">
        <v>0.604595296486183</v>
      </c>
      <c r="E1674" s="65">
        <v>1.220808080907801</v>
      </c>
      <c r="F1674" s="65">
        <v>5.000146671451251</v>
      </c>
      <c r="G1674" s="50">
        <v>0.0</v>
      </c>
      <c r="H1674" s="50">
        <v>0.0</v>
      </c>
      <c r="I1674" s="50">
        <v>0.0</v>
      </c>
      <c r="J1674" s="50">
        <v>0.0</v>
      </c>
      <c r="K1674" s="50">
        <v>0.0</v>
      </c>
      <c r="L1674" s="50">
        <v>0.0</v>
      </c>
      <c r="M1674" s="50">
        <v>0.0</v>
      </c>
      <c r="N1674" s="50">
        <v>0.0</v>
      </c>
      <c r="O1674" s="50">
        <v>0.0</v>
      </c>
      <c r="P1674" s="50">
        <v>0.0</v>
      </c>
      <c r="Q1674" s="50">
        <v>0.0</v>
      </c>
      <c r="R1674" s="50">
        <v>0.0</v>
      </c>
      <c r="S1674" s="50">
        <v>0.0</v>
      </c>
      <c r="T1674" s="50">
        <v>2.8125</v>
      </c>
      <c r="U1674" s="50">
        <v>0.0</v>
      </c>
      <c r="V1674" s="50">
        <v>0.0</v>
      </c>
      <c r="W1674" s="50">
        <v>0.0</v>
      </c>
      <c r="X1674" s="50">
        <v>2.8125</v>
      </c>
      <c r="Y1674" s="50">
        <v>5.625</v>
      </c>
    </row>
    <row r="1675">
      <c r="A1675" s="26">
        <v>1669.0</v>
      </c>
      <c r="B1675" s="65">
        <v>0.20169486965036804</v>
      </c>
      <c r="C1675" s="65">
        <v>-0.20408545389861407</v>
      </c>
      <c r="D1675" s="65">
        <v>-0.5655427399410777</v>
      </c>
      <c r="E1675" s="65">
        <v>0.5957178477588396</v>
      </c>
      <c r="F1675" s="65">
        <v>6.2929365829280774</v>
      </c>
      <c r="G1675" s="50">
        <v>0.0</v>
      </c>
      <c r="H1675" s="50">
        <v>0.0</v>
      </c>
      <c r="I1675" s="50">
        <v>0.0</v>
      </c>
      <c r="J1675" s="50">
        <v>0.0</v>
      </c>
      <c r="K1675" s="50">
        <v>0.0</v>
      </c>
      <c r="L1675" s="50">
        <v>0.0</v>
      </c>
      <c r="M1675" s="50">
        <v>0.0</v>
      </c>
      <c r="N1675" s="50">
        <v>0.0</v>
      </c>
      <c r="O1675" s="50">
        <v>0.0</v>
      </c>
      <c r="P1675" s="50">
        <v>0.0</v>
      </c>
      <c r="Q1675" s="50">
        <v>0.0</v>
      </c>
      <c r="R1675" s="50">
        <v>9.9</v>
      </c>
      <c r="S1675" s="50">
        <v>0.0</v>
      </c>
      <c r="T1675" s="50">
        <v>2.8125</v>
      </c>
      <c r="U1675" s="50">
        <v>0.0</v>
      </c>
      <c r="V1675" s="50">
        <v>5.625</v>
      </c>
      <c r="W1675" s="50">
        <v>0.0</v>
      </c>
      <c r="X1675" s="50">
        <v>2.8125</v>
      </c>
      <c r="Y1675" s="50">
        <v>21.15</v>
      </c>
    </row>
    <row r="1676">
      <c r="A1676" s="26">
        <v>1670.0</v>
      </c>
      <c r="B1676" s="65">
        <v>-2.0902780464506083</v>
      </c>
      <c r="C1676" s="65">
        <v>1.4347704451807535</v>
      </c>
      <c r="D1676" s="65">
        <v>1.1452736974903968</v>
      </c>
      <c r="E1676" s="65">
        <v>0.7358856653840519</v>
      </c>
      <c r="F1676" s="65">
        <v>6.361765206802818</v>
      </c>
      <c r="G1676" s="50">
        <v>0.0</v>
      </c>
      <c r="H1676" s="50">
        <v>0.0</v>
      </c>
      <c r="I1676" s="50">
        <v>0.0</v>
      </c>
      <c r="J1676" s="50">
        <v>0.0</v>
      </c>
      <c r="K1676" s="50">
        <v>0.0</v>
      </c>
      <c r="L1676" s="50">
        <v>0.0</v>
      </c>
      <c r="M1676" s="50">
        <v>0.0</v>
      </c>
      <c r="N1676" s="50">
        <v>0.0</v>
      </c>
      <c r="O1676" s="50">
        <v>0.0</v>
      </c>
      <c r="P1676" s="50">
        <v>0.0</v>
      </c>
      <c r="Q1676" s="50">
        <v>0.0</v>
      </c>
      <c r="R1676" s="50">
        <v>0.0</v>
      </c>
      <c r="S1676" s="50">
        <v>0.0</v>
      </c>
      <c r="T1676" s="50">
        <v>2.8125</v>
      </c>
      <c r="U1676" s="50">
        <v>0.0</v>
      </c>
      <c r="V1676" s="50">
        <v>5.625</v>
      </c>
      <c r="W1676" s="50">
        <v>0.0</v>
      </c>
      <c r="X1676" s="50">
        <v>2.8125</v>
      </c>
      <c r="Y1676" s="50">
        <v>11.25</v>
      </c>
    </row>
    <row r="1677">
      <c r="A1677" s="26">
        <v>1671.0</v>
      </c>
      <c r="B1677" s="65">
        <v>1.8686614347908088</v>
      </c>
      <c r="C1677" s="65">
        <v>0.6365059300609782</v>
      </c>
      <c r="D1677" s="65">
        <v>0.8913454873511991</v>
      </c>
      <c r="E1677" s="65">
        <v>-0.16328710949724334</v>
      </c>
      <c r="F1677" s="65">
        <v>5.262788341112527</v>
      </c>
      <c r="G1677" s="50">
        <v>0.0</v>
      </c>
      <c r="H1677" s="50">
        <v>0.0</v>
      </c>
      <c r="I1677" s="50">
        <v>0.0</v>
      </c>
      <c r="J1677" s="50">
        <v>0.0</v>
      </c>
      <c r="K1677" s="50">
        <v>0.0</v>
      </c>
      <c r="L1677" s="50">
        <v>0.0</v>
      </c>
      <c r="M1677" s="50">
        <v>0.0</v>
      </c>
      <c r="N1677" s="50">
        <v>0.0</v>
      </c>
      <c r="O1677" s="50">
        <v>0.0</v>
      </c>
      <c r="P1677" s="50">
        <v>0.0</v>
      </c>
      <c r="Q1677" s="50">
        <v>0.0</v>
      </c>
      <c r="R1677" s="50">
        <v>0.0</v>
      </c>
      <c r="S1677" s="50">
        <v>0.0</v>
      </c>
      <c r="T1677" s="50">
        <v>2.8125</v>
      </c>
      <c r="U1677" s="50">
        <v>0.0</v>
      </c>
      <c r="V1677" s="50">
        <v>0.0</v>
      </c>
      <c r="W1677" s="50">
        <v>0.0</v>
      </c>
      <c r="X1677" s="50">
        <v>2.8125</v>
      </c>
      <c r="Y1677" s="50">
        <v>5.625</v>
      </c>
    </row>
    <row r="1678">
      <c r="A1678" s="26">
        <v>1672.0</v>
      </c>
      <c r="B1678" s="65">
        <v>-0.13187396270433474</v>
      </c>
      <c r="C1678" s="65">
        <v>-0.07901605200616214</v>
      </c>
      <c r="D1678" s="65">
        <v>1.0263422824731727</v>
      </c>
      <c r="E1678" s="65">
        <v>0.2663728120175373</v>
      </c>
      <c r="F1678" s="65">
        <v>4.886734805379605</v>
      </c>
      <c r="G1678" s="50">
        <v>0.0</v>
      </c>
      <c r="H1678" s="50">
        <v>0.0</v>
      </c>
      <c r="I1678" s="50">
        <v>0.0</v>
      </c>
      <c r="J1678" s="50">
        <v>0.0</v>
      </c>
      <c r="K1678" s="50">
        <v>0.0</v>
      </c>
      <c r="L1678" s="50">
        <v>0.0</v>
      </c>
      <c r="M1678" s="50">
        <v>0.0</v>
      </c>
      <c r="N1678" s="50">
        <v>0.0</v>
      </c>
      <c r="O1678" s="50">
        <v>0.0</v>
      </c>
      <c r="P1678" s="50">
        <v>0.0</v>
      </c>
      <c r="Q1678" s="50">
        <v>0.0</v>
      </c>
      <c r="R1678" s="50">
        <v>0.0</v>
      </c>
      <c r="S1678" s="50">
        <v>0.0</v>
      </c>
      <c r="T1678" s="50">
        <v>2.8125</v>
      </c>
      <c r="U1678" s="50">
        <v>0.0</v>
      </c>
      <c r="V1678" s="50">
        <v>0.0</v>
      </c>
      <c r="W1678" s="50">
        <v>0.0</v>
      </c>
      <c r="X1678" s="50">
        <v>2.8125</v>
      </c>
      <c r="Y1678" s="50">
        <v>5.625</v>
      </c>
    </row>
    <row r="1679">
      <c r="A1679" s="26">
        <v>1673.0</v>
      </c>
      <c r="B1679" s="65">
        <v>0.9488438149219101</v>
      </c>
      <c r="C1679" s="65">
        <v>0.9070581415068765</v>
      </c>
      <c r="D1679" s="65">
        <v>-1.4813184640546804</v>
      </c>
      <c r="E1679" s="65">
        <v>-0.5963988641580162</v>
      </c>
      <c r="F1679" s="65">
        <v>10.285755000275012</v>
      </c>
      <c r="G1679" s="50">
        <v>0.0</v>
      </c>
      <c r="H1679" s="50">
        <v>0.0</v>
      </c>
      <c r="I1679" s="50">
        <v>0.0</v>
      </c>
      <c r="J1679" s="50">
        <v>0.0</v>
      </c>
      <c r="K1679" s="50">
        <v>0.0</v>
      </c>
      <c r="L1679" s="50">
        <v>0.0</v>
      </c>
      <c r="M1679" s="50">
        <v>0.0</v>
      </c>
      <c r="N1679" s="50">
        <v>0.0</v>
      </c>
      <c r="O1679" s="50">
        <v>0.0</v>
      </c>
      <c r="P1679" s="50">
        <v>0.0</v>
      </c>
      <c r="Q1679" s="50">
        <v>0.0</v>
      </c>
      <c r="R1679" s="50">
        <v>9.9</v>
      </c>
      <c r="S1679" s="50">
        <v>0.0</v>
      </c>
      <c r="T1679" s="50">
        <v>2.8125</v>
      </c>
      <c r="U1679" s="50">
        <v>0.0</v>
      </c>
      <c r="V1679" s="50">
        <v>0.0</v>
      </c>
      <c r="W1679" s="50">
        <v>0.0</v>
      </c>
      <c r="X1679" s="50">
        <v>2.8125</v>
      </c>
      <c r="Y1679" s="50">
        <v>15.525</v>
      </c>
    </row>
    <row r="1680">
      <c r="A1680" s="26">
        <v>1674.0</v>
      </c>
      <c r="B1680" s="65">
        <v>-2.158411429902601</v>
      </c>
      <c r="C1680" s="65">
        <v>-1.3309613284403667</v>
      </c>
      <c r="D1680" s="65">
        <v>0.28910300601812977</v>
      </c>
      <c r="E1680" s="65">
        <v>-0.48006883448500465</v>
      </c>
      <c r="F1680" s="65">
        <v>5.005548968088617</v>
      </c>
      <c r="G1680" s="50">
        <v>0.0</v>
      </c>
      <c r="H1680" s="50">
        <v>0.0</v>
      </c>
      <c r="I1680" s="50">
        <v>0.0</v>
      </c>
      <c r="J1680" s="50">
        <v>0.0</v>
      </c>
      <c r="K1680" s="50">
        <v>0.0</v>
      </c>
      <c r="L1680" s="50">
        <v>0.0</v>
      </c>
      <c r="M1680" s="50">
        <v>0.0</v>
      </c>
      <c r="N1680" s="50">
        <v>0.0</v>
      </c>
      <c r="O1680" s="50">
        <v>7.425000000000001</v>
      </c>
      <c r="P1680" s="50">
        <v>0.0</v>
      </c>
      <c r="Q1680" s="50">
        <v>0.0</v>
      </c>
      <c r="R1680" s="50">
        <v>0.0</v>
      </c>
      <c r="S1680" s="50">
        <v>0.0</v>
      </c>
      <c r="T1680" s="50">
        <v>2.8125</v>
      </c>
      <c r="U1680" s="50">
        <v>0.0</v>
      </c>
      <c r="V1680" s="50">
        <v>5.625</v>
      </c>
      <c r="W1680" s="50">
        <v>4.95</v>
      </c>
      <c r="X1680" s="50">
        <v>2.8125</v>
      </c>
      <c r="Y1680" s="50">
        <v>23.625</v>
      </c>
    </row>
    <row r="1681">
      <c r="A1681" s="26">
        <v>1675.0</v>
      </c>
      <c r="B1681" s="65">
        <v>-0.17910383701309293</v>
      </c>
      <c r="C1681" s="65">
        <v>-0.38274547851035934</v>
      </c>
      <c r="D1681" s="65">
        <v>0.2785163707486421</v>
      </c>
      <c r="E1681" s="65">
        <v>-1.231742181903499</v>
      </c>
      <c r="F1681" s="65">
        <v>3.7907395576006717</v>
      </c>
      <c r="G1681" s="50">
        <v>0.0</v>
      </c>
      <c r="H1681" s="50">
        <v>0.0</v>
      </c>
      <c r="I1681" s="50">
        <v>0.0</v>
      </c>
      <c r="J1681" s="50">
        <v>0.0</v>
      </c>
      <c r="K1681" s="50">
        <v>0.0</v>
      </c>
      <c r="L1681" s="50">
        <v>0.0</v>
      </c>
      <c r="M1681" s="50">
        <v>0.0</v>
      </c>
      <c r="N1681" s="50">
        <v>0.0</v>
      </c>
      <c r="O1681" s="50">
        <v>0.0</v>
      </c>
      <c r="P1681" s="50">
        <v>2.475</v>
      </c>
      <c r="Q1681" s="50">
        <v>0.0</v>
      </c>
      <c r="R1681" s="50">
        <v>0.0</v>
      </c>
      <c r="S1681" s="50">
        <v>0.0</v>
      </c>
      <c r="T1681" s="50">
        <v>2.8125</v>
      </c>
      <c r="U1681" s="50">
        <v>0.0</v>
      </c>
      <c r="V1681" s="50">
        <v>5.625</v>
      </c>
      <c r="W1681" s="50">
        <v>4.95</v>
      </c>
      <c r="X1681" s="50">
        <v>2.8125</v>
      </c>
      <c r="Y1681" s="50">
        <v>18.675</v>
      </c>
    </row>
    <row r="1682">
      <c r="A1682" s="26">
        <v>1676.0</v>
      </c>
      <c r="B1682" s="65">
        <v>-0.5150571393980385</v>
      </c>
      <c r="C1682" s="65">
        <v>1.309819434663113</v>
      </c>
      <c r="D1682" s="65">
        <v>-0.48070334784369795</v>
      </c>
      <c r="E1682" s="65">
        <v>-0.11941852229406771</v>
      </c>
      <c r="F1682" s="65">
        <v>4.8831408563987475</v>
      </c>
      <c r="G1682" s="50">
        <v>0.0</v>
      </c>
      <c r="H1682" s="50">
        <v>0.0</v>
      </c>
      <c r="I1682" s="50">
        <v>0.0</v>
      </c>
      <c r="J1682" s="50">
        <v>0.0</v>
      </c>
      <c r="K1682" s="50">
        <v>0.0</v>
      </c>
      <c r="L1682" s="50">
        <v>0.0</v>
      </c>
      <c r="M1682" s="50">
        <v>0.0</v>
      </c>
      <c r="N1682" s="50">
        <v>0.0</v>
      </c>
      <c r="O1682" s="50">
        <v>0.0</v>
      </c>
      <c r="P1682" s="50">
        <v>0.0</v>
      </c>
      <c r="Q1682" s="50">
        <v>0.0</v>
      </c>
      <c r="R1682" s="50">
        <v>0.0</v>
      </c>
      <c r="S1682" s="50">
        <v>0.0</v>
      </c>
      <c r="T1682" s="50">
        <v>2.8125</v>
      </c>
      <c r="U1682" s="50">
        <v>0.0</v>
      </c>
      <c r="V1682" s="50">
        <v>5.625</v>
      </c>
      <c r="W1682" s="50">
        <v>0.0</v>
      </c>
      <c r="X1682" s="50">
        <v>2.8125</v>
      </c>
      <c r="Y1682" s="50">
        <v>11.25</v>
      </c>
    </row>
    <row r="1683">
      <c r="A1683" s="26">
        <v>1677.0</v>
      </c>
      <c r="B1683" s="65">
        <v>1.2159290925742665</v>
      </c>
      <c r="C1683" s="65">
        <v>0.9038481004221529</v>
      </c>
      <c r="D1683" s="65">
        <v>-0.21221782666929992</v>
      </c>
      <c r="E1683" s="65">
        <v>0.7386080130865522</v>
      </c>
      <c r="F1683" s="65">
        <v>4.341893557265715</v>
      </c>
      <c r="G1683" s="50">
        <v>0.0</v>
      </c>
      <c r="H1683" s="50">
        <v>0.0</v>
      </c>
      <c r="I1683" s="50">
        <v>0.0</v>
      </c>
      <c r="J1683" s="50">
        <v>0.0</v>
      </c>
      <c r="K1683" s="50">
        <v>0.0</v>
      </c>
      <c r="L1683" s="50">
        <v>0.0</v>
      </c>
      <c r="M1683" s="50">
        <v>0.0</v>
      </c>
      <c r="N1683" s="50">
        <v>0.0</v>
      </c>
      <c r="O1683" s="50">
        <v>0.0</v>
      </c>
      <c r="P1683" s="50">
        <v>0.0</v>
      </c>
      <c r="Q1683" s="50">
        <v>0.0</v>
      </c>
      <c r="R1683" s="50">
        <v>0.0</v>
      </c>
      <c r="S1683" s="50">
        <v>0.0</v>
      </c>
      <c r="T1683" s="50">
        <v>2.8125</v>
      </c>
      <c r="U1683" s="50">
        <v>0.0</v>
      </c>
      <c r="V1683" s="50">
        <v>0.0</v>
      </c>
      <c r="W1683" s="50">
        <v>0.0</v>
      </c>
      <c r="X1683" s="50">
        <v>2.8125</v>
      </c>
      <c r="Y1683" s="50">
        <v>5.625</v>
      </c>
    </row>
    <row r="1684">
      <c r="A1684" s="26">
        <v>1678.0</v>
      </c>
      <c r="B1684" s="65">
        <v>-0.32053091718293936</v>
      </c>
      <c r="C1684" s="65">
        <v>-0.3199330887377773</v>
      </c>
      <c r="D1684" s="65">
        <v>0.4784572894818045</v>
      </c>
      <c r="E1684" s="65">
        <v>-0.2309441783199036</v>
      </c>
      <c r="F1684" s="65">
        <v>2.1768733780953218</v>
      </c>
      <c r="G1684" s="50">
        <v>0.0</v>
      </c>
      <c r="H1684" s="50">
        <v>0.0</v>
      </c>
      <c r="I1684" s="50">
        <v>0.0</v>
      </c>
      <c r="J1684" s="50">
        <v>0.0</v>
      </c>
      <c r="K1684" s="50">
        <v>0.0</v>
      </c>
      <c r="L1684" s="50">
        <v>0.0</v>
      </c>
      <c r="M1684" s="50">
        <v>0.0</v>
      </c>
      <c r="N1684" s="50">
        <v>0.0</v>
      </c>
      <c r="O1684" s="50">
        <v>7.425000000000001</v>
      </c>
      <c r="P1684" s="50">
        <v>0.0</v>
      </c>
      <c r="Q1684" s="50">
        <v>0.0</v>
      </c>
      <c r="R1684" s="50">
        <v>0.0</v>
      </c>
      <c r="S1684" s="50">
        <v>0.0</v>
      </c>
      <c r="T1684" s="50">
        <v>2.8125</v>
      </c>
      <c r="U1684" s="50">
        <v>9.9</v>
      </c>
      <c r="V1684" s="50">
        <v>0.0</v>
      </c>
      <c r="W1684" s="50">
        <v>4.95</v>
      </c>
      <c r="X1684" s="50">
        <v>2.8125</v>
      </c>
      <c r="Y1684" s="50">
        <v>27.900000000000002</v>
      </c>
    </row>
    <row r="1685">
      <c r="A1685" s="26">
        <v>1679.0</v>
      </c>
      <c r="B1685" s="65">
        <v>-0.2876284986519592</v>
      </c>
      <c r="C1685" s="65">
        <v>0.24112756485899509</v>
      </c>
      <c r="D1685" s="65">
        <v>0.8159467180366254</v>
      </c>
      <c r="E1685" s="65">
        <v>0.4678793434476259</v>
      </c>
      <c r="F1685" s="65">
        <v>3.507576636624588</v>
      </c>
      <c r="G1685" s="50">
        <v>0.0</v>
      </c>
      <c r="H1685" s="50">
        <v>0.0</v>
      </c>
      <c r="I1685" s="50">
        <v>0.0</v>
      </c>
      <c r="J1685" s="50">
        <v>0.0</v>
      </c>
      <c r="K1685" s="50">
        <v>0.0</v>
      </c>
      <c r="L1685" s="50">
        <v>0.0</v>
      </c>
      <c r="M1685" s="50">
        <v>0.0</v>
      </c>
      <c r="N1685" s="50">
        <v>0.0</v>
      </c>
      <c r="O1685" s="50">
        <v>0.0</v>
      </c>
      <c r="P1685" s="50">
        <v>0.0</v>
      </c>
      <c r="Q1685" s="50">
        <v>0.0</v>
      </c>
      <c r="R1685" s="50">
        <v>0.0</v>
      </c>
      <c r="S1685" s="50">
        <v>0.0</v>
      </c>
      <c r="T1685" s="50">
        <v>2.8125</v>
      </c>
      <c r="U1685" s="50">
        <v>0.0</v>
      </c>
      <c r="V1685" s="50">
        <v>0.0</v>
      </c>
      <c r="W1685" s="50">
        <v>0.0</v>
      </c>
      <c r="X1685" s="50">
        <v>2.8125</v>
      </c>
      <c r="Y1685" s="50">
        <v>5.625</v>
      </c>
    </row>
    <row r="1686">
      <c r="A1686" s="26">
        <v>1680.0</v>
      </c>
      <c r="B1686" s="65">
        <v>-1.5394738716797656</v>
      </c>
      <c r="C1686" s="65">
        <v>0.3976156998704387</v>
      </c>
      <c r="D1686" s="65">
        <v>0.6957362626967832</v>
      </c>
      <c r="E1686" s="65">
        <v>2.2979274420878975</v>
      </c>
      <c r="F1686" s="65">
        <v>5.637666185460759</v>
      </c>
      <c r="G1686" s="50">
        <v>0.0</v>
      </c>
      <c r="H1686" s="50">
        <v>0.0</v>
      </c>
      <c r="I1686" s="50">
        <v>0.0</v>
      </c>
      <c r="J1686" s="50">
        <v>0.0</v>
      </c>
      <c r="K1686" s="50">
        <v>0.0</v>
      </c>
      <c r="L1686" s="50">
        <v>0.0</v>
      </c>
      <c r="M1686" s="50">
        <v>0.0</v>
      </c>
      <c r="N1686" s="50">
        <v>0.0</v>
      </c>
      <c r="O1686" s="50">
        <v>0.0</v>
      </c>
      <c r="P1686" s="50">
        <v>0.0</v>
      </c>
      <c r="Q1686" s="50">
        <v>0.0</v>
      </c>
      <c r="R1686" s="50">
        <v>0.0</v>
      </c>
      <c r="S1686" s="50">
        <v>0.0</v>
      </c>
      <c r="T1686" s="50">
        <v>2.8125</v>
      </c>
      <c r="U1686" s="50">
        <v>0.0</v>
      </c>
      <c r="V1686" s="50">
        <v>0.0</v>
      </c>
      <c r="W1686" s="50">
        <v>0.0</v>
      </c>
      <c r="X1686" s="50">
        <v>2.8125</v>
      </c>
      <c r="Y1686" s="50">
        <v>5.625</v>
      </c>
    </row>
    <row r="1687">
      <c r="A1687" s="26">
        <v>1681.0</v>
      </c>
      <c r="B1687" s="65">
        <v>-0.033666786292263405</v>
      </c>
      <c r="C1687" s="65">
        <v>1.2850092125425232</v>
      </c>
      <c r="D1687" s="65">
        <v>1.5562757797556481</v>
      </c>
      <c r="E1687" s="65">
        <v>-0.1478603818941985</v>
      </c>
      <c r="F1687" s="65">
        <v>5.692662873720493</v>
      </c>
      <c r="G1687" s="50">
        <v>0.0</v>
      </c>
      <c r="H1687" s="50">
        <v>0.0</v>
      </c>
      <c r="I1687" s="50">
        <v>0.0</v>
      </c>
      <c r="J1687" s="50">
        <v>0.0</v>
      </c>
      <c r="K1687" s="50">
        <v>0.0</v>
      </c>
      <c r="L1687" s="50">
        <v>0.0</v>
      </c>
      <c r="M1687" s="50">
        <v>0.0</v>
      </c>
      <c r="N1687" s="50">
        <v>0.0</v>
      </c>
      <c r="O1687" s="50">
        <v>0.0</v>
      </c>
      <c r="P1687" s="50">
        <v>0.0</v>
      </c>
      <c r="Q1687" s="50">
        <v>0.0</v>
      </c>
      <c r="R1687" s="50">
        <v>0.0</v>
      </c>
      <c r="S1687" s="50">
        <v>0.0</v>
      </c>
      <c r="T1687" s="50">
        <v>2.8125</v>
      </c>
      <c r="U1687" s="50">
        <v>0.0</v>
      </c>
      <c r="V1687" s="50">
        <v>0.0</v>
      </c>
      <c r="W1687" s="50">
        <v>0.0</v>
      </c>
      <c r="X1687" s="50">
        <v>2.8125</v>
      </c>
      <c r="Y1687" s="50">
        <v>5.625</v>
      </c>
    </row>
    <row r="1688">
      <c r="A1688" s="26">
        <v>1682.0</v>
      </c>
      <c r="B1688" s="65">
        <v>-0.39370181851151936</v>
      </c>
      <c r="C1688" s="65">
        <v>-0.6910234882646382</v>
      </c>
      <c r="D1688" s="65">
        <v>-1.11081206408613</v>
      </c>
      <c r="E1688" s="65">
        <v>1.35194914903515</v>
      </c>
      <c r="F1688" s="65">
        <v>17.4087988366055</v>
      </c>
      <c r="G1688" s="50">
        <v>0.0</v>
      </c>
      <c r="H1688" s="50">
        <v>0.0</v>
      </c>
      <c r="I1688" s="50">
        <v>0.0</v>
      </c>
      <c r="J1688" s="50">
        <v>0.0</v>
      </c>
      <c r="K1688" s="50">
        <v>0.0</v>
      </c>
      <c r="L1688" s="50">
        <v>0.0</v>
      </c>
      <c r="M1688" s="50">
        <v>0.0</v>
      </c>
      <c r="N1688" s="50">
        <v>0.0</v>
      </c>
      <c r="O1688" s="50">
        <v>0.0</v>
      </c>
      <c r="P1688" s="50">
        <v>0.0</v>
      </c>
      <c r="Q1688" s="50">
        <v>0.0</v>
      </c>
      <c r="R1688" s="50">
        <v>0.0</v>
      </c>
      <c r="S1688" s="50">
        <v>0.0</v>
      </c>
      <c r="T1688" s="50">
        <v>2.8125</v>
      </c>
      <c r="U1688" s="50">
        <v>0.0</v>
      </c>
      <c r="V1688" s="50">
        <v>0.0</v>
      </c>
      <c r="W1688" s="50">
        <v>0.0</v>
      </c>
      <c r="X1688" s="50">
        <v>2.8125</v>
      </c>
      <c r="Y1688" s="50">
        <v>5.625</v>
      </c>
    </row>
    <row r="1689">
      <c r="A1689" s="26">
        <v>1683.0</v>
      </c>
      <c r="B1689" s="65">
        <v>-0.602628330616855</v>
      </c>
      <c r="C1689" s="65">
        <v>1.7348215625568142</v>
      </c>
      <c r="D1689" s="65">
        <v>0.5232924876753469</v>
      </c>
      <c r="E1689" s="65">
        <v>-0.42477437113681976</v>
      </c>
      <c r="F1689" s="65">
        <v>5.407450527955728</v>
      </c>
      <c r="G1689" s="50">
        <v>0.0</v>
      </c>
      <c r="H1689" s="50">
        <v>0.0</v>
      </c>
      <c r="I1689" s="50">
        <v>0.0</v>
      </c>
      <c r="J1689" s="50">
        <v>0.0</v>
      </c>
      <c r="K1689" s="50">
        <v>0.0</v>
      </c>
      <c r="L1689" s="50">
        <v>0.0</v>
      </c>
      <c r="M1689" s="50">
        <v>0.0</v>
      </c>
      <c r="N1689" s="50">
        <v>0.0</v>
      </c>
      <c r="O1689" s="50">
        <v>0.0</v>
      </c>
      <c r="P1689" s="50">
        <v>0.0</v>
      </c>
      <c r="Q1689" s="50">
        <v>0.0</v>
      </c>
      <c r="R1689" s="50">
        <v>0.0</v>
      </c>
      <c r="S1689" s="50">
        <v>0.0</v>
      </c>
      <c r="T1689" s="50">
        <v>2.8125</v>
      </c>
      <c r="U1689" s="50">
        <v>0.0</v>
      </c>
      <c r="V1689" s="50">
        <v>5.625</v>
      </c>
      <c r="W1689" s="50">
        <v>0.0</v>
      </c>
      <c r="X1689" s="50">
        <v>2.8125</v>
      </c>
      <c r="Y1689" s="50">
        <v>11.25</v>
      </c>
    </row>
    <row r="1690">
      <c r="A1690" s="26">
        <v>1684.0</v>
      </c>
      <c r="B1690" s="65">
        <v>0.5069239672877375</v>
      </c>
      <c r="C1690" s="65">
        <v>0.2230211501863879</v>
      </c>
      <c r="D1690" s="65">
        <v>1.1529584322226984</v>
      </c>
      <c r="E1690" s="65">
        <v>1.1743323863235269</v>
      </c>
      <c r="F1690" s="65">
        <v>7.438765535555159</v>
      </c>
      <c r="G1690" s="50">
        <v>0.0</v>
      </c>
      <c r="H1690" s="50">
        <v>0.0</v>
      </c>
      <c r="I1690" s="50">
        <v>0.0</v>
      </c>
      <c r="J1690" s="50">
        <v>0.0</v>
      </c>
      <c r="K1690" s="50">
        <v>0.0</v>
      </c>
      <c r="L1690" s="50">
        <v>0.0</v>
      </c>
      <c r="M1690" s="50">
        <v>0.0</v>
      </c>
      <c r="N1690" s="50">
        <v>0.0</v>
      </c>
      <c r="O1690" s="50">
        <v>0.0</v>
      </c>
      <c r="P1690" s="50">
        <v>0.0</v>
      </c>
      <c r="Q1690" s="50">
        <v>0.0</v>
      </c>
      <c r="R1690" s="50">
        <v>0.0</v>
      </c>
      <c r="S1690" s="50">
        <v>0.0</v>
      </c>
      <c r="T1690" s="50">
        <v>2.8125</v>
      </c>
      <c r="U1690" s="50">
        <v>0.0</v>
      </c>
      <c r="V1690" s="50">
        <v>0.0</v>
      </c>
      <c r="W1690" s="50">
        <v>0.0</v>
      </c>
      <c r="X1690" s="50">
        <v>2.8125</v>
      </c>
      <c r="Y1690" s="50">
        <v>5.625</v>
      </c>
    </row>
    <row r="1691">
      <c r="A1691" s="26">
        <v>1685.0</v>
      </c>
      <c r="B1691" s="65">
        <v>-0.08275174117196607</v>
      </c>
      <c r="C1691" s="65">
        <v>-0.1899619956082784</v>
      </c>
      <c r="D1691" s="65">
        <v>-0.29298199075768444</v>
      </c>
      <c r="E1691" s="65">
        <v>-0.5634336145859781</v>
      </c>
      <c r="F1691" s="65">
        <v>7.4910681295388954</v>
      </c>
      <c r="G1691" s="50">
        <v>0.0</v>
      </c>
      <c r="H1691" s="50">
        <v>0.0</v>
      </c>
      <c r="I1691" s="50">
        <v>0.0</v>
      </c>
      <c r="J1691" s="50">
        <v>0.0</v>
      </c>
      <c r="K1691" s="50">
        <v>0.0</v>
      </c>
      <c r="L1691" s="50">
        <v>0.0</v>
      </c>
      <c r="M1691" s="50">
        <v>0.0</v>
      </c>
      <c r="N1691" s="50">
        <v>0.0</v>
      </c>
      <c r="O1691" s="50">
        <v>0.0</v>
      </c>
      <c r="P1691" s="50">
        <v>0.0</v>
      </c>
      <c r="Q1691" s="50">
        <v>0.0</v>
      </c>
      <c r="R1691" s="50">
        <v>0.0</v>
      </c>
      <c r="S1691" s="50">
        <v>0.0</v>
      </c>
      <c r="T1691" s="50">
        <v>2.8125</v>
      </c>
      <c r="U1691" s="50">
        <v>0.0</v>
      </c>
      <c r="V1691" s="50">
        <v>5.625</v>
      </c>
      <c r="W1691" s="50">
        <v>0.0</v>
      </c>
      <c r="X1691" s="50">
        <v>2.8125</v>
      </c>
      <c r="Y1691" s="50">
        <v>11.25</v>
      </c>
    </row>
    <row r="1692">
      <c r="A1692" s="26">
        <v>1686.0</v>
      </c>
      <c r="B1692" s="65">
        <v>-0.25422246602872</v>
      </c>
      <c r="C1692" s="65">
        <v>-0.2654465750827734</v>
      </c>
      <c r="D1692" s="65">
        <v>0.0674987404756839</v>
      </c>
      <c r="E1692" s="65">
        <v>1.4155344234919247</v>
      </c>
      <c r="F1692" s="65">
        <v>3.75742911843722</v>
      </c>
      <c r="G1692" s="50">
        <v>0.0</v>
      </c>
      <c r="H1692" s="50">
        <v>0.0</v>
      </c>
      <c r="I1692" s="50">
        <v>0.0</v>
      </c>
      <c r="J1692" s="50">
        <v>0.0</v>
      </c>
      <c r="K1692" s="50">
        <v>0.0</v>
      </c>
      <c r="L1692" s="50">
        <v>0.0</v>
      </c>
      <c r="M1692" s="50">
        <v>0.0</v>
      </c>
      <c r="N1692" s="50">
        <v>0.0</v>
      </c>
      <c r="O1692" s="50">
        <v>7.425000000000001</v>
      </c>
      <c r="P1692" s="50">
        <v>2.475</v>
      </c>
      <c r="Q1692" s="50">
        <v>0.0</v>
      </c>
      <c r="R1692" s="50">
        <v>9.9</v>
      </c>
      <c r="S1692" s="50">
        <v>0.0</v>
      </c>
      <c r="T1692" s="50">
        <v>2.8125</v>
      </c>
      <c r="U1692" s="50">
        <v>0.0</v>
      </c>
      <c r="V1692" s="50">
        <v>0.0</v>
      </c>
      <c r="W1692" s="50">
        <v>0.0</v>
      </c>
      <c r="X1692" s="50">
        <v>2.8125</v>
      </c>
      <c r="Y1692" s="50">
        <v>25.425</v>
      </c>
    </row>
    <row r="1693">
      <c r="A1693" s="26">
        <v>1687.0</v>
      </c>
      <c r="B1693" s="65">
        <v>-1.5370643302484501</v>
      </c>
      <c r="C1693" s="65">
        <v>-1.7202486585336838</v>
      </c>
      <c r="D1693" s="65">
        <v>-0.5201026812511663</v>
      </c>
      <c r="E1693" s="65">
        <v>-1.2598046153157634</v>
      </c>
      <c r="F1693" s="65">
        <v>1.6754494116055398</v>
      </c>
      <c r="G1693" s="50">
        <v>0.0</v>
      </c>
      <c r="H1693" s="50">
        <v>0.0</v>
      </c>
      <c r="I1693" s="50">
        <v>0.0</v>
      </c>
      <c r="J1693" s="50">
        <v>0.0</v>
      </c>
      <c r="K1693" s="50">
        <v>0.0</v>
      </c>
      <c r="L1693" s="50">
        <v>0.0</v>
      </c>
      <c r="M1693" s="50">
        <v>0.0</v>
      </c>
      <c r="N1693" s="50">
        <v>0.0</v>
      </c>
      <c r="O1693" s="50">
        <v>7.425000000000001</v>
      </c>
      <c r="P1693" s="50">
        <v>0.0</v>
      </c>
      <c r="Q1693" s="50">
        <v>0.0</v>
      </c>
      <c r="R1693" s="50">
        <v>9.9</v>
      </c>
      <c r="S1693" s="50">
        <v>0.0</v>
      </c>
      <c r="T1693" s="50">
        <v>2.8125</v>
      </c>
      <c r="U1693" s="50">
        <v>9.9</v>
      </c>
      <c r="V1693" s="50">
        <v>5.625</v>
      </c>
      <c r="W1693" s="50">
        <v>4.95</v>
      </c>
      <c r="X1693" s="50">
        <v>2.8125</v>
      </c>
      <c r="Y1693" s="50">
        <v>43.425000000000004</v>
      </c>
    </row>
    <row r="1694">
      <c r="A1694" s="26">
        <v>1688.0</v>
      </c>
      <c r="B1694" s="65">
        <v>0.3020269161191035</v>
      </c>
      <c r="C1694" s="65">
        <v>-1.4398916330897706</v>
      </c>
      <c r="D1694" s="65">
        <v>1.9373458283124787</v>
      </c>
      <c r="E1694" s="65">
        <v>-0.40290555283592844</v>
      </c>
      <c r="F1694" s="65">
        <v>2.168604031008834</v>
      </c>
      <c r="G1694" s="50">
        <v>0.0</v>
      </c>
      <c r="H1694" s="50">
        <v>0.0</v>
      </c>
      <c r="I1694" s="50">
        <v>0.0</v>
      </c>
      <c r="J1694" s="50">
        <v>0.0</v>
      </c>
      <c r="K1694" s="50">
        <v>0.0</v>
      </c>
      <c r="L1694" s="50">
        <v>0.0</v>
      </c>
      <c r="M1694" s="50">
        <v>0.0</v>
      </c>
      <c r="N1694" s="50">
        <v>0.0</v>
      </c>
      <c r="O1694" s="50">
        <v>7.425000000000001</v>
      </c>
      <c r="P1694" s="50">
        <v>0.0</v>
      </c>
      <c r="Q1694" s="50">
        <v>0.0</v>
      </c>
      <c r="R1694" s="50">
        <v>0.0</v>
      </c>
      <c r="S1694" s="50">
        <v>0.0</v>
      </c>
      <c r="T1694" s="50">
        <v>2.8125</v>
      </c>
      <c r="U1694" s="50">
        <v>0.0</v>
      </c>
      <c r="V1694" s="50">
        <v>5.625</v>
      </c>
      <c r="W1694" s="50">
        <v>0.0</v>
      </c>
      <c r="X1694" s="50">
        <v>2.8125</v>
      </c>
      <c r="Y1694" s="50">
        <v>18.675</v>
      </c>
    </row>
    <row r="1695">
      <c r="A1695" s="26">
        <v>1689.0</v>
      </c>
      <c r="B1695" s="65">
        <v>1.0915212950715152</v>
      </c>
      <c r="C1695" s="65">
        <v>1.0676756828278353</v>
      </c>
      <c r="D1695" s="65">
        <v>0.612508556337078</v>
      </c>
      <c r="E1695" s="65">
        <v>-0.21322523984177413</v>
      </c>
      <c r="F1695" s="65">
        <v>7.519820914675824</v>
      </c>
      <c r="G1695" s="50">
        <v>0.0</v>
      </c>
      <c r="H1695" s="50">
        <v>0.0</v>
      </c>
      <c r="I1695" s="50">
        <v>0.0</v>
      </c>
      <c r="J1695" s="50">
        <v>0.0</v>
      </c>
      <c r="K1695" s="50">
        <v>0.0</v>
      </c>
      <c r="L1695" s="50">
        <v>0.0</v>
      </c>
      <c r="M1695" s="50">
        <v>0.0</v>
      </c>
      <c r="N1695" s="50">
        <v>0.0</v>
      </c>
      <c r="O1695" s="50">
        <v>0.0</v>
      </c>
      <c r="P1695" s="50">
        <v>0.0</v>
      </c>
      <c r="Q1695" s="50">
        <v>0.0</v>
      </c>
      <c r="R1695" s="50">
        <v>0.0</v>
      </c>
      <c r="S1695" s="50">
        <v>0.0</v>
      </c>
      <c r="T1695" s="50">
        <v>2.8125</v>
      </c>
      <c r="U1695" s="50">
        <v>0.0</v>
      </c>
      <c r="V1695" s="50">
        <v>0.0</v>
      </c>
      <c r="W1695" s="50">
        <v>0.0</v>
      </c>
      <c r="X1695" s="50">
        <v>2.8125</v>
      </c>
      <c r="Y1695" s="50">
        <v>5.625</v>
      </c>
    </row>
    <row r="1696">
      <c r="A1696" s="26">
        <v>1690.0</v>
      </c>
      <c r="B1696" s="65">
        <v>0.3688744305119191</v>
      </c>
      <c r="C1696" s="65">
        <v>-0.4970951643689794</v>
      </c>
      <c r="D1696" s="65">
        <v>1.1420069741216072</v>
      </c>
      <c r="E1696" s="65">
        <v>1.608548399648223</v>
      </c>
      <c r="F1696" s="65">
        <v>2.6566940328706017</v>
      </c>
      <c r="G1696" s="50">
        <v>0.0</v>
      </c>
      <c r="H1696" s="50">
        <v>0.0</v>
      </c>
      <c r="I1696" s="50">
        <v>0.0</v>
      </c>
      <c r="J1696" s="50">
        <v>0.0</v>
      </c>
      <c r="K1696" s="50">
        <v>0.0</v>
      </c>
      <c r="L1696" s="50">
        <v>0.0</v>
      </c>
      <c r="M1696" s="50">
        <v>0.0</v>
      </c>
      <c r="N1696" s="50">
        <v>0.0</v>
      </c>
      <c r="O1696" s="50">
        <v>0.0</v>
      </c>
      <c r="P1696" s="50">
        <v>0.0</v>
      </c>
      <c r="Q1696" s="50">
        <v>0.0</v>
      </c>
      <c r="R1696" s="50">
        <v>0.0</v>
      </c>
      <c r="S1696" s="50">
        <v>0.0</v>
      </c>
      <c r="T1696" s="50">
        <v>2.8125</v>
      </c>
      <c r="U1696" s="50">
        <v>0.0</v>
      </c>
      <c r="V1696" s="50">
        <v>0.0</v>
      </c>
      <c r="W1696" s="50">
        <v>0.0</v>
      </c>
      <c r="X1696" s="50">
        <v>2.8125</v>
      </c>
      <c r="Y1696" s="50">
        <v>5.625</v>
      </c>
    </row>
    <row r="1697">
      <c r="A1697" s="26">
        <v>1691.0</v>
      </c>
      <c r="B1697" s="65">
        <v>0.8113484824340776</v>
      </c>
      <c r="C1697" s="65">
        <v>0.6734186906098981</v>
      </c>
      <c r="D1697" s="65">
        <v>0.24629922408625304</v>
      </c>
      <c r="E1697" s="65">
        <v>-1.5745925198769555</v>
      </c>
      <c r="F1697" s="65">
        <v>1.9183173804154043</v>
      </c>
      <c r="G1697" s="50">
        <v>0.0</v>
      </c>
      <c r="H1697" s="50">
        <v>0.0</v>
      </c>
      <c r="I1697" s="50">
        <v>0.0</v>
      </c>
      <c r="J1697" s="50">
        <v>0.0</v>
      </c>
      <c r="K1697" s="50">
        <v>0.0</v>
      </c>
      <c r="L1697" s="50">
        <v>0.0</v>
      </c>
      <c r="M1697" s="50">
        <v>0.0</v>
      </c>
      <c r="N1697" s="50">
        <v>0.0</v>
      </c>
      <c r="O1697" s="50">
        <v>0.0</v>
      </c>
      <c r="P1697" s="50">
        <v>0.0</v>
      </c>
      <c r="Q1697" s="50">
        <v>0.0</v>
      </c>
      <c r="R1697" s="50">
        <v>0.0</v>
      </c>
      <c r="S1697" s="50">
        <v>0.0</v>
      </c>
      <c r="T1697" s="50">
        <v>2.8125</v>
      </c>
      <c r="U1697" s="50">
        <v>9.9</v>
      </c>
      <c r="V1697" s="50">
        <v>5.625</v>
      </c>
      <c r="W1697" s="50">
        <v>0.0</v>
      </c>
      <c r="X1697" s="50">
        <v>2.8125</v>
      </c>
      <c r="Y1697" s="50">
        <v>21.15</v>
      </c>
    </row>
    <row r="1698">
      <c r="A1698" s="26">
        <v>1692.0</v>
      </c>
      <c r="B1698" s="65">
        <v>-0.543616547781693</v>
      </c>
      <c r="C1698" s="65">
        <v>0.874402366318073</v>
      </c>
      <c r="D1698" s="65">
        <v>0.6962362138404239</v>
      </c>
      <c r="E1698" s="65">
        <v>2.749861265720116</v>
      </c>
      <c r="F1698" s="65">
        <v>13.279771622709175</v>
      </c>
      <c r="G1698" s="50">
        <v>0.0</v>
      </c>
      <c r="H1698" s="50">
        <v>0.0</v>
      </c>
      <c r="I1698" s="50">
        <v>0.0</v>
      </c>
      <c r="J1698" s="50">
        <v>0.0</v>
      </c>
      <c r="K1698" s="50">
        <v>0.0</v>
      </c>
      <c r="L1698" s="50">
        <v>0.0</v>
      </c>
      <c r="M1698" s="50">
        <v>0.0</v>
      </c>
      <c r="N1698" s="50">
        <v>0.0</v>
      </c>
      <c r="O1698" s="50">
        <v>0.0</v>
      </c>
      <c r="P1698" s="50">
        <v>0.0</v>
      </c>
      <c r="Q1698" s="50">
        <v>0.0</v>
      </c>
      <c r="R1698" s="50">
        <v>0.0</v>
      </c>
      <c r="S1698" s="50">
        <v>0.0</v>
      </c>
      <c r="T1698" s="50">
        <v>2.8125</v>
      </c>
      <c r="U1698" s="50">
        <v>0.0</v>
      </c>
      <c r="V1698" s="50">
        <v>0.0</v>
      </c>
      <c r="W1698" s="50">
        <v>0.0</v>
      </c>
      <c r="X1698" s="50">
        <v>2.8125</v>
      </c>
      <c r="Y1698" s="50">
        <v>5.625</v>
      </c>
    </row>
    <row r="1699">
      <c r="A1699" s="26">
        <v>1693.0</v>
      </c>
      <c r="B1699" s="65">
        <v>-0.7225642607832068</v>
      </c>
      <c r="C1699" s="65">
        <v>0.38568279485131834</v>
      </c>
      <c r="D1699" s="65">
        <v>0.5956576177707038</v>
      </c>
      <c r="E1699" s="65">
        <v>0.9627523516540486</v>
      </c>
      <c r="F1699" s="65">
        <v>4.7142524855118175</v>
      </c>
      <c r="G1699" s="50">
        <v>0.0</v>
      </c>
      <c r="H1699" s="50">
        <v>0.0</v>
      </c>
      <c r="I1699" s="50">
        <v>0.0</v>
      </c>
      <c r="J1699" s="50">
        <v>0.0</v>
      </c>
      <c r="K1699" s="50">
        <v>0.0</v>
      </c>
      <c r="L1699" s="50">
        <v>0.0</v>
      </c>
      <c r="M1699" s="50">
        <v>0.0</v>
      </c>
      <c r="N1699" s="50">
        <v>0.0</v>
      </c>
      <c r="O1699" s="50">
        <v>7.425000000000001</v>
      </c>
      <c r="P1699" s="50">
        <v>0.0</v>
      </c>
      <c r="Q1699" s="50">
        <v>0.0</v>
      </c>
      <c r="R1699" s="50">
        <v>0.0</v>
      </c>
      <c r="S1699" s="50">
        <v>0.0</v>
      </c>
      <c r="T1699" s="50">
        <v>2.8125</v>
      </c>
      <c r="U1699" s="50">
        <v>0.0</v>
      </c>
      <c r="V1699" s="50">
        <v>0.0</v>
      </c>
      <c r="W1699" s="50">
        <v>0.0</v>
      </c>
      <c r="X1699" s="50">
        <v>2.8125</v>
      </c>
      <c r="Y1699" s="50">
        <v>13.05</v>
      </c>
    </row>
    <row r="1700">
      <c r="A1700" s="26">
        <v>1694.0</v>
      </c>
      <c r="B1700" s="65">
        <v>0.7732004692699426</v>
      </c>
      <c r="C1700" s="65">
        <v>-0.9686481429721916</v>
      </c>
      <c r="D1700" s="65">
        <v>-0.70952608860314</v>
      </c>
      <c r="E1700" s="65">
        <v>0.024799700677367368</v>
      </c>
      <c r="F1700" s="65">
        <v>1.8328501205781875</v>
      </c>
      <c r="G1700" s="50">
        <v>0.0</v>
      </c>
      <c r="H1700" s="50">
        <v>0.0</v>
      </c>
      <c r="I1700" s="50">
        <v>0.0</v>
      </c>
      <c r="J1700" s="50">
        <v>0.0</v>
      </c>
      <c r="K1700" s="50">
        <v>0.0</v>
      </c>
      <c r="L1700" s="50">
        <v>0.0</v>
      </c>
      <c r="M1700" s="50">
        <v>0.0</v>
      </c>
      <c r="N1700" s="50">
        <v>0.0</v>
      </c>
      <c r="O1700" s="50">
        <v>7.425000000000001</v>
      </c>
      <c r="P1700" s="50">
        <v>0.0</v>
      </c>
      <c r="Q1700" s="50">
        <v>0.0</v>
      </c>
      <c r="R1700" s="50">
        <v>0.0</v>
      </c>
      <c r="S1700" s="50">
        <v>0.0</v>
      </c>
      <c r="T1700" s="50">
        <v>2.8125</v>
      </c>
      <c r="U1700" s="50">
        <v>0.0</v>
      </c>
      <c r="V1700" s="50">
        <v>5.625</v>
      </c>
      <c r="W1700" s="50">
        <v>0.0</v>
      </c>
      <c r="X1700" s="50">
        <v>2.8125</v>
      </c>
      <c r="Y1700" s="50">
        <v>18.675</v>
      </c>
    </row>
    <row r="1701">
      <c r="A1701" s="26">
        <v>1695.0</v>
      </c>
      <c r="B1701" s="65">
        <v>0.8826798615608535</v>
      </c>
      <c r="C1701" s="65">
        <v>-0.013696525561433564</v>
      </c>
      <c r="D1701" s="65">
        <v>0.6512262091267166</v>
      </c>
      <c r="E1701" s="65">
        <v>0.9868743208759818</v>
      </c>
      <c r="F1701" s="65">
        <v>10.26473078282279</v>
      </c>
      <c r="G1701" s="50">
        <v>0.0</v>
      </c>
      <c r="H1701" s="50">
        <v>0.0</v>
      </c>
      <c r="I1701" s="50">
        <v>0.0</v>
      </c>
      <c r="J1701" s="50">
        <v>0.0</v>
      </c>
      <c r="K1701" s="50">
        <v>0.0</v>
      </c>
      <c r="L1701" s="50">
        <v>0.0</v>
      </c>
      <c r="M1701" s="50">
        <v>0.0</v>
      </c>
      <c r="N1701" s="50">
        <v>0.0</v>
      </c>
      <c r="O1701" s="50">
        <v>0.0</v>
      </c>
      <c r="P1701" s="50">
        <v>0.0</v>
      </c>
      <c r="Q1701" s="50">
        <v>0.0</v>
      </c>
      <c r="R1701" s="50">
        <v>0.0</v>
      </c>
      <c r="S1701" s="50">
        <v>0.0</v>
      </c>
      <c r="T1701" s="50">
        <v>2.8125</v>
      </c>
      <c r="U1701" s="50">
        <v>0.0</v>
      </c>
      <c r="V1701" s="50">
        <v>0.0</v>
      </c>
      <c r="W1701" s="50">
        <v>0.0</v>
      </c>
      <c r="X1701" s="50">
        <v>2.8125</v>
      </c>
      <c r="Y1701" s="50">
        <v>5.625</v>
      </c>
    </row>
    <row r="1702">
      <c r="A1702" s="26">
        <v>1696.0</v>
      </c>
      <c r="B1702" s="65">
        <v>0.27089453924198587</v>
      </c>
      <c r="C1702" s="65">
        <v>-0.06719649040341233</v>
      </c>
      <c r="D1702" s="65">
        <v>-0.91141650183713</v>
      </c>
      <c r="E1702" s="65">
        <v>0.5104464006860712</v>
      </c>
      <c r="F1702" s="65">
        <v>5.361240533424993</v>
      </c>
      <c r="G1702" s="50">
        <v>0.0</v>
      </c>
      <c r="H1702" s="50">
        <v>0.0</v>
      </c>
      <c r="I1702" s="50">
        <v>0.0</v>
      </c>
      <c r="J1702" s="50">
        <v>0.0</v>
      </c>
      <c r="K1702" s="50">
        <v>0.0</v>
      </c>
      <c r="L1702" s="50">
        <v>0.0</v>
      </c>
      <c r="M1702" s="50">
        <v>0.0</v>
      </c>
      <c r="N1702" s="50">
        <v>0.0</v>
      </c>
      <c r="O1702" s="50">
        <v>0.0</v>
      </c>
      <c r="P1702" s="50">
        <v>0.0</v>
      </c>
      <c r="Q1702" s="50">
        <v>0.0</v>
      </c>
      <c r="R1702" s="50">
        <v>0.0</v>
      </c>
      <c r="S1702" s="50">
        <v>0.0</v>
      </c>
      <c r="T1702" s="50">
        <v>2.8125</v>
      </c>
      <c r="U1702" s="50">
        <v>0.0</v>
      </c>
      <c r="V1702" s="50">
        <v>0.0</v>
      </c>
      <c r="W1702" s="50">
        <v>0.0</v>
      </c>
      <c r="X1702" s="50">
        <v>2.8125</v>
      </c>
      <c r="Y1702" s="50">
        <v>5.625</v>
      </c>
    </row>
    <row r="1703">
      <c r="A1703" s="26">
        <v>1697.0</v>
      </c>
      <c r="B1703" s="65">
        <v>0.46682320362891117</v>
      </c>
      <c r="C1703" s="65">
        <v>2.135265603327496</v>
      </c>
      <c r="D1703" s="65">
        <v>0.8511345903183455</v>
      </c>
      <c r="E1703" s="65">
        <v>-1.183877758261173</v>
      </c>
      <c r="F1703" s="65">
        <v>0.6287373613952669</v>
      </c>
      <c r="G1703" s="50">
        <v>0.0</v>
      </c>
      <c r="H1703" s="50">
        <v>0.0</v>
      </c>
      <c r="I1703" s="50">
        <v>0.0</v>
      </c>
      <c r="J1703" s="50">
        <v>0.0</v>
      </c>
      <c r="K1703" s="50">
        <v>0.0</v>
      </c>
      <c r="L1703" s="50">
        <v>0.0</v>
      </c>
      <c r="M1703" s="50">
        <v>0.0</v>
      </c>
      <c r="N1703" s="50">
        <v>0.0</v>
      </c>
      <c r="O1703" s="50">
        <v>0.0</v>
      </c>
      <c r="P1703" s="50">
        <v>0.0</v>
      </c>
      <c r="Q1703" s="50">
        <v>0.0</v>
      </c>
      <c r="R1703" s="50">
        <v>0.0</v>
      </c>
      <c r="S1703" s="50">
        <v>11.25</v>
      </c>
      <c r="T1703" s="50">
        <v>0.0</v>
      </c>
      <c r="U1703" s="50">
        <v>0.0</v>
      </c>
      <c r="V1703" s="50">
        <v>0.0</v>
      </c>
      <c r="W1703" s="50">
        <v>0.0</v>
      </c>
      <c r="X1703" s="50">
        <v>2.8125</v>
      </c>
      <c r="Y1703" s="50">
        <v>14.0625</v>
      </c>
    </row>
    <row r="1704">
      <c r="A1704" s="26">
        <v>1698.0</v>
      </c>
      <c r="B1704" s="65">
        <v>-0.8095882874134236</v>
      </c>
      <c r="C1704" s="65">
        <v>-0.9564145333637634</v>
      </c>
      <c r="D1704" s="65">
        <v>-2.326722178682325</v>
      </c>
      <c r="E1704" s="65">
        <v>-1.6478588358338795</v>
      </c>
      <c r="F1704" s="65">
        <v>6.516689596310464</v>
      </c>
      <c r="G1704" s="50">
        <v>0.0</v>
      </c>
      <c r="H1704" s="50">
        <v>0.0</v>
      </c>
      <c r="I1704" s="50">
        <v>0.0</v>
      </c>
      <c r="J1704" s="50">
        <v>0.0</v>
      </c>
      <c r="K1704" s="50">
        <v>0.0</v>
      </c>
      <c r="L1704" s="50">
        <v>0.0</v>
      </c>
      <c r="M1704" s="50">
        <v>0.0</v>
      </c>
      <c r="N1704" s="50">
        <v>0.0</v>
      </c>
      <c r="O1704" s="50">
        <v>7.425000000000001</v>
      </c>
      <c r="P1704" s="50">
        <v>0.0</v>
      </c>
      <c r="Q1704" s="50">
        <v>0.0</v>
      </c>
      <c r="R1704" s="50">
        <v>0.0</v>
      </c>
      <c r="S1704" s="50">
        <v>0.0</v>
      </c>
      <c r="T1704" s="50">
        <v>2.8125</v>
      </c>
      <c r="U1704" s="50">
        <v>0.0</v>
      </c>
      <c r="V1704" s="50">
        <v>5.625</v>
      </c>
      <c r="W1704" s="50">
        <v>0.0</v>
      </c>
      <c r="X1704" s="50">
        <v>2.8125</v>
      </c>
      <c r="Y1704" s="50">
        <v>18.675</v>
      </c>
    </row>
    <row r="1705">
      <c r="A1705" s="26">
        <v>1699.0</v>
      </c>
      <c r="B1705" s="65">
        <v>-0.05019967246184178</v>
      </c>
      <c r="C1705" s="65">
        <v>-0.2957896327949777</v>
      </c>
      <c r="D1705" s="65">
        <v>0.43259010734347725</v>
      </c>
      <c r="E1705" s="65">
        <v>0.6892057997538821</v>
      </c>
      <c r="F1705" s="65">
        <v>5.3660044679022105</v>
      </c>
      <c r="G1705" s="50">
        <v>0.0</v>
      </c>
      <c r="H1705" s="50">
        <v>0.0</v>
      </c>
      <c r="I1705" s="50">
        <v>0.0</v>
      </c>
      <c r="J1705" s="50">
        <v>0.0</v>
      </c>
      <c r="K1705" s="50">
        <v>0.0</v>
      </c>
      <c r="L1705" s="50">
        <v>0.0</v>
      </c>
      <c r="M1705" s="50">
        <v>0.0</v>
      </c>
      <c r="N1705" s="50">
        <v>0.0</v>
      </c>
      <c r="O1705" s="50">
        <v>0.0</v>
      </c>
      <c r="P1705" s="50">
        <v>0.0</v>
      </c>
      <c r="Q1705" s="50">
        <v>0.0</v>
      </c>
      <c r="R1705" s="50">
        <v>0.0</v>
      </c>
      <c r="S1705" s="50">
        <v>0.0</v>
      </c>
      <c r="T1705" s="50">
        <v>2.8125</v>
      </c>
      <c r="U1705" s="50">
        <v>0.0</v>
      </c>
      <c r="V1705" s="50">
        <v>0.0</v>
      </c>
      <c r="W1705" s="50">
        <v>0.0</v>
      </c>
      <c r="X1705" s="50">
        <v>2.8125</v>
      </c>
      <c r="Y1705" s="50">
        <v>5.625</v>
      </c>
    </row>
    <row r="1706">
      <c r="A1706" s="26">
        <v>1700.0</v>
      </c>
      <c r="B1706" s="65">
        <v>0.017038205653983483</v>
      </c>
      <c r="C1706" s="65">
        <v>-0.03935157219709125</v>
      </c>
      <c r="D1706" s="65">
        <v>0.7786246131272618</v>
      </c>
      <c r="E1706" s="65">
        <v>-1.6052376587533645</v>
      </c>
      <c r="F1706" s="65">
        <v>4.678854625482657</v>
      </c>
      <c r="G1706" s="50">
        <v>0.0</v>
      </c>
      <c r="H1706" s="50">
        <v>0.0</v>
      </c>
      <c r="I1706" s="50">
        <v>0.0</v>
      </c>
      <c r="J1706" s="50">
        <v>0.0</v>
      </c>
      <c r="K1706" s="50">
        <v>0.0</v>
      </c>
      <c r="L1706" s="50">
        <v>0.0</v>
      </c>
      <c r="M1706" s="50">
        <v>0.0</v>
      </c>
      <c r="N1706" s="50">
        <v>0.0</v>
      </c>
      <c r="O1706" s="50">
        <v>0.0</v>
      </c>
      <c r="P1706" s="50">
        <v>0.0</v>
      </c>
      <c r="Q1706" s="50">
        <v>0.0</v>
      </c>
      <c r="R1706" s="50">
        <v>0.0</v>
      </c>
      <c r="S1706" s="50">
        <v>0.0</v>
      </c>
      <c r="T1706" s="50">
        <v>2.8125</v>
      </c>
      <c r="U1706" s="50">
        <v>0.0</v>
      </c>
      <c r="V1706" s="50">
        <v>0.0</v>
      </c>
      <c r="W1706" s="50">
        <v>0.0</v>
      </c>
      <c r="X1706" s="50">
        <v>2.8125</v>
      </c>
      <c r="Y1706" s="50">
        <v>5.625</v>
      </c>
    </row>
    <row r="1707">
      <c r="A1707" s="26">
        <v>1701.0</v>
      </c>
      <c r="B1707" s="65">
        <v>0.2739002928868418</v>
      </c>
      <c r="C1707" s="65">
        <v>0.2280737429746404</v>
      </c>
      <c r="D1707" s="65">
        <v>1.4069956397148475</v>
      </c>
      <c r="E1707" s="65">
        <v>-0.9256373314104592</v>
      </c>
      <c r="F1707" s="65">
        <v>2.875247005484059</v>
      </c>
      <c r="G1707" s="50">
        <v>0.0</v>
      </c>
      <c r="H1707" s="50">
        <v>0.0</v>
      </c>
      <c r="I1707" s="50">
        <v>0.0</v>
      </c>
      <c r="J1707" s="50">
        <v>0.0</v>
      </c>
      <c r="K1707" s="50">
        <v>0.0</v>
      </c>
      <c r="L1707" s="50">
        <v>0.0</v>
      </c>
      <c r="M1707" s="50">
        <v>0.0</v>
      </c>
      <c r="N1707" s="50">
        <v>0.0</v>
      </c>
      <c r="O1707" s="50">
        <v>0.0</v>
      </c>
      <c r="P1707" s="50">
        <v>0.0</v>
      </c>
      <c r="Q1707" s="50">
        <v>0.0</v>
      </c>
      <c r="R1707" s="50">
        <v>0.0</v>
      </c>
      <c r="S1707" s="50">
        <v>0.0</v>
      </c>
      <c r="T1707" s="50">
        <v>2.8125</v>
      </c>
      <c r="U1707" s="50">
        <v>0.0</v>
      </c>
      <c r="V1707" s="50">
        <v>0.0</v>
      </c>
      <c r="W1707" s="50">
        <v>0.0</v>
      </c>
      <c r="X1707" s="50">
        <v>2.8125</v>
      </c>
      <c r="Y1707" s="50">
        <v>5.625</v>
      </c>
    </row>
    <row r="1708">
      <c r="A1708" s="26">
        <v>1702.0</v>
      </c>
      <c r="B1708" s="65">
        <v>-0.6602028657147918</v>
      </c>
      <c r="C1708" s="65">
        <v>1.1596445123590893</v>
      </c>
      <c r="D1708" s="65">
        <v>0.2625488427773161</v>
      </c>
      <c r="E1708" s="65">
        <v>-0.17162850582640604</v>
      </c>
      <c r="F1708" s="65">
        <v>7.300688413689617</v>
      </c>
      <c r="G1708" s="50">
        <v>0.0</v>
      </c>
      <c r="H1708" s="50">
        <v>0.0</v>
      </c>
      <c r="I1708" s="50">
        <v>0.0</v>
      </c>
      <c r="J1708" s="50">
        <v>0.0</v>
      </c>
      <c r="K1708" s="50">
        <v>0.0</v>
      </c>
      <c r="L1708" s="50">
        <v>0.0</v>
      </c>
      <c r="M1708" s="50">
        <v>0.0</v>
      </c>
      <c r="N1708" s="50">
        <v>0.0</v>
      </c>
      <c r="O1708" s="50">
        <v>0.0</v>
      </c>
      <c r="P1708" s="50">
        <v>2.475</v>
      </c>
      <c r="Q1708" s="50">
        <v>0.0</v>
      </c>
      <c r="R1708" s="50">
        <v>0.0</v>
      </c>
      <c r="S1708" s="50">
        <v>0.0</v>
      </c>
      <c r="T1708" s="50">
        <v>2.8125</v>
      </c>
      <c r="U1708" s="50">
        <v>0.0</v>
      </c>
      <c r="V1708" s="50">
        <v>5.625</v>
      </c>
      <c r="W1708" s="50">
        <v>0.0</v>
      </c>
      <c r="X1708" s="50">
        <v>2.8125</v>
      </c>
      <c r="Y1708" s="50">
        <v>13.725</v>
      </c>
    </row>
    <row r="1709">
      <c r="A1709" s="26">
        <v>1703.0</v>
      </c>
      <c r="B1709" s="65">
        <v>-2.264482373584875</v>
      </c>
      <c r="C1709" s="65">
        <v>-1.7586676386543088</v>
      </c>
      <c r="D1709" s="65">
        <v>-2.0596133547658684</v>
      </c>
      <c r="E1709" s="65">
        <v>0.3739220523225711</v>
      </c>
      <c r="F1709" s="65">
        <v>2.27671068268979</v>
      </c>
      <c r="G1709" s="50">
        <v>0.0</v>
      </c>
      <c r="H1709" s="50">
        <v>0.0</v>
      </c>
      <c r="I1709" s="50">
        <v>0.0</v>
      </c>
      <c r="J1709" s="50">
        <v>0.0</v>
      </c>
      <c r="K1709" s="50">
        <v>0.0</v>
      </c>
      <c r="L1709" s="50">
        <v>0.0</v>
      </c>
      <c r="M1709" s="50">
        <v>0.0</v>
      </c>
      <c r="N1709" s="50">
        <v>0.0</v>
      </c>
      <c r="O1709" s="50">
        <v>7.425000000000001</v>
      </c>
      <c r="P1709" s="50">
        <v>0.0</v>
      </c>
      <c r="Q1709" s="50">
        <v>13.5</v>
      </c>
      <c r="R1709" s="50">
        <v>9.9</v>
      </c>
      <c r="S1709" s="50">
        <v>0.0</v>
      </c>
      <c r="T1709" s="50">
        <v>2.8125</v>
      </c>
      <c r="U1709" s="50">
        <v>9.9</v>
      </c>
      <c r="V1709" s="50">
        <v>5.625</v>
      </c>
      <c r="W1709" s="50">
        <v>4.95</v>
      </c>
      <c r="X1709" s="50">
        <v>2.8125</v>
      </c>
      <c r="Y1709" s="50">
        <v>56.925000000000004</v>
      </c>
    </row>
    <row r="1710">
      <c r="A1710" s="26">
        <v>1704.0</v>
      </c>
      <c r="B1710" s="65">
        <v>0.7724713805418433</v>
      </c>
      <c r="C1710" s="65">
        <v>-2.4846196380802246</v>
      </c>
      <c r="D1710" s="65">
        <v>0.2099672255903269</v>
      </c>
      <c r="E1710" s="65">
        <v>1.0354944794985161</v>
      </c>
      <c r="F1710" s="65">
        <v>3.9059220226067137</v>
      </c>
      <c r="G1710" s="50">
        <v>0.0</v>
      </c>
      <c r="H1710" s="50">
        <v>0.0</v>
      </c>
      <c r="I1710" s="50">
        <v>0.0</v>
      </c>
      <c r="J1710" s="50">
        <v>0.0</v>
      </c>
      <c r="K1710" s="50">
        <v>0.0</v>
      </c>
      <c r="L1710" s="50">
        <v>0.0</v>
      </c>
      <c r="M1710" s="50">
        <v>0.0</v>
      </c>
      <c r="N1710" s="50">
        <v>0.0</v>
      </c>
      <c r="O1710" s="50">
        <v>0.0</v>
      </c>
      <c r="P1710" s="50">
        <v>0.0</v>
      </c>
      <c r="Q1710" s="50">
        <v>0.0</v>
      </c>
      <c r="R1710" s="50">
        <v>0.0</v>
      </c>
      <c r="S1710" s="50">
        <v>0.0</v>
      </c>
      <c r="T1710" s="50">
        <v>2.8125</v>
      </c>
      <c r="U1710" s="50">
        <v>0.0</v>
      </c>
      <c r="V1710" s="50">
        <v>0.0</v>
      </c>
      <c r="W1710" s="50">
        <v>0.0</v>
      </c>
      <c r="X1710" s="50">
        <v>2.8125</v>
      </c>
      <c r="Y1710" s="50">
        <v>5.625</v>
      </c>
    </row>
    <row r="1711">
      <c r="A1711" s="26">
        <v>1705.0</v>
      </c>
      <c r="B1711" s="65">
        <v>0.932828637026123</v>
      </c>
      <c r="C1711" s="65">
        <v>2.2835638486245635</v>
      </c>
      <c r="D1711" s="65">
        <v>-0.8497119191559445</v>
      </c>
      <c r="E1711" s="65">
        <v>0.6717557154455391</v>
      </c>
      <c r="F1711" s="65">
        <v>1.839359620295413</v>
      </c>
      <c r="G1711" s="50">
        <v>0.0</v>
      </c>
      <c r="H1711" s="50">
        <v>0.0</v>
      </c>
      <c r="I1711" s="50">
        <v>0.0</v>
      </c>
      <c r="J1711" s="50">
        <v>0.0</v>
      </c>
      <c r="K1711" s="50">
        <v>0.0</v>
      </c>
      <c r="L1711" s="50">
        <v>0.0</v>
      </c>
      <c r="M1711" s="50">
        <v>0.0</v>
      </c>
      <c r="N1711" s="50">
        <v>0.0</v>
      </c>
      <c r="O1711" s="50">
        <v>0.0</v>
      </c>
      <c r="P1711" s="50">
        <v>0.0</v>
      </c>
      <c r="Q1711" s="50">
        <v>13.5</v>
      </c>
      <c r="R1711" s="50">
        <v>0.0</v>
      </c>
      <c r="S1711" s="50">
        <v>0.0</v>
      </c>
      <c r="T1711" s="50">
        <v>2.8125</v>
      </c>
      <c r="U1711" s="50">
        <v>0.0</v>
      </c>
      <c r="V1711" s="50">
        <v>5.625</v>
      </c>
      <c r="W1711" s="50">
        <v>0.0</v>
      </c>
      <c r="X1711" s="50">
        <v>2.8125</v>
      </c>
      <c r="Y1711" s="50">
        <v>24.75</v>
      </c>
    </row>
    <row r="1712">
      <c r="A1712" s="26">
        <v>1706.0</v>
      </c>
      <c r="B1712" s="65">
        <v>-2.8393637713114805</v>
      </c>
      <c r="C1712" s="65">
        <v>1.3265419875557258</v>
      </c>
      <c r="D1712" s="65">
        <v>0.8680466301374906</v>
      </c>
      <c r="E1712" s="65">
        <v>0.04777005907243502</v>
      </c>
      <c r="F1712" s="65">
        <v>3.5576522265573574</v>
      </c>
      <c r="G1712" s="50">
        <v>0.0</v>
      </c>
      <c r="H1712" s="50">
        <v>0.0</v>
      </c>
      <c r="I1712" s="50">
        <v>0.0</v>
      </c>
      <c r="J1712" s="50">
        <v>0.0</v>
      </c>
      <c r="K1712" s="50">
        <v>0.0</v>
      </c>
      <c r="L1712" s="50">
        <v>0.0</v>
      </c>
      <c r="M1712" s="50">
        <v>0.0</v>
      </c>
      <c r="N1712" s="50">
        <v>0.0</v>
      </c>
      <c r="O1712" s="50">
        <v>0.0</v>
      </c>
      <c r="P1712" s="50">
        <v>2.475</v>
      </c>
      <c r="Q1712" s="50">
        <v>0.0</v>
      </c>
      <c r="R1712" s="50">
        <v>0.0</v>
      </c>
      <c r="S1712" s="50">
        <v>0.0</v>
      </c>
      <c r="T1712" s="50">
        <v>2.8125</v>
      </c>
      <c r="U1712" s="50">
        <v>0.0</v>
      </c>
      <c r="V1712" s="50">
        <v>5.625</v>
      </c>
      <c r="W1712" s="50">
        <v>0.0</v>
      </c>
      <c r="X1712" s="50">
        <v>2.8125</v>
      </c>
      <c r="Y1712" s="50">
        <v>13.725</v>
      </c>
    </row>
    <row r="1713">
      <c r="A1713" s="26">
        <v>1707.0</v>
      </c>
      <c r="B1713" s="65">
        <v>-1.0792234223443264</v>
      </c>
      <c r="C1713" s="65">
        <v>0.4790863818990481</v>
      </c>
      <c r="D1713" s="65">
        <v>0.06325474887655519</v>
      </c>
      <c r="E1713" s="65">
        <v>-1.9950294434077913</v>
      </c>
      <c r="F1713" s="65">
        <v>3.8043140994981326</v>
      </c>
      <c r="G1713" s="50">
        <v>0.0</v>
      </c>
      <c r="H1713" s="50">
        <v>0.0</v>
      </c>
      <c r="I1713" s="50">
        <v>0.0</v>
      </c>
      <c r="J1713" s="50">
        <v>0.0</v>
      </c>
      <c r="K1713" s="50">
        <v>0.0</v>
      </c>
      <c r="L1713" s="50">
        <v>0.0</v>
      </c>
      <c r="M1713" s="50">
        <v>0.0</v>
      </c>
      <c r="N1713" s="50">
        <v>0.0</v>
      </c>
      <c r="O1713" s="50">
        <v>0.0</v>
      </c>
      <c r="P1713" s="50">
        <v>0.0</v>
      </c>
      <c r="Q1713" s="50">
        <v>0.0</v>
      </c>
      <c r="R1713" s="50">
        <v>9.9</v>
      </c>
      <c r="S1713" s="50">
        <v>0.0</v>
      </c>
      <c r="T1713" s="50">
        <v>2.8125</v>
      </c>
      <c r="U1713" s="50">
        <v>9.9</v>
      </c>
      <c r="V1713" s="50">
        <v>5.625</v>
      </c>
      <c r="W1713" s="50">
        <v>0.0</v>
      </c>
      <c r="X1713" s="50">
        <v>2.8125</v>
      </c>
      <c r="Y1713" s="50">
        <v>31.05</v>
      </c>
    </row>
    <row r="1714">
      <c r="A1714" s="26">
        <v>1708.0</v>
      </c>
      <c r="B1714" s="65">
        <v>-0.46982768836009753</v>
      </c>
      <c r="C1714" s="65">
        <v>0.5896148525689151</v>
      </c>
      <c r="D1714" s="65">
        <v>-0.5381491095302111</v>
      </c>
      <c r="E1714" s="65">
        <v>0.08875542035684168</v>
      </c>
      <c r="F1714" s="65">
        <v>3.1513563695243425</v>
      </c>
      <c r="G1714" s="50">
        <v>0.0</v>
      </c>
      <c r="H1714" s="50">
        <v>0.0</v>
      </c>
      <c r="I1714" s="50">
        <v>0.0</v>
      </c>
      <c r="J1714" s="50">
        <v>0.0</v>
      </c>
      <c r="K1714" s="50">
        <v>0.0</v>
      </c>
      <c r="L1714" s="50">
        <v>0.0</v>
      </c>
      <c r="M1714" s="50">
        <v>0.0</v>
      </c>
      <c r="N1714" s="50">
        <v>0.0</v>
      </c>
      <c r="O1714" s="50">
        <v>0.0</v>
      </c>
      <c r="P1714" s="50">
        <v>0.0</v>
      </c>
      <c r="Q1714" s="50">
        <v>0.0</v>
      </c>
      <c r="R1714" s="50">
        <v>9.9</v>
      </c>
      <c r="S1714" s="50">
        <v>0.0</v>
      </c>
      <c r="T1714" s="50">
        <v>2.8125</v>
      </c>
      <c r="U1714" s="50">
        <v>0.0</v>
      </c>
      <c r="V1714" s="50">
        <v>0.0</v>
      </c>
      <c r="W1714" s="50">
        <v>0.0</v>
      </c>
      <c r="X1714" s="50">
        <v>2.8125</v>
      </c>
      <c r="Y1714" s="50">
        <v>15.525</v>
      </c>
    </row>
    <row r="1715">
      <c r="A1715" s="26">
        <v>1709.0</v>
      </c>
      <c r="B1715" s="65">
        <v>-0.3033613496665884</v>
      </c>
      <c r="C1715" s="65">
        <v>-0.1374251949028702</v>
      </c>
      <c r="D1715" s="65">
        <v>0.267204067597943</v>
      </c>
      <c r="E1715" s="65">
        <v>1.0230595055192806</v>
      </c>
      <c r="F1715" s="65">
        <v>5.888481628807555</v>
      </c>
      <c r="G1715" s="50">
        <v>0.0</v>
      </c>
      <c r="H1715" s="50">
        <v>0.0</v>
      </c>
      <c r="I1715" s="50">
        <v>0.0</v>
      </c>
      <c r="J1715" s="50">
        <v>0.0</v>
      </c>
      <c r="K1715" s="50">
        <v>0.0</v>
      </c>
      <c r="L1715" s="50">
        <v>0.0</v>
      </c>
      <c r="M1715" s="50">
        <v>0.0</v>
      </c>
      <c r="N1715" s="50">
        <v>0.0</v>
      </c>
      <c r="O1715" s="50">
        <v>0.0</v>
      </c>
      <c r="P1715" s="50">
        <v>0.0</v>
      </c>
      <c r="Q1715" s="50">
        <v>0.0</v>
      </c>
      <c r="R1715" s="50">
        <v>0.0</v>
      </c>
      <c r="S1715" s="50">
        <v>0.0</v>
      </c>
      <c r="T1715" s="50">
        <v>2.8125</v>
      </c>
      <c r="U1715" s="50">
        <v>0.0</v>
      </c>
      <c r="V1715" s="50">
        <v>0.0</v>
      </c>
      <c r="W1715" s="50">
        <v>0.0</v>
      </c>
      <c r="X1715" s="50">
        <v>2.8125</v>
      </c>
      <c r="Y1715" s="50">
        <v>5.625</v>
      </c>
    </row>
    <row r="1716">
      <c r="A1716" s="26">
        <v>1710.0</v>
      </c>
      <c r="B1716" s="65">
        <v>2.24442978775861</v>
      </c>
      <c r="C1716" s="65">
        <v>-1.1471647993109644</v>
      </c>
      <c r="D1716" s="65">
        <v>0.4072282382707843</v>
      </c>
      <c r="E1716" s="65">
        <v>-0.7077695291808106</v>
      </c>
      <c r="F1716" s="65">
        <v>7.759438972988659</v>
      </c>
      <c r="G1716" s="50">
        <v>0.0</v>
      </c>
      <c r="H1716" s="50">
        <v>0.0</v>
      </c>
      <c r="I1716" s="50">
        <v>0.0</v>
      </c>
      <c r="J1716" s="50">
        <v>0.0</v>
      </c>
      <c r="K1716" s="50">
        <v>0.0</v>
      </c>
      <c r="L1716" s="50">
        <v>0.0</v>
      </c>
      <c r="M1716" s="50">
        <v>0.0</v>
      </c>
      <c r="N1716" s="50">
        <v>0.0</v>
      </c>
      <c r="O1716" s="50">
        <v>0.0</v>
      </c>
      <c r="P1716" s="50">
        <v>0.0</v>
      </c>
      <c r="Q1716" s="50">
        <v>0.0</v>
      </c>
      <c r="R1716" s="50">
        <v>0.0</v>
      </c>
      <c r="S1716" s="50">
        <v>0.0</v>
      </c>
      <c r="T1716" s="50">
        <v>2.8125</v>
      </c>
      <c r="U1716" s="50">
        <v>0.0</v>
      </c>
      <c r="V1716" s="50">
        <v>0.0</v>
      </c>
      <c r="W1716" s="50">
        <v>0.0</v>
      </c>
      <c r="X1716" s="50">
        <v>2.8125</v>
      </c>
      <c r="Y1716" s="50">
        <v>5.625</v>
      </c>
    </row>
    <row r="1717">
      <c r="A1717" s="26">
        <v>1711.0</v>
      </c>
      <c r="B1717" s="65">
        <v>-1.057412455712814</v>
      </c>
      <c r="C1717" s="65">
        <v>1.0295299332045165</v>
      </c>
      <c r="D1717" s="65">
        <v>2.55393092990833</v>
      </c>
      <c r="E1717" s="65">
        <v>-0.0565216534186662</v>
      </c>
      <c r="F1717" s="65">
        <v>0.37047625121398614</v>
      </c>
      <c r="G1717" s="50">
        <v>0.0</v>
      </c>
      <c r="H1717" s="50">
        <v>0.0</v>
      </c>
      <c r="I1717" s="50">
        <v>0.0</v>
      </c>
      <c r="J1717" s="50">
        <v>0.0</v>
      </c>
      <c r="K1717" s="50">
        <v>0.0</v>
      </c>
      <c r="L1717" s="50">
        <v>0.0</v>
      </c>
      <c r="M1717" s="50">
        <v>0.0</v>
      </c>
      <c r="N1717" s="50">
        <v>0.0</v>
      </c>
      <c r="O1717" s="50">
        <v>7.425000000000001</v>
      </c>
      <c r="P1717" s="50">
        <v>0.0</v>
      </c>
      <c r="Q1717" s="50">
        <v>0.0</v>
      </c>
      <c r="R1717" s="50">
        <v>0.0</v>
      </c>
      <c r="S1717" s="50">
        <v>0.0</v>
      </c>
      <c r="T1717" s="50">
        <v>2.8125</v>
      </c>
      <c r="U1717" s="50">
        <v>9.9</v>
      </c>
      <c r="V1717" s="50">
        <v>5.625</v>
      </c>
      <c r="W1717" s="50">
        <v>0.0</v>
      </c>
      <c r="X1717" s="50">
        <v>2.8125</v>
      </c>
      <c r="Y1717" s="50">
        <v>28.575000000000003</v>
      </c>
    </row>
    <row r="1718">
      <c r="A1718" s="26">
        <v>1712.0</v>
      </c>
      <c r="B1718" s="65">
        <v>-0.6568463504361417</v>
      </c>
      <c r="C1718" s="65">
        <v>-0.9259183806226174</v>
      </c>
      <c r="D1718" s="65">
        <v>-0.9916827720718198</v>
      </c>
      <c r="E1718" s="65">
        <v>-0.2060414864657209</v>
      </c>
      <c r="F1718" s="65">
        <v>6.194943551628332</v>
      </c>
      <c r="G1718" s="50">
        <v>0.0</v>
      </c>
      <c r="H1718" s="50">
        <v>0.0</v>
      </c>
      <c r="I1718" s="50">
        <v>0.0</v>
      </c>
      <c r="J1718" s="50">
        <v>0.0</v>
      </c>
      <c r="K1718" s="50">
        <v>0.0</v>
      </c>
      <c r="L1718" s="50">
        <v>0.0</v>
      </c>
      <c r="M1718" s="50">
        <v>0.0</v>
      </c>
      <c r="N1718" s="50">
        <v>0.0</v>
      </c>
      <c r="O1718" s="50">
        <v>0.0</v>
      </c>
      <c r="P1718" s="50">
        <v>0.0</v>
      </c>
      <c r="Q1718" s="50">
        <v>0.0</v>
      </c>
      <c r="R1718" s="50">
        <v>0.0</v>
      </c>
      <c r="S1718" s="50">
        <v>0.0</v>
      </c>
      <c r="T1718" s="50">
        <v>2.8125</v>
      </c>
      <c r="U1718" s="50">
        <v>0.0</v>
      </c>
      <c r="V1718" s="50">
        <v>0.0</v>
      </c>
      <c r="W1718" s="50">
        <v>0.0</v>
      </c>
      <c r="X1718" s="50">
        <v>2.8125</v>
      </c>
      <c r="Y1718" s="50">
        <v>5.625</v>
      </c>
    </row>
    <row r="1719">
      <c r="A1719" s="26">
        <v>1713.0</v>
      </c>
      <c r="B1719" s="65">
        <v>1.8250812320095002</v>
      </c>
      <c r="C1719" s="65">
        <v>0.7966310662410305</v>
      </c>
      <c r="D1719" s="65">
        <v>-1.072217279655956</v>
      </c>
      <c r="E1719" s="65">
        <v>-1.2331951062633908</v>
      </c>
      <c r="F1719" s="65">
        <v>4.419175712360177</v>
      </c>
      <c r="G1719" s="50">
        <v>0.0</v>
      </c>
      <c r="H1719" s="50">
        <v>0.0</v>
      </c>
      <c r="I1719" s="50">
        <v>0.0</v>
      </c>
      <c r="J1719" s="50">
        <v>0.0</v>
      </c>
      <c r="K1719" s="50">
        <v>0.0</v>
      </c>
      <c r="L1719" s="50">
        <v>0.0</v>
      </c>
      <c r="M1719" s="50">
        <v>0.0</v>
      </c>
      <c r="N1719" s="50">
        <v>0.0</v>
      </c>
      <c r="O1719" s="50">
        <v>0.0</v>
      </c>
      <c r="P1719" s="50">
        <v>0.0</v>
      </c>
      <c r="Q1719" s="50">
        <v>0.0</v>
      </c>
      <c r="R1719" s="50">
        <v>0.0</v>
      </c>
      <c r="S1719" s="50">
        <v>0.0</v>
      </c>
      <c r="T1719" s="50">
        <v>2.8125</v>
      </c>
      <c r="U1719" s="50">
        <v>0.0</v>
      </c>
      <c r="V1719" s="50">
        <v>0.0</v>
      </c>
      <c r="W1719" s="50">
        <v>0.0</v>
      </c>
      <c r="X1719" s="50">
        <v>2.8125</v>
      </c>
      <c r="Y1719" s="50">
        <v>5.625</v>
      </c>
    </row>
    <row r="1720">
      <c r="A1720" s="26">
        <v>1714.0</v>
      </c>
      <c r="B1720" s="65">
        <v>-0.8436184707194957</v>
      </c>
      <c r="C1720" s="65">
        <v>-1.0557956208597905</v>
      </c>
      <c r="D1720" s="65">
        <v>0.7326035518995326</v>
      </c>
      <c r="E1720" s="65">
        <v>-0.5080170773163465</v>
      </c>
      <c r="F1720" s="65">
        <v>4.002532537354129</v>
      </c>
      <c r="G1720" s="50">
        <v>0.0</v>
      </c>
      <c r="H1720" s="50">
        <v>0.0</v>
      </c>
      <c r="I1720" s="50">
        <v>0.0</v>
      </c>
      <c r="J1720" s="50">
        <v>0.0</v>
      </c>
      <c r="K1720" s="50">
        <v>0.0</v>
      </c>
      <c r="L1720" s="50">
        <v>0.0</v>
      </c>
      <c r="M1720" s="50">
        <v>0.0</v>
      </c>
      <c r="N1720" s="50">
        <v>0.0</v>
      </c>
      <c r="O1720" s="50">
        <v>0.0</v>
      </c>
      <c r="P1720" s="50">
        <v>0.0</v>
      </c>
      <c r="Q1720" s="50">
        <v>0.0</v>
      </c>
      <c r="R1720" s="50">
        <v>9.9</v>
      </c>
      <c r="S1720" s="50">
        <v>0.0</v>
      </c>
      <c r="T1720" s="50">
        <v>2.8125</v>
      </c>
      <c r="U1720" s="50">
        <v>9.9</v>
      </c>
      <c r="V1720" s="50">
        <v>0.0</v>
      </c>
      <c r="W1720" s="50">
        <v>0.0</v>
      </c>
      <c r="X1720" s="50">
        <v>2.8125</v>
      </c>
      <c r="Y1720" s="50">
        <v>25.425</v>
      </c>
    </row>
    <row r="1721">
      <c r="A1721" s="26">
        <v>1715.0</v>
      </c>
      <c r="B1721" s="65">
        <v>0.33426098166164236</v>
      </c>
      <c r="C1721" s="65">
        <v>0.5104185124309674</v>
      </c>
      <c r="D1721" s="65">
        <v>1.678233292798572</v>
      </c>
      <c r="E1721" s="65">
        <v>0.8402895038154016</v>
      </c>
      <c r="F1721" s="65">
        <v>3.773032010674981</v>
      </c>
      <c r="G1721" s="50">
        <v>0.0</v>
      </c>
      <c r="H1721" s="50">
        <v>0.0</v>
      </c>
      <c r="I1721" s="50">
        <v>0.0</v>
      </c>
      <c r="J1721" s="50">
        <v>0.0</v>
      </c>
      <c r="K1721" s="50">
        <v>0.0</v>
      </c>
      <c r="L1721" s="50">
        <v>0.0</v>
      </c>
      <c r="M1721" s="50">
        <v>0.0</v>
      </c>
      <c r="N1721" s="50">
        <v>0.0</v>
      </c>
      <c r="O1721" s="50">
        <v>0.0</v>
      </c>
      <c r="P1721" s="50">
        <v>0.0</v>
      </c>
      <c r="Q1721" s="50">
        <v>0.0</v>
      </c>
      <c r="R1721" s="50">
        <v>0.0</v>
      </c>
      <c r="S1721" s="50">
        <v>0.0</v>
      </c>
      <c r="T1721" s="50">
        <v>2.8125</v>
      </c>
      <c r="U1721" s="50">
        <v>0.0</v>
      </c>
      <c r="V1721" s="50">
        <v>0.0</v>
      </c>
      <c r="W1721" s="50">
        <v>4.95</v>
      </c>
      <c r="X1721" s="50">
        <v>2.8125</v>
      </c>
      <c r="Y1721" s="50">
        <v>10.575</v>
      </c>
    </row>
    <row r="1722">
      <c r="A1722" s="26">
        <v>1716.0</v>
      </c>
      <c r="B1722" s="65">
        <v>-0.5556936940635238</v>
      </c>
      <c r="C1722" s="65">
        <v>0.3814663865919985</v>
      </c>
      <c r="D1722" s="65">
        <v>0.8401074885078794</v>
      </c>
      <c r="E1722" s="65">
        <v>0.18160360171076909</v>
      </c>
      <c r="F1722" s="65">
        <v>4.732979566722366</v>
      </c>
      <c r="G1722" s="50">
        <v>0.0</v>
      </c>
      <c r="H1722" s="50">
        <v>0.0</v>
      </c>
      <c r="I1722" s="50">
        <v>0.0</v>
      </c>
      <c r="J1722" s="50">
        <v>0.0</v>
      </c>
      <c r="K1722" s="50">
        <v>0.0</v>
      </c>
      <c r="L1722" s="50">
        <v>0.0</v>
      </c>
      <c r="M1722" s="50">
        <v>0.0</v>
      </c>
      <c r="N1722" s="50">
        <v>0.0</v>
      </c>
      <c r="O1722" s="50">
        <v>0.0</v>
      </c>
      <c r="P1722" s="50">
        <v>0.0</v>
      </c>
      <c r="Q1722" s="50">
        <v>0.0</v>
      </c>
      <c r="R1722" s="50">
        <v>0.0</v>
      </c>
      <c r="S1722" s="50">
        <v>0.0</v>
      </c>
      <c r="T1722" s="50">
        <v>2.8125</v>
      </c>
      <c r="U1722" s="50">
        <v>0.0</v>
      </c>
      <c r="V1722" s="50">
        <v>5.625</v>
      </c>
      <c r="W1722" s="50">
        <v>0.0</v>
      </c>
      <c r="X1722" s="50">
        <v>2.8125</v>
      </c>
      <c r="Y1722" s="50">
        <v>11.25</v>
      </c>
    </row>
    <row r="1723">
      <c r="A1723" s="26">
        <v>1717.0</v>
      </c>
      <c r="B1723" s="65">
        <v>0.11695360194855392</v>
      </c>
      <c r="C1723" s="65">
        <v>-1.0556388501021523</v>
      </c>
      <c r="D1723" s="65">
        <v>0.6601708890486723</v>
      </c>
      <c r="E1723" s="65">
        <v>-0.061321766787026416</v>
      </c>
      <c r="F1723" s="65">
        <v>3.7432939912306495</v>
      </c>
      <c r="G1723" s="50">
        <v>0.0</v>
      </c>
      <c r="H1723" s="50">
        <v>0.0</v>
      </c>
      <c r="I1723" s="50">
        <v>0.0</v>
      </c>
      <c r="J1723" s="50">
        <v>0.0</v>
      </c>
      <c r="K1723" s="50">
        <v>0.0</v>
      </c>
      <c r="L1723" s="50">
        <v>0.0</v>
      </c>
      <c r="M1723" s="50">
        <v>0.0</v>
      </c>
      <c r="N1723" s="50">
        <v>0.0</v>
      </c>
      <c r="O1723" s="50">
        <v>0.0</v>
      </c>
      <c r="P1723" s="50">
        <v>0.0</v>
      </c>
      <c r="Q1723" s="50">
        <v>0.0</v>
      </c>
      <c r="R1723" s="50">
        <v>0.0</v>
      </c>
      <c r="S1723" s="50">
        <v>0.0</v>
      </c>
      <c r="T1723" s="50">
        <v>2.8125</v>
      </c>
      <c r="U1723" s="50">
        <v>0.0</v>
      </c>
      <c r="V1723" s="50">
        <v>0.0</v>
      </c>
      <c r="W1723" s="50">
        <v>0.0</v>
      </c>
      <c r="X1723" s="50">
        <v>2.8125</v>
      </c>
      <c r="Y1723" s="50">
        <v>5.625</v>
      </c>
    </row>
    <row r="1724">
      <c r="A1724" s="26">
        <v>1718.0</v>
      </c>
      <c r="B1724" s="65">
        <v>-1.1391179247633358</v>
      </c>
      <c r="C1724" s="65">
        <v>0.5908918348968467</v>
      </c>
      <c r="D1724" s="65">
        <v>-0.8919498865352211</v>
      </c>
      <c r="E1724" s="65">
        <v>0.42024617323666213</v>
      </c>
      <c r="F1724" s="65">
        <v>7.273162479068409</v>
      </c>
      <c r="G1724" s="50">
        <v>0.0</v>
      </c>
      <c r="H1724" s="50">
        <v>0.0</v>
      </c>
      <c r="I1724" s="50">
        <v>0.0</v>
      </c>
      <c r="J1724" s="50">
        <v>0.0</v>
      </c>
      <c r="K1724" s="50">
        <v>0.0</v>
      </c>
      <c r="L1724" s="50">
        <v>0.0</v>
      </c>
      <c r="M1724" s="50">
        <v>0.0</v>
      </c>
      <c r="N1724" s="50">
        <v>0.0</v>
      </c>
      <c r="O1724" s="50">
        <v>0.0</v>
      </c>
      <c r="P1724" s="50">
        <v>0.0</v>
      </c>
      <c r="Q1724" s="50">
        <v>0.0</v>
      </c>
      <c r="R1724" s="50">
        <v>0.0</v>
      </c>
      <c r="S1724" s="50">
        <v>0.0</v>
      </c>
      <c r="T1724" s="50">
        <v>2.8125</v>
      </c>
      <c r="U1724" s="50">
        <v>0.0</v>
      </c>
      <c r="V1724" s="50">
        <v>0.0</v>
      </c>
      <c r="W1724" s="50">
        <v>0.0</v>
      </c>
      <c r="X1724" s="50">
        <v>2.8125</v>
      </c>
      <c r="Y1724" s="50">
        <v>5.625</v>
      </c>
    </row>
    <row r="1725">
      <c r="A1725" s="26">
        <v>1719.0</v>
      </c>
      <c r="B1725" s="65">
        <v>-0.23480625847572054</v>
      </c>
      <c r="C1725" s="65">
        <v>0.644972140694961</v>
      </c>
      <c r="D1725" s="65">
        <v>1.0440437015941515</v>
      </c>
      <c r="E1725" s="65">
        <v>1.4366957889792307</v>
      </c>
      <c r="F1725" s="65">
        <v>2.585599779374968</v>
      </c>
      <c r="G1725" s="50">
        <v>0.0</v>
      </c>
      <c r="H1725" s="50">
        <v>0.0</v>
      </c>
      <c r="I1725" s="50">
        <v>0.0</v>
      </c>
      <c r="J1725" s="50">
        <v>0.0</v>
      </c>
      <c r="K1725" s="50">
        <v>0.0</v>
      </c>
      <c r="L1725" s="50">
        <v>0.0</v>
      </c>
      <c r="M1725" s="50">
        <v>0.0</v>
      </c>
      <c r="N1725" s="50">
        <v>0.0</v>
      </c>
      <c r="O1725" s="50">
        <v>0.0</v>
      </c>
      <c r="P1725" s="50">
        <v>0.0</v>
      </c>
      <c r="Q1725" s="50">
        <v>0.0</v>
      </c>
      <c r="R1725" s="50">
        <v>0.0</v>
      </c>
      <c r="S1725" s="50">
        <v>0.0</v>
      </c>
      <c r="T1725" s="50">
        <v>2.8125</v>
      </c>
      <c r="U1725" s="50">
        <v>0.0</v>
      </c>
      <c r="V1725" s="50">
        <v>0.0</v>
      </c>
      <c r="W1725" s="50">
        <v>0.0</v>
      </c>
      <c r="X1725" s="50">
        <v>2.8125</v>
      </c>
      <c r="Y1725" s="50">
        <v>5.625</v>
      </c>
    </row>
    <row r="1726">
      <c r="A1726" s="26">
        <v>1720.0</v>
      </c>
      <c r="B1726" s="65">
        <v>-0.6654610766849451</v>
      </c>
      <c r="C1726" s="65">
        <v>0.02414517796192876</v>
      </c>
      <c r="D1726" s="65">
        <v>3.018885726031314</v>
      </c>
      <c r="E1726" s="65">
        <v>-1.8796055080061729</v>
      </c>
      <c r="F1726" s="65">
        <v>6.590939363807941</v>
      </c>
      <c r="G1726" s="50">
        <v>0.0</v>
      </c>
      <c r="H1726" s="50">
        <v>0.0</v>
      </c>
      <c r="I1726" s="50">
        <v>0.0</v>
      </c>
      <c r="J1726" s="50">
        <v>0.0</v>
      </c>
      <c r="K1726" s="50">
        <v>0.0</v>
      </c>
      <c r="L1726" s="50">
        <v>0.0</v>
      </c>
      <c r="M1726" s="50">
        <v>0.0</v>
      </c>
      <c r="N1726" s="50">
        <v>0.0</v>
      </c>
      <c r="O1726" s="50">
        <v>7.425000000000001</v>
      </c>
      <c r="P1726" s="50">
        <v>0.0</v>
      </c>
      <c r="Q1726" s="50">
        <v>0.0</v>
      </c>
      <c r="R1726" s="50">
        <v>0.0</v>
      </c>
      <c r="S1726" s="50">
        <v>0.0</v>
      </c>
      <c r="T1726" s="50">
        <v>2.8125</v>
      </c>
      <c r="U1726" s="50">
        <v>0.0</v>
      </c>
      <c r="V1726" s="50">
        <v>5.625</v>
      </c>
      <c r="W1726" s="50">
        <v>0.0</v>
      </c>
      <c r="X1726" s="50">
        <v>2.8125</v>
      </c>
      <c r="Y1726" s="50">
        <v>18.675</v>
      </c>
    </row>
    <row r="1727">
      <c r="A1727" s="26">
        <v>1721.0</v>
      </c>
      <c r="B1727" s="65">
        <v>2.246073735883377</v>
      </c>
      <c r="C1727" s="65">
        <v>-0.5780206418675908</v>
      </c>
      <c r="D1727" s="65">
        <v>0.29172625078457237</v>
      </c>
      <c r="E1727" s="65">
        <v>0.21084691060260854</v>
      </c>
      <c r="F1727" s="65">
        <v>7.417468243264383</v>
      </c>
      <c r="G1727" s="50">
        <v>0.0</v>
      </c>
      <c r="H1727" s="50">
        <v>0.0</v>
      </c>
      <c r="I1727" s="50">
        <v>0.0</v>
      </c>
      <c r="J1727" s="50">
        <v>0.0</v>
      </c>
      <c r="K1727" s="50">
        <v>0.0</v>
      </c>
      <c r="L1727" s="50">
        <v>0.0</v>
      </c>
      <c r="M1727" s="50">
        <v>0.0</v>
      </c>
      <c r="N1727" s="50">
        <v>0.0</v>
      </c>
      <c r="O1727" s="50">
        <v>0.0</v>
      </c>
      <c r="P1727" s="50">
        <v>0.0</v>
      </c>
      <c r="Q1727" s="50">
        <v>0.0</v>
      </c>
      <c r="R1727" s="50">
        <v>0.0</v>
      </c>
      <c r="S1727" s="50">
        <v>0.0</v>
      </c>
      <c r="T1727" s="50">
        <v>2.8125</v>
      </c>
      <c r="U1727" s="50">
        <v>0.0</v>
      </c>
      <c r="V1727" s="50">
        <v>0.0</v>
      </c>
      <c r="W1727" s="50">
        <v>0.0</v>
      </c>
      <c r="X1727" s="50">
        <v>2.8125</v>
      </c>
      <c r="Y1727" s="50">
        <v>5.625</v>
      </c>
    </row>
    <row r="1728">
      <c r="A1728" s="26">
        <v>1722.0</v>
      </c>
      <c r="B1728" s="65">
        <v>-0.3635176458382212</v>
      </c>
      <c r="C1728" s="65">
        <v>1.8389217932450959</v>
      </c>
      <c r="D1728" s="65">
        <v>-0.7314662751219956</v>
      </c>
      <c r="E1728" s="65">
        <v>-1.2225635170425644</v>
      </c>
      <c r="F1728" s="65">
        <v>0.3860033304955496</v>
      </c>
      <c r="G1728" s="50">
        <v>0.0</v>
      </c>
      <c r="H1728" s="50">
        <v>0.0</v>
      </c>
      <c r="I1728" s="50">
        <v>0.0</v>
      </c>
      <c r="J1728" s="50">
        <v>0.0</v>
      </c>
      <c r="K1728" s="50">
        <v>0.0</v>
      </c>
      <c r="L1728" s="50">
        <v>0.0</v>
      </c>
      <c r="M1728" s="50">
        <v>0.0</v>
      </c>
      <c r="N1728" s="50">
        <v>0.0</v>
      </c>
      <c r="O1728" s="50">
        <v>0.0</v>
      </c>
      <c r="P1728" s="50">
        <v>0.0</v>
      </c>
      <c r="Q1728" s="50">
        <v>13.5</v>
      </c>
      <c r="R1728" s="50">
        <v>0.0</v>
      </c>
      <c r="S1728" s="50">
        <v>11.25</v>
      </c>
      <c r="T1728" s="50">
        <v>2.8125</v>
      </c>
      <c r="U1728" s="50">
        <v>9.9</v>
      </c>
      <c r="V1728" s="50">
        <v>5.625</v>
      </c>
      <c r="W1728" s="50">
        <v>4.95</v>
      </c>
      <c r="X1728" s="50">
        <v>2.8125</v>
      </c>
      <c r="Y1728" s="50">
        <v>50.85</v>
      </c>
    </row>
    <row r="1729">
      <c r="A1729" s="26">
        <v>1723.0</v>
      </c>
      <c r="B1729" s="65">
        <v>0.4684330641164589</v>
      </c>
      <c r="C1729" s="65">
        <v>0.21670036456380143</v>
      </c>
      <c r="D1729" s="65">
        <v>-0.5065306932871316</v>
      </c>
      <c r="E1729" s="65">
        <v>0.2633127549946077</v>
      </c>
      <c r="F1729" s="65">
        <v>3.5291527564677807</v>
      </c>
      <c r="G1729" s="50">
        <v>0.0</v>
      </c>
      <c r="H1729" s="50">
        <v>0.0</v>
      </c>
      <c r="I1729" s="50">
        <v>0.0</v>
      </c>
      <c r="J1729" s="50">
        <v>0.0</v>
      </c>
      <c r="K1729" s="50">
        <v>0.0</v>
      </c>
      <c r="L1729" s="50">
        <v>0.0</v>
      </c>
      <c r="M1729" s="50">
        <v>0.0</v>
      </c>
      <c r="N1729" s="50">
        <v>0.0</v>
      </c>
      <c r="O1729" s="50">
        <v>0.0</v>
      </c>
      <c r="P1729" s="50">
        <v>0.0</v>
      </c>
      <c r="Q1729" s="50">
        <v>0.0</v>
      </c>
      <c r="R1729" s="50">
        <v>0.0</v>
      </c>
      <c r="S1729" s="50">
        <v>0.0</v>
      </c>
      <c r="T1729" s="50">
        <v>2.8125</v>
      </c>
      <c r="U1729" s="50">
        <v>0.0</v>
      </c>
      <c r="V1729" s="50">
        <v>0.0</v>
      </c>
      <c r="W1729" s="50">
        <v>4.95</v>
      </c>
      <c r="X1729" s="50">
        <v>2.8125</v>
      </c>
      <c r="Y1729" s="50">
        <v>10.575</v>
      </c>
    </row>
    <row r="1730">
      <c r="A1730" s="26">
        <v>1724.0</v>
      </c>
      <c r="B1730" s="65">
        <v>0.10891145838529208</v>
      </c>
      <c r="C1730" s="65">
        <v>1.6939962118435483</v>
      </c>
      <c r="D1730" s="65">
        <v>0.851212212831286</v>
      </c>
      <c r="E1730" s="65">
        <v>1.1633810555966784</v>
      </c>
      <c r="F1730" s="65">
        <v>5.534376457271783</v>
      </c>
      <c r="G1730" s="50">
        <v>0.0</v>
      </c>
      <c r="H1730" s="50">
        <v>0.0</v>
      </c>
      <c r="I1730" s="50">
        <v>0.0</v>
      </c>
      <c r="J1730" s="50">
        <v>0.0</v>
      </c>
      <c r="K1730" s="50">
        <v>0.0</v>
      </c>
      <c r="L1730" s="50">
        <v>0.0</v>
      </c>
      <c r="M1730" s="50">
        <v>0.0</v>
      </c>
      <c r="N1730" s="50">
        <v>0.0</v>
      </c>
      <c r="O1730" s="50">
        <v>0.0</v>
      </c>
      <c r="P1730" s="50">
        <v>0.0</v>
      </c>
      <c r="Q1730" s="50">
        <v>0.0</v>
      </c>
      <c r="R1730" s="50">
        <v>0.0</v>
      </c>
      <c r="S1730" s="50">
        <v>0.0</v>
      </c>
      <c r="T1730" s="50">
        <v>2.8125</v>
      </c>
      <c r="U1730" s="50">
        <v>0.0</v>
      </c>
      <c r="V1730" s="50">
        <v>5.625</v>
      </c>
      <c r="W1730" s="50">
        <v>0.0</v>
      </c>
      <c r="X1730" s="50">
        <v>2.8125</v>
      </c>
      <c r="Y1730" s="50">
        <v>11.25</v>
      </c>
    </row>
    <row r="1731">
      <c r="A1731" s="26">
        <v>1725.0</v>
      </c>
      <c r="B1731" s="65">
        <v>-0.3817331154985957</v>
      </c>
      <c r="C1731" s="65">
        <v>1.2054250718471229</v>
      </c>
      <c r="D1731" s="65">
        <v>-0.49104736759561435</v>
      </c>
      <c r="E1731" s="65">
        <v>1.0739668700798006</v>
      </c>
      <c r="F1731" s="65">
        <v>5.962811902996106</v>
      </c>
      <c r="G1731" s="50">
        <v>0.0</v>
      </c>
      <c r="H1731" s="50">
        <v>0.0</v>
      </c>
      <c r="I1731" s="50">
        <v>0.0</v>
      </c>
      <c r="J1731" s="50">
        <v>0.0</v>
      </c>
      <c r="K1731" s="50">
        <v>0.0</v>
      </c>
      <c r="L1731" s="50">
        <v>0.0</v>
      </c>
      <c r="M1731" s="50">
        <v>0.0</v>
      </c>
      <c r="N1731" s="50">
        <v>0.0</v>
      </c>
      <c r="O1731" s="50">
        <v>0.0</v>
      </c>
      <c r="P1731" s="50">
        <v>0.0</v>
      </c>
      <c r="Q1731" s="50">
        <v>0.0</v>
      </c>
      <c r="R1731" s="50">
        <v>0.0</v>
      </c>
      <c r="S1731" s="50">
        <v>0.0</v>
      </c>
      <c r="T1731" s="50">
        <v>2.8125</v>
      </c>
      <c r="U1731" s="50">
        <v>0.0</v>
      </c>
      <c r="V1731" s="50">
        <v>0.0</v>
      </c>
      <c r="W1731" s="50">
        <v>0.0</v>
      </c>
      <c r="X1731" s="50">
        <v>2.8125</v>
      </c>
      <c r="Y1731" s="50">
        <v>5.625</v>
      </c>
    </row>
    <row r="1732">
      <c r="A1732" s="26">
        <v>1726.0</v>
      </c>
      <c r="B1732" s="65">
        <v>0.40187882667011016</v>
      </c>
      <c r="C1732" s="65">
        <v>0.3531318970174332</v>
      </c>
      <c r="D1732" s="65">
        <v>-1.2047092150004322</v>
      </c>
      <c r="E1732" s="65">
        <v>-0.9543865088054434</v>
      </c>
      <c r="F1732" s="65">
        <v>1.0553752843456619</v>
      </c>
      <c r="G1732" s="50">
        <v>0.0</v>
      </c>
      <c r="H1732" s="50">
        <v>0.0</v>
      </c>
      <c r="I1732" s="50">
        <v>0.0</v>
      </c>
      <c r="J1732" s="50">
        <v>0.0</v>
      </c>
      <c r="K1732" s="50">
        <v>0.0</v>
      </c>
      <c r="L1732" s="50">
        <v>0.0</v>
      </c>
      <c r="M1732" s="50">
        <v>0.0</v>
      </c>
      <c r="N1732" s="50">
        <v>0.0</v>
      </c>
      <c r="O1732" s="50">
        <v>0.0</v>
      </c>
      <c r="P1732" s="50">
        <v>0.0</v>
      </c>
      <c r="Q1732" s="50">
        <v>0.0</v>
      </c>
      <c r="R1732" s="50">
        <v>9.9</v>
      </c>
      <c r="S1732" s="50">
        <v>0.0</v>
      </c>
      <c r="T1732" s="50">
        <v>2.8125</v>
      </c>
      <c r="U1732" s="50">
        <v>0.0</v>
      </c>
      <c r="V1732" s="50">
        <v>0.0</v>
      </c>
      <c r="W1732" s="50">
        <v>0.0</v>
      </c>
      <c r="X1732" s="50">
        <v>2.8125</v>
      </c>
      <c r="Y1732" s="50">
        <v>15.525</v>
      </c>
    </row>
    <row r="1733">
      <c r="A1733" s="26">
        <v>1727.0</v>
      </c>
      <c r="B1733" s="65">
        <v>1.3698324374445692</v>
      </c>
      <c r="C1733" s="65">
        <v>0.5911432252220079</v>
      </c>
      <c r="D1733" s="65">
        <v>0.9356408599041598</v>
      </c>
      <c r="E1733" s="65">
        <v>-1.1723790472281026</v>
      </c>
      <c r="F1733" s="65">
        <v>2.851365243532234</v>
      </c>
      <c r="G1733" s="50">
        <v>0.0</v>
      </c>
      <c r="H1733" s="50">
        <v>0.0</v>
      </c>
      <c r="I1733" s="50">
        <v>0.0</v>
      </c>
      <c r="J1733" s="50">
        <v>0.0</v>
      </c>
      <c r="K1733" s="50">
        <v>0.0</v>
      </c>
      <c r="L1733" s="50">
        <v>0.0</v>
      </c>
      <c r="M1733" s="50">
        <v>0.0</v>
      </c>
      <c r="N1733" s="50">
        <v>0.0</v>
      </c>
      <c r="O1733" s="50">
        <v>0.0</v>
      </c>
      <c r="P1733" s="50">
        <v>0.0</v>
      </c>
      <c r="Q1733" s="50">
        <v>0.0</v>
      </c>
      <c r="R1733" s="50">
        <v>0.0</v>
      </c>
      <c r="S1733" s="50">
        <v>0.0</v>
      </c>
      <c r="T1733" s="50">
        <v>2.8125</v>
      </c>
      <c r="U1733" s="50">
        <v>0.0</v>
      </c>
      <c r="V1733" s="50">
        <v>0.0</v>
      </c>
      <c r="W1733" s="50">
        <v>0.0</v>
      </c>
      <c r="X1733" s="50">
        <v>2.8125</v>
      </c>
      <c r="Y1733" s="50">
        <v>5.625</v>
      </c>
    </row>
    <row r="1734">
      <c r="A1734" s="26">
        <v>1728.0</v>
      </c>
      <c r="B1734" s="65">
        <v>-0.7464604122835533</v>
      </c>
      <c r="C1734" s="65">
        <v>-0.678115794488251</v>
      </c>
      <c r="D1734" s="65">
        <v>-0.1724290116627441</v>
      </c>
      <c r="E1734" s="65">
        <v>-0.5900667861711334</v>
      </c>
      <c r="F1734" s="65">
        <v>15.866929080830566</v>
      </c>
      <c r="G1734" s="50">
        <v>0.0</v>
      </c>
      <c r="H1734" s="50">
        <v>0.0</v>
      </c>
      <c r="I1734" s="50">
        <v>0.0</v>
      </c>
      <c r="J1734" s="50">
        <v>0.0</v>
      </c>
      <c r="K1734" s="50">
        <v>0.0</v>
      </c>
      <c r="L1734" s="50">
        <v>0.0</v>
      </c>
      <c r="M1734" s="50">
        <v>0.0</v>
      </c>
      <c r="N1734" s="50">
        <v>0.0</v>
      </c>
      <c r="O1734" s="50">
        <v>0.0</v>
      </c>
      <c r="P1734" s="50">
        <v>0.0</v>
      </c>
      <c r="Q1734" s="50">
        <v>0.0</v>
      </c>
      <c r="R1734" s="50">
        <v>0.0</v>
      </c>
      <c r="S1734" s="50">
        <v>0.0</v>
      </c>
      <c r="T1734" s="50">
        <v>2.8125</v>
      </c>
      <c r="U1734" s="50">
        <v>0.0</v>
      </c>
      <c r="V1734" s="50">
        <v>0.0</v>
      </c>
      <c r="W1734" s="50">
        <v>0.0</v>
      </c>
      <c r="X1734" s="50">
        <v>2.8125</v>
      </c>
      <c r="Y1734" s="50">
        <v>5.625</v>
      </c>
    </row>
    <row r="1735">
      <c r="A1735" s="26">
        <v>1729.0</v>
      </c>
      <c r="B1735" s="65">
        <v>1.3137670044963818</v>
      </c>
      <c r="C1735" s="65">
        <v>-1.1421366427868138</v>
      </c>
      <c r="D1735" s="65">
        <v>-0.7282850742002969</v>
      </c>
      <c r="E1735" s="65">
        <v>-0.29035129302887297</v>
      </c>
      <c r="F1735" s="65">
        <v>3.121774372385103</v>
      </c>
      <c r="G1735" s="50">
        <v>0.0</v>
      </c>
      <c r="H1735" s="50">
        <v>0.0</v>
      </c>
      <c r="I1735" s="50">
        <v>0.0</v>
      </c>
      <c r="J1735" s="50">
        <v>0.0</v>
      </c>
      <c r="K1735" s="50">
        <v>0.0</v>
      </c>
      <c r="L1735" s="50">
        <v>0.0</v>
      </c>
      <c r="M1735" s="50">
        <v>0.0</v>
      </c>
      <c r="N1735" s="50">
        <v>0.0</v>
      </c>
      <c r="O1735" s="50">
        <v>7.425000000000001</v>
      </c>
      <c r="P1735" s="50">
        <v>0.0</v>
      </c>
      <c r="Q1735" s="50">
        <v>0.0</v>
      </c>
      <c r="R1735" s="50">
        <v>9.9</v>
      </c>
      <c r="S1735" s="50">
        <v>0.0</v>
      </c>
      <c r="T1735" s="50">
        <v>2.8125</v>
      </c>
      <c r="U1735" s="50">
        <v>0.0</v>
      </c>
      <c r="V1735" s="50">
        <v>0.0</v>
      </c>
      <c r="W1735" s="50">
        <v>0.0</v>
      </c>
      <c r="X1735" s="50">
        <v>2.8125</v>
      </c>
      <c r="Y1735" s="50">
        <v>22.950000000000003</v>
      </c>
    </row>
    <row r="1736">
      <c r="A1736" s="26">
        <v>1730.0</v>
      </c>
      <c r="B1736" s="65">
        <v>0.99394665054055</v>
      </c>
      <c r="C1736" s="65">
        <v>-0.31917772833370933</v>
      </c>
      <c r="D1736" s="65">
        <v>0.4225462021084746</v>
      </c>
      <c r="E1736" s="65">
        <v>-0.8565827937882547</v>
      </c>
      <c r="F1736" s="65">
        <v>8.309270871118965</v>
      </c>
      <c r="G1736" s="50">
        <v>0.0</v>
      </c>
      <c r="H1736" s="50">
        <v>0.0</v>
      </c>
      <c r="I1736" s="50">
        <v>0.0</v>
      </c>
      <c r="J1736" s="50">
        <v>0.0</v>
      </c>
      <c r="K1736" s="50">
        <v>0.0</v>
      </c>
      <c r="L1736" s="50">
        <v>0.0</v>
      </c>
      <c r="M1736" s="50">
        <v>0.0</v>
      </c>
      <c r="N1736" s="50">
        <v>0.0</v>
      </c>
      <c r="O1736" s="50">
        <v>0.0</v>
      </c>
      <c r="P1736" s="50">
        <v>0.0</v>
      </c>
      <c r="Q1736" s="50">
        <v>0.0</v>
      </c>
      <c r="R1736" s="50">
        <v>0.0</v>
      </c>
      <c r="S1736" s="50">
        <v>0.0</v>
      </c>
      <c r="T1736" s="50">
        <v>2.8125</v>
      </c>
      <c r="U1736" s="50">
        <v>0.0</v>
      </c>
      <c r="V1736" s="50">
        <v>0.0</v>
      </c>
      <c r="W1736" s="50">
        <v>0.0</v>
      </c>
      <c r="X1736" s="50">
        <v>2.8125</v>
      </c>
      <c r="Y1736" s="50">
        <v>5.625</v>
      </c>
    </row>
    <row r="1737">
      <c r="A1737" s="26">
        <v>1731.0</v>
      </c>
      <c r="B1737" s="65">
        <v>-0.6078113762174809</v>
      </c>
      <c r="C1737" s="65">
        <v>-0.5042068073207477</v>
      </c>
      <c r="D1737" s="65">
        <v>0.3062934609567931</v>
      </c>
      <c r="E1737" s="65">
        <v>-0.5139659612693862</v>
      </c>
      <c r="F1737" s="65">
        <v>4.298884723092489</v>
      </c>
      <c r="G1737" s="50">
        <v>0.0</v>
      </c>
      <c r="H1737" s="50">
        <v>0.0</v>
      </c>
      <c r="I1737" s="50">
        <v>0.0</v>
      </c>
      <c r="J1737" s="50">
        <v>0.0</v>
      </c>
      <c r="K1737" s="50">
        <v>0.0</v>
      </c>
      <c r="L1737" s="50">
        <v>0.0</v>
      </c>
      <c r="M1737" s="50">
        <v>0.0</v>
      </c>
      <c r="N1737" s="50">
        <v>0.0</v>
      </c>
      <c r="O1737" s="50">
        <v>0.0</v>
      </c>
      <c r="P1737" s="50">
        <v>0.0</v>
      </c>
      <c r="Q1737" s="50">
        <v>0.0</v>
      </c>
      <c r="R1737" s="50">
        <v>0.0</v>
      </c>
      <c r="S1737" s="50">
        <v>0.0</v>
      </c>
      <c r="T1737" s="50">
        <v>2.8125</v>
      </c>
      <c r="U1737" s="50">
        <v>0.0</v>
      </c>
      <c r="V1737" s="50">
        <v>0.0</v>
      </c>
      <c r="W1737" s="50">
        <v>0.0</v>
      </c>
      <c r="X1737" s="50">
        <v>2.8125</v>
      </c>
      <c r="Y1737" s="50">
        <v>5.625</v>
      </c>
    </row>
    <row r="1738">
      <c r="A1738" s="26">
        <v>1732.0</v>
      </c>
      <c r="B1738" s="65">
        <v>0.5972643426227968</v>
      </c>
      <c r="C1738" s="65">
        <v>-1.180985340528984</v>
      </c>
      <c r="D1738" s="65">
        <v>-1.929034624726411</v>
      </c>
      <c r="E1738" s="65">
        <v>0.4853715990279976</v>
      </c>
      <c r="F1738" s="65">
        <v>4.195067706566288</v>
      </c>
      <c r="G1738" s="50">
        <v>0.0</v>
      </c>
      <c r="H1738" s="50">
        <v>0.0</v>
      </c>
      <c r="I1738" s="50">
        <v>0.0</v>
      </c>
      <c r="J1738" s="50">
        <v>0.0</v>
      </c>
      <c r="K1738" s="50">
        <v>0.0</v>
      </c>
      <c r="L1738" s="50">
        <v>0.0</v>
      </c>
      <c r="M1738" s="50">
        <v>0.0</v>
      </c>
      <c r="N1738" s="50">
        <v>0.0</v>
      </c>
      <c r="O1738" s="50">
        <v>0.0</v>
      </c>
      <c r="P1738" s="50">
        <v>0.0</v>
      </c>
      <c r="Q1738" s="50">
        <v>0.0</v>
      </c>
      <c r="R1738" s="50">
        <v>0.0</v>
      </c>
      <c r="S1738" s="50">
        <v>0.0</v>
      </c>
      <c r="T1738" s="50">
        <v>2.8125</v>
      </c>
      <c r="U1738" s="50">
        <v>0.0</v>
      </c>
      <c r="V1738" s="50">
        <v>0.0</v>
      </c>
      <c r="W1738" s="50">
        <v>0.0</v>
      </c>
      <c r="X1738" s="50">
        <v>2.8125</v>
      </c>
      <c r="Y1738" s="50">
        <v>5.625</v>
      </c>
    </row>
    <row r="1739">
      <c r="A1739" s="26">
        <v>1733.0</v>
      </c>
      <c r="B1739" s="65">
        <v>0.5266414093606067</v>
      </c>
      <c r="C1739" s="65">
        <v>0.015312778285244895</v>
      </c>
      <c r="D1739" s="65">
        <v>0.46297982503616464</v>
      </c>
      <c r="E1739" s="65">
        <v>-1.4259926434858814</v>
      </c>
      <c r="F1739" s="65">
        <v>2.9481640015427524</v>
      </c>
      <c r="G1739" s="50">
        <v>0.0</v>
      </c>
      <c r="H1739" s="50">
        <v>0.0</v>
      </c>
      <c r="I1739" s="50">
        <v>0.0</v>
      </c>
      <c r="J1739" s="50">
        <v>0.0</v>
      </c>
      <c r="K1739" s="50">
        <v>0.0</v>
      </c>
      <c r="L1739" s="50">
        <v>0.0</v>
      </c>
      <c r="M1739" s="50">
        <v>0.0</v>
      </c>
      <c r="N1739" s="50">
        <v>0.0</v>
      </c>
      <c r="O1739" s="50">
        <v>0.0</v>
      </c>
      <c r="P1739" s="50">
        <v>2.475</v>
      </c>
      <c r="Q1739" s="50">
        <v>0.0</v>
      </c>
      <c r="R1739" s="50">
        <v>0.0</v>
      </c>
      <c r="S1739" s="50">
        <v>0.0</v>
      </c>
      <c r="T1739" s="50">
        <v>2.8125</v>
      </c>
      <c r="U1739" s="50">
        <v>0.0</v>
      </c>
      <c r="V1739" s="50">
        <v>5.625</v>
      </c>
      <c r="W1739" s="50">
        <v>0.0</v>
      </c>
      <c r="X1739" s="50">
        <v>2.8125</v>
      </c>
      <c r="Y1739" s="50">
        <v>13.725</v>
      </c>
    </row>
    <row r="1740">
      <c r="A1740" s="26">
        <v>1734.0</v>
      </c>
      <c r="B1740" s="65">
        <v>-0.7033132268503567</v>
      </c>
      <c r="C1740" s="65">
        <v>1.7070674765716676</v>
      </c>
      <c r="D1740" s="65">
        <v>0.47447918778208104</v>
      </c>
      <c r="E1740" s="65">
        <v>-1.0639029953829449</v>
      </c>
      <c r="F1740" s="65">
        <v>9.447273060493032</v>
      </c>
      <c r="G1740" s="50">
        <v>0.0</v>
      </c>
      <c r="H1740" s="50">
        <v>0.0</v>
      </c>
      <c r="I1740" s="50">
        <v>0.0</v>
      </c>
      <c r="J1740" s="50">
        <v>0.0</v>
      </c>
      <c r="K1740" s="50">
        <v>0.0</v>
      </c>
      <c r="L1740" s="50">
        <v>0.0</v>
      </c>
      <c r="M1740" s="50">
        <v>0.0</v>
      </c>
      <c r="N1740" s="50">
        <v>0.0</v>
      </c>
      <c r="O1740" s="50">
        <v>0.0</v>
      </c>
      <c r="P1740" s="50">
        <v>0.0</v>
      </c>
      <c r="Q1740" s="50">
        <v>0.0</v>
      </c>
      <c r="R1740" s="50">
        <v>0.0</v>
      </c>
      <c r="S1740" s="50">
        <v>0.0</v>
      </c>
      <c r="T1740" s="50">
        <v>2.8125</v>
      </c>
      <c r="U1740" s="50">
        <v>0.0</v>
      </c>
      <c r="V1740" s="50">
        <v>5.625</v>
      </c>
      <c r="W1740" s="50">
        <v>4.95</v>
      </c>
      <c r="X1740" s="50">
        <v>2.8125</v>
      </c>
      <c r="Y1740" s="50">
        <v>16.2</v>
      </c>
    </row>
    <row r="1741">
      <c r="A1741" s="26">
        <v>1735.0</v>
      </c>
      <c r="B1741" s="65">
        <v>-0.9955236846533821</v>
      </c>
      <c r="C1741" s="65">
        <v>1.2401844779123625</v>
      </c>
      <c r="D1741" s="65">
        <v>-0.10531839063090745</v>
      </c>
      <c r="E1741" s="65">
        <v>1.090980539680096</v>
      </c>
      <c r="F1741" s="65">
        <v>1.4985738127546924</v>
      </c>
      <c r="G1741" s="50">
        <v>0.0</v>
      </c>
      <c r="H1741" s="50">
        <v>0.0</v>
      </c>
      <c r="I1741" s="50">
        <v>0.0</v>
      </c>
      <c r="J1741" s="50">
        <v>0.0</v>
      </c>
      <c r="K1741" s="50">
        <v>0.0</v>
      </c>
      <c r="L1741" s="50">
        <v>0.0</v>
      </c>
      <c r="M1741" s="50">
        <v>0.0</v>
      </c>
      <c r="N1741" s="50">
        <v>0.0</v>
      </c>
      <c r="O1741" s="50">
        <v>7.425000000000001</v>
      </c>
      <c r="P1741" s="50">
        <v>0.0</v>
      </c>
      <c r="Q1741" s="50">
        <v>0.0</v>
      </c>
      <c r="R1741" s="50">
        <v>9.9</v>
      </c>
      <c r="S1741" s="50">
        <v>0.0</v>
      </c>
      <c r="T1741" s="50">
        <v>2.8125</v>
      </c>
      <c r="U1741" s="50">
        <v>0.0</v>
      </c>
      <c r="V1741" s="50">
        <v>5.625</v>
      </c>
      <c r="W1741" s="50">
        <v>0.0</v>
      </c>
      <c r="X1741" s="50">
        <v>2.8125</v>
      </c>
      <c r="Y1741" s="50">
        <v>28.575000000000003</v>
      </c>
    </row>
    <row r="1742">
      <c r="A1742" s="26">
        <v>1736.0</v>
      </c>
      <c r="B1742" s="65">
        <v>0.443677423303093</v>
      </c>
      <c r="C1742" s="65">
        <v>0.5787271346975377</v>
      </c>
      <c r="D1742" s="65">
        <v>0.2988370503602343</v>
      </c>
      <c r="E1742" s="65">
        <v>0.9309170260503287</v>
      </c>
      <c r="F1742" s="65">
        <v>4.790319244134114</v>
      </c>
      <c r="G1742" s="50">
        <v>0.0</v>
      </c>
      <c r="H1742" s="50">
        <v>0.0</v>
      </c>
      <c r="I1742" s="50">
        <v>0.0</v>
      </c>
      <c r="J1742" s="50">
        <v>0.0</v>
      </c>
      <c r="K1742" s="50">
        <v>0.0</v>
      </c>
      <c r="L1742" s="50">
        <v>0.0</v>
      </c>
      <c r="M1742" s="50">
        <v>0.0</v>
      </c>
      <c r="N1742" s="50">
        <v>0.0</v>
      </c>
      <c r="O1742" s="50">
        <v>0.0</v>
      </c>
      <c r="P1742" s="50">
        <v>0.0</v>
      </c>
      <c r="Q1742" s="50">
        <v>0.0</v>
      </c>
      <c r="R1742" s="50">
        <v>0.0</v>
      </c>
      <c r="S1742" s="50">
        <v>0.0</v>
      </c>
      <c r="T1742" s="50">
        <v>2.8125</v>
      </c>
      <c r="U1742" s="50">
        <v>0.0</v>
      </c>
      <c r="V1742" s="50">
        <v>0.0</v>
      </c>
      <c r="W1742" s="50">
        <v>0.0</v>
      </c>
      <c r="X1742" s="50">
        <v>2.8125</v>
      </c>
      <c r="Y1742" s="50">
        <v>5.625</v>
      </c>
    </row>
    <row r="1743">
      <c r="A1743" s="26">
        <v>1737.0</v>
      </c>
      <c r="B1743" s="65">
        <v>0.0434460244476737</v>
      </c>
      <c r="C1743" s="65">
        <v>-2.5486551973883316</v>
      </c>
      <c r="D1743" s="65">
        <v>-0.4784128169284097</v>
      </c>
      <c r="E1743" s="65">
        <v>-0.08004045381806317</v>
      </c>
      <c r="F1743" s="65">
        <v>6.972411962570984</v>
      </c>
      <c r="G1743" s="50">
        <v>0.0</v>
      </c>
      <c r="H1743" s="50">
        <v>0.0</v>
      </c>
      <c r="I1743" s="50">
        <v>0.0</v>
      </c>
      <c r="J1743" s="50">
        <v>0.0</v>
      </c>
      <c r="K1743" s="50">
        <v>0.0</v>
      </c>
      <c r="L1743" s="50">
        <v>0.0</v>
      </c>
      <c r="M1743" s="50">
        <v>0.0</v>
      </c>
      <c r="N1743" s="50">
        <v>0.0</v>
      </c>
      <c r="O1743" s="50">
        <v>0.0</v>
      </c>
      <c r="P1743" s="50">
        <v>0.0</v>
      </c>
      <c r="Q1743" s="50">
        <v>0.0</v>
      </c>
      <c r="R1743" s="50">
        <v>0.0</v>
      </c>
      <c r="S1743" s="50">
        <v>0.0</v>
      </c>
      <c r="T1743" s="50">
        <v>2.8125</v>
      </c>
      <c r="U1743" s="50">
        <v>0.0</v>
      </c>
      <c r="V1743" s="50">
        <v>0.0</v>
      </c>
      <c r="W1743" s="50">
        <v>0.0</v>
      </c>
      <c r="X1743" s="50">
        <v>2.8125</v>
      </c>
      <c r="Y1743" s="50">
        <v>5.625</v>
      </c>
    </row>
    <row r="1744">
      <c r="A1744" s="26">
        <v>1738.0</v>
      </c>
      <c r="B1744" s="65">
        <v>0.4343606424379073</v>
      </c>
      <c r="C1744" s="65">
        <v>0.8086596637919203</v>
      </c>
      <c r="D1744" s="65">
        <v>-0.17994234049580213</v>
      </c>
      <c r="E1744" s="65">
        <v>-2.047855457414375</v>
      </c>
      <c r="F1744" s="65">
        <v>4.727665921775887</v>
      </c>
      <c r="G1744" s="50">
        <v>0.0</v>
      </c>
      <c r="H1744" s="50">
        <v>0.0</v>
      </c>
      <c r="I1744" s="50">
        <v>0.0</v>
      </c>
      <c r="J1744" s="50">
        <v>0.0</v>
      </c>
      <c r="K1744" s="50">
        <v>0.0</v>
      </c>
      <c r="L1744" s="50">
        <v>0.0</v>
      </c>
      <c r="M1744" s="50">
        <v>0.0</v>
      </c>
      <c r="N1744" s="50">
        <v>0.0</v>
      </c>
      <c r="O1744" s="50">
        <v>0.0</v>
      </c>
      <c r="P1744" s="50">
        <v>0.0</v>
      </c>
      <c r="Q1744" s="50">
        <v>0.0</v>
      </c>
      <c r="R1744" s="50">
        <v>0.0</v>
      </c>
      <c r="S1744" s="50">
        <v>0.0</v>
      </c>
      <c r="T1744" s="50">
        <v>2.8125</v>
      </c>
      <c r="U1744" s="50">
        <v>0.0</v>
      </c>
      <c r="V1744" s="50">
        <v>0.0</v>
      </c>
      <c r="W1744" s="50">
        <v>4.95</v>
      </c>
      <c r="X1744" s="50">
        <v>2.8125</v>
      </c>
      <c r="Y1744" s="50">
        <v>10.575</v>
      </c>
    </row>
    <row r="1745">
      <c r="A1745" s="26">
        <v>1739.0</v>
      </c>
      <c r="B1745" s="65">
        <v>-0.008882716897218337</v>
      </c>
      <c r="C1745" s="65">
        <v>-0.2341960878420289</v>
      </c>
      <c r="D1745" s="65">
        <v>-0.8283917552507007</v>
      </c>
      <c r="E1745" s="65">
        <v>-0.051014735958710256</v>
      </c>
      <c r="F1745" s="65">
        <v>4.184070143987325</v>
      </c>
      <c r="G1745" s="50">
        <v>0.0</v>
      </c>
      <c r="H1745" s="50">
        <v>0.0</v>
      </c>
      <c r="I1745" s="50">
        <v>0.0</v>
      </c>
      <c r="J1745" s="50">
        <v>0.0</v>
      </c>
      <c r="K1745" s="50">
        <v>0.0</v>
      </c>
      <c r="L1745" s="50">
        <v>0.0</v>
      </c>
      <c r="M1745" s="50">
        <v>0.0</v>
      </c>
      <c r="N1745" s="50">
        <v>0.0</v>
      </c>
      <c r="O1745" s="50">
        <v>0.0</v>
      </c>
      <c r="P1745" s="50">
        <v>0.0</v>
      </c>
      <c r="Q1745" s="50">
        <v>0.0</v>
      </c>
      <c r="R1745" s="50">
        <v>0.0</v>
      </c>
      <c r="S1745" s="50">
        <v>0.0</v>
      </c>
      <c r="T1745" s="50">
        <v>2.8125</v>
      </c>
      <c r="U1745" s="50">
        <v>0.0</v>
      </c>
      <c r="V1745" s="50">
        <v>0.0</v>
      </c>
      <c r="W1745" s="50">
        <v>0.0</v>
      </c>
      <c r="X1745" s="50">
        <v>2.8125</v>
      </c>
      <c r="Y1745" s="50">
        <v>5.625</v>
      </c>
    </row>
    <row r="1746">
      <c r="A1746" s="26">
        <v>1740.0</v>
      </c>
      <c r="B1746" s="65">
        <v>-1.0719650308370232</v>
      </c>
      <c r="C1746" s="65">
        <v>-0.46059485628393776</v>
      </c>
      <c r="D1746" s="65">
        <v>-0.23318837397780312</v>
      </c>
      <c r="E1746" s="65">
        <v>0.5907838917581926</v>
      </c>
      <c r="F1746" s="65">
        <v>4.0771056525607845</v>
      </c>
      <c r="G1746" s="50">
        <v>0.0</v>
      </c>
      <c r="H1746" s="50">
        <v>0.0</v>
      </c>
      <c r="I1746" s="50">
        <v>0.0</v>
      </c>
      <c r="J1746" s="50">
        <v>0.0</v>
      </c>
      <c r="K1746" s="50">
        <v>0.0</v>
      </c>
      <c r="L1746" s="50">
        <v>0.0</v>
      </c>
      <c r="M1746" s="50">
        <v>0.0</v>
      </c>
      <c r="N1746" s="50">
        <v>0.0</v>
      </c>
      <c r="O1746" s="50">
        <v>0.0</v>
      </c>
      <c r="P1746" s="50">
        <v>2.475</v>
      </c>
      <c r="Q1746" s="50">
        <v>0.0</v>
      </c>
      <c r="R1746" s="50">
        <v>9.9</v>
      </c>
      <c r="S1746" s="50">
        <v>0.0</v>
      </c>
      <c r="T1746" s="50">
        <v>2.8125</v>
      </c>
      <c r="U1746" s="50">
        <v>0.0</v>
      </c>
      <c r="V1746" s="50">
        <v>0.0</v>
      </c>
      <c r="W1746" s="50">
        <v>4.95</v>
      </c>
      <c r="X1746" s="50">
        <v>2.8125</v>
      </c>
      <c r="Y1746" s="50">
        <v>22.95</v>
      </c>
    </row>
    <row r="1747">
      <c r="A1747" s="26">
        <v>1741.0</v>
      </c>
      <c r="B1747" s="65">
        <v>-0.08241730222861707</v>
      </c>
      <c r="C1747" s="65">
        <v>-1.9627303501932616</v>
      </c>
      <c r="D1747" s="65">
        <v>0.22191467885530308</v>
      </c>
      <c r="E1747" s="65">
        <v>0.014735950803253222</v>
      </c>
      <c r="F1747" s="65">
        <v>2.649096084390568</v>
      </c>
      <c r="G1747" s="50">
        <v>0.0</v>
      </c>
      <c r="H1747" s="50">
        <v>0.0</v>
      </c>
      <c r="I1747" s="50">
        <v>0.0</v>
      </c>
      <c r="J1747" s="50">
        <v>0.0</v>
      </c>
      <c r="K1747" s="50">
        <v>0.0</v>
      </c>
      <c r="L1747" s="50">
        <v>0.0</v>
      </c>
      <c r="M1747" s="50">
        <v>0.0</v>
      </c>
      <c r="N1747" s="50">
        <v>0.0</v>
      </c>
      <c r="O1747" s="50">
        <v>0.0</v>
      </c>
      <c r="P1747" s="50">
        <v>0.0</v>
      </c>
      <c r="Q1747" s="50">
        <v>0.0</v>
      </c>
      <c r="R1747" s="50">
        <v>0.0</v>
      </c>
      <c r="S1747" s="50">
        <v>0.0</v>
      </c>
      <c r="T1747" s="50">
        <v>2.8125</v>
      </c>
      <c r="U1747" s="50">
        <v>0.0</v>
      </c>
      <c r="V1747" s="50">
        <v>0.0</v>
      </c>
      <c r="W1747" s="50">
        <v>0.0</v>
      </c>
      <c r="X1747" s="50">
        <v>2.8125</v>
      </c>
      <c r="Y1747" s="50">
        <v>5.625</v>
      </c>
    </row>
    <row r="1748">
      <c r="A1748" s="26">
        <v>1742.0</v>
      </c>
      <c r="B1748" s="65">
        <v>-0.18263398658523766</v>
      </c>
      <c r="C1748" s="65">
        <v>-0.3869516952617294</v>
      </c>
      <c r="D1748" s="65">
        <v>-1.4793588022913564</v>
      </c>
      <c r="E1748" s="65">
        <v>1.6467048359351826</v>
      </c>
      <c r="F1748" s="65">
        <v>0.9331897349123944</v>
      </c>
      <c r="G1748" s="50">
        <v>0.0</v>
      </c>
      <c r="H1748" s="50">
        <v>11.25</v>
      </c>
      <c r="I1748" s="50">
        <v>0.0</v>
      </c>
      <c r="J1748" s="50">
        <v>0.0</v>
      </c>
      <c r="K1748" s="50">
        <v>0.0</v>
      </c>
      <c r="L1748" s="50">
        <v>0.0</v>
      </c>
      <c r="M1748" s="50">
        <v>0.0</v>
      </c>
      <c r="N1748" s="50">
        <v>0.0</v>
      </c>
      <c r="O1748" s="50">
        <v>0.0</v>
      </c>
      <c r="P1748" s="50">
        <v>0.0</v>
      </c>
      <c r="Q1748" s="50">
        <v>0.0</v>
      </c>
      <c r="R1748" s="50">
        <v>0.0</v>
      </c>
      <c r="S1748" s="50">
        <v>0.0</v>
      </c>
      <c r="T1748" s="50">
        <v>2.8125</v>
      </c>
      <c r="U1748" s="50">
        <v>0.0</v>
      </c>
      <c r="V1748" s="50">
        <v>0.0</v>
      </c>
      <c r="W1748" s="50">
        <v>0.0</v>
      </c>
      <c r="X1748" s="50">
        <v>2.8125</v>
      </c>
      <c r="Y1748" s="50">
        <v>16.875</v>
      </c>
    </row>
    <row r="1749">
      <c r="A1749" s="26">
        <v>1743.0</v>
      </c>
      <c r="B1749" s="65">
        <v>0.25882064920058845</v>
      </c>
      <c r="C1749" s="65">
        <v>1.5349550002191321</v>
      </c>
      <c r="D1749" s="65">
        <v>-1.3098888151527437</v>
      </c>
      <c r="E1749" s="65">
        <v>-1.6287410677728493</v>
      </c>
      <c r="F1749" s="65">
        <v>6.760582573924463</v>
      </c>
      <c r="G1749" s="50">
        <v>0.0</v>
      </c>
      <c r="H1749" s="50">
        <v>0.0</v>
      </c>
      <c r="I1749" s="50">
        <v>0.0</v>
      </c>
      <c r="J1749" s="50">
        <v>0.0</v>
      </c>
      <c r="K1749" s="50">
        <v>0.0</v>
      </c>
      <c r="L1749" s="50">
        <v>0.0</v>
      </c>
      <c r="M1749" s="50">
        <v>0.0</v>
      </c>
      <c r="N1749" s="50">
        <v>0.0</v>
      </c>
      <c r="O1749" s="50">
        <v>0.0</v>
      </c>
      <c r="P1749" s="50">
        <v>2.475</v>
      </c>
      <c r="Q1749" s="50">
        <v>0.0</v>
      </c>
      <c r="R1749" s="50">
        <v>0.0</v>
      </c>
      <c r="S1749" s="50">
        <v>0.0</v>
      </c>
      <c r="T1749" s="50">
        <v>2.8125</v>
      </c>
      <c r="U1749" s="50">
        <v>0.0</v>
      </c>
      <c r="V1749" s="50">
        <v>0.0</v>
      </c>
      <c r="W1749" s="50">
        <v>0.0</v>
      </c>
      <c r="X1749" s="50">
        <v>2.8125</v>
      </c>
      <c r="Y1749" s="50">
        <v>8.1</v>
      </c>
    </row>
    <row r="1750">
      <c r="A1750" s="26">
        <v>1744.0</v>
      </c>
      <c r="B1750" s="65">
        <v>-0.23777037269321527</v>
      </c>
      <c r="C1750" s="65">
        <v>-0.06704396578302242</v>
      </c>
      <c r="D1750" s="65">
        <v>-1.5027710374565226</v>
      </c>
      <c r="E1750" s="65">
        <v>0.714303885695207</v>
      </c>
      <c r="F1750" s="65">
        <v>1.2908220336833471</v>
      </c>
      <c r="G1750" s="50">
        <v>0.0</v>
      </c>
      <c r="H1750" s="50">
        <v>0.0</v>
      </c>
      <c r="I1750" s="50">
        <v>0.0</v>
      </c>
      <c r="J1750" s="50">
        <v>0.0</v>
      </c>
      <c r="K1750" s="50">
        <v>0.0</v>
      </c>
      <c r="L1750" s="50">
        <v>0.0</v>
      </c>
      <c r="M1750" s="50">
        <v>0.0</v>
      </c>
      <c r="N1750" s="50">
        <v>0.0</v>
      </c>
      <c r="O1750" s="50">
        <v>7.425000000000001</v>
      </c>
      <c r="P1750" s="50">
        <v>0.0</v>
      </c>
      <c r="Q1750" s="50">
        <v>0.0</v>
      </c>
      <c r="R1750" s="50">
        <v>9.9</v>
      </c>
      <c r="S1750" s="50">
        <v>0.0</v>
      </c>
      <c r="T1750" s="50">
        <v>2.8125</v>
      </c>
      <c r="U1750" s="50">
        <v>0.0</v>
      </c>
      <c r="V1750" s="50">
        <v>0.0</v>
      </c>
      <c r="W1750" s="50">
        <v>0.0</v>
      </c>
      <c r="X1750" s="50">
        <v>2.8125</v>
      </c>
      <c r="Y1750" s="50">
        <v>22.950000000000003</v>
      </c>
    </row>
    <row r="1751">
      <c r="A1751" s="26">
        <v>1745.0</v>
      </c>
      <c r="B1751" s="65">
        <v>0.21610463792593096</v>
      </c>
      <c r="C1751" s="65">
        <v>0.05869988693169285</v>
      </c>
      <c r="D1751" s="65">
        <v>0.068242379400228</v>
      </c>
      <c r="E1751" s="65">
        <v>1.0519375975993253</v>
      </c>
      <c r="F1751" s="65">
        <v>2.5736453637036987</v>
      </c>
      <c r="G1751" s="50">
        <v>0.0</v>
      </c>
      <c r="H1751" s="50">
        <v>0.0</v>
      </c>
      <c r="I1751" s="50">
        <v>0.0</v>
      </c>
      <c r="J1751" s="50">
        <v>0.0</v>
      </c>
      <c r="K1751" s="50">
        <v>0.0</v>
      </c>
      <c r="L1751" s="50">
        <v>0.0</v>
      </c>
      <c r="M1751" s="50">
        <v>0.0</v>
      </c>
      <c r="N1751" s="50">
        <v>0.0</v>
      </c>
      <c r="O1751" s="50">
        <v>7.425000000000001</v>
      </c>
      <c r="P1751" s="50">
        <v>0.0</v>
      </c>
      <c r="Q1751" s="50">
        <v>0.0</v>
      </c>
      <c r="R1751" s="50">
        <v>0.0</v>
      </c>
      <c r="S1751" s="50">
        <v>0.0</v>
      </c>
      <c r="T1751" s="50">
        <v>2.8125</v>
      </c>
      <c r="U1751" s="50">
        <v>0.0</v>
      </c>
      <c r="V1751" s="50">
        <v>0.0</v>
      </c>
      <c r="W1751" s="50">
        <v>0.0</v>
      </c>
      <c r="X1751" s="50">
        <v>2.8125</v>
      </c>
      <c r="Y1751" s="50">
        <v>13.05</v>
      </c>
    </row>
    <row r="1752">
      <c r="A1752" s="26">
        <v>1746.0</v>
      </c>
      <c r="B1752" s="65">
        <v>0.1210311033264978</v>
      </c>
      <c r="C1752" s="65">
        <v>0.3946005517641797</v>
      </c>
      <c r="D1752" s="65">
        <v>-0.1533951961445646</v>
      </c>
      <c r="E1752" s="65">
        <v>-0.3458256016224116</v>
      </c>
      <c r="F1752" s="65">
        <v>2.9306945475414374</v>
      </c>
      <c r="G1752" s="50">
        <v>0.0</v>
      </c>
      <c r="H1752" s="50">
        <v>0.0</v>
      </c>
      <c r="I1752" s="50">
        <v>0.0</v>
      </c>
      <c r="J1752" s="50">
        <v>0.0</v>
      </c>
      <c r="K1752" s="50">
        <v>0.0</v>
      </c>
      <c r="L1752" s="50">
        <v>0.0</v>
      </c>
      <c r="M1752" s="50">
        <v>0.0</v>
      </c>
      <c r="N1752" s="50">
        <v>0.0</v>
      </c>
      <c r="O1752" s="50">
        <v>0.0</v>
      </c>
      <c r="P1752" s="50">
        <v>0.0</v>
      </c>
      <c r="Q1752" s="50">
        <v>0.0</v>
      </c>
      <c r="R1752" s="50">
        <v>0.0</v>
      </c>
      <c r="S1752" s="50">
        <v>0.0</v>
      </c>
      <c r="T1752" s="50">
        <v>2.8125</v>
      </c>
      <c r="U1752" s="50">
        <v>0.0</v>
      </c>
      <c r="V1752" s="50">
        <v>5.625</v>
      </c>
      <c r="W1752" s="50">
        <v>0.0</v>
      </c>
      <c r="X1752" s="50">
        <v>2.8125</v>
      </c>
      <c r="Y1752" s="50">
        <v>11.25</v>
      </c>
    </row>
    <row r="1753">
      <c r="A1753" s="26">
        <v>1747.0</v>
      </c>
      <c r="B1753" s="65">
        <v>1.2968362874356236</v>
      </c>
      <c r="C1753" s="65">
        <v>-0.9190306083457973</v>
      </c>
      <c r="D1753" s="65">
        <v>2.498543159110165</v>
      </c>
      <c r="E1753" s="65">
        <v>-1.9276779656484218</v>
      </c>
      <c r="F1753" s="65">
        <v>2.7334103305178927</v>
      </c>
      <c r="G1753" s="50">
        <v>0.0</v>
      </c>
      <c r="H1753" s="50">
        <v>0.0</v>
      </c>
      <c r="I1753" s="50">
        <v>0.0</v>
      </c>
      <c r="J1753" s="50">
        <v>0.0</v>
      </c>
      <c r="K1753" s="50">
        <v>0.0</v>
      </c>
      <c r="L1753" s="50">
        <v>0.0</v>
      </c>
      <c r="M1753" s="50">
        <v>0.0</v>
      </c>
      <c r="N1753" s="50">
        <v>0.0</v>
      </c>
      <c r="O1753" s="50">
        <v>0.0</v>
      </c>
      <c r="P1753" s="50">
        <v>0.0</v>
      </c>
      <c r="Q1753" s="50">
        <v>0.0</v>
      </c>
      <c r="R1753" s="50">
        <v>0.0</v>
      </c>
      <c r="S1753" s="50">
        <v>0.0</v>
      </c>
      <c r="T1753" s="50">
        <v>2.8125</v>
      </c>
      <c r="U1753" s="50">
        <v>0.0</v>
      </c>
      <c r="V1753" s="50">
        <v>0.0</v>
      </c>
      <c r="W1753" s="50">
        <v>0.0</v>
      </c>
      <c r="X1753" s="50">
        <v>2.8125</v>
      </c>
      <c r="Y1753" s="50">
        <v>5.625</v>
      </c>
    </row>
    <row r="1754">
      <c r="A1754" s="26">
        <v>1748.0</v>
      </c>
      <c r="B1754" s="65">
        <v>-1.1199103219755393</v>
      </c>
      <c r="C1754" s="65">
        <v>-0.8469544264407308</v>
      </c>
      <c r="D1754" s="65">
        <v>1.0509959105797573</v>
      </c>
      <c r="E1754" s="65">
        <v>0.5478017727008907</v>
      </c>
      <c r="F1754" s="65">
        <v>3.498344804967401</v>
      </c>
      <c r="G1754" s="50">
        <v>0.0</v>
      </c>
      <c r="H1754" s="50">
        <v>0.0</v>
      </c>
      <c r="I1754" s="50">
        <v>0.0</v>
      </c>
      <c r="J1754" s="50">
        <v>0.0</v>
      </c>
      <c r="K1754" s="50">
        <v>0.0</v>
      </c>
      <c r="L1754" s="50">
        <v>0.0</v>
      </c>
      <c r="M1754" s="50">
        <v>0.0</v>
      </c>
      <c r="N1754" s="50">
        <v>0.0</v>
      </c>
      <c r="O1754" s="50">
        <v>0.0</v>
      </c>
      <c r="P1754" s="50">
        <v>0.0</v>
      </c>
      <c r="Q1754" s="50">
        <v>0.0</v>
      </c>
      <c r="R1754" s="50">
        <v>0.0</v>
      </c>
      <c r="S1754" s="50">
        <v>0.0</v>
      </c>
      <c r="T1754" s="50">
        <v>2.8125</v>
      </c>
      <c r="U1754" s="50">
        <v>0.0</v>
      </c>
      <c r="V1754" s="50">
        <v>0.0</v>
      </c>
      <c r="W1754" s="50">
        <v>0.0</v>
      </c>
      <c r="X1754" s="50">
        <v>2.8125</v>
      </c>
      <c r="Y1754" s="50">
        <v>5.625</v>
      </c>
    </row>
    <row r="1755">
      <c r="A1755" s="26">
        <v>1749.0</v>
      </c>
      <c r="B1755" s="65">
        <v>0.4189211377526769</v>
      </c>
      <c r="C1755" s="65">
        <v>-0.5586239396510698</v>
      </c>
      <c r="D1755" s="65">
        <v>0.66013803501893</v>
      </c>
      <c r="E1755" s="65">
        <v>-0.6103119251163065</v>
      </c>
      <c r="F1755" s="65">
        <v>1.512751690242333</v>
      </c>
      <c r="G1755" s="50">
        <v>0.0</v>
      </c>
      <c r="H1755" s="50">
        <v>0.0</v>
      </c>
      <c r="I1755" s="50">
        <v>0.0</v>
      </c>
      <c r="J1755" s="50">
        <v>0.0</v>
      </c>
      <c r="K1755" s="50">
        <v>0.0</v>
      </c>
      <c r="L1755" s="50">
        <v>0.0</v>
      </c>
      <c r="M1755" s="50">
        <v>0.0</v>
      </c>
      <c r="N1755" s="50">
        <v>0.0</v>
      </c>
      <c r="O1755" s="50">
        <v>0.0</v>
      </c>
      <c r="P1755" s="50">
        <v>0.0</v>
      </c>
      <c r="Q1755" s="50">
        <v>0.0</v>
      </c>
      <c r="R1755" s="50">
        <v>0.0</v>
      </c>
      <c r="S1755" s="50">
        <v>0.0</v>
      </c>
      <c r="T1755" s="50">
        <v>2.8125</v>
      </c>
      <c r="U1755" s="50">
        <v>0.0</v>
      </c>
      <c r="V1755" s="50">
        <v>5.625</v>
      </c>
      <c r="W1755" s="50">
        <v>0.0</v>
      </c>
      <c r="X1755" s="50">
        <v>2.8125</v>
      </c>
      <c r="Y1755" s="50">
        <v>11.25</v>
      </c>
    </row>
    <row r="1756">
      <c r="A1756" s="26">
        <v>1750.0</v>
      </c>
      <c r="B1756" s="65">
        <v>0.594137528967688</v>
      </c>
      <c r="C1756" s="65">
        <v>-1.431716111584839</v>
      </c>
      <c r="D1756" s="65">
        <v>0.15134794667290416</v>
      </c>
      <c r="E1756" s="65">
        <v>1.486963833825547</v>
      </c>
      <c r="F1756" s="65">
        <v>4.3372490180975785</v>
      </c>
      <c r="G1756" s="50">
        <v>0.0</v>
      </c>
      <c r="H1756" s="50">
        <v>0.0</v>
      </c>
      <c r="I1756" s="50">
        <v>0.0</v>
      </c>
      <c r="J1756" s="50">
        <v>0.0</v>
      </c>
      <c r="K1756" s="50">
        <v>0.0</v>
      </c>
      <c r="L1756" s="50">
        <v>0.0</v>
      </c>
      <c r="M1756" s="50">
        <v>0.0</v>
      </c>
      <c r="N1756" s="50">
        <v>0.0</v>
      </c>
      <c r="O1756" s="50">
        <v>0.0</v>
      </c>
      <c r="P1756" s="50">
        <v>0.0</v>
      </c>
      <c r="Q1756" s="50">
        <v>0.0</v>
      </c>
      <c r="R1756" s="50">
        <v>0.0</v>
      </c>
      <c r="S1756" s="50">
        <v>0.0</v>
      </c>
      <c r="T1756" s="50">
        <v>2.8125</v>
      </c>
      <c r="U1756" s="50">
        <v>0.0</v>
      </c>
      <c r="V1756" s="50">
        <v>0.0</v>
      </c>
      <c r="W1756" s="50">
        <v>0.0</v>
      </c>
      <c r="X1756" s="50">
        <v>2.8125</v>
      </c>
      <c r="Y1756" s="50">
        <v>5.625</v>
      </c>
    </row>
    <row r="1757">
      <c r="A1757" s="26">
        <v>1751.0</v>
      </c>
      <c r="B1757" s="65">
        <v>0.9210659293037915</v>
      </c>
      <c r="C1757" s="65">
        <v>-2.9704742274024443</v>
      </c>
      <c r="D1757" s="65">
        <v>-0.3768252742925331</v>
      </c>
      <c r="E1757" s="65">
        <v>0.43941946045477404</v>
      </c>
      <c r="F1757" s="65">
        <v>4.166846855491546</v>
      </c>
      <c r="G1757" s="50">
        <v>0.0</v>
      </c>
      <c r="H1757" s="50">
        <v>0.0</v>
      </c>
      <c r="I1757" s="50">
        <v>0.0</v>
      </c>
      <c r="J1757" s="50">
        <v>0.0</v>
      </c>
      <c r="K1757" s="50">
        <v>0.0</v>
      </c>
      <c r="L1757" s="50">
        <v>0.0</v>
      </c>
      <c r="M1757" s="50">
        <v>0.0</v>
      </c>
      <c r="N1757" s="50">
        <v>0.0</v>
      </c>
      <c r="O1757" s="50">
        <v>7.425000000000001</v>
      </c>
      <c r="P1757" s="50">
        <v>0.0</v>
      </c>
      <c r="Q1757" s="50">
        <v>0.0</v>
      </c>
      <c r="R1757" s="50">
        <v>0.0</v>
      </c>
      <c r="S1757" s="50">
        <v>0.0</v>
      </c>
      <c r="T1757" s="50">
        <v>2.8125</v>
      </c>
      <c r="U1757" s="50">
        <v>0.0</v>
      </c>
      <c r="V1757" s="50">
        <v>0.0</v>
      </c>
      <c r="W1757" s="50">
        <v>0.0</v>
      </c>
      <c r="X1757" s="50">
        <v>2.8125</v>
      </c>
      <c r="Y1757" s="50">
        <v>13.05</v>
      </c>
    </row>
    <row r="1758">
      <c r="A1758" s="26">
        <v>1752.0</v>
      </c>
      <c r="B1758" s="65">
        <v>0.7721586200574893</v>
      </c>
      <c r="C1758" s="65">
        <v>1.5123368870060374</v>
      </c>
      <c r="D1758" s="65">
        <v>-1.1442495120190415</v>
      </c>
      <c r="E1758" s="65">
        <v>-0.6689633844398847</v>
      </c>
      <c r="F1758" s="65">
        <v>5.967076007299676</v>
      </c>
      <c r="G1758" s="50">
        <v>0.0</v>
      </c>
      <c r="H1758" s="50">
        <v>0.0</v>
      </c>
      <c r="I1758" s="50">
        <v>0.0</v>
      </c>
      <c r="J1758" s="50">
        <v>0.0</v>
      </c>
      <c r="K1758" s="50">
        <v>0.0</v>
      </c>
      <c r="L1758" s="50">
        <v>0.0</v>
      </c>
      <c r="M1758" s="50">
        <v>0.0</v>
      </c>
      <c r="N1758" s="50">
        <v>0.0</v>
      </c>
      <c r="O1758" s="50">
        <v>0.0</v>
      </c>
      <c r="P1758" s="50">
        <v>0.0</v>
      </c>
      <c r="Q1758" s="50">
        <v>0.0</v>
      </c>
      <c r="R1758" s="50">
        <v>0.0</v>
      </c>
      <c r="S1758" s="50">
        <v>0.0</v>
      </c>
      <c r="T1758" s="50">
        <v>2.8125</v>
      </c>
      <c r="U1758" s="50">
        <v>0.0</v>
      </c>
      <c r="V1758" s="50">
        <v>0.0</v>
      </c>
      <c r="W1758" s="50">
        <v>0.0</v>
      </c>
      <c r="X1758" s="50">
        <v>2.8125</v>
      </c>
      <c r="Y1758" s="50">
        <v>5.625</v>
      </c>
    </row>
    <row r="1759">
      <c r="A1759" s="26">
        <v>1753.0</v>
      </c>
      <c r="B1759" s="65">
        <v>1.112057297437833</v>
      </c>
      <c r="C1759" s="65">
        <v>-0.28391242670484623</v>
      </c>
      <c r="D1759" s="65">
        <v>-1.5989977148781704</v>
      </c>
      <c r="E1759" s="65">
        <v>0.36181909152851904</v>
      </c>
      <c r="F1759" s="65">
        <v>5.16374807755685</v>
      </c>
      <c r="G1759" s="50">
        <v>0.0</v>
      </c>
      <c r="H1759" s="50">
        <v>0.0</v>
      </c>
      <c r="I1759" s="50">
        <v>0.0</v>
      </c>
      <c r="J1759" s="50">
        <v>0.0</v>
      </c>
      <c r="K1759" s="50">
        <v>0.0</v>
      </c>
      <c r="L1759" s="50">
        <v>0.0</v>
      </c>
      <c r="M1759" s="50">
        <v>0.0</v>
      </c>
      <c r="N1759" s="50">
        <v>0.0</v>
      </c>
      <c r="O1759" s="50">
        <v>0.0</v>
      </c>
      <c r="P1759" s="50">
        <v>0.0</v>
      </c>
      <c r="Q1759" s="50">
        <v>0.0</v>
      </c>
      <c r="R1759" s="50">
        <v>0.0</v>
      </c>
      <c r="S1759" s="50">
        <v>0.0</v>
      </c>
      <c r="T1759" s="50">
        <v>2.8125</v>
      </c>
      <c r="U1759" s="50">
        <v>0.0</v>
      </c>
      <c r="V1759" s="50">
        <v>0.0</v>
      </c>
      <c r="W1759" s="50">
        <v>0.0</v>
      </c>
      <c r="X1759" s="50">
        <v>2.8125</v>
      </c>
      <c r="Y1759" s="50">
        <v>5.625</v>
      </c>
    </row>
    <row r="1760">
      <c r="A1760" s="26">
        <v>1754.0</v>
      </c>
      <c r="B1760" s="65">
        <v>0.3386001225494201</v>
      </c>
      <c r="C1760" s="65">
        <v>-0.36246412834422986</v>
      </c>
      <c r="D1760" s="65">
        <v>0.21582909531952713</v>
      </c>
      <c r="E1760" s="65">
        <v>-0.9351176601110203</v>
      </c>
      <c r="F1760" s="65">
        <v>4.065662462101386</v>
      </c>
      <c r="G1760" s="50">
        <v>0.0</v>
      </c>
      <c r="H1760" s="50">
        <v>0.0</v>
      </c>
      <c r="I1760" s="50">
        <v>0.0</v>
      </c>
      <c r="J1760" s="50">
        <v>0.0</v>
      </c>
      <c r="K1760" s="50">
        <v>0.0</v>
      </c>
      <c r="L1760" s="50">
        <v>0.0</v>
      </c>
      <c r="M1760" s="50">
        <v>0.0</v>
      </c>
      <c r="N1760" s="50">
        <v>0.0</v>
      </c>
      <c r="O1760" s="50">
        <v>0.0</v>
      </c>
      <c r="P1760" s="50">
        <v>0.0</v>
      </c>
      <c r="Q1760" s="50">
        <v>0.0</v>
      </c>
      <c r="R1760" s="50">
        <v>0.0</v>
      </c>
      <c r="S1760" s="50">
        <v>0.0</v>
      </c>
      <c r="T1760" s="50">
        <v>2.8125</v>
      </c>
      <c r="U1760" s="50">
        <v>0.0</v>
      </c>
      <c r="V1760" s="50">
        <v>0.0</v>
      </c>
      <c r="W1760" s="50">
        <v>0.0</v>
      </c>
      <c r="X1760" s="50">
        <v>2.8125</v>
      </c>
      <c r="Y1760" s="50">
        <v>5.625</v>
      </c>
    </row>
    <row r="1761">
      <c r="A1761" s="26">
        <v>1755.0</v>
      </c>
      <c r="B1761" s="65">
        <v>-1.1162541655417257</v>
      </c>
      <c r="C1761" s="65">
        <v>-0.661949505268617</v>
      </c>
      <c r="D1761" s="65">
        <v>0.24283037952059702</v>
      </c>
      <c r="E1761" s="65">
        <v>-0.9912803083126821</v>
      </c>
      <c r="F1761" s="65">
        <v>5.600702477320398</v>
      </c>
      <c r="G1761" s="50">
        <v>0.0</v>
      </c>
      <c r="H1761" s="50">
        <v>0.0</v>
      </c>
      <c r="I1761" s="50">
        <v>0.0</v>
      </c>
      <c r="J1761" s="50">
        <v>0.0</v>
      </c>
      <c r="K1761" s="50">
        <v>0.0</v>
      </c>
      <c r="L1761" s="50">
        <v>0.0</v>
      </c>
      <c r="M1761" s="50">
        <v>0.0</v>
      </c>
      <c r="N1761" s="50">
        <v>0.0</v>
      </c>
      <c r="O1761" s="50">
        <v>0.0</v>
      </c>
      <c r="P1761" s="50">
        <v>0.0</v>
      </c>
      <c r="Q1761" s="50">
        <v>0.0</v>
      </c>
      <c r="R1761" s="50">
        <v>0.0</v>
      </c>
      <c r="S1761" s="50">
        <v>0.0</v>
      </c>
      <c r="T1761" s="50">
        <v>2.8125</v>
      </c>
      <c r="U1761" s="50">
        <v>0.0</v>
      </c>
      <c r="V1761" s="50">
        <v>0.0</v>
      </c>
      <c r="W1761" s="50">
        <v>4.95</v>
      </c>
      <c r="X1761" s="50">
        <v>2.8125</v>
      </c>
      <c r="Y1761" s="50">
        <v>10.575</v>
      </c>
    </row>
    <row r="1762">
      <c r="A1762" s="26">
        <v>1756.0</v>
      </c>
      <c r="B1762" s="65">
        <v>0.5673250954898928</v>
      </c>
      <c r="C1762" s="65">
        <v>0.8886601525385607</v>
      </c>
      <c r="D1762" s="65">
        <v>0.9924877236197827</v>
      </c>
      <c r="E1762" s="65">
        <v>0.5348824952723343</v>
      </c>
      <c r="F1762" s="65">
        <v>3.1043515936560886</v>
      </c>
      <c r="G1762" s="50">
        <v>0.0</v>
      </c>
      <c r="H1762" s="50">
        <v>0.0</v>
      </c>
      <c r="I1762" s="50">
        <v>0.0</v>
      </c>
      <c r="J1762" s="50">
        <v>0.0</v>
      </c>
      <c r="K1762" s="50">
        <v>0.0</v>
      </c>
      <c r="L1762" s="50">
        <v>0.0</v>
      </c>
      <c r="M1762" s="50">
        <v>0.0</v>
      </c>
      <c r="N1762" s="50">
        <v>0.0</v>
      </c>
      <c r="O1762" s="50">
        <v>0.0</v>
      </c>
      <c r="P1762" s="50">
        <v>0.0</v>
      </c>
      <c r="Q1762" s="50">
        <v>0.0</v>
      </c>
      <c r="R1762" s="50">
        <v>0.0</v>
      </c>
      <c r="S1762" s="50">
        <v>0.0</v>
      </c>
      <c r="T1762" s="50">
        <v>2.8125</v>
      </c>
      <c r="U1762" s="50">
        <v>0.0</v>
      </c>
      <c r="V1762" s="50">
        <v>0.0</v>
      </c>
      <c r="W1762" s="50">
        <v>0.0</v>
      </c>
      <c r="X1762" s="50">
        <v>2.8125</v>
      </c>
      <c r="Y1762" s="50">
        <v>5.625</v>
      </c>
    </row>
    <row r="1763">
      <c r="A1763" s="26">
        <v>1757.0</v>
      </c>
      <c r="B1763" s="65">
        <v>0.016683343174003676</v>
      </c>
      <c r="C1763" s="65">
        <v>0.3782340247210681</v>
      </c>
      <c r="D1763" s="65">
        <v>1.1124284424745252</v>
      </c>
      <c r="E1763" s="65">
        <v>-1.2408292411495272</v>
      </c>
      <c r="F1763" s="65">
        <v>4.3959164111713624</v>
      </c>
      <c r="G1763" s="50">
        <v>0.0</v>
      </c>
      <c r="H1763" s="50">
        <v>0.0</v>
      </c>
      <c r="I1763" s="50">
        <v>0.0</v>
      </c>
      <c r="J1763" s="50">
        <v>0.0</v>
      </c>
      <c r="K1763" s="50">
        <v>0.0</v>
      </c>
      <c r="L1763" s="50">
        <v>0.0</v>
      </c>
      <c r="M1763" s="50">
        <v>0.0</v>
      </c>
      <c r="N1763" s="50">
        <v>0.0</v>
      </c>
      <c r="O1763" s="50">
        <v>0.0</v>
      </c>
      <c r="P1763" s="50">
        <v>0.0</v>
      </c>
      <c r="Q1763" s="50">
        <v>0.0</v>
      </c>
      <c r="R1763" s="50">
        <v>0.0</v>
      </c>
      <c r="S1763" s="50">
        <v>0.0</v>
      </c>
      <c r="T1763" s="50">
        <v>2.8125</v>
      </c>
      <c r="U1763" s="50">
        <v>9.9</v>
      </c>
      <c r="V1763" s="50">
        <v>0.0</v>
      </c>
      <c r="W1763" s="50">
        <v>4.95</v>
      </c>
      <c r="X1763" s="50">
        <v>2.8125</v>
      </c>
      <c r="Y1763" s="50">
        <v>20.475</v>
      </c>
    </row>
    <row r="1764">
      <c r="A1764" s="26">
        <v>1758.0</v>
      </c>
      <c r="B1764" s="65">
        <v>0.2658154421180161</v>
      </c>
      <c r="C1764" s="65">
        <v>-0.8945112520146181</v>
      </c>
      <c r="D1764" s="65">
        <v>-0.6740548887427317</v>
      </c>
      <c r="E1764" s="65">
        <v>0.5153801257727473</v>
      </c>
      <c r="F1764" s="65">
        <v>11.072410494169002</v>
      </c>
      <c r="G1764" s="50">
        <v>0.0</v>
      </c>
      <c r="H1764" s="50">
        <v>0.0</v>
      </c>
      <c r="I1764" s="50">
        <v>0.0</v>
      </c>
      <c r="J1764" s="50">
        <v>0.0</v>
      </c>
      <c r="K1764" s="50">
        <v>0.0</v>
      </c>
      <c r="L1764" s="50">
        <v>0.0</v>
      </c>
      <c r="M1764" s="50">
        <v>0.0</v>
      </c>
      <c r="N1764" s="50">
        <v>0.0</v>
      </c>
      <c r="O1764" s="50">
        <v>0.0</v>
      </c>
      <c r="P1764" s="50">
        <v>0.0</v>
      </c>
      <c r="Q1764" s="50">
        <v>0.0</v>
      </c>
      <c r="R1764" s="50">
        <v>0.0</v>
      </c>
      <c r="S1764" s="50">
        <v>0.0</v>
      </c>
      <c r="T1764" s="50">
        <v>2.8125</v>
      </c>
      <c r="U1764" s="50">
        <v>0.0</v>
      </c>
      <c r="V1764" s="50">
        <v>0.0</v>
      </c>
      <c r="W1764" s="50">
        <v>0.0</v>
      </c>
      <c r="X1764" s="50">
        <v>2.8125</v>
      </c>
      <c r="Y1764" s="50">
        <v>5.625</v>
      </c>
    </row>
    <row r="1765">
      <c r="A1765" s="26">
        <v>1759.0</v>
      </c>
      <c r="B1765" s="65">
        <v>-0.7649350812282137</v>
      </c>
      <c r="C1765" s="65">
        <v>-0.8398814121576293</v>
      </c>
      <c r="D1765" s="65">
        <v>-0.7885353864050986</v>
      </c>
      <c r="E1765" s="65">
        <v>-1.1098712958229384</v>
      </c>
      <c r="F1765" s="65">
        <v>3.3250410528180847</v>
      </c>
      <c r="G1765" s="50">
        <v>0.0</v>
      </c>
      <c r="H1765" s="50">
        <v>0.0</v>
      </c>
      <c r="I1765" s="50">
        <v>0.0</v>
      </c>
      <c r="J1765" s="50">
        <v>0.0</v>
      </c>
      <c r="K1765" s="50">
        <v>0.0</v>
      </c>
      <c r="L1765" s="50">
        <v>0.0</v>
      </c>
      <c r="M1765" s="50">
        <v>0.0</v>
      </c>
      <c r="N1765" s="50">
        <v>0.0</v>
      </c>
      <c r="O1765" s="50">
        <v>0.0</v>
      </c>
      <c r="P1765" s="50">
        <v>0.0</v>
      </c>
      <c r="Q1765" s="50">
        <v>0.0</v>
      </c>
      <c r="R1765" s="50">
        <v>0.0</v>
      </c>
      <c r="S1765" s="50">
        <v>0.0</v>
      </c>
      <c r="T1765" s="50">
        <v>2.8125</v>
      </c>
      <c r="U1765" s="50">
        <v>9.9</v>
      </c>
      <c r="V1765" s="50">
        <v>5.625</v>
      </c>
      <c r="W1765" s="50">
        <v>4.95</v>
      </c>
      <c r="X1765" s="50">
        <v>2.8125</v>
      </c>
      <c r="Y1765" s="50">
        <v>26.099999999999998</v>
      </c>
    </row>
    <row r="1766">
      <c r="A1766" s="26">
        <v>1760.0</v>
      </c>
      <c r="B1766" s="65">
        <v>0.5625170497966828</v>
      </c>
      <c r="C1766" s="65">
        <v>0.7615865571952061</v>
      </c>
      <c r="D1766" s="65">
        <v>1.9974208471715913</v>
      </c>
      <c r="E1766" s="65">
        <v>-0.49831881184755533</v>
      </c>
      <c r="F1766" s="65">
        <v>8.122219059781584</v>
      </c>
      <c r="G1766" s="50">
        <v>0.0</v>
      </c>
      <c r="H1766" s="50">
        <v>0.0</v>
      </c>
      <c r="I1766" s="50">
        <v>0.0</v>
      </c>
      <c r="J1766" s="50">
        <v>0.0</v>
      </c>
      <c r="K1766" s="50">
        <v>0.0</v>
      </c>
      <c r="L1766" s="50">
        <v>0.0</v>
      </c>
      <c r="M1766" s="50">
        <v>0.0</v>
      </c>
      <c r="N1766" s="50">
        <v>0.0</v>
      </c>
      <c r="O1766" s="50">
        <v>0.0</v>
      </c>
      <c r="P1766" s="50">
        <v>0.0</v>
      </c>
      <c r="Q1766" s="50">
        <v>0.0</v>
      </c>
      <c r="R1766" s="50">
        <v>0.0</v>
      </c>
      <c r="S1766" s="50">
        <v>0.0</v>
      </c>
      <c r="T1766" s="50">
        <v>2.8125</v>
      </c>
      <c r="U1766" s="50">
        <v>0.0</v>
      </c>
      <c r="V1766" s="50">
        <v>0.0</v>
      </c>
      <c r="W1766" s="50">
        <v>0.0</v>
      </c>
      <c r="X1766" s="50">
        <v>2.8125</v>
      </c>
      <c r="Y1766" s="50">
        <v>5.625</v>
      </c>
    </row>
    <row r="1767">
      <c r="A1767" s="26">
        <v>1761.0</v>
      </c>
      <c r="B1767" s="65">
        <v>-0.6129694898914012</v>
      </c>
      <c r="C1767" s="65">
        <v>-1.5090463248958605</v>
      </c>
      <c r="D1767" s="65">
        <v>1.088759489491768</v>
      </c>
      <c r="E1767" s="65">
        <v>0.013966559225891153</v>
      </c>
      <c r="F1767" s="65">
        <v>0.7074457844002595</v>
      </c>
      <c r="G1767" s="50">
        <v>9.0</v>
      </c>
      <c r="H1767" s="50">
        <v>0.0</v>
      </c>
      <c r="I1767" s="50">
        <v>0.0</v>
      </c>
      <c r="J1767" s="50">
        <v>9.0</v>
      </c>
      <c r="K1767" s="50">
        <v>0.0</v>
      </c>
      <c r="L1767" s="50">
        <v>0.0</v>
      </c>
      <c r="M1767" s="50">
        <v>0.0</v>
      </c>
      <c r="N1767" s="50">
        <v>0.0</v>
      </c>
      <c r="O1767" s="50">
        <v>7.425000000000001</v>
      </c>
      <c r="P1767" s="50">
        <v>0.0</v>
      </c>
      <c r="Q1767" s="50">
        <v>0.0</v>
      </c>
      <c r="R1767" s="50">
        <v>0.0</v>
      </c>
      <c r="S1767" s="50">
        <v>0.0</v>
      </c>
      <c r="T1767" s="50">
        <v>2.8125</v>
      </c>
      <c r="U1767" s="50">
        <v>0.0</v>
      </c>
      <c r="V1767" s="50">
        <v>5.625</v>
      </c>
      <c r="W1767" s="50">
        <v>4.95</v>
      </c>
      <c r="X1767" s="50">
        <v>2.8125</v>
      </c>
      <c r="Y1767" s="50">
        <v>41.625</v>
      </c>
    </row>
    <row r="1768">
      <c r="A1768" s="26">
        <v>1762.0</v>
      </c>
      <c r="B1768" s="65">
        <v>0.20137184002514963</v>
      </c>
      <c r="C1768" s="65">
        <v>0.1743625087818273</v>
      </c>
      <c r="D1768" s="65">
        <v>-0.3183034802338672</v>
      </c>
      <c r="E1768" s="65">
        <v>1.3796348311040125</v>
      </c>
      <c r="F1768" s="65">
        <v>6.10105369974198</v>
      </c>
      <c r="G1768" s="50">
        <v>0.0</v>
      </c>
      <c r="H1768" s="50">
        <v>0.0</v>
      </c>
      <c r="I1768" s="50">
        <v>0.0</v>
      </c>
      <c r="J1768" s="50">
        <v>0.0</v>
      </c>
      <c r="K1768" s="50">
        <v>0.0</v>
      </c>
      <c r="L1768" s="50">
        <v>0.0</v>
      </c>
      <c r="M1768" s="50">
        <v>0.0</v>
      </c>
      <c r="N1768" s="50">
        <v>0.0</v>
      </c>
      <c r="O1768" s="50">
        <v>0.0</v>
      </c>
      <c r="P1768" s="50">
        <v>0.0</v>
      </c>
      <c r="Q1768" s="50">
        <v>0.0</v>
      </c>
      <c r="R1768" s="50">
        <v>0.0</v>
      </c>
      <c r="S1768" s="50">
        <v>0.0</v>
      </c>
      <c r="T1768" s="50">
        <v>2.8125</v>
      </c>
      <c r="U1768" s="50">
        <v>0.0</v>
      </c>
      <c r="V1768" s="50">
        <v>0.0</v>
      </c>
      <c r="W1768" s="50">
        <v>0.0</v>
      </c>
      <c r="X1768" s="50">
        <v>2.8125</v>
      </c>
      <c r="Y1768" s="50">
        <v>5.625</v>
      </c>
    </row>
    <row r="1769">
      <c r="A1769" s="26">
        <v>1763.0</v>
      </c>
      <c r="B1769" s="65">
        <v>0.0674722881330497</v>
      </c>
      <c r="C1769" s="65">
        <v>-1.3186790442915057</v>
      </c>
      <c r="D1769" s="65">
        <v>-0.5697137529016234</v>
      </c>
      <c r="E1769" s="65">
        <v>0.126031160948146</v>
      </c>
      <c r="F1769" s="65">
        <v>1.726145708360023</v>
      </c>
      <c r="G1769" s="50">
        <v>0.0</v>
      </c>
      <c r="H1769" s="50">
        <v>0.0</v>
      </c>
      <c r="I1769" s="50">
        <v>0.0</v>
      </c>
      <c r="J1769" s="50">
        <v>0.0</v>
      </c>
      <c r="K1769" s="50">
        <v>0.0</v>
      </c>
      <c r="L1769" s="50">
        <v>0.0</v>
      </c>
      <c r="M1769" s="50">
        <v>0.0</v>
      </c>
      <c r="N1769" s="50">
        <v>0.0</v>
      </c>
      <c r="O1769" s="50">
        <v>7.425000000000001</v>
      </c>
      <c r="P1769" s="50">
        <v>2.475</v>
      </c>
      <c r="Q1769" s="50">
        <v>0.0</v>
      </c>
      <c r="R1769" s="50">
        <v>0.0</v>
      </c>
      <c r="S1769" s="50">
        <v>0.0</v>
      </c>
      <c r="T1769" s="50">
        <v>2.8125</v>
      </c>
      <c r="U1769" s="50">
        <v>0.0</v>
      </c>
      <c r="V1769" s="50">
        <v>5.625</v>
      </c>
      <c r="W1769" s="50">
        <v>0.0</v>
      </c>
      <c r="X1769" s="50">
        <v>2.8125</v>
      </c>
      <c r="Y1769" s="50">
        <v>21.15</v>
      </c>
    </row>
    <row r="1770">
      <c r="A1770" s="26">
        <v>1764.0</v>
      </c>
      <c r="B1770" s="65">
        <v>1.7266523234993771</v>
      </c>
      <c r="C1770" s="65">
        <v>-1.0404453047594802</v>
      </c>
      <c r="D1770" s="65">
        <v>-0.5608609109708592</v>
      </c>
      <c r="E1770" s="65">
        <v>-0.27524684407162797</v>
      </c>
      <c r="F1770" s="65">
        <v>3.9053407431136193</v>
      </c>
      <c r="G1770" s="50">
        <v>0.0</v>
      </c>
      <c r="H1770" s="50">
        <v>0.0</v>
      </c>
      <c r="I1770" s="50">
        <v>0.0</v>
      </c>
      <c r="J1770" s="50">
        <v>0.0</v>
      </c>
      <c r="K1770" s="50">
        <v>0.0</v>
      </c>
      <c r="L1770" s="50">
        <v>0.0</v>
      </c>
      <c r="M1770" s="50">
        <v>0.0</v>
      </c>
      <c r="N1770" s="50">
        <v>0.0</v>
      </c>
      <c r="O1770" s="50">
        <v>0.0</v>
      </c>
      <c r="P1770" s="50">
        <v>0.0</v>
      </c>
      <c r="Q1770" s="50">
        <v>0.0</v>
      </c>
      <c r="R1770" s="50">
        <v>0.0</v>
      </c>
      <c r="S1770" s="50">
        <v>0.0</v>
      </c>
      <c r="T1770" s="50">
        <v>2.8125</v>
      </c>
      <c r="U1770" s="50">
        <v>0.0</v>
      </c>
      <c r="V1770" s="50">
        <v>0.0</v>
      </c>
      <c r="W1770" s="50">
        <v>0.0</v>
      </c>
      <c r="X1770" s="50">
        <v>2.8125</v>
      </c>
      <c r="Y1770" s="50">
        <v>5.625</v>
      </c>
    </row>
    <row r="1771">
      <c r="A1771" s="26">
        <v>1765.0</v>
      </c>
      <c r="B1771" s="65">
        <v>-1.506329935064356</v>
      </c>
      <c r="C1771" s="65">
        <v>1.48497856271136</v>
      </c>
      <c r="D1771" s="65">
        <v>-1.1519153712924133</v>
      </c>
      <c r="E1771" s="65">
        <v>0.21003476725888245</v>
      </c>
      <c r="F1771" s="65">
        <v>6.679677311264258</v>
      </c>
      <c r="G1771" s="50">
        <v>0.0</v>
      </c>
      <c r="H1771" s="50">
        <v>0.0</v>
      </c>
      <c r="I1771" s="50">
        <v>0.0</v>
      </c>
      <c r="J1771" s="50">
        <v>0.0</v>
      </c>
      <c r="K1771" s="50">
        <v>0.0</v>
      </c>
      <c r="L1771" s="50">
        <v>0.0</v>
      </c>
      <c r="M1771" s="50">
        <v>0.0</v>
      </c>
      <c r="N1771" s="50">
        <v>0.0</v>
      </c>
      <c r="O1771" s="50">
        <v>0.0</v>
      </c>
      <c r="P1771" s="50">
        <v>0.0</v>
      </c>
      <c r="Q1771" s="50">
        <v>0.0</v>
      </c>
      <c r="R1771" s="50">
        <v>0.0</v>
      </c>
      <c r="S1771" s="50">
        <v>0.0</v>
      </c>
      <c r="T1771" s="50">
        <v>2.8125</v>
      </c>
      <c r="U1771" s="50">
        <v>0.0</v>
      </c>
      <c r="V1771" s="50">
        <v>5.625</v>
      </c>
      <c r="W1771" s="50">
        <v>0.0</v>
      </c>
      <c r="X1771" s="50">
        <v>2.8125</v>
      </c>
      <c r="Y1771" s="50">
        <v>11.25</v>
      </c>
    </row>
    <row r="1772">
      <c r="A1772" s="26">
        <v>1766.0</v>
      </c>
      <c r="B1772" s="65">
        <v>-2.076158803863524</v>
      </c>
      <c r="C1772" s="65">
        <v>0.9777505251730699</v>
      </c>
      <c r="D1772" s="65">
        <v>-0.5069141692666522</v>
      </c>
      <c r="E1772" s="65">
        <v>-0.17148173096497962</v>
      </c>
      <c r="F1772" s="65">
        <v>1.8726135803821538</v>
      </c>
      <c r="G1772" s="50">
        <v>0.0</v>
      </c>
      <c r="H1772" s="50">
        <v>0.0</v>
      </c>
      <c r="I1772" s="50">
        <v>0.0</v>
      </c>
      <c r="J1772" s="50">
        <v>0.0</v>
      </c>
      <c r="K1772" s="50">
        <v>0.0</v>
      </c>
      <c r="L1772" s="50">
        <v>0.0</v>
      </c>
      <c r="M1772" s="50">
        <v>0.0</v>
      </c>
      <c r="N1772" s="50">
        <v>0.0</v>
      </c>
      <c r="O1772" s="50">
        <v>0.0</v>
      </c>
      <c r="P1772" s="50">
        <v>0.0</v>
      </c>
      <c r="Q1772" s="50">
        <v>0.0</v>
      </c>
      <c r="R1772" s="50">
        <v>9.9</v>
      </c>
      <c r="S1772" s="50">
        <v>0.0</v>
      </c>
      <c r="T1772" s="50">
        <v>2.8125</v>
      </c>
      <c r="U1772" s="50">
        <v>9.9</v>
      </c>
      <c r="V1772" s="50">
        <v>5.625</v>
      </c>
      <c r="W1772" s="50">
        <v>0.0</v>
      </c>
      <c r="X1772" s="50">
        <v>2.8125</v>
      </c>
      <c r="Y1772" s="50">
        <v>31.05</v>
      </c>
    </row>
    <row r="1773">
      <c r="A1773" s="26">
        <v>1767.0</v>
      </c>
      <c r="B1773" s="65">
        <v>1.0275504800352158</v>
      </c>
      <c r="C1773" s="65">
        <v>0.3612176172189017</v>
      </c>
      <c r="D1773" s="65">
        <v>1.2959530080715087</v>
      </c>
      <c r="E1773" s="65">
        <v>0.16730466980895295</v>
      </c>
      <c r="F1773" s="65">
        <v>5.219606613313738</v>
      </c>
      <c r="G1773" s="50">
        <v>0.0</v>
      </c>
      <c r="H1773" s="50">
        <v>0.0</v>
      </c>
      <c r="I1773" s="50">
        <v>0.0</v>
      </c>
      <c r="J1773" s="50">
        <v>0.0</v>
      </c>
      <c r="K1773" s="50">
        <v>0.0</v>
      </c>
      <c r="L1773" s="50">
        <v>0.0</v>
      </c>
      <c r="M1773" s="50">
        <v>0.0</v>
      </c>
      <c r="N1773" s="50">
        <v>0.0</v>
      </c>
      <c r="O1773" s="50">
        <v>0.0</v>
      </c>
      <c r="P1773" s="50">
        <v>0.0</v>
      </c>
      <c r="Q1773" s="50">
        <v>0.0</v>
      </c>
      <c r="R1773" s="50">
        <v>0.0</v>
      </c>
      <c r="S1773" s="50">
        <v>0.0</v>
      </c>
      <c r="T1773" s="50">
        <v>2.8125</v>
      </c>
      <c r="U1773" s="50">
        <v>0.0</v>
      </c>
      <c r="V1773" s="50">
        <v>0.0</v>
      </c>
      <c r="W1773" s="50">
        <v>0.0</v>
      </c>
      <c r="X1773" s="50">
        <v>2.8125</v>
      </c>
      <c r="Y1773" s="50">
        <v>5.625</v>
      </c>
    </row>
    <row r="1774">
      <c r="A1774" s="26">
        <v>1768.0</v>
      </c>
      <c r="B1774" s="65">
        <v>-1.8385799113003558</v>
      </c>
      <c r="C1774" s="65">
        <v>1.1511813456533617</v>
      </c>
      <c r="D1774" s="65">
        <v>-0.6577330092627622</v>
      </c>
      <c r="E1774" s="65">
        <v>-0.9543877807645533</v>
      </c>
      <c r="F1774" s="65">
        <v>2.690987387742179</v>
      </c>
      <c r="G1774" s="50">
        <v>0.0</v>
      </c>
      <c r="H1774" s="50">
        <v>0.0</v>
      </c>
      <c r="I1774" s="50">
        <v>0.0</v>
      </c>
      <c r="J1774" s="50">
        <v>0.0</v>
      </c>
      <c r="K1774" s="50">
        <v>0.0</v>
      </c>
      <c r="L1774" s="50">
        <v>0.0</v>
      </c>
      <c r="M1774" s="50">
        <v>0.0</v>
      </c>
      <c r="N1774" s="50">
        <v>0.0</v>
      </c>
      <c r="O1774" s="50">
        <v>0.0</v>
      </c>
      <c r="P1774" s="50">
        <v>2.475</v>
      </c>
      <c r="Q1774" s="50">
        <v>0.0</v>
      </c>
      <c r="R1774" s="50">
        <v>0.0</v>
      </c>
      <c r="S1774" s="50">
        <v>0.0</v>
      </c>
      <c r="T1774" s="50">
        <v>2.8125</v>
      </c>
      <c r="U1774" s="50">
        <v>0.0</v>
      </c>
      <c r="V1774" s="50">
        <v>5.625</v>
      </c>
      <c r="W1774" s="50">
        <v>4.95</v>
      </c>
      <c r="X1774" s="50">
        <v>2.8125</v>
      </c>
      <c r="Y1774" s="50">
        <v>18.675</v>
      </c>
    </row>
    <row r="1775">
      <c r="A1775" s="26">
        <v>1769.0</v>
      </c>
      <c r="B1775" s="65">
        <v>0.18001114426797057</v>
      </c>
      <c r="C1775" s="65">
        <v>-0.14379889904412133</v>
      </c>
      <c r="D1775" s="65">
        <v>-1.4797252229672833</v>
      </c>
      <c r="E1775" s="65">
        <v>-1.3986022067278827</v>
      </c>
      <c r="F1775" s="65">
        <v>5.770591330991017</v>
      </c>
      <c r="G1775" s="50">
        <v>0.0</v>
      </c>
      <c r="H1775" s="50">
        <v>0.0</v>
      </c>
      <c r="I1775" s="50">
        <v>0.0</v>
      </c>
      <c r="J1775" s="50">
        <v>0.0</v>
      </c>
      <c r="K1775" s="50">
        <v>0.0</v>
      </c>
      <c r="L1775" s="50">
        <v>0.0</v>
      </c>
      <c r="M1775" s="50">
        <v>0.0</v>
      </c>
      <c r="N1775" s="50">
        <v>0.0</v>
      </c>
      <c r="O1775" s="50">
        <v>0.0</v>
      </c>
      <c r="P1775" s="50">
        <v>0.0</v>
      </c>
      <c r="Q1775" s="50">
        <v>0.0</v>
      </c>
      <c r="R1775" s="50">
        <v>0.0</v>
      </c>
      <c r="S1775" s="50">
        <v>0.0</v>
      </c>
      <c r="T1775" s="50">
        <v>2.8125</v>
      </c>
      <c r="U1775" s="50">
        <v>0.0</v>
      </c>
      <c r="V1775" s="50">
        <v>0.0</v>
      </c>
      <c r="W1775" s="50">
        <v>0.0</v>
      </c>
      <c r="X1775" s="50">
        <v>2.8125</v>
      </c>
      <c r="Y1775" s="50">
        <v>5.625</v>
      </c>
    </row>
    <row r="1776">
      <c r="A1776" s="26">
        <v>1770.0</v>
      </c>
      <c r="B1776" s="65">
        <v>0.4704746406877848</v>
      </c>
      <c r="C1776" s="65">
        <v>0.9621099907612696</v>
      </c>
      <c r="D1776" s="65">
        <v>-0.26055214723557785</v>
      </c>
      <c r="E1776" s="65">
        <v>0.6475604997385256</v>
      </c>
      <c r="F1776" s="65">
        <v>2.859323897985705</v>
      </c>
      <c r="G1776" s="50">
        <v>0.0</v>
      </c>
      <c r="H1776" s="50">
        <v>0.0</v>
      </c>
      <c r="I1776" s="50">
        <v>0.0</v>
      </c>
      <c r="J1776" s="50">
        <v>0.0</v>
      </c>
      <c r="K1776" s="50">
        <v>0.0</v>
      </c>
      <c r="L1776" s="50">
        <v>0.0</v>
      </c>
      <c r="M1776" s="50">
        <v>0.0</v>
      </c>
      <c r="N1776" s="50">
        <v>0.0</v>
      </c>
      <c r="O1776" s="50">
        <v>0.0</v>
      </c>
      <c r="P1776" s="50">
        <v>0.0</v>
      </c>
      <c r="Q1776" s="50">
        <v>0.0</v>
      </c>
      <c r="R1776" s="50">
        <v>0.0</v>
      </c>
      <c r="S1776" s="50">
        <v>0.0</v>
      </c>
      <c r="T1776" s="50">
        <v>2.8125</v>
      </c>
      <c r="U1776" s="50">
        <v>0.0</v>
      </c>
      <c r="V1776" s="50">
        <v>0.0</v>
      </c>
      <c r="W1776" s="50">
        <v>0.0</v>
      </c>
      <c r="X1776" s="50">
        <v>2.8125</v>
      </c>
      <c r="Y1776" s="50">
        <v>5.625</v>
      </c>
    </row>
    <row r="1777">
      <c r="A1777" s="26">
        <v>1771.0</v>
      </c>
      <c r="B1777" s="65">
        <v>-0.31535870920795656</v>
      </c>
      <c r="C1777" s="65">
        <v>-0.06277825532105778</v>
      </c>
      <c r="D1777" s="65">
        <v>0.6047058382730027</v>
      </c>
      <c r="E1777" s="65">
        <v>-1.0778053599165427</v>
      </c>
      <c r="F1777" s="65">
        <v>1.4653314282882253</v>
      </c>
      <c r="G1777" s="50">
        <v>0.0</v>
      </c>
      <c r="H1777" s="50">
        <v>0.0</v>
      </c>
      <c r="I1777" s="50">
        <v>0.0</v>
      </c>
      <c r="J1777" s="50">
        <v>0.0</v>
      </c>
      <c r="K1777" s="50">
        <v>0.0</v>
      </c>
      <c r="L1777" s="50">
        <v>0.0</v>
      </c>
      <c r="M1777" s="50">
        <v>0.0</v>
      </c>
      <c r="N1777" s="50">
        <v>0.0</v>
      </c>
      <c r="O1777" s="50">
        <v>7.425000000000001</v>
      </c>
      <c r="P1777" s="50">
        <v>0.0</v>
      </c>
      <c r="Q1777" s="50">
        <v>0.0</v>
      </c>
      <c r="R1777" s="50">
        <v>9.9</v>
      </c>
      <c r="S1777" s="50">
        <v>0.0</v>
      </c>
      <c r="T1777" s="50">
        <v>2.8125</v>
      </c>
      <c r="U1777" s="50">
        <v>0.0</v>
      </c>
      <c r="V1777" s="50">
        <v>0.0</v>
      </c>
      <c r="W1777" s="50">
        <v>4.95</v>
      </c>
      <c r="X1777" s="50">
        <v>2.8125</v>
      </c>
      <c r="Y1777" s="50">
        <v>27.900000000000002</v>
      </c>
    </row>
    <row r="1778">
      <c r="A1778" s="26">
        <v>1772.0</v>
      </c>
      <c r="B1778" s="65">
        <v>0.8839528490045138</v>
      </c>
      <c r="C1778" s="65">
        <v>-1.3202343108798749</v>
      </c>
      <c r="D1778" s="65">
        <v>1.5055635410036436</v>
      </c>
      <c r="E1778" s="65">
        <v>-0.4641281855948018</v>
      </c>
      <c r="F1778" s="65">
        <v>4.306634234406474</v>
      </c>
      <c r="G1778" s="50">
        <v>0.0</v>
      </c>
      <c r="H1778" s="50">
        <v>0.0</v>
      </c>
      <c r="I1778" s="50">
        <v>0.0</v>
      </c>
      <c r="J1778" s="50">
        <v>0.0</v>
      </c>
      <c r="K1778" s="50">
        <v>0.0</v>
      </c>
      <c r="L1778" s="50">
        <v>0.0</v>
      </c>
      <c r="M1778" s="50">
        <v>0.0</v>
      </c>
      <c r="N1778" s="50">
        <v>0.0</v>
      </c>
      <c r="O1778" s="50">
        <v>0.0</v>
      </c>
      <c r="P1778" s="50">
        <v>0.0</v>
      </c>
      <c r="Q1778" s="50">
        <v>0.0</v>
      </c>
      <c r="R1778" s="50">
        <v>0.0</v>
      </c>
      <c r="S1778" s="50">
        <v>0.0</v>
      </c>
      <c r="T1778" s="50">
        <v>2.8125</v>
      </c>
      <c r="U1778" s="50">
        <v>0.0</v>
      </c>
      <c r="V1778" s="50">
        <v>0.0</v>
      </c>
      <c r="W1778" s="50">
        <v>0.0</v>
      </c>
      <c r="X1778" s="50">
        <v>2.8125</v>
      </c>
      <c r="Y1778" s="50">
        <v>5.625</v>
      </c>
    </row>
    <row r="1779">
      <c r="A1779" s="26">
        <v>1773.0</v>
      </c>
      <c r="B1779" s="65">
        <v>0.3528310716981525</v>
      </c>
      <c r="C1779" s="65">
        <v>-0.6063687251205717</v>
      </c>
      <c r="D1779" s="65">
        <v>1.5065703546469356</v>
      </c>
      <c r="E1779" s="65">
        <v>-0.5676862954413523</v>
      </c>
      <c r="F1779" s="65">
        <v>3.0893230599436445</v>
      </c>
      <c r="G1779" s="50">
        <v>0.0</v>
      </c>
      <c r="H1779" s="50">
        <v>0.0</v>
      </c>
      <c r="I1779" s="50">
        <v>0.0</v>
      </c>
      <c r="J1779" s="50">
        <v>0.0</v>
      </c>
      <c r="K1779" s="50">
        <v>0.0</v>
      </c>
      <c r="L1779" s="50">
        <v>0.0</v>
      </c>
      <c r="M1779" s="50">
        <v>0.0</v>
      </c>
      <c r="N1779" s="50">
        <v>0.0</v>
      </c>
      <c r="O1779" s="50">
        <v>0.0</v>
      </c>
      <c r="P1779" s="50">
        <v>0.0</v>
      </c>
      <c r="Q1779" s="50">
        <v>0.0</v>
      </c>
      <c r="R1779" s="50">
        <v>0.0</v>
      </c>
      <c r="S1779" s="50">
        <v>0.0</v>
      </c>
      <c r="T1779" s="50">
        <v>2.8125</v>
      </c>
      <c r="U1779" s="50">
        <v>0.0</v>
      </c>
      <c r="V1779" s="50">
        <v>5.625</v>
      </c>
      <c r="W1779" s="50">
        <v>0.0</v>
      </c>
      <c r="X1779" s="50">
        <v>2.8125</v>
      </c>
      <c r="Y1779" s="50">
        <v>11.25</v>
      </c>
    </row>
    <row r="1780">
      <c r="A1780" s="26">
        <v>1774.0</v>
      </c>
      <c r="B1780" s="65">
        <v>0.11124796037145293</v>
      </c>
      <c r="C1780" s="65">
        <v>-0.9752517672662608</v>
      </c>
      <c r="D1780" s="65">
        <v>0.15461898674202673</v>
      </c>
      <c r="E1780" s="65">
        <v>-1.0923394170669296</v>
      </c>
      <c r="F1780" s="65">
        <v>6.047814577271857</v>
      </c>
      <c r="G1780" s="50">
        <v>0.0</v>
      </c>
      <c r="H1780" s="50">
        <v>0.0</v>
      </c>
      <c r="I1780" s="50">
        <v>0.0</v>
      </c>
      <c r="J1780" s="50">
        <v>0.0</v>
      </c>
      <c r="K1780" s="50">
        <v>0.0</v>
      </c>
      <c r="L1780" s="50">
        <v>0.0</v>
      </c>
      <c r="M1780" s="50">
        <v>0.0</v>
      </c>
      <c r="N1780" s="50">
        <v>0.0</v>
      </c>
      <c r="O1780" s="50">
        <v>0.0</v>
      </c>
      <c r="P1780" s="50">
        <v>0.0</v>
      </c>
      <c r="Q1780" s="50">
        <v>0.0</v>
      </c>
      <c r="R1780" s="50">
        <v>0.0</v>
      </c>
      <c r="S1780" s="50">
        <v>0.0</v>
      </c>
      <c r="T1780" s="50">
        <v>2.8125</v>
      </c>
      <c r="U1780" s="50">
        <v>0.0</v>
      </c>
      <c r="V1780" s="50">
        <v>5.625</v>
      </c>
      <c r="W1780" s="50">
        <v>0.0</v>
      </c>
      <c r="X1780" s="50">
        <v>2.8125</v>
      </c>
      <c r="Y1780" s="50">
        <v>11.25</v>
      </c>
    </row>
    <row r="1781">
      <c r="A1781" s="26">
        <v>1775.0</v>
      </c>
      <c r="B1781" s="65">
        <v>-0.24995716229624798</v>
      </c>
      <c r="C1781" s="65">
        <v>-0.36564091028331797</v>
      </c>
      <c r="D1781" s="65">
        <v>-0.7358216072412599</v>
      </c>
      <c r="E1781" s="65">
        <v>-2.418873028632811</v>
      </c>
      <c r="F1781" s="65">
        <v>11.995043583880953</v>
      </c>
      <c r="G1781" s="50">
        <v>0.0</v>
      </c>
      <c r="H1781" s="50">
        <v>0.0</v>
      </c>
      <c r="I1781" s="50">
        <v>0.0</v>
      </c>
      <c r="J1781" s="50">
        <v>0.0</v>
      </c>
      <c r="K1781" s="50">
        <v>0.0</v>
      </c>
      <c r="L1781" s="50">
        <v>0.0</v>
      </c>
      <c r="M1781" s="50">
        <v>0.0</v>
      </c>
      <c r="N1781" s="50">
        <v>0.0</v>
      </c>
      <c r="O1781" s="50">
        <v>7.425000000000001</v>
      </c>
      <c r="P1781" s="50">
        <v>0.0</v>
      </c>
      <c r="Q1781" s="50">
        <v>0.0</v>
      </c>
      <c r="R1781" s="50">
        <v>0.0</v>
      </c>
      <c r="S1781" s="50">
        <v>0.0</v>
      </c>
      <c r="T1781" s="50">
        <v>2.8125</v>
      </c>
      <c r="U1781" s="50">
        <v>0.0</v>
      </c>
      <c r="V1781" s="50">
        <v>5.625</v>
      </c>
      <c r="W1781" s="50">
        <v>0.0</v>
      </c>
      <c r="X1781" s="50">
        <v>2.8125</v>
      </c>
      <c r="Y1781" s="50">
        <v>18.675</v>
      </c>
    </row>
    <row r="1782">
      <c r="A1782" s="26">
        <v>1776.0</v>
      </c>
      <c r="B1782" s="65">
        <v>-1.603844529036338</v>
      </c>
      <c r="C1782" s="65">
        <v>-1.038430588190355</v>
      </c>
      <c r="D1782" s="65">
        <v>2.340393153056372</v>
      </c>
      <c r="E1782" s="65">
        <v>-0.8662695579926248</v>
      </c>
      <c r="F1782" s="65">
        <v>5.350309978563217</v>
      </c>
      <c r="G1782" s="50">
        <v>0.0</v>
      </c>
      <c r="H1782" s="50">
        <v>0.0</v>
      </c>
      <c r="I1782" s="50">
        <v>0.0</v>
      </c>
      <c r="J1782" s="50">
        <v>0.0</v>
      </c>
      <c r="K1782" s="50">
        <v>0.0</v>
      </c>
      <c r="L1782" s="50">
        <v>0.0</v>
      </c>
      <c r="M1782" s="50">
        <v>0.0</v>
      </c>
      <c r="N1782" s="50">
        <v>0.0</v>
      </c>
      <c r="O1782" s="50">
        <v>7.425000000000001</v>
      </c>
      <c r="P1782" s="50">
        <v>0.0</v>
      </c>
      <c r="Q1782" s="50">
        <v>0.0</v>
      </c>
      <c r="R1782" s="50">
        <v>0.0</v>
      </c>
      <c r="S1782" s="50">
        <v>0.0</v>
      </c>
      <c r="T1782" s="50">
        <v>2.8125</v>
      </c>
      <c r="U1782" s="50">
        <v>0.0</v>
      </c>
      <c r="V1782" s="50">
        <v>5.625</v>
      </c>
      <c r="W1782" s="50">
        <v>0.0</v>
      </c>
      <c r="X1782" s="50">
        <v>2.8125</v>
      </c>
      <c r="Y1782" s="50">
        <v>18.675</v>
      </c>
    </row>
    <row r="1783">
      <c r="A1783" s="26">
        <v>1777.0</v>
      </c>
      <c r="B1783" s="65">
        <v>0.5266449353236375</v>
      </c>
      <c r="C1783" s="65">
        <v>0.5331141503704512</v>
      </c>
      <c r="D1783" s="65">
        <v>2.07273316132357</v>
      </c>
      <c r="E1783" s="65">
        <v>-0.9522419075632392</v>
      </c>
      <c r="F1783" s="65">
        <v>3.6538130438588556</v>
      </c>
      <c r="G1783" s="50">
        <v>0.0</v>
      </c>
      <c r="H1783" s="50">
        <v>0.0</v>
      </c>
      <c r="I1783" s="50">
        <v>0.0</v>
      </c>
      <c r="J1783" s="50">
        <v>0.0</v>
      </c>
      <c r="K1783" s="50">
        <v>0.0</v>
      </c>
      <c r="L1783" s="50">
        <v>0.0</v>
      </c>
      <c r="M1783" s="50">
        <v>0.0</v>
      </c>
      <c r="N1783" s="50">
        <v>0.0</v>
      </c>
      <c r="O1783" s="50">
        <v>0.0</v>
      </c>
      <c r="P1783" s="50">
        <v>0.0</v>
      </c>
      <c r="Q1783" s="50">
        <v>0.0</v>
      </c>
      <c r="R1783" s="50">
        <v>0.0</v>
      </c>
      <c r="S1783" s="50">
        <v>0.0</v>
      </c>
      <c r="T1783" s="50">
        <v>2.8125</v>
      </c>
      <c r="U1783" s="50">
        <v>0.0</v>
      </c>
      <c r="V1783" s="50">
        <v>0.0</v>
      </c>
      <c r="W1783" s="50">
        <v>0.0</v>
      </c>
      <c r="X1783" s="50">
        <v>2.8125</v>
      </c>
      <c r="Y1783" s="50">
        <v>5.625</v>
      </c>
    </row>
    <row r="1784">
      <c r="A1784" s="26">
        <v>1778.0</v>
      </c>
      <c r="B1784" s="65">
        <v>0.6590285396210471</v>
      </c>
      <c r="C1784" s="65">
        <v>-1.9687493505291052</v>
      </c>
      <c r="D1784" s="65">
        <v>0.9260342324465187</v>
      </c>
      <c r="E1784" s="65">
        <v>0.8253350075491885</v>
      </c>
      <c r="F1784" s="65">
        <v>8.383448191397498</v>
      </c>
      <c r="G1784" s="50">
        <v>0.0</v>
      </c>
      <c r="H1784" s="50">
        <v>0.0</v>
      </c>
      <c r="I1784" s="50">
        <v>0.0</v>
      </c>
      <c r="J1784" s="50">
        <v>0.0</v>
      </c>
      <c r="K1784" s="50">
        <v>0.0</v>
      </c>
      <c r="L1784" s="50">
        <v>0.0</v>
      </c>
      <c r="M1784" s="50">
        <v>0.0</v>
      </c>
      <c r="N1784" s="50">
        <v>0.0</v>
      </c>
      <c r="O1784" s="50">
        <v>0.0</v>
      </c>
      <c r="P1784" s="50">
        <v>0.0</v>
      </c>
      <c r="Q1784" s="50">
        <v>0.0</v>
      </c>
      <c r="R1784" s="50">
        <v>0.0</v>
      </c>
      <c r="S1784" s="50">
        <v>0.0</v>
      </c>
      <c r="T1784" s="50">
        <v>2.8125</v>
      </c>
      <c r="U1784" s="50">
        <v>0.0</v>
      </c>
      <c r="V1784" s="50">
        <v>0.0</v>
      </c>
      <c r="W1784" s="50">
        <v>0.0</v>
      </c>
      <c r="X1784" s="50">
        <v>2.8125</v>
      </c>
      <c r="Y1784" s="50">
        <v>5.625</v>
      </c>
    </row>
    <row r="1785">
      <c r="A1785" s="26">
        <v>1779.0</v>
      </c>
      <c r="B1785" s="65">
        <v>-0.42182737905068046</v>
      </c>
      <c r="C1785" s="65">
        <v>0.7172102311499562</v>
      </c>
      <c r="D1785" s="65">
        <v>-0.9090515710582088</v>
      </c>
      <c r="E1785" s="65">
        <v>1.9323149505220232</v>
      </c>
      <c r="F1785" s="65">
        <v>2.2415679264964217</v>
      </c>
      <c r="G1785" s="50">
        <v>0.0</v>
      </c>
      <c r="H1785" s="50">
        <v>0.0</v>
      </c>
      <c r="I1785" s="50">
        <v>0.0</v>
      </c>
      <c r="J1785" s="50">
        <v>0.0</v>
      </c>
      <c r="K1785" s="50">
        <v>0.0</v>
      </c>
      <c r="L1785" s="50">
        <v>0.0</v>
      </c>
      <c r="M1785" s="50">
        <v>0.0</v>
      </c>
      <c r="N1785" s="50">
        <v>0.0</v>
      </c>
      <c r="O1785" s="50">
        <v>0.0</v>
      </c>
      <c r="P1785" s="50">
        <v>2.475</v>
      </c>
      <c r="Q1785" s="50">
        <v>0.0</v>
      </c>
      <c r="R1785" s="50">
        <v>0.0</v>
      </c>
      <c r="S1785" s="50">
        <v>0.0</v>
      </c>
      <c r="T1785" s="50">
        <v>2.8125</v>
      </c>
      <c r="U1785" s="50">
        <v>0.0</v>
      </c>
      <c r="V1785" s="50">
        <v>0.0</v>
      </c>
      <c r="W1785" s="50">
        <v>0.0</v>
      </c>
      <c r="X1785" s="50">
        <v>2.8125</v>
      </c>
      <c r="Y1785" s="50">
        <v>8.1</v>
      </c>
    </row>
    <row r="1786">
      <c r="A1786" s="26">
        <v>1780.0</v>
      </c>
      <c r="B1786" s="65">
        <v>-0.7071255808056444</v>
      </c>
      <c r="C1786" s="65">
        <v>-0.6097193990104338</v>
      </c>
      <c r="D1786" s="65">
        <v>0.9756431192523567</v>
      </c>
      <c r="E1786" s="65">
        <v>1.1183905591093035</v>
      </c>
      <c r="F1786" s="65">
        <v>1.689191857824238</v>
      </c>
      <c r="G1786" s="50">
        <v>0.0</v>
      </c>
      <c r="H1786" s="50">
        <v>0.0</v>
      </c>
      <c r="I1786" s="50">
        <v>0.0</v>
      </c>
      <c r="J1786" s="50">
        <v>0.0</v>
      </c>
      <c r="K1786" s="50">
        <v>0.0</v>
      </c>
      <c r="L1786" s="50">
        <v>0.0</v>
      </c>
      <c r="M1786" s="50">
        <v>0.0</v>
      </c>
      <c r="N1786" s="50">
        <v>0.0</v>
      </c>
      <c r="O1786" s="50">
        <v>7.425000000000001</v>
      </c>
      <c r="P1786" s="50">
        <v>0.0</v>
      </c>
      <c r="Q1786" s="50">
        <v>0.0</v>
      </c>
      <c r="R1786" s="50">
        <v>0.0</v>
      </c>
      <c r="S1786" s="50">
        <v>0.0</v>
      </c>
      <c r="T1786" s="50">
        <v>2.8125</v>
      </c>
      <c r="U1786" s="50">
        <v>0.0</v>
      </c>
      <c r="V1786" s="50">
        <v>0.0</v>
      </c>
      <c r="W1786" s="50">
        <v>0.0</v>
      </c>
      <c r="X1786" s="50">
        <v>2.8125</v>
      </c>
      <c r="Y1786" s="50">
        <v>13.05</v>
      </c>
    </row>
    <row r="1787">
      <c r="A1787" s="26">
        <v>1781.0</v>
      </c>
      <c r="B1787" s="65">
        <v>0.3110109580448619</v>
      </c>
      <c r="C1787" s="65">
        <v>0.9663267357339256</v>
      </c>
      <c r="D1787" s="65">
        <v>1.3386363094726077</v>
      </c>
      <c r="E1787" s="65">
        <v>-0.45287032878516176</v>
      </c>
      <c r="F1787" s="65">
        <v>8.87061547744263</v>
      </c>
      <c r="G1787" s="50">
        <v>0.0</v>
      </c>
      <c r="H1787" s="50">
        <v>0.0</v>
      </c>
      <c r="I1787" s="50">
        <v>0.0</v>
      </c>
      <c r="J1787" s="50">
        <v>0.0</v>
      </c>
      <c r="K1787" s="50">
        <v>0.0</v>
      </c>
      <c r="L1787" s="50">
        <v>0.0</v>
      </c>
      <c r="M1787" s="50">
        <v>0.0</v>
      </c>
      <c r="N1787" s="50">
        <v>0.0</v>
      </c>
      <c r="O1787" s="50">
        <v>0.0</v>
      </c>
      <c r="P1787" s="50">
        <v>0.0</v>
      </c>
      <c r="Q1787" s="50">
        <v>0.0</v>
      </c>
      <c r="R1787" s="50">
        <v>0.0</v>
      </c>
      <c r="S1787" s="50">
        <v>0.0</v>
      </c>
      <c r="T1787" s="50">
        <v>2.8125</v>
      </c>
      <c r="U1787" s="50">
        <v>0.0</v>
      </c>
      <c r="V1787" s="50">
        <v>0.0</v>
      </c>
      <c r="W1787" s="50">
        <v>0.0</v>
      </c>
      <c r="X1787" s="50">
        <v>2.8125</v>
      </c>
      <c r="Y1787" s="50">
        <v>5.625</v>
      </c>
    </row>
    <row r="1788">
      <c r="A1788" s="26">
        <v>1782.0</v>
      </c>
      <c r="B1788" s="65">
        <v>1.3295900164066796</v>
      </c>
      <c r="C1788" s="65">
        <v>0.5797722889474289</v>
      </c>
      <c r="D1788" s="65">
        <v>0.678529304462427</v>
      </c>
      <c r="E1788" s="65">
        <v>-0.10107824219225689</v>
      </c>
      <c r="F1788" s="65">
        <v>3.222050837826934</v>
      </c>
      <c r="G1788" s="50">
        <v>0.0</v>
      </c>
      <c r="H1788" s="50">
        <v>0.0</v>
      </c>
      <c r="I1788" s="50">
        <v>0.0</v>
      </c>
      <c r="J1788" s="50">
        <v>0.0</v>
      </c>
      <c r="K1788" s="50">
        <v>0.0</v>
      </c>
      <c r="L1788" s="50">
        <v>0.0</v>
      </c>
      <c r="M1788" s="50">
        <v>0.0</v>
      </c>
      <c r="N1788" s="50">
        <v>0.0</v>
      </c>
      <c r="O1788" s="50">
        <v>0.0</v>
      </c>
      <c r="P1788" s="50">
        <v>0.0</v>
      </c>
      <c r="Q1788" s="50">
        <v>0.0</v>
      </c>
      <c r="R1788" s="50">
        <v>0.0</v>
      </c>
      <c r="S1788" s="50">
        <v>0.0</v>
      </c>
      <c r="T1788" s="50">
        <v>2.8125</v>
      </c>
      <c r="U1788" s="50">
        <v>0.0</v>
      </c>
      <c r="V1788" s="50">
        <v>0.0</v>
      </c>
      <c r="W1788" s="50">
        <v>0.0</v>
      </c>
      <c r="X1788" s="50">
        <v>2.8125</v>
      </c>
      <c r="Y1788" s="50">
        <v>5.625</v>
      </c>
    </row>
    <row r="1789">
      <c r="A1789" s="26">
        <v>1783.0</v>
      </c>
      <c r="B1789" s="65">
        <v>1.8920277600796824</v>
      </c>
      <c r="C1789" s="65">
        <v>-1.1026102315795296</v>
      </c>
      <c r="D1789" s="65">
        <v>0.6151995463080592</v>
      </c>
      <c r="E1789" s="65">
        <v>-1.1506173921443748</v>
      </c>
      <c r="F1789" s="65">
        <v>1.8481720638757182</v>
      </c>
      <c r="G1789" s="50">
        <v>0.0</v>
      </c>
      <c r="H1789" s="50">
        <v>0.0</v>
      </c>
      <c r="I1789" s="50">
        <v>0.0</v>
      </c>
      <c r="J1789" s="50">
        <v>0.0</v>
      </c>
      <c r="K1789" s="50">
        <v>0.0</v>
      </c>
      <c r="L1789" s="50">
        <v>0.0</v>
      </c>
      <c r="M1789" s="50">
        <v>0.0</v>
      </c>
      <c r="N1789" s="50">
        <v>0.0</v>
      </c>
      <c r="O1789" s="50">
        <v>0.0</v>
      </c>
      <c r="P1789" s="50">
        <v>0.0</v>
      </c>
      <c r="Q1789" s="50">
        <v>0.0</v>
      </c>
      <c r="R1789" s="50">
        <v>0.0</v>
      </c>
      <c r="S1789" s="50">
        <v>0.0</v>
      </c>
      <c r="T1789" s="50">
        <v>2.8125</v>
      </c>
      <c r="U1789" s="50">
        <v>0.0</v>
      </c>
      <c r="V1789" s="50">
        <v>0.0</v>
      </c>
      <c r="W1789" s="50">
        <v>0.0</v>
      </c>
      <c r="X1789" s="50">
        <v>2.8125</v>
      </c>
      <c r="Y1789" s="50">
        <v>5.625</v>
      </c>
    </row>
    <row r="1790">
      <c r="A1790" s="26">
        <v>1784.0</v>
      </c>
      <c r="B1790" s="65">
        <v>-0.7635757534054973</v>
      </c>
      <c r="C1790" s="65">
        <v>1.6321781259375587</v>
      </c>
      <c r="D1790" s="65">
        <v>-1.545776119768803</v>
      </c>
      <c r="E1790" s="65">
        <v>1.0782248903665776</v>
      </c>
      <c r="F1790" s="65">
        <v>10.50664858130188</v>
      </c>
      <c r="G1790" s="50">
        <v>0.0</v>
      </c>
      <c r="H1790" s="50">
        <v>0.0</v>
      </c>
      <c r="I1790" s="50">
        <v>0.0</v>
      </c>
      <c r="J1790" s="50">
        <v>0.0</v>
      </c>
      <c r="K1790" s="50">
        <v>0.0</v>
      </c>
      <c r="L1790" s="50">
        <v>0.0</v>
      </c>
      <c r="M1790" s="50">
        <v>0.0</v>
      </c>
      <c r="N1790" s="50">
        <v>0.0</v>
      </c>
      <c r="O1790" s="50">
        <v>0.0</v>
      </c>
      <c r="P1790" s="50">
        <v>0.0</v>
      </c>
      <c r="Q1790" s="50">
        <v>0.0</v>
      </c>
      <c r="R1790" s="50">
        <v>0.0</v>
      </c>
      <c r="S1790" s="50">
        <v>0.0</v>
      </c>
      <c r="T1790" s="50">
        <v>2.8125</v>
      </c>
      <c r="U1790" s="50">
        <v>0.0</v>
      </c>
      <c r="V1790" s="50">
        <v>0.0</v>
      </c>
      <c r="W1790" s="50">
        <v>4.95</v>
      </c>
      <c r="X1790" s="50">
        <v>2.8125</v>
      </c>
      <c r="Y1790" s="50">
        <v>10.575</v>
      </c>
    </row>
    <row r="1791">
      <c r="A1791" s="26">
        <v>1785.0</v>
      </c>
      <c r="B1791" s="65">
        <v>0.780930831410422</v>
      </c>
      <c r="C1791" s="65">
        <v>0.25602320047258015</v>
      </c>
      <c r="D1791" s="65">
        <v>-1.4774083617430724</v>
      </c>
      <c r="E1791" s="65">
        <v>-0.809181008833709</v>
      </c>
      <c r="F1791" s="65">
        <v>7.312933413476352</v>
      </c>
      <c r="G1791" s="50">
        <v>0.0</v>
      </c>
      <c r="H1791" s="50">
        <v>0.0</v>
      </c>
      <c r="I1791" s="50">
        <v>0.0</v>
      </c>
      <c r="J1791" s="50">
        <v>0.0</v>
      </c>
      <c r="K1791" s="50">
        <v>0.0</v>
      </c>
      <c r="L1791" s="50">
        <v>0.0</v>
      </c>
      <c r="M1791" s="50">
        <v>0.0</v>
      </c>
      <c r="N1791" s="50">
        <v>0.0</v>
      </c>
      <c r="O1791" s="50">
        <v>0.0</v>
      </c>
      <c r="P1791" s="50">
        <v>0.0</v>
      </c>
      <c r="Q1791" s="50">
        <v>0.0</v>
      </c>
      <c r="R1791" s="50">
        <v>0.0</v>
      </c>
      <c r="S1791" s="50">
        <v>0.0</v>
      </c>
      <c r="T1791" s="50">
        <v>2.8125</v>
      </c>
      <c r="U1791" s="50">
        <v>0.0</v>
      </c>
      <c r="V1791" s="50">
        <v>0.0</v>
      </c>
      <c r="W1791" s="50">
        <v>0.0</v>
      </c>
      <c r="X1791" s="50">
        <v>2.8125</v>
      </c>
      <c r="Y1791" s="50">
        <v>5.625</v>
      </c>
    </row>
    <row r="1792">
      <c r="A1792" s="26">
        <v>1786.0</v>
      </c>
      <c r="B1792" s="65">
        <v>-0.5304302294325779</v>
      </c>
      <c r="C1792" s="65">
        <v>-0.8527415064556128</v>
      </c>
      <c r="D1792" s="65">
        <v>0.253066631962256</v>
      </c>
      <c r="E1792" s="65">
        <v>-0.21104216556582533</v>
      </c>
      <c r="F1792" s="65">
        <v>4.772386753089688</v>
      </c>
      <c r="G1792" s="50">
        <v>0.0</v>
      </c>
      <c r="H1792" s="50">
        <v>0.0</v>
      </c>
      <c r="I1792" s="50">
        <v>0.0</v>
      </c>
      <c r="J1792" s="50">
        <v>0.0</v>
      </c>
      <c r="K1792" s="50">
        <v>0.0</v>
      </c>
      <c r="L1792" s="50">
        <v>0.0</v>
      </c>
      <c r="M1792" s="50">
        <v>0.0</v>
      </c>
      <c r="N1792" s="50">
        <v>0.0</v>
      </c>
      <c r="O1792" s="50">
        <v>0.0</v>
      </c>
      <c r="P1792" s="50">
        <v>0.0</v>
      </c>
      <c r="Q1792" s="50">
        <v>0.0</v>
      </c>
      <c r="R1792" s="50">
        <v>0.0</v>
      </c>
      <c r="S1792" s="50">
        <v>0.0</v>
      </c>
      <c r="T1792" s="50">
        <v>2.8125</v>
      </c>
      <c r="U1792" s="50">
        <v>0.0</v>
      </c>
      <c r="V1792" s="50">
        <v>0.0</v>
      </c>
      <c r="W1792" s="50">
        <v>0.0</v>
      </c>
      <c r="X1792" s="50">
        <v>2.8125</v>
      </c>
      <c r="Y1792" s="50">
        <v>5.625</v>
      </c>
    </row>
    <row r="1793">
      <c r="A1793" s="26">
        <v>1787.0</v>
      </c>
      <c r="B1793" s="65">
        <v>1.656017844975049</v>
      </c>
      <c r="C1793" s="65">
        <v>-1.4646677098479355</v>
      </c>
      <c r="D1793" s="65">
        <v>0.730451234108812</v>
      </c>
      <c r="E1793" s="65">
        <v>1.300035512093414</v>
      </c>
      <c r="F1793" s="65">
        <v>1.7617474671442437</v>
      </c>
      <c r="G1793" s="50">
        <v>0.0</v>
      </c>
      <c r="H1793" s="50">
        <v>0.0</v>
      </c>
      <c r="I1793" s="50">
        <v>0.0</v>
      </c>
      <c r="J1793" s="50">
        <v>0.0</v>
      </c>
      <c r="K1793" s="50">
        <v>0.0</v>
      </c>
      <c r="L1793" s="50">
        <v>0.0</v>
      </c>
      <c r="M1793" s="50">
        <v>0.0</v>
      </c>
      <c r="N1793" s="50">
        <v>0.0</v>
      </c>
      <c r="O1793" s="50">
        <v>0.0</v>
      </c>
      <c r="P1793" s="50">
        <v>0.0</v>
      </c>
      <c r="Q1793" s="50">
        <v>0.0</v>
      </c>
      <c r="R1793" s="50">
        <v>0.0</v>
      </c>
      <c r="S1793" s="50">
        <v>0.0</v>
      </c>
      <c r="T1793" s="50">
        <v>2.8125</v>
      </c>
      <c r="U1793" s="50">
        <v>0.0</v>
      </c>
      <c r="V1793" s="50">
        <v>0.0</v>
      </c>
      <c r="W1793" s="50">
        <v>0.0</v>
      </c>
      <c r="X1793" s="50">
        <v>2.8125</v>
      </c>
      <c r="Y1793" s="50">
        <v>5.625</v>
      </c>
    </row>
    <row r="1794">
      <c r="A1794" s="26">
        <v>1788.0</v>
      </c>
      <c r="B1794" s="65">
        <v>1.8103087191588298</v>
      </c>
      <c r="C1794" s="65">
        <v>-0.2059336041700306</v>
      </c>
      <c r="D1794" s="65">
        <v>-1.1858532963400195</v>
      </c>
      <c r="E1794" s="65">
        <v>0.6039032947042381</v>
      </c>
      <c r="F1794" s="65">
        <v>2.811805530583006</v>
      </c>
      <c r="G1794" s="50">
        <v>0.0</v>
      </c>
      <c r="H1794" s="50">
        <v>0.0</v>
      </c>
      <c r="I1794" s="50">
        <v>0.0</v>
      </c>
      <c r="J1794" s="50">
        <v>0.0</v>
      </c>
      <c r="K1794" s="50">
        <v>0.0</v>
      </c>
      <c r="L1794" s="50">
        <v>0.0</v>
      </c>
      <c r="M1794" s="50">
        <v>0.0</v>
      </c>
      <c r="N1794" s="50">
        <v>0.0</v>
      </c>
      <c r="O1794" s="50">
        <v>0.0</v>
      </c>
      <c r="P1794" s="50">
        <v>0.0</v>
      </c>
      <c r="Q1794" s="50">
        <v>0.0</v>
      </c>
      <c r="R1794" s="50">
        <v>0.0</v>
      </c>
      <c r="S1794" s="50">
        <v>0.0</v>
      </c>
      <c r="T1794" s="50">
        <v>2.8125</v>
      </c>
      <c r="U1794" s="50">
        <v>0.0</v>
      </c>
      <c r="V1794" s="50">
        <v>0.0</v>
      </c>
      <c r="W1794" s="50">
        <v>0.0</v>
      </c>
      <c r="X1794" s="50">
        <v>2.8125</v>
      </c>
      <c r="Y1794" s="50">
        <v>5.625</v>
      </c>
    </row>
    <row r="1795">
      <c r="A1795" s="26">
        <v>1789.0</v>
      </c>
      <c r="B1795" s="65">
        <v>-0.8983752735047791</v>
      </c>
      <c r="C1795" s="65">
        <v>-1.858406082955119</v>
      </c>
      <c r="D1795" s="65">
        <v>1.330657211008835</v>
      </c>
      <c r="E1795" s="65">
        <v>-0.3599732038362458</v>
      </c>
      <c r="F1795" s="65">
        <v>4.468927508410301</v>
      </c>
      <c r="G1795" s="50">
        <v>0.0</v>
      </c>
      <c r="H1795" s="50">
        <v>0.0</v>
      </c>
      <c r="I1795" s="50">
        <v>0.0</v>
      </c>
      <c r="J1795" s="50">
        <v>0.0</v>
      </c>
      <c r="K1795" s="50">
        <v>0.0</v>
      </c>
      <c r="L1795" s="50">
        <v>0.0</v>
      </c>
      <c r="M1795" s="50">
        <v>0.0</v>
      </c>
      <c r="N1795" s="50">
        <v>0.0</v>
      </c>
      <c r="O1795" s="50">
        <v>0.0</v>
      </c>
      <c r="P1795" s="50">
        <v>0.0</v>
      </c>
      <c r="Q1795" s="50">
        <v>0.0</v>
      </c>
      <c r="R1795" s="50">
        <v>0.0</v>
      </c>
      <c r="S1795" s="50">
        <v>0.0</v>
      </c>
      <c r="T1795" s="50">
        <v>2.8125</v>
      </c>
      <c r="U1795" s="50">
        <v>0.0</v>
      </c>
      <c r="V1795" s="50">
        <v>5.625</v>
      </c>
      <c r="W1795" s="50">
        <v>0.0</v>
      </c>
      <c r="X1795" s="50">
        <v>2.8125</v>
      </c>
      <c r="Y1795" s="50">
        <v>11.25</v>
      </c>
    </row>
    <row r="1796">
      <c r="A1796" s="26">
        <v>1790.0</v>
      </c>
      <c r="B1796" s="65">
        <v>-1.2758956376614714</v>
      </c>
      <c r="C1796" s="65">
        <v>-2.0327252393987623</v>
      </c>
      <c r="D1796" s="65">
        <v>-0.667651618788081</v>
      </c>
      <c r="E1796" s="65">
        <v>-0.5733018549345652</v>
      </c>
      <c r="F1796" s="65">
        <v>7.070882231094176</v>
      </c>
      <c r="G1796" s="50">
        <v>0.0</v>
      </c>
      <c r="H1796" s="50">
        <v>0.0</v>
      </c>
      <c r="I1796" s="50">
        <v>0.0</v>
      </c>
      <c r="J1796" s="50">
        <v>0.0</v>
      </c>
      <c r="K1796" s="50">
        <v>0.0</v>
      </c>
      <c r="L1796" s="50">
        <v>0.0</v>
      </c>
      <c r="M1796" s="50">
        <v>0.0</v>
      </c>
      <c r="N1796" s="50">
        <v>0.0</v>
      </c>
      <c r="O1796" s="50">
        <v>0.0</v>
      </c>
      <c r="P1796" s="50">
        <v>0.0</v>
      </c>
      <c r="Q1796" s="50">
        <v>0.0</v>
      </c>
      <c r="R1796" s="50">
        <v>0.0</v>
      </c>
      <c r="S1796" s="50">
        <v>0.0</v>
      </c>
      <c r="T1796" s="50">
        <v>2.8125</v>
      </c>
      <c r="U1796" s="50">
        <v>0.0</v>
      </c>
      <c r="V1796" s="50">
        <v>5.625</v>
      </c>
      <c r="W1796" s="50">
        <v>4.95</v>
      </c>
      <c r="X1796" s="50">
        <v>2.8125</v>
      </c>
      <c r="Y1796" s="50">
        <v>16.2</v>
      </c>
    </row>
    <row r="1797">
      <c r="A1797" s="26">
        <v>1791.0</v>
      </c>
      <c r="B1797" s="65">
        <v>-0.886854780283375</v>
      </c>
      <c r="C1797" s="65">
        <v>0.4550640593537728</v>
      </c>
      <c r="D1797" s="65">
        <v>-0.34447339623168194</v>
      </c>
      <c r="E1797" s="65">
        <v>0.16946077812179908</v>
      </c>
      <c r="F1797" s="65">
        <v>9.37014105234747</v>
      </c>
      <c r="G1797" s="50">
        <v>0.0</v>
      </c>
      <c r="H1797" s="50">
        <v>0.0</v>
      </c>
      <c r="I1797" s="50">
        <v>0.0</v>
      </c>
      <c r="J1797" s="50">
        <v>0.0</v>
      </c>
      <c r="K1797" s="50">
        <v>0.0</v>
      </c>
      <c r="L1797" s="50">
        <v>0.0</v>
      </c>
      <c r="M1797" s="50">
        <v>0.0</v>
      </c>
      <c r="N1797" s="50">
        <v>0.0</v>
      </c>
      <c r="O1797" s="50">
        <v>0.0</v>
      </c>
      <c r="P1797" s="50">
        <v>0.0</v>
      </c>
      <c r="Q1797" s="50">
        <v>0.0</v>
      </c>
      <c r="R1797" s="50">
        <v>0.0</v>
      </c>
      <c r="S1797" s="50">
        <v>0.0</v>
      </c>
      <c r="T1797" s="50">
        <v>2.8125</v>
      </c>
      <c r="U1797" s="50">
        <v>0.0</v>
      </c>
      <c r="V1797" s="50">
        <v>0.0</v>
      </c>
      <c r="W1797" s="50">
        <v>0.0</v>
      </c>
      <c r="X1797" s="50">
        <v>2.8125</v>
      </c>
      <c r="Y1797" s="50">
        <v>5.625</v>
      </c>
    </row>
    <row r="1798">
      <c r="A1798" s="26">
        <v>1792.0</v>
      </c>
      <c r="B1798" s="65">
        <v>0.5563751161018862</v>
      </c>
      <c r="C1798" s="65">
        <v>-0.744683936824343</v>
      </c>
      <c r="D1798" s="65">
        <v>-0.9482024023799358</v>
      </c>
      <c r="E1798" s="65">
        <v>1.5964286585952032</v>
      </c>
      <c r="F1798" s="65">
        <v>4.544047727330355</v>
      </c>
      <c r="G1798" s="50">
        <v>0.0</v>
      </c>
      <c r="H1798" s="50">
        <v>0.0</v>
      </c>
      <c r="I1798" s="50">
        <v>0.0</v>
      </c>
      <c r="J1798" s="50">
        <v>0.0</v>
      </c>
      <c r="K1798" s="50">
        <v>0.0</v>
      </c>
      <c r="L1798" s="50">
        <v>0.0</v>
      </c>
      <c r="M1798" s="50">
        <v>0.0</v>
      </c>
      <c r="N1798" s="50">
        <v>0.0</v>
      </c>
      <c r="O1798" s="50">
        <v>7.425000000000001</v>
      </c>
      <c r="P1798" s="50">
        <v>0.0</v>
      </c>
      <c r="Q1798" s="50">
        <v>0.0</v>
      </c>
      <c r="R1798" s="50">
        <v>0.0</v>
      </c>
      <c r="S1798" s="50">
        <v>0.0</v>
      </c>
      <c r="T1798" s="50">
        <v>2.8125</v>
      </c>
      <c r="U1798" s="50">
        <v>0.0</v>
      </c>
      <c r="V1798" s="50">
        <v>0.0</v>
      </c>
      <c r="W1798" s="50">
        <v>0.0</v>
      </c>
      <c r="X1798" s="50">
        <v>2.8125</v>
      </c>
      <c r="Y1798" s="50">
        <v>13.05</v>
      </c>
    </row>
    <row r="1799">
      <c r="A1799" s="26">
        <v>1793.0</v>
      </c>
      <c r="B1799" s="65">
        <v>-0.17269279090752704</v>
      </c>
      <c r="C1799" s="65">
        <v>-0.21383161138893653</v>
      </c>
      <c r="D1799" s="65">
        <v>0.41016468882842205</v>
      </c>
      <c r="E1799" s="65">
        <v>-0.9104447822252045</v>
      </c>
      <c r="F1799" s="65">
        <v>2.4395970950933683</v>
      </c>
      <c r="G1799" s="50">
        <v>0.0</v>
      </c>
      <c r="H1799" s="50">
        <v>0.0</v>
      </c>
      <c r="I1799" s="50">
        <v>0.0</v>
      </c>
      <c r="J1799" s="50">
        <v>0.0</v>
      </c>
      <c r="K1799" s="50">
        <v>0.0</v>
      </c>
      <c r="L1799" s="50">
        <v>0.0</v>
      </c>
      <c r="M1799" s="50">
        <v>0.0</v>
      </c>
      <c r="N1799" s="50">
        <v>0.0</v>
      </c>
      <c r="O1799" s="50">
        <v>0.0</v>
      </c>
      <c r="P1799" s="50">
        <v>0.0</v>
      </c>
      <c r="Q1799" s="50">
        <v>0.0</v>
      </c>
      <c r="R1799" s="50">
        <v>0.0</v>
      </c>
      <c r="S1799" s="50">
        <v>0.0</v>
      </c>
      <c r="T1799" s="50">
        <v>2.8125</v>
      </c>
      <c r="U1799" s="50">
        <v>0.0</v>
      </c>
      <c r="V1799" s="50">
        <v>5.625</v>
      </c>
      <c r="W1799" s="50">
        <v>0.0</v>
      </c>
      <c r="X1799" s="50">
        <v>2.8125</v>
      </c>
      <c r="Y1799" s="50">
        <v>11.25</v>
      </c>
    </row>
    <row r="1800">
      <c r="A1800" s="26">
        <v>1794.0</v>
      </c>
      <c r="B1800" s="65">
        <v>1.582081529541451</v>
      </c>
      <c r="C1800" s="65">
        <v>-0.8419113597131919</v>
      </c>
      <c r="D1800" s="65">
        <v>1.9572680556006599</v>
      </c>
      <c r="E1800" s="65">
        <v>1.4315978439730186</v>
      </c>
      <c r="F1800" s="65">
        <v>6.4072657037879</v>
      </c>
      <c r="G1800" s="50">
        <v>0.0</v>
      </c>
      <c r="H1800" s="50">
        <v>0.0</v>
      </c>
      <c r="I1800" s="50">
        <v>0.0</v>
      </c>
      <c r="J1800" s="50">
        <v>0.0</v>
      </c>
      <c r="K1800" s="50">
        <v>0.0</v>
      </c>
      <c r="L1800" s="50">
        <v>0.0</v>
      </c>
      <c r="M1800" s="50">
        <v>0.0</v>
      </c>
      <c r="N1800" s="50">
        <v>0.0</v>
      </c>
      <c r="O1800" s="50">
        <v>0.0</v>
      </c>
      <c r="P1800" s="50">
        <v>0.0</v>
      </c>
      <c r="Q1800" s="50">
        <v>0.0</v>
      </c>
      <c r="R1800" s="50">
        <v>0.0</v>
      </c>
      <c r="S1800" s="50">
        <v>0.0</v>
      </c>
      <c r="T1800" s="50">
        <v>2.8125</v>
      </c>
      <c r="U1800" s="50">
        <v>0.0</v>
      </c>
      <c r="V1800" s="50">
        <v>0.0</v>
      </c>
      <c r="W1800" s="50">
        <v>0.0</v>
      </c>
      <c r="X1800" s="50">
        <v>2.8125</v>
      </c>
      <c r="Y1800" s="50">
        <v>5.625</v>
      </c>
    </row>
    <row r="1801">
      <c r="A1801" s="26">
        <v>1795.0</v>
      </c>
      <c r="B1801" s="65">
        <v>-0.7835155232754206</v>
      </c>
      <c r="C1801" s="65">
        <v>1.0643671631806193</v>
      </c>
      <c r="D1801" s="65">
        <v>-0.6286408998421551</v>
      </c>
      <c r="E1801" s="65">
        <v>0.21352244111690058</v>
      </c>
      <c r="F1801" s="65">
        <v>3.344325715968708</v>
      </c>
      <c r="G1801" s="50">
        <v>0.0</v>
      </c>
      <c r="H1801" s="50">
        <v>0.0</v>
      </c>
      <c r="I1801" s="50">
        <v>0.0</v>
      </c>
      <c r="J1801" s="50">
        <v>0.0</v>
      </c>
      <c r="K1801" s="50">
        <v>0.0</v>
      </c>
      <c r="L1801" s="50">
        <v>0.0</v>
      </c>
      <c r="M1801" s="50">
        <v>0.0</v>
      </c>
      <c r="N1801" s="50">
        <v>0.0</v>
      </c>
      <c r="O1801" s="50">
        <v>0.0</v>
      </c>
      <c r="P1801" s="50">
        <v>0.0</v>
      </c>
      <c r="Q1801" s="50">
        <v>0.0</v>
      </c>
      <c r="R1801" s="50">
        <v>9.9</v>
      </c>
      <c r="S1801" s="50">
        <v>0.0</v>
      </c>
      <c r="T1801" s="50">
        <v>2.8125</v>
      </c>
      <c r="U1801" s="50">
        <v>0.0</v>
      </c>
      <c r="V1801" s="50">
        <v>0.0</v>
      </c>
      <c r="W1801" s="50">
        <v>0.0</v>
      </c>
      <c r="X1801" s="50">
        <v>2.8125</v>
      </c>
      <c r="Y1801" s="50">
        <v>15.525</v>
      </c>
    </row>
    <row r="1802">
      <c r="A1802" s="26">
        <v>1796.0</v>
      </c>
      <c r="B1802" s="65">
        <v>0.6066457308157476</v>
      </c>
      <c r="C1802" s="65">
        <v>-0.029488688121569316</v>
      </c>
      <c r="D1802" s="65">
        <v>0.1108044313286657</v>
      </c>
      <c r="E1802" s="65">
        <v>-0.03395306103142281</v>
      </c>
      <c r="F1802" s="65">
        <v>8.996107215367516</v>
      </c>
      <c r="G1802" s="50">
        <v>0.0</v>
      </c>
      <c r="H1802" s="50">
        <v>0.0</v>
      </c>
      <c r="I1802" s="50">
        <v>0.0</v>
      </c>
      <c r="J1802" s="50">
        <v>0.0</v>
      </c>
      <c r="K1802" s="50">
        <v>0.0</v>
      </c>
      <c r="L1802" s="50">
        <v>0.0</v>
      </c>
      <c r="M1802" s="50">
        <v>0.0</v>
      </c>
      <c r="N1802" s="50">
        <v>0.0</v>
      </c>
      <c r="O1802" s="50">
        <v>0.0</v>
      </c>
      <c r="P1802" s="50">
        <v>0.0</v>
      </c>
      <c r="Q1802" s="50">
        <v>0.0</v>
      </c>
      <c r="R1802" s="50">
        <v>0.0</v>
      </c>
      <c r="S1802" s="50">
        <v>0.0</v>
      </c>
      <c r="T1802" s="50">
        <v>2.8125</v>
      </c>
      <c r="U1802" s="50">
        <v>0.0</v>
      </c>
      <c r="V1802" s="50">
        <v>5.625</v>
      </c>
      <c r="W1802" s="50">
        <v>0.0</v>
      </c>
      <c r="X1802" s="50">
        <v>2.8125</v>
      </c>
      <c r="Y1802" s="50">
        <v>11.25</v>
      </c>
    </row>
    <row r="1803">
      <c r="A1803" s="26">
        <v>1797.0</v>
      </c>
      <c r="B1803" s="65">
        <v>0.1924077108956133</v>
      </c>
      <c r="C1803" s="65">
        <v>-0.1825118832436201</v>
      </c>
      <c r="D1803" s="65">
        <v>0.2973152992436628</v>
      </c>
      <c r="E1803" s="65">
        <v>1.3573523608324354</v>
      </c>
      <c r="F1803" s="65">
        <v>5.143929830432082</v>
      </c>
      <c r="G1803" s="50">
        <v>0.0</v>
      </c>
      <c r="H1803" s="50">
        <v>0.0</v>
      </c>
      <c r="I1803" s="50">
        <v>0.0</v>
      </c>
      <c r="J1803" s="50">
        <v>0.0</v>
      </c>
      <c r="K1803" s="50">
        <v>0.0</v>
      </c>
      <c r="L1803" s="50">
        <v>0.0</v>
      </c>
      <c r="M1803" s="50">
        <v>0.0</v>
      </c>
      <c r="N1803" s="50">
        <v>0.0</v>
      </c>
      <c r="O1803" s="50">
        <v>0.0</v>
      </c>
      <c r="P1803" s="50">
        <v>0.0</v>
      </c>
      <c r="Q1803" s="50">
        <v>0.0</v>
      </c>
      <c r="R1803" s="50">
        <v>9.9</v>
      </c>
      <c r="S1803" s="50">
        <v>0.0</v>
      </c>
      <c r="T1803" s="50">
        <v>2.8125</v>
      </c>
      <c r="U1803" s="50">
        <v>0.0</v>
      </c>
      <c r="V1803" s="50">
        <v>0.0</v>
      </c>
      <c r="W1803" s="50">
        <v>0.0</v>
      </c>
      <c r="X1803" s="50">
        <v>2.8125</v>
      </c>
      <c r="Y1803" s="50">
        <v>15.525</v>
      </c>
    </row>
    <row r="1804">
      <c r="A1804" s="26">
        <v>1798.0</v>
      </c>
      <c r="B1804" s="65">
        <v>-0.7112442532971929</v>
      </c>
      <c r="C1804" s="65">
        <v>-0.3088347902032784</v>
      </c>
      <c r="D1804" s="65">
        <v>0.7157039237593502</v>
      </c>
      <c r="E1804" s="65">
        <v>0.8605122732337077</v>
      </c>
      <c r="F1804" s="65">
        <v>6.984754534370591</v>
      </c>
      <c r="G1804" s="50">
        <v>0.0</v>
      </c>
      <c r="H1804" s="50">
        <v>0.0</v>
      </c>
      <c r="I1804" s="50">
        <v>0.0</v>
      </c>
      <c r="J1804" s="50">
        <v>0.0</v>
      </c>
      <c r="K1804" s="50">
        <v>0.0</v>
      </c>
      <c r="L1804" s="50">
        <v>0.0</v>
      </c>
      <c r="M1804" s="50">
        <v>0.0</v>
      </c>
      <c r="N1804" s="50">
        <v>0.0</v>
      </c>
      <c r="O1804" s="50">
        <v>0.0</v>
      </c>
      <c r="P1804" s="50">
        <v>0.0</v>
      </c>
      <c r="Q1804" s="50">
        <v>0.0</v>
      </c>
      <c r="R1804" s="50">
        <v>0.0</v>
      </c>
      <c r="S1804" s="50">
        <v>0.0</v>
      </c>
      <c r="T1804" s="50">
        <v>2.8125</v>
      </c>
      <c r="U1804" s="50">
        <v>0.0</v>
      </c>
      <c r="V1804" s="50">
        <v>0.0</v>
      </c>
      <c r="W1804" s="50">
        <v>0.0</v>
      </c>
      <c r="X1804" s="50">
        <v>2.8125</v>
      </c>
      <c r="Y1804" s="50">
        <v>5.625</v>
      </c>
    </row>
    <row r="1805">
      <c r="A1805" s="26">
        <v>1799.0</v>
      </c>
      <c r="B1805" s="65">
        <v>1.0194610428600042</v>
      </c>
      <c r="C1805" s="65">
        <v>-1.6740901839041307</v>
      </c>
      <c r="D1805" s="65">
        <v>-0.8901816368770904</v>
      </c>
      <c r="E1805" s="65">
        <v>0.41714651153228177</v>
      </c>
      <c r="F1805" s="65">
        <v>7.322226164246787</v>
      </c>
      <c r="G1805" s="50">
        <v>0.0</v>
      </c>
      <c r="H1805" s="50">
        <v>0.0</v>
      </c>
      <c r="I1805" s="50">
        <v>0.0</v>
      </c>
      <c r="J1805" s="50">
        <v>0.0</v>
      </c>
      <c r="K1805" s="50">
        <v>0.0</v>
      </c>
      <c r="L1805" s="50">
        <v>0.0</v>
      </c>
      <c r="M1805" s="50">
        <v>0.0</v>
      </c>
      <c r="N1805" s="50">
        <v>0.0</v>
      </c>
      <c r="O1805" s="50">
        <v>0.0</v>
      </c>
      <c r="P1805" s="50">
        <v>0.0</v>
      </c>
      <c r="Q1805" s="50">
        <v>0.0</v>
      </c>
      <c r="R1805" s="50">
        <v>0.0</v>
      </c>
      <c r="S1805" s="50">
        <v>0.0</v>
      </c>
      <c r="T1805" s="50">
        <v>2.8125</v>
      </c>
      <c r="U1805" s="50">
        <v>0.0</v>
      </c>
      <c r="V1805" s="50">
        <v>0.0</v>
      </c>
      <c r="W1805" s="50">
        <v>0.0</v>
      </c>
      <c r="X1805" s="50">
        <v>2.8125</v>
      </c>
      <c r="Y1805" s="50">
        <v>5.625</v>
      </c>
    </row>
    <row r="1806">
      <c r="A1806" s="26">
        <v>1800.0</v>
      </c>
      <c r="B1806" s="65">
        <v>-1.210075360166938</v>
      </c>
      <c r="C1806" s="65">
        <v>0.14189550310832477</v>
      </c>
      <c r="D1806" s="65">
        <v>-1.6516548426133728</v>
      </c>
      <c r="E1806" s="65">
        <v>0.19843171941656967</v>
      </c>
      <c r="F1806" s="65">
        <v>1.424103988010855</v>
      </c>
      <c r="G1806" s="50">
        <v>0.0</v>
      </c>
      <c r="H1806" s="50">
        <v>0.0</v>
      </c>
      <c r="I1806" s="50">
        <v>0.0</v>
      </c>
      <c r="J1806" s="50">
        <v>0.0</v>
      </c>
      <c r="K1806" s="50">
        <v>0.0</v>
      </c>
      <c r="L1806" s="50">
        <v>0.0</v>
      </c>
      <c r="M1806" s="50">
        <v>0.0</v>
      </c>
      <c r="N1806" s="50">
        <v>0.0</v>
      </c>
      <c r="O1806" s="50">
        <v>7.425000000000001</v>
      </c>
      <c r="P1806" s="50">
        <v>2.475</v>
      </c>
      <c r="Q1806" s="50">
        <v>0.0</v>
      </c>
      <c r="R1806" s="50">
        <v>9.9</v>
      </c>
      <c r="S1806" s="50">
        <v>0.0</v>
      </c>
      <c r="T1806" s="50">
        <v>2.8125</v>
      </c>
      <c r="U1806" s="50">
        <v>9.9</v>
      </c>
      <c r="V1806" s="50">
        <v>5.625</v>
      </c>
      <c r="W1806" s="50">
        <v>0.0</v>
      </c>
      <c r="X1806" s="50">
        <v>2.8125</v>
      </c>
      <c r="Y1806" s="50">
        <v>40.95</v>
      </c>
    </row>
    <row r="1807">
      <c r="A1807" s="26">
        <v>1801.0</v>
      </c>
      <c r="B1807" s="65">
        <v>-0.775750463845596</v>
      </c>
      <c r="C1807" s="65">
        <v>1.3965238277503376</v>
      </c>
      <c r="D1807" s="65">
        <v>-0.38288851095383825</v>
      </c>
      <c r="E1807" s="65">
        <v>-0.2125636722790887</v>
      </c>
      <c r="F1807" s="65">
        <v>6.0693643000026345</v>
      </c>
      <c r="G1807" s="50">
        <v>0.0</v>
      </c>
      <c r="H1807" s="50">
        <v>0.0</v>
      </c>
      <c r="I1807" s="50">
        <v>0.0</v>
      </c>
      <c r="J1807" s="50">
        <v>0.0</v>
      </c>
      <c r="K1807" s="50">
        <v>0.0</v>
      </c>
      <c r="L1807" s="50">
        <v>0.0</v>
      </c>
      <c r="M1807" s="50">
        <v>0.0</v>
      </c>
      <c r="N1807" s="50">
        <v>0.0</v>
      </c>
      <c r="O1807" s="50">
        <v>0.0</v>
      </c>
      <c r="P1807" s="50">
        <v>0.0</v>
      </c>
      <c r="Q1807" s="50">
        <v>0.0</v>
      </c>
      <c r="R1807" s="50">
        <v>9.9</v>
      </c>
      <c r="S1807" s="50">
        <v>0.0</v>
      </c>
      <c r="T1807" s="50">
        <v>2.8125</v>
      </c>
      <c r="U1807" s="50">
        <v>0.0</v>
      </c>
      <c r="V1807" s="50">
        <v>5.625</v>
      </c>
      <c r="W1807" s="50">
        <v>0.0</v>
      </c>
      <c r="X1807" s="50">
        <v>2.8125</v>
      </c>
      <c r="Y1807" s="50">
        <v>21.15</v>
      </c>
    </row>
    <row r="1808">
      <c r="A1808" s="26">
        <v>1802.0</v>
      </c>
      <c r="B1808" s="65">
        <v>-0.05028040178568241</v>
      </c>
      <c r="C1808" s="65">
        <v>1.2271065258573517</v>
      </c>
      <c r="D1808" s="65">
        <v>0.4703321201889235</v>
      </c>
      <c r="E1808" s="65">
        <v>0.8272091086934713</v>
      </c>
      <c r="F1808" s="65">
        <v>9.055735424497502</v>
      </c>
      <c r="G1808" s="50">
        <v>0.0</v>
      </c>
      <c r="H1808" s="50">
        <v>0.0</v>
      </c>
      <c r="I1808" s="50">
        <v>0.0</v>
      </c>
      <c r="J1808" s="50">
        <v>0.0</v>
      </c>
      <c r="K1808" s="50">
        <v>0.0</v>
      </c>
      <c r="L1808" s="50">
        <v>0.0</v>
      </c>
      <c r="M1808" s="50">
        <v>0.0</v>
      </c>
      <c r="N1808" s="50">
        <v>0.0</v>
      </c>
      <c r="O1808" s="50">
        <v>0.0</v>
      </c>
      <c r="P1808" s="50">
        <v>0.0</v>
      </c>
      <c r="Q1808" s="50">
        <v>0.0</v>
      </c>
      <c r="R1808" s="50">
        <v>0.0</v>
      </c>
      <c r="S1808" s="50">
        <v>0.0</v>
      </c>
      <c r="T1808" s="50">
        <v>2.8125</v>
      </c>
      <c r="U1808" s="50">
        <v>0.0</v>
      </c>
      <c r="V1808" s="50">
        <v>0.0</v>
      </c>
      <c r="W1808" s="50">
        <v>0.0</v>
      </c>
      <c r="X1808" s="50">
        <v>2.8125</v>
      </c>
      <c r="Y1808" s="50">
        <v>5.625</v>
      </c>
    </row>
    <row r="1809">
      <c r="A1809" s="26">
        <v>1803.0</v>
      </c>
      <c r="B1809" s="65">
        <v>0.4719194068469709</v>
      </c>
      <c r="C1809" s="65">
        <v>0.7604003476439063</v>
      </c>
      <c r="D1809" s="65">
        <v>0.5698269225299909</v>
      </c>
      <c r="E1809" s="65">
        <v>0.8418551676760612</v>
      </c>
      <c r="F1809" s="65">
        <v>11.090338257939413</v>
      </c>
      <c r="G1809" s="50">
        <v>0.0</v>
      </c>
      <c r="H1809" s="50">
        <v>0.0</v>
      </c>
      <c r="I1809" s="50">
        <v>0.0</v>
      </c>
      <c r="J1809" s="50">
        <v>0.0</v>
      </c>
      <c r="K1809" s="50">
        <v>0.0</v>
      </c>
      <c r="L1809" s="50">
        <v>0.0</v>
      </c>
      <c r="M1809" s="50">
        <v>0.0</v>
      </c>
      <c r="N1809" s="50">
        <v>0.0</v>
      </c>
      <c r="O1809" s="50">
        <v>0.0</v>
      </c>
      <c r="P1809" s="50">
        <v>0.0</v>
      </c>
      <c r="Q1809" s="50">
        <v>0.0</v>
      </c>
      <c r="R1809" s="50">
        <v>0.0</v>
      </c>
      <c r="S1809" s="50">
        <v>0.0</v>
      </c>
      <c r="T1809" s="50">
        <v>2.8125</v>
      </c>
      <c r="U1809" s="50">
        <v>0.0</v>
      </c>
      <c r="V1809" s="50">
        <v>0.0</v>
      </c>
      <c r="W1809" s="50">
        <v>0.0</v>
      </c>
      <c r="X1809" s="50">
        <v>2.8125</v>
      </c>
      <c r="Y1809" s="50">
        <v>5.625</v>
      </c>
    </row>
    <row r="1810">
      <c r="A1810" s="26">
        <v>1804.0</v>
      </c>
      <c r="B1810" s="65">
        <v>0.06559784741747841</v>
      </c>
      <c r="C1810" s="65">
        <v>-0.7059524203064484</v>
      </c>
      <c r="D1810" s="65">
        <v>1.780891514908104</v>
      </c>
      <c r="E1810" s="65">
        <v>-0.4280069314726341</v>
      </c>
      <c r="F1810" s="65">
        <v>1.7317309652357598</v>
      </c>
      <c r="G1810" s="50">
        <v>0.0</v>
      </c>
      <c r="H1810" s="50">
        <v>0.0</v>
      </c>
      <c r="I1810" s="50">
        <v>0.0</v>
      </c>
      <c r="J1810" s="50">
        <v>0.0</v>
      </c>
      <c r="K1810" s="50">
        <v>0.0</v>
      </c>
      <c r="L1810" s="50">
        <v>0.0</v>
      </c>
      <c r="M1810" s="50">
        <v>0.0</v>
      </c>
      <c r="N1810" s="50">
        <v>0.0</v>
      </c>
      <c r="O1810" s="50">
        <v>0.0</v>
      </c>
      <c r="P1810" s="50">
        <v>0.0</v>
      </c>
      <c r="Q1810" s="50">
        <v>0.0</v>
      </c>
      <c r="R1810" s="50">
        <v>0.0</v>
      </c>
      <c r="S1810" s="50">
        <v>0.0</v>
      </c>
      <c r="T1810" s="50">
        <v>2.8125</v>
      </c>
      <c r="U1810" s="50">
        <v>0.0</v>
      </c>
      <c r="V1810" s="50">
        <v>0.0</v>
      </c>
      <c r="W1810" s="50">
        <v>0.0</v>
      </c>
      <c r="X1810" s="50">
        <v>2.8125</v>
      </c>
      <c r="Y1810" s="50">
        <v>5.625</v>
      </c>
    </row>
    <row r="1811">
      <c r="A1811" s="26">
        <v>1805.0</v>
      </c>
      <c r="B1811" s="65">
        <v>-0.06883349459352477</v>
      </c>
      <c r="C1811" s="65">
        <v>-2.6942425178579827</v>
      </c>
      <c r="D1811" s="65">
        <v>0.5496557694302439</v>
      </c>
      <c r="E1811" s="65">
        <v>-0.432679110681541</v>
      </c>
      <c r="F1811" s="65">
        <v>4.04045099567805</v>
      </c>
      <c r="G1811" s="50">
        <v>0.0</v>
      </c>
      <c r="H1811" s="50">
        <v>0.0</v>
      </c>
      <c r="I1811" s="50">
        <v>0.0</v>
      </c>
      <c r="J1811" s="50">
        <v>0.0</v>
      </c>
      <c r="K1811" s="50">
        <v>0.0</v>
      </c>
      <c r="L1811" s="50">
        <v>0.0</v>
      </c>
      <c r="M1811" s="50">
        <v>0.0</v>
      </c>
      <c r="N1811" s="50">
        <v>0.0</v>
      </c>
      <c r="O1811" s="50">
        <v>0.0</v>
      </c>
      <c r="P1811" s="50">
        <v>0.0</v>
      </c>
      <c r="Q1811" s="50">
        <v>0.0</v>
      </c>
      <c r="R1811" s="50">
        <v>0.0</v>
      </c>
      <c r="S1811" s="50">
        <v>0.0</v>
      </c>
      <c r="T1811" s="50">
        <v>2.8125</v>
      </c>
      <c r="U1811" s="50">
        <v>0.0</v>
      </c>
      <c r="V1811" s="50">
        <v>0.0</v>
      </c>
      <c r="W1811" s="50">
        <v>0.0</v>
      </c>
      <c r="X1811" s="50">
        <v>2.8125</v>
      </c>
      <c r="Y1811" s="50">
        <v>5.625</v>
      </c>
    </row>
    <row r="1812">
      <c r="A1812" s="26">
        <v>1806.0</v>
      </c>
      <c r="B1812" s="65">
        <v>-1.0580875387012967</v>
      </c>
      <c r="C1812" s="65">
        <v>-0.035610289458237326</v>
      </c>
      <c r="D1812" s="65">
        <v>1.328145014524712</v>
      </c>
      <c r="E1812" s="65">
        <v>-0.2711111480304697</v>
      </c>
      <c r="F1812" s="65">
        <v>4.061478419144976</v>
      </c>
      <c r="G1812" s="50">
        <v>0.0</v>
      </c>
      <c r="H1812" s="50">
        <v>0.0</v>
      </c>
      <c r="I1812" s="50">
        <v>0.0</v>
      </c>
      <c r="J1812" s="50">
        <v>0.0</v>
      </c>
      <c r="K1812" s="50">
        <v>0.0</v>
      </c>
      <c r="L1812" s="50">
        <v>0.0</v>
      </c>
      <c r="M1812" s="50">
        <v>0.0</v>
      </c>
      <c r="N1812" s="50">
        <v>0.0</v>
      </c>
      <c r="O1812" s="50">
        <v>0.0</v>
      </c>
      <c r="P1812" s="50">
        <v>2.475</v>
      </c>
      <c r="Q1812" s="50">
        <v>0.0</v>
      </c>
      <c r="R1812" s="50">
        <v>0.0</v>
      </c>
      <c r="S1812" s="50">
        <v>0.0</v>
      </c>
      <c r="T1812" s="50">
        <v>2.8125</v>
      </c>
      <c r="U1812" s="50">
        <v>0.0</v>
      </c>
      <c r="V1812" s="50">
        <v>5.625</v>
      </c>
      <c r="W1812" s="50">
        <v>0.0</v>
      </c>
      <c r="X1812" s="50">
        <v>2.8125</v>
      </c>
      <c r="Y1812" s="50">
        <v>13.725</v>
      </c>
    </row>
    <row r="1813">
      <c r="A1813" s="26">
        <v>1807.0</v>
      </c>
      <c r="B1813" s="65">
        <v>0.2809850133792866</v>
      </c>
      <c r="C1813" s="65">
        <v>-1.3480931480837628</v>
      </c>
      <c r="D1813" s="65">
        <v>-0.5129753020332216</v>
      </c>
      <c r="E1813" s="65">
        <v>0.44251885717451905</v>
      </c>
      <c r="F1813" s="65">
        <v>7.2694388004369435</v>
      </c>
      <c r="G1813" s="50">
        <v>0.0</v>
      </c>
      <c r="H1813" s="50">
        <v>0.0</v>
      </c>
      <c r="I1813" s="50">
        <v>0.0</v>
      </c>
      <c r="J1813" s="50">
        <v>0.0</v>
      </c>
      <c r="K1813" s="50">
        <v>0.0</v>
      </c>
      <c r="L1813" s="50">
        <v>0.0</v>
      </c>
      <c r="M1813" s="50">
        <v>0.0</v>
      </c>
      <c r="N1813" s="50">
        <v>0.0</v>
      </c>
      <c r="O1813" s="50">
        <v>0.0</v>
      </c>
      <c r="P1813" s="50">
        <v>0.0</v>
      </c>
      <c r="Q1813" s="50">
        <v>0.0</v>
      </c>
      <c r="R1813" s="50">
        <v>0.0</v>
      </c>
      <c r="S1813" s="50">
        <v>0.0</v>
      </c>
      <c r="T1813" s="50">
        <v>2.8125</v>
      </c>
      <c r="U1813" s="50">
        <v>0.0</v>
      </c>
      <c r="V1813" s="50">
        <v>0.0</v>
      </c>
      <c r="W1813" s="50">
        <v>0.0</v>
      </c>
      <c r="X1813" s="50">
        <v>2.8125</v>
      </c>
      <c r="Y1813" s="50">
        <v>5.625</v>
      </c>
    </row>
    <row r="1814">
      <c r="A1814" s="26">
        <v>1808.0</v>
      </c>
      <c r="B1814" s="65">
        <v>-1.6096253325861702</v>
      </c>
      <c r="C1814" s="65">
        <v>-0.4372136023271321</v>
      </c>
      <c r="D1814" s="65">
        <v>-0.29655513227008296</v>
      </c>
      <c r="E1814" s="65">
        <v>2.0928676784722966</v>
      </c>
      <c r="F1814" s="65">
        <v>10.06263985552884</v>
      </c>
      <c r="G1814" s="50">
        <v>0.0</v>
      </c>
      <c r="H1814" s="50">
        <v>0.0</v>
      </c>
      <c r="I1814" s="50">
        <v>0.0</v>
      </c>
      <c r="J1814" s="50">
        <v>0.0</v>
      </c>
      <c r="K1814" s="50">
        <v>0.0</v>
      </c>
      <c r="L1814" s="50">
        <v>0.0</v>
      </c>
      <c r="M1814" s="50">
        <v>0.0</v>
      </c>
      <c r="N1814" s="50">
        <v>0.0</v>
      </c>
      <c r="O1814" s="50">
        <v>0.0</v>
      </c>
      <c r="P1814" s="50">
        <v>0.0</v>
      </c>
      <c r="Q1814" s="50">
        <v>0.0</v>
      </c>
      <c r="R1814" s="50">
        <v>0.0</v>
      </c>
      <c r="S1814" s="50">
        <v>0.0</v>
      </c>
      <c r="T1814" s="50">
        <v>2.8125</v>
      </c>
      <c r="U1814" s="50">
        <v>0.0</v>
      </c>
      <c r="V1814" s="50">
        <v>5.625</v>
      </c>
      <c r="W1814" s="50">
        <v>0.0</v>
      </c>
      <c r="X1814" s="50">
        <v>2.8125</v>
      </c>
      <c r="Y1814" s="50">
        <v>11.25</v>
      </c>
    </row>
    <row r="1815">
      <c r="A1815" s="26">
        <v>1809.0</v>
      </c>
      <c r="B1815" s="65">
        <v>1.1112594967586062</v>
      </c>
      <c r="C1815" s="65">
        <v>-0.2555408756606447</v>
      </c>
      <c r="D1815" s="65">
        <v>1.4864196102426934</v>
      </c>
      <c r="E1815" s="65">
        <v>0.3784506549489505</v>
      </c>
      <c r="F1815" s="65">
        <v>6.09340721918792</v>
      </c>
      <c r="G1815" s="50">
        <v>0.0</v>
      </c>
      <c r="H1815" s="50">
        <v>0.0</v>
      </c>
      <c r="I1815" s="50">
        <v>0.0</v>
      </c>
      <c r="J1815" s="50">
        <v>0.0</v>
      </c>
      <c r="K1815" s="50">
        <v>0.0</v>
      </c>
      <c r="L1815" s="50">
        <v>0.0</v>
      </c>
      <c r="M1815" s="50">
        <v>0.0</v>
      </c>
      <c r="N1815" s="50">
        <v>0.0</v>
      </c>
      <c r="O1815" s="50">
        <v>0.0</v>
      </c>
      <c r="P1815" s="50">
        <v>0.0</v>
      </c>
      <c r="Q1815" s="50">
        <v>0.0</v>
      </c>
      <c r="R1815" s="50">
        <v>0.0</v>
      </c>
      <c r="S1815" s="50">
        <v>0.0</v>
      </c>
      <c r="T1815" s="50">
        <v>2.8125</v>
      </c>
      <c r="U1815" s="50">
        <v>0.0</v>
      </c>
      <c r="V1815" s="50">
        <v>0.0</v>
      </c>
      <c r="W1815" s="50">
        <v>0.0</v>
      </c>
      <c r="X1815" s="50">
        <v>2.8125</v>
      </c>
      <c r="Y1815" s="50">
        <v>5.625</v>
      </c>
    </row>
    <row r="1816">
      <c r="A1816" s="26">
        <v>1810.0</v>
      </c>
      <c r="B1816" s="65">
        <v>1.1173454096123179</v>
      </c>
      <c r="C1816" s="65">
        <v>-0.2605877992573501</v>
      </c>
      <c r="D1816" s="65">
        <v>1.2529062048734059</v>
      </c>
      <c r="E1816" s="65">
        <v>-0.4828012977888195</v>
      </c>
      <c r="F1816" s="65">
        <v>8.314384019362114</v>
      </c>
      <c r="G1816" s="50">
        <v>0.0</v>
      </c>
      <c r="H1816" s="50">
        <v>0.0</v>
      </c>
      <c r="I1816" s="50">
        <v>0.0</v>
      </c>
      <c r="J1816" s="50">
        <v>0.0</v>
      </c>
      <c r="K1816" s="50">
        <v>0.0</v>
      </c>
      <c r="L1816" s="50">
        <v>0.0</v>
      </c>
      <c r="M1816" s="50">
        <v>0.0</v>
      </c>
      <c r="N1816" s="50">
        <v>0.0</v>
      </c>
      <c r="O1816" s="50">
        <v>0.0</v>
      </c>
      <c r="P1816" s="50">
        <v>0.0</v>
      </c>
      <c r="Q1816" s="50">
        <v>0.0</v>
      </c>
      <c r="R1816" s="50">
        <v>0.0</v>
      </c>
      <c r="S1816" s="50">
        <v>0.0</v>
      </c>
      <c r="T1816" s="50">
        <v>2.8125</v>
      </c>
      <c r="U1816" s="50">
        <v>0.0</v>
      </c>
      <c r="V1816" s="50">
        <v>0.0</v>
      </c>
      <c r="W1816" s="50">
        <v>0.0</v>
      </c>
      <c r="X1816" s="50">
        <v>2.8125</v>
      </c>
      <c r="Y1816" s="50">
        <v>5.625</v>
      </c>
    </row>
    <row r="1817">
      <c r="A1817" s="26">
        <v>1811.0</v>
      </c>
      <c r="B1817" s="65">
        <v>-1.1279004035608564</v>
      </c>
      <c r="C1817" s="65">
        <v>-1.0144213768713677</v>
      </c>
      <c r="D1817" s="65">
        <v>0.07620823618880604</v>
      </c>
      <c r="E1817" s="65">
        <v>2.2138951239644977</v>
      </c>
      <c r="F1817" s="65">
        <v>1.9984171750463442</v>
      </c>
      <c r="G1817" s="50">
        <v>0.0</v>
      </c>
      <c r="H1817" s="50">
        <v>0.0</v>
      </c>
      <c r="I1817" s="50">
        <v>0.0</v>
      </c>
      <c r="J1817" s="50">
        <v>0.0</v>
      </c>
      <c r="K1817" s="50">
        <v>0.0</v>
      </c>
      <c r="L1817" s="50">
        <v>0.0</v>
      </c>
      <c r="M1817" s="50">
        <v>0.0</v>
      </c>
      <c r="N1817" s="50">
        <v>0.0</v>
      </c>
      <c r="O1817" s="50">
        <v>7.425000000000001</v>
      </c>
      <c r="P1817" s="50">
        <v>0.0</v>
      </c>
      <c r="Q1817" s="50">
        <v>0.0</v>
      </c>
      <c r="R1817" s="50">
        <v>9.9</v>
      </c>
      <c r="S1817" s="50">
        <v>0.0</v>
      </c>
      <c r="T1817" s="50">
        <v>2.8125</v>
      </c>
      <c r="U1817" s="50">
        <v>9.9</v>
      </c>
      <c r="V1817" s="50">
        <v>5.625</v>
      </c>
      <c r="W1817" s="50">
        <v>0.0</v>
      </c>
      <c r="X1817" s="50">
        <v>2.8125</v>
      </c>
      <c r="Y1817" s="50">
        <v>38.475</v>
      </c>
    </row>
    <row r="1818">
      <c r="A1818" s="26">
        <v>1812.0</v>
      </c>
      <c r="B1818" s="65">
        <v>0.9843643840273258</v>
      </c>
      <c r="C1818" s="65">
        <v>0.3647785049001339</v>
      </c>
      <c r="D1818" s="65">
        <v>-0.677020154450955</v>
      </c>
      <c r="E1818" s="65">
        <v>0.9371397150202542</v>
      </c>
      <c r="F1818" s="65">
        <v>1.5999481612909698</v>
      </c>
      <c r="G1818" s="50">
        <v>0.0</v>
      </c>
      <c r="H1818" s="50">
        <v>0.0</v>
      </c>
      <c r="I1818" s="50">
        <v>0.0</v>
      </c>
      <c r="J1818" s="50">
        <v>0.0</v>
      </c>
      <c r="K1818" s="50">
        <v>0.0</v>
      </c>
      <c r="L1818" s="50">
        <v>0.0</v>
      </c>
      <c r="M1818" s="50">
        <v>0.0</v>
      </c>
      <c r="N1818" s="50">
        <v>0.0</v>
      </c>
      <c r="O1818" s="50">
        <v>0.0</v>
      </c>
      <c r="P1818" s="50">
        <v>0.0</v>
      </c>
      <c r="Q1818" s="50">
        <v>0.0</v>
      </c>
      <c r="R1818" s="50">
        <v>0.0</v>
      </c>
      <c r="S1818" s="50">
        <v>0.0</v>
      </c>
      <c r="T1818" s="50">
        <v>2.8125</v>
      </c>
      <c r="U1818" s="50">
        <v>0.0</v>
      </c>
      <c r="V1818" s="50">
        <v>0.0</v>
      </c>
      <c r="W1818" s="50">
        <v>0.0</v>
      </c>
      <c r="X1818" s="50">
        <v>2.8125</v>
      </c>
      <c r="Y1818" s="50">
        <v>5.625</v>
      </c>
    </row>
    <row r="1819">
      <c r="A1819" s="26">
        <v>1813.0</v>
      </c>
      <c r="B1819" s="65">
        <v>1.2074630652169818</v>
      </c>
      <c r="C1819" s="65">
        <v>-1.3899268802735758</v>
      </c>
      <c r="D1819" s="65">
        <v>-0.9873537984612277</v>
      </c>
      <c r="E1819" s="65">
        <v>-0.6695317476565534</v>
      </c>
      <c r="F1819" s="65">
        <v>5.333113584502051</v>
      </c>
      <c r="G1819" s="50">
        <v>0.0</v>
      </c>
      <c r="H1819" s="50">
        <v>0.0</v>
      </c>
      <c r="I1819" s="50">
        <v>0.0</v>
      </c>
      <c r="J1819" s="50">
        <v>0.0</v>
      </c>
      <c r="K1819" s="50">
        <v>0.0</v>
      </c>
      <c r="L1819" s="50">
        <v>0.0</v>
      </c>
      <c r="M1819" s="50">
        <v>0.0</v>
      </c>
      <c r="N1819" s="50">
        <v>0.0</v>
      </c>
      <c r="O1819" s="50">
        <v>0.0</v>
      </c>
      <c r="P1819" s="50">
        <v>0.0</v>
      </c>
      <c r="Q1819" s="50">
        <v>0.0</v>
      </c>
      <c r="R1819" s="50">
        <v>0.0</v>
      </c>
      <c r="S1819" s="50">
        <v>0.0</v>
      </c>
      <c r="T1819" s="50">
        <v>2.8125</v>
      </c>
      <c r="U1819" s="50">
        <v>0.0</v>
      </c>
      <c r="V1819" s="50">
        <v>0.0</v>
      </c>
      <c r="W1819" s="50">
        <v>0.0</v>
      </c>
      <c r="X1819" s="50">
        <v>2.8125</v>
      </c>
      <c r="Y1819" s="50">
        <v>5.625</v>
      </c>
    </row>
    <row r="1820">
      <c r="A1820" s="26">
        <v>1814.0</v>
      </c>
      <c r="B1820" s="65">
        <v>-1.2170903376097488</v>
      </c>
      <c r="C1820" s="65">
        <v>-1.7362268995369985</v>
      </c>
      <c r="D1820" s="65">
        <v>-0.7374385273661538</v>
      </c>
      <c r="E1820" s="65">
        <v>-1.4636183009091754</v>
      </c>
      <c r="F1820" s="65">
        <v>4.154354150226753</v>
      </c>
      <c r="G1820" s="50">
        <v>0.0</v>
      </c>
      <c r="H1820" s="50">
        <v>0.0</v>
      </c>
      <c r="I1820" s="50">
        <v>0.0</v>
      </c>
      <c r="J1820" s="50">
        <v>0.0</v>
      </c>
      <c r="K1820" s="50">
        <v>0.0</v>
      </c>
      <c r="L1820" s="50">
        <v>0.0</v>
      </c>
      <c r="M1820" s="50">
        <v>0.0</v>
      </c>
      <c r="N1820" s="50">
        <v>0.0</v>
      </c>
      <c r="O1820" s="50">
        <v>0.0</v>
      </c>
      <c r="P1820" s="50">
        <v>0.0</v>
      </c>
      <c r="Q1820" s="50">
        <v>0.0</v>
      </c>
      <c r="R1820" s="50">
        <v>0.0</v>
      </c>
      <c r="S1820" s="50">
        <v>0.0</v>
      </c>
      <c r="T1820" s="50">
        <v>2.8125</v>
      </c>
      <c r="U1820" s="50">
        <v>0.0</v>
      </c>
      <c r="V1820" s="50">
        <v>5.625</v>
      </c>
      <c r="W1820" s="50">
        <v>0.0</v>
      </c>
      <c r="X1820" s="50">
        <v>2.8125</v>
      </c>
      <c r="Y1820" s="50">
        <v>11.25</v>
      </c>
    </row>
    <row r="1821">
      <c r="A1821" s="26">
        <v>1815.0</v>
      </c>
      <c r="B1821" s="65">
        <v>-1.4447267479888173</v>
      </c>
      <c r="C1821" s="65">
        <v>-0.8408033770063462</v>
      </c>
      <c r="D1821" s="65">
        <v>-2.2510668112404426</v>
      </c>
      <c r="E1821" s="65">
        <v>0.5750499179254366</v>
      </c>
      <c r="F1821" s="65">
        <v>2.9730864090831797</v>
      </c>
      <c r="G1821" s="50">
        <v>0.0</v>
      </c>
      <c r="H1821" s="50">
        <v>0.0</v>
      </c>
      <c r="I1821" s="50">
        <v>0.0</v>
      </c>
      <c r="J1821" s="50">
        <v>0.0</v>
      </c>
      <c r="K1821" s="50">
        <v>0.0</v>
      </c>
      <c r="L1821" s="50">
        <v>0.0</v>
      </c>
      <c r="M1821" s="50">
        <v>0.0</v>
      </c>
      <c r="N1821" s="50">
        <v>0.0</v>
      </c>
      <c r="O1821" s="50">
        <v>0.0</v>
      </c>
      <c r="P1821" s="50">
        <v>2.475</v>
      </c>
      <c r="Q1821" s="50">
        <v>0.0</v>
      </c>
      <c r="R1821" s="50">
        <v>9.9</v>
      </c>
      <c r="S1821" s="50">
        <v>11.25</v>
      </c>
      <c r="T1821" s="50">
        <v>2.8125</v>
      </c>
      <c r="U1821" s="50">
        <v>0.0</v>
      </c>
      <c r="V1821" s="50">
        <v>5.625</v>
      </c>
      <c r="W1821" s="50">
        <v>4.95</v>
      </c>
      <c r="X1821" s="50">
        <v>2.8125</v>
      </c>
      <c r="Y1821" s="50">
        <v>39.825</v>
      </c>
    </row>
    <row r="1822">
      <c r="A1822" s="26">
        <v>1816.0</v>
      </c>
      <c r="B1822" s="65">
        <v>0.8111213780639809</v>
      </c>
      <c r="C1822" s="65">
        <v>-0.32616997935977377</v>
      </c>
      <c r="D1822" s="65">
        <v>-0.07364154138294292</v>
      </c>
      <c r="E1822" s="65">
        <v>-0.33375203367542233</v>
      </c>
      <c r="F1822" s="65">
        <v>4.459508986926583</v>
      </c>
      <c r="G1822" s="50">
        <v>0.0</v>
      </c>
      <c r="H1822" s="50">
        <v>0.0</v>
      </c>
      <c r="I1822" s="50">
        <v>0.0</v>
      </c>
      <c r="J1822" s="50">
        <v>0.0</v>
      </c>
      <c r="K1822" s="50">
        <v>0.0</v>
      </c>
      <c r="L1822" s="50">
        <v>0.0</v>
      </c>
      <c r="M1822" s="50">
        <v>0.0</v>
      </c>
      <c r="N1822" s="50">
        <v>0.0</v>
      </c>
      <c r="O1822" s="50">
        <v>0.0</v>
      </c>
      <c r="P1822" s="50">
        <v>0.0</v>
      </c>
      <c r="Q1822" s="50">
        <v>0.0</v>
      </c>
      <c r="R1822" s="50">
        <v>0.0</v>
      </c>
      <c r="S1822" s="50">
        <v>0.0</v>
      </c>
      <c r="T1822" s="50">
        <v>2.8125</v>
      </c>
      <c r="U1822" s="50">
        <v>0.0</v>
      </c>
      <c r="V1822" s="50">
        <v>0.0</v>
      </c>
      <c r="W1822" s="50">
        <v>0.0</v>
      </c>
      <c r="X1822" s="50">
        <v>2.8125</v>
      </c>
      <c r="Y1822" s="50">
        <v>5.625</v>
      </c>
    </row>
    <row r="1823">
      <c r="A1823" s="26">
        <v>1817.0</v>
      </c>
      <c r="B1823" s="65">
        <v>1.2359166657571916</v>
      </c>
      <c r="C1823" s="65">
        <v>0.8215807547609604</v>
      </c>
      <c r="D1823" s="65">
        <v>0.9738232404379145</v>
      </c>
      <c r="E1823" s="65">
        <v>0.30753282492794803</v>
      </c>
      <c r="F1823" s="65">
        <v>6.933778193469014</v>
      </c>
      <c r="G1823" s="50">
        <v>0.0</v>
      </c>
      <c r="H1823" s="50">
        <v>0.0</v>
      </c>
      <c r="I1823" s="50">
        <v>0.0</v>
      </c>
      <c r="J1823" s="50">
        <v>0.0</v>
      </c>
      <c r="K1823" s="50">
        <v>0.0</v>
      </c>
      <c r="L1823" s="50">
        <v>0.0</v>
      </c>
      <c r="M1823" s="50">
        <v>0.0</v>
      </c>
      <c r="N1823" s="50">
        <v>0.0</v>
      </c>
      <c r="O1823" s="50">
        <v>0.0</v>
      </c>
      <c r="P1823" s="50">
        <v>0.0</v>
      </c>
      <c r="Q1823" s="50">
        <v>0.0</v>
      </c>
      <c r="R1823" s="50">
        <v>0.0</v>
      </c>
      <c r="S1823" s="50">
        <v>0.0</v>
      </c>
      <c r="T1823" s="50">
        <v>2.8125</v>
      </c>
      <c r="U1823" s="50">
        <v>0.0</v>
      </c>
      <c r="V1823" s="50">
        <v>0.0</v>
      </c>
      <c r="W1823" s="50">
        <v>0.0</v>
      </c>
      <c r="X1823" s="50">
        <v>2.8125</v>
      </c>
      <c r="Y1823" s="50">
        <v>5.625</v>
      </c>
    </row>
    <row r="1824">
      <c r="A1824" s="26">
        <v>1818.0</v>
      </c>
      <c r="B1824" s="65">
        <v>0.47533417132023864</v>
      </c>
      <c r="C1824" s="65">
        <v>-0.21495841118449702</v>
      </c>
      <c r="D1824" s="65">
        <v>0.22623259490825648</v>
      </c>
      <c r="E1824" s="65">
        <v>-0.943038509486334</v>
      </c>
      <c r="F1824" s="65">
        <v>2.5531376658356755</v>
      </c>
      <c r="G1824" s="50">
        <v>0.0</v>
      </c>
      <c r="H1824" s="50">
        <v>0.0</v>
      </c>
      <c r="I1824" s="50">
        <v>0.0</v>
      </c>
      <c r="J1824" s="50">
        <v>0.0</v>
      </c>
      <c r="K1824" s="50">
        <v>0.0</v>
      </c>
      <c r="L1824" s="50">
        <v>0.0</v>
      </c>
      <c r="M1824" s="50">
        <v>0.0</v>
      </c>
      <c r="N1824" s="50">
        <v>0.0</v>
      </c>
      <c r="O1824" s="50">
        <v>0.0</v>
      </c>
      <c r="P1824" s="50">
        <v>0.0</v>
      </c>
      <c r="Q1824" s="50">
        <v>0.0</v>
      </c>
      <c r="R1824" s="50">
        <v>0.0</v>
      </c>
      <c r="S1824" s="50">
        <v>0.0</v>
      </c>
      <c r="T1824" s="50">
        <v>2.8125</v>
      </c>
      <c r="U1824" s="50">
        <v>0.0</v>
      </c>
      <c r="V1824" s="50">
        <v>0.0</v>
      </c>
      <c r="W1824" s="50">
        <v>4.95</v>
      </c>
      <c r="X1824" s="50">
        <v>2.8125</v>
      </c>
      <c r="Y1824" s="50">
        <v>10.575</v>
      </c>
    </row>
    <row r="1825">
      <c r="A1825" s="26">
        <v>1819.0</v>
      </c>
      <c r="B1825" s="65">
        <v>-0.07283171627379618</v>
      </c>
      <c r="C1825" s="65">
        <v>1.7953280842651818</v>
      </c>
      <c r="D1825" s="65">
        <v>-0.4897757877506428</v>
      </c>
      <c r="E1825" s="65">
        <v>0.10813019709104324</v>
      </c>
      <c r="F1825" s="65">
        <v>6.4085832281398</v>
      </c>
      <c r="G1825" s="50">
        <v>0.0</v>
      </c>
      <c r="H1825" s="50">
        <v>0.0</v>
      </c>
      <c r="I1825" s="50">
        <v>0.0</v>
      </c>
      <c r="J1825" s="50">
        <v>0.0</v>
      </c>
      <c r="K1825" s="50">
        <v>0.0</v>
      </c>
      <c r="L1825" s="50">
        <v>0.0</v>
      </c>
      <c r="M1825" s="50">
        <v>0.0</v>
      </c>
      <c r="N1825" s="50">
        <v>0.0</v>
      </c>
      <c r="O1825" s="50">
        <v>0.0</v>
      </c>
      <c r="P1825" s="50">
        <v>0.0</v>
      </c>
      <c r="Q1825" s="50">
        <v>0.0</v>
      </c>
      <c r="R1825" s="50">
        <v>0.0</v>
      </c>
      <c r="S1825" s="50">
        <v>0.0</v>
      </c>
      <c r="T1825" s="50">
        <v>2.8125</v>
      </c>
      <c r="U1825" s="50">
        <v>0.0</v>
      </c>
      <c r="V1825" s="50">
        <v>0.0</v>
      </c>
      <c r="W1825" s="50">
        <v>0.0</v>
      </c>
      <c r="X1825" s="50">
        <v>2.8125</v>
      </c>
      <c r="Y1825" s="50">
        <v>5.625</v>
      </c>
    </row>
    <row r="1826">
      <c r="A1826" s="26">
        <v>1820.0</v>
      </c>
      <c r="B1826" s="65">
        <v>-0.4613203001240494</v>
      </c>
      <c r="C1826" s="65">
        <v>1.7815722148346527</v>
      </c>
      <c r="D1826" s="65">
        <v>1.4585532851703356</v>
      </c>
      <c r="E1826" s="65">
        <v>-0.8858909612974916</v>
      </c>
      <c r="F1826" s="65">
        <v>1.2538886559011253</v>
      </c>
      <c r="G1826" s="50">
        <v>0.0</v>
      </c>
      <c r="H1826" s="50">
        <v>0.0</v>
      </c>
      <c r="I1826" s="50">
        <v>0.0</v>
      </c>
      <c r="J1826" s="50">
        <v>0.0</v>
      </c>
      <c r="K1826" s="50">
        <v>0.0</v>
      </c>
      <c r="L1826" s="50">
        <v>0.0</v>
      </c>
      <c r="M1826" s="50">
        <v>0.0</v>
      </c>
      <c r="N1826" s="50">
        <v>0.0</v>
      </c>
      <c r="O1826" s="50">
        <v>0.0</v>
      </c>
      <c r="P1826" s="50">
        <v>0.0</v>
      </c>
      <c r="Q1826" s="50">
        <v>0.0</v>
      </c>
      <c r="R1826" s="50">
        <v>0.0</v>
      </c>
      <c r="S1826" s="50">
        <v>0.0</v>
      </c>
      <c r="T1826" s="50">
        <v>2.8125</v>
      </c>
      <c r="U1826" s="50">
        <v>0.0</v>
      </c>
      <c r="V1826" s="50">
        <v>5.625</v>
      </c>
      <c r="W1826" s="50">
        <v>0.0</v>
      </c>
      <c r="X1826" s="50">
        <v>2.8125</v>
      </c>
      <c r="Y1826" s="50">
        <v>11.25</v>
      </c>
    </row>
    <row r="1827">
      <c r="A1827" s="26">
        <v>1821.0</v>
      </c>
      <c r="B1827" s="65">
        <v>0.3972403618577609</v>
      </c>
      <c r="C1827" s="65">
        <v>-0.18222864127345523</v>
      </c>
      <c r="D1827" s="65">
        <v>1.082223587025559</v>
      </c>
      <c r="E1827" s="65">
        <v>-2.277063870408424</v>
      </c>
      <c r="F1827" s="65">
        <v>5.754216842550225</v>
      </c>
      <c r="G1827" s="50">
        <v>0.0</v>
      </c>
      <c r="H1827" s="50">
        <v>0.0</v>
      </c>
      <c r="I1827" s="50">
        <v>0.0</v>
      </c>
      <c r="J1827" s="50">
        <v>0.0</v>
      </c>
      <c r="K1827" s="50">
        <v>0.0</v>
      </c>
      <c r="L1827" s="50">
        <v>0.0</v>
      </c>
      <c r="M1827" s="50">
        <v>0.0</v>
      </c>
      <c r="N1827" s="50">
        <v>0.0</v>
      </c>
      <c r="O1827" s="50">
        <v>0.0</v>
      </c>
      <c r="P1827" s="50">
        <v>0.0</v>
      </c>
      <c r="Q1827" s="50">
        <v>0.0</v>
      </c>
      <c r="R1827" s="50">
        <v>9.9</v>
      </c>
      <c r="S1827" s="50">
        <v>0.0</v>
      </c>
      <c r="T1827" s="50">
        <v>2.8125</v>
      </c>
      <c r="U1827" s="50">
        <v>0.0</v>
      </c>
      <c r="V1827" s="50">
        <v>5.625</v>
      </c>
      <c r="W1827" s="50">
        <v>4.95</v>
      </c>
      <c r="X1827" s="50">
        <v>2.8125</v>
      </c>
      <c r="Y1827" s="50">
        <v>26.099999999999998</v>
      </c>
    </row>
    <row r="1828">
      <c r="A1828" s="26">
        <v>1822.0</v>
      </c>
      <c r="B1828" s="65">
        <v>-2.532164811244664</v>
      </c>
      <c r="C1828" s="65">
        <v>0.21669321979549677</v>
      </c>
      <c r="D1828" s="65">
        <v>0.1519155079538816</v>
      </c>
      <c r="E1828" s="65">
        <v>2.589700411619955</v>
      </c>
      <c r="F1828" s="65">
        <v>3.775135938326567</v>
      </c>
      <c r="G1828" s="50">
        <v>0.0</v>
      </c>
      <c r="H1828" s="50">
        <v>0.0</v>
      </c>
      <c r="I1828" s="50">
        <v>0.0</v>
      </c>
      <c r="J1828" s="50">
        <v>0.0</v>
      </c>
      <c r="K1828" s="50">
        <v>0.0</v>
      </c>
      <c r="L1828" s="50">
        <v>0.0</v>
      </c>
      <c r="M1828" s="50">
        <v>0.0</v>
      </c>
      <c r="N1828" s="50">
        <v>0.0</v>
      </c>
      <c r="O1828" s="50">
        <v>7.425000000000001</v>
      </c>
      <c r="P1828" s="50">
        <v>0.0</v>
      </c>
      <c r="Q1828" s="50">
        <v>0.0</v>
      </c>
      <c r="R1828" s="50">
        <v>9.9</v>
      </c>
      <c r="S1828" s="50">
        <v>0.0</v>
      </c>
      <c r="T1828" s="50">
        <v>2.8125</v>
      </c>
      <c r="U1828" s="50">
        <v>9.9</v>
      </c>
      <c r="V1828" s="50">
        <v>0.0</v>
      </c>
      <c r="W1828" s="50">
        <v>0.0</v>
      </c>
      <c r="X1828" s="50">
        <v>2.8125</v>
      </c>
      <c r="Y1828" s="50">
        <v>32.85</v>
      </c>
    </row>
    <row r="1829">
      <c r="A1829" s="26">
        <v>1823.0</v>
      </c>
      <c r="B1829" s="65">
        <v>1.4920586478604065</v>
      </c>
      <c r="C1829" s="65">
        <v>0.057672351868632996</v>
      </c>
      <c r="D1829" s="65">
        <v>-1.7247835754628973</v>
      </c>
      <c r="E1829" s="65">
        <v>0.39981428669346003</v>
      </c>
      <c r="F1829" s="65">
        <v>1.8824857492537959</v>
      </c>
      <c r="G1829" s="50">
        <v>0.0</v>
      </c>
      <c r="H1829" s="50">
        <v>0.0</v>
      </c>
      <c r="I1829" s="50">
        <v>0.0</v>
      </c>
      <c r="J1829" s="50">
        <v>0.0</v>
      </c>
      <c r="K1829" s="50">
        <v>0.0</v>
      </c>
      <c r="L1829" s="50">
        <v>0.0</v>
      </c>
      <c r="M1829" s="50">
        <v>0.0</v>
      </c>
      <c r="N1829" s="50">
        <v>0.0</v>
      </c>
      <c r="O1829" s="50">
        <v>0.0</v>
      </c>
      <c r="P1829" s="50">
        <v>0.0</v>
      </c>
      <c r="Q1829" s="50">
        <v>0.0</v>
      </c>
      <c r="R1829" s="50">
        <v>0.0</v>
      </c>
      <c r="S1829" s="50">
        <v>0.0</v>
      </c>
      <c r="T1829" s="50">
        <v>2.8125</v>
      </c>
      <c r="U1829" s="50">
        <v>0.0</v>
      </c>
      <c r="V1829" s="50">
        <v>0.0</v>
      </c>
      <c r="W1829" s="50">
        <v>0.0</v>
      </c>
      <c r="X1829" s="50">
        <v>2.8125</v>
      </c>
      <c r="Y1829" s="50">
        <v>5.625</v>
      </c>
    </row>
    <row r="1830">
      <c r="A1830" s="26">
        <v>1824.0</v>
      </c>
      <c r="B1830" s="65">
        <v>-1.0583462855958523</v>
      </c>
      <c r="C1830" s="65">
        <v>-0.8531356687405998</v>
      </c>
      <c r="D1830" s="65">
        <v>-1.4456247425373867</v>
      </c>
      <c r="E1830" s="65">
        <v>-1.2874813830317287</v>
      </c>
      <c r="F1830" s="65">
        <v>0.7146238035406586</v>
      </c>
      <c r="G1830" s="50">
        <v>0.0</v>
      </c>
      <c r="H1830" s="50">
        <v>11.25</v>
      </c>
      <c r="I1830" s="50">
        <v>13.5</v>
      </c>
      <c r="J1830" s="50">
        <v>0.0</v>
      </c>
      <c r="K1830" s="50">
        <v>0.0</v>
      </c>
      <c r="L1830" s="50">
        <v>0.0</v>
      </c>
      <c r="M1830" s="50">
        <v>0.0</v>
      </c>
      <c r="N1830" s="50">
        <v>0.0</v>
      </c>
      <c r="O1830" s="50">
        <v>7.425000000000001</v>
      </c>
      <c r="P1830" s="50">
        <v>2.475</v>
      </c>
      <c r="Q1830" s="50">
        <v>0.0</v>
      </c>
      <c r="R1830" s="50">
        <v>9.9</v>
      </c>
      <c r="S1830" s="50">
        <v>0.0</v>
      </c>
      <c r="T1830" s="50">
        <v>2.8125</v>
      </c>
      <c r="U1830" s="50">
        <v>9.9</v>
      </c>
      <c r="V1830" s="50">
        <v>5.625</v>
      </c>
      <c r="W1830" s="50">
        <v>4.95</v>
      </c>
      <c r="X1830" s="50">
        <v>2.8125</v>
      </c>
      <c r="Y1830" s="50">
        <v>70.64999999999999</v>
      </c>
    </row>
    <row r="1831">
      <c r="A1831" s="26">
        <v>1825.0</v>
      </c>
      <c r="B1831" s="65">
        <v>1.574819783543006</v>
      </c>
      <c r="C1831" s="65">
        <v>0.12252204251247653</v>
      </c>
      <c r="D1831" s="65">
        <v>-1.1103874707587553</v>
      </c>
      <c r="E1831" s="65">
        <v>-0.09836803001188343</v>
      </c>
      <c r="F1831" s="65">
        <v>5.524535484722414</v>
      </c>
      <c r="G1831" s="50">
        <v>0.0</v>
      </c>
      <c r="H1831" s="50">
        <v>0.0</v>
      </c>
      <c r="I1831" s="50">
        <v>0.0</v>
      </c>
      <c r="J1831" s="50">
        <v>0.0</v>
      </c>
      <c r="K1831" s="50">
        <v>0.0</v>
      </c>
      <c r="L1831" s="50">
        <v>0.0</v>
      </c>
      <c r="M1831" s="50">
        <v>0.0</v>
      </c>
      <c r="N1831" s="50">
        <v>0.0</v>
      </c>
      <c r="O1831" s="50">
        <v>0.0</v>
      </c>
      <c r="P1831" s="50">
        <v>0.0</v>
      </c>
      <c r="Q1831" s="50">
        <v>0.0</v>
      </c>
      <c r="R1831" s="50">
        <v>0.0</v>
      </c>
      <c r="S1831" s="50">
        <v>0.0</v>
      </c>
      <c r="T1831" s="50">
        <v>2.8125</v>
      </c>
      <c r="U1831" s="50">
        <v>0.0</v>
      </c>
      <c r="V1831" s="50">
        <v>0.0</v>
      </c>
      <c r="W1831" s="50">
        <v>0.0</v>
      </c>
      <c r="X1831" s="50">
        <v>2.8125</v>
      </c>
      <c r="Y1831" s="50">
        <v>5.625</v>
      </c>
    </row>
    <row r="1832">
      <c r="A1832" s="26">
        <v>1826.0</v>
      </c>
      <c r="B1832" s="65">
        <v>-0.609610878792015</v>
      </c>
      <c r="C1832" s="65">
        <v>-2.130442681910572</v>
      </c>
      <c r="D1832" s="65">
        <v>-1.1795802256228827</v>
      </c>
      <c r="E1832" s="65">
        <v>0.9974987651138791</v>
      </c>
      <c r="F1832" s="65">
        <v>4.624962564943111</v>
      </c>
      <c r="G1832" s="50">
        <v>0.0</v>
      </c>
      <c r="H1832" s="50">
        <v>0.0</v>
      </c>
      <c r="I1832" s="50">
        <v>0.0</v>
      </c>
      <c r="J1832" s="50">
        <v>0.0</v>
      </c>
      <c r="K1832" s="50">
        <v>0.0</v>
      </c>
      <c r="L1832" s="50">
        <v>0.0</v>
      </c>
      <c r="M1832" s="50">
        <v>0.0</v>
      </c>
      <c r="N1832" s="50">
        <v>0.0</v>
      </c>
      <c r="O1832" s="50">
        <v>0.0</v>
      </c>
      <c r="P1832" s="50">
        <v>0.0</v>
      </c>
      <c r="Q1832" s="50">
        <v>0.0</v>
      </c>
      <c r="R1832" s="50">
        <v>0.0</v>
      </c>
      <c r="S1832" s="50">
        <v>0.0</v>
      </c>
      <c r="T1832" s="50">
        <v>2.8125</v>
      </c>
      <c r="U1832" s="50">
        <v>0.0</v>
      </c>
      <c r="V1832" s="50">
        <v>5.625</v>
      </c>
      <c r="W1832" s="50">
        <v>0.0</v>
      </c>
      <c r="X1832" s="50">
        <v>2.8125</v>
      </c>
      <c r="Y1832" s="50">
        <v>11.25</v>
      </c>
    </row>
    <row r="1833">
      <c r="A1833" s="26">
        <v>1827.0</v>
      </c>
      <c r="B1833" s="65">
        <v>2.2094007922754613</v>
      </c>
      <c r="C1833" s="65">
        <v>0.857923102170096</v>
      </c>
      <c r="D1833" s="65">
        <v>-0.9637762289663017</v>
      </c>
      <c r="E1833" s="65">
        <v>-3.2949793287177456</v>
      </c>
      <c r="F1833" s="65">
        <v>4.078553018449129</v>
      </c>
      <c r="G1833" s="50">
        <v>0.0</v>
      </c>
      <c r="H1833" s="50">
        <v>0.0</v>
      </c>
      <c r="I1833" s="50">
        <v>0.0</v>
      </c>
      <c r="J1833" s="50">
        <v>0.0</v>
      </c>
      <c r="K1833" s="50">
        <v>0.0</v>
      </c>
      <c r="L1833" s="50">
        <v>0.0</v>
      </c>
      <c r="M1833" s="50">
        <v>0.0</v>
      </c>
      <c r="N1833" s="50">
        <v>0.0</v>
      </c>
      <c r="O1833" s="50">
        <v>0.0</v>
      </c>
      <c r="P1833" s="50">
        <v>0.0</v>
      </c>
      <c r="Q1833" s="50">
        <v>0.0</v>
      </c>
      <c r="R1833" s="50">
        <v>0.0</v>
      </c>
      <c r="S1833" s="50">
        <v>0.0</v>
      </c>
      <c r="T1833" s="50">
        <v>2.8125</v>
      </c>
      <c r="U1833" s="50">
        <v>0.0</v>
      </c>
      <c r="V1833" s="50">
        <v>5.625</v>
      </c>
      <c r="W1833" s="50">
        <v>0.0</v>
      </c>
      <c r="X1833" s="50">
        <v>2.8125</v>
      </c>
      <c r="Y1833" s="50">
        <v>11.25</v>
      </c>
    </row>
    <row r="1834">
      <c r="A1834" s="26">
        <v>1828.0</v>
      </c>
      <c r="B1834" s="65">
        <v>-1.187986468137781</v>
      </c>
      <c r="C1834" s="65">
        <v>1.4377614526407916</v>
      </c>
      <c r="D1834" s="65">
        <v>-0.8044544422764413</v>
      </c>
      <c r="E1834" s="65">
        <v>-0.826328860959045</v>
      </c>
      <c r="F1834" s="65">
        <v>11.257676044771271</v>
      </c>
      <c r="G1834" s="50">
        <v>0.0</v>
      </c>
      <c r="H1834" s="50">
        <v>0.0</v>
      </c>
      <c r="I1834" s="50">
        <v>0.0</v>
      </c>
      <c r="J1834" s="50">
        <v>0.0</v>
      </c>
      <c r="K1834" s="50">
        <v>0.0</v>
      </c>
      <c r="L1834" s="50">
        <v>0.0</v>
      </c>
      <c r="M1834" s="50">
        <v>0.0</v>
      </c>
      <c r="N1834" s="50">
        <v>0.0</v>
      </c>
      <c r="O1834" s="50">
        <v>7.425000000000001</v>
      </c>
      <c r="P1834" s="50">
        <v>0.0</v>
      </c>
      <c r="Q1834" s="50">
        <v>0.0</v>
      </c>
      <c r="R1834" s="50">
        <v>9.9</v>
      </c>
      <c r="S1834" s="50">
        <v>0.0</v>
      </c>
      <c r="T1834" s="50">
        <v>2.8125</v>
      </c>
      <c r="U1834" s="50">
        <v>0.0</v>
      </c>
      <c r="V1834" s="50">
        <v>5.625</v>
      </c>
      <c r="W1834" s="50">
        <v>0.0</v>
      </c>
      <c r="X1834" s="50">
        <v>2.8125</v>
      </c>
      <c r="Y1834" s="50">
        <v>28.575000000000003</v>
      </c>
    </row>
    <row r="1835">
      <c r="A1835" s="26">
        <v>1829.0</v>
      </c>
      <c r="B1835" s="65">
        <v>-1.0057433427238027</v>
      </c>
      <c r="C1835" s="65">
        <v>-0.1746589073376843</v>
      </c>
      <c r="D1835" s="65">
        <v>1.4759978994655176</v>
      </c>
      <c r="E1835" s="65">
        <v>-1.6659194636254908</v>
      </c>
      <c r="F1835" s="65">
        <v>6.981871368352644</v>
      </c>
      <c r="G1835" s="50">
        <v>0.0</v>
      </c>
      <c r="H1835" s="50">
        <v>0.0</v>
      </c>
      <c r="I1835" s="50">
        <v>0.0</v>
      </c>
      <c r="J1835" s="50">
        <v>0.0</v>
      </c>
      <c r="K1835" s="50">
        <v>0.0</v>
      </c>
      <c r="L1835" s="50">
        <v>0.0</v>
      </c>
      <c r="M1835" s="50">
        <v>0.0</v>
      </c>
      <c r="N1835" s="50">
        <v>0.0</v>
      </c>
      <c r="O1835" s="50">
        <v>0.0</v>
      </c>
      <c r="P1835" s="50">
        <v>0.0</v>
      </c>
      <c r="Q1835" s="50">
        <v>0.0</v>
      </c>
      <c r="R1835" s="50">
        <v>0.0</v>
      </c>
      <c r="S1835" s="50">
        <v>0.0</v>
      </c>
      <c r="T1835" s="50">
        <v>2.8125</v>
      </c>
      <c r="U1835" s="50">
        <v>0.0</v>
      </c>
      <c r="V1835" s="50">
        <v>5.625</v>
      </c>
      <c r="W1835" s="50">
        <v>4.95</v>
      </c>
      <c r="X1835" s="50">
        <v>2.8125</v>
      </c>
      <c r="Y1835" s="50">
        <v>16.2</v>
      </c>
    </row>
    <row r="1836">
      <c r="A1836" s="26">
        <v>1830.0</v>
      </c>
      <c r="B1836" s="65">
        <v>0.9665253114326405</v>
      </c>
      <c r="C1836" s="65">
        <v>0.23997706206065378</v>
      </c>
      <c r="D1836" s="65">
        <v>1.5352874841077313</v>
      </c>
      <c r="E1836" s="65">
        <v>-0.47009479849057867</v>
      </c>
      <c r="F1836" s="65">
        <v>9.578567883453545</v>
      </c>
      <c r="G1836" s="50">
        <v>0.0</v>
      </c>
      <c r="H1836" s="50">
        <v>0.0</v>
      </c>
      <c r="I1836" s="50">
        <v>0.0</v>
      </c>
      <c r="J1836" s="50">
        <v>0.0</v>
      </c>
      <c r="K1836" s="50">
        <v>0.0</v>
      </c>
      <c r="L1836" s="50">
        <v>0.0</v>
      </c>
      <c r="M1836" s="50">
        <v>0.0</v>
      </c>
      <c r="N1836" s="50">
        <v>0.0</v>
      </c>
      <c r="O1836" s="50">
        <v>0.0</v>
      </c>
      <c r="P1836" s="50">
        <v>0.0</v>
      </c>
      <c r="Q1836" s="50">
        <v>0.0</v>
      </c>
      <c r="R1836" s="50">
        <v>0.0</v>
      </c>
      <c r="S1836" s="50">
        <v>0.0</v>
      </c>
      <c r="T1836" s="50">
        <v>2.8125</v>
      </c>
      <c r="U1836" s="50">
        <v>0.0</v>
      </c>
      <c r="V1836" s="50">
        <v>0.0</v>
      </c>
      <c r="W1836" s="50">
        <v>0.0</v>
      </c>
      <c r="X1836" s="50">
        <v>2.8125</v>
      </c>
      <c r="Y1836" s="50">
        <v>5.625</v>
      </c>
    </row>
    <row r="1837">
      <c r="A1837" s="26">
        <v>1831.0</v>
      </c>
      <c r="B1837" s="65">
        <v>0.24163584161117738</v>
      </c>
      <c r="C1837" s="65">
        <v>-1.2032733956824635</v>
      </c>
      <c r="D1837" s="65">
        <v>-1.3103174657230425</v>
      </c>
      <c r="E1837" s="65">
        <v>1.3572783471244196</v>
      </c>
      <c r="F1837" s="65">
        <v>2.928508345397536</v>
      </c>
      <c r="G1837" s="50">
        <v>0.0</v>
      </c>
      <c r="H1837" s="50">
        <v>0.0</v>
      </c>
      <c r="I1837" s="50">
        <v>0.0</v>
      </c>
      <c r="J1837" s="50">
        <v>0.0</v>
      </c>
      <c r="K1837" s="50">
        <v>0.0</v>
      </c>
      <c r="L1837" s="50">
        <v>0.0</v>
      </c>
      <c r="M1837" s="50">
        <v>0.0</v>
      </c>
      <c r="N1837" s="50">
        <v>0.0</v>
      </c>
      <c r="O1837" s="50">
        <v>0.0</v>
      </c>
      <c r="P1837" s="50">
        <v>0.0</v>
      </c>
      <c r="Q1837" s="50">
        <v>0.0</v>
      </c>
      <c r="R1837" s="50">
        <v>0.0</v>
      </c>
      <c r="S1837" s="50">
        <v>0.0</v>
      </c>
      <c r="T1837" s="50">
        <v>2.8125</v>
      </c>
      <c r="U1837" s="50">
        <v>0.0</v>
      </c>
      <c r="V1837" s="50">
        <v>0.0</v>
      </c>
      <c r="W1837" s="50">
        <v>0.0</v>
      </c>
      <c r="X1837" s="50">
        <v>2.8125</v>
      </c>
      <c r="Y1837" s="50">
        <v>5.625</v>
      </c>
    </row>
    <row r="1838">
      <c r="A1838" s="26">
        <v>1832.0</v>
      </c>
      <c r="B1838" s="65">
        <v>0.27290432138884824</v>
      </c>
      <c r="C1838" s="65">
        <v>1.9486939693803447</v>
      </c>
      <c r="D1838" s="65">
        <v>-0.6300771181352943</v>
      </c>
      <c r="E1838" s="65">
        <v>0.586339447749105</v>
      </c>
      <c r="F1838" s="65">
        <v>2.498113359302881</v>
      </c>
      <c r="G1838" s="50">
        <v>0.0</v>
      </c>
      <c r="H1838" s="50">
        <v>0.0</v>
      </c>
      <c r="I1838" s="50">
        <v>0.0</v>
      </c>
      <c r="J1838" s="50">
        <v>0.0</v>
      </c>
      <c r="K1838" s="50">
        <v>0.0</v>
      </c>
      <c r="L1838" s="50">
        <v>0.0</v>
      </c>
      <c r="M1838" s="50">
        <v>0.0</v>
      </c>
      <c r="N1838" s="50">
        <v>0.0</v>
      </c>
      <c r="O1838" s="50">
        <v>0.0</v>
      </c>
      <c r="P1838" s="50">
        <v>0.0</v>
      </c>
      <c r="Q1838" s="50">
        <v>0.0</v>
      </c>
      <c r="R1838" s="50">
        <v>0.0</v>
      </c>
      <c r="S1838" s="50">
        <v>0.0</v>
      </c>
      <c r="T1838" s="50">
        <v>2.8125</v>
      </c>
      <c r="U1838" s="50">
        <v>0.0</v>
      </c>
      <c r="V1838" s="50">
        <v>5.625</v>
      </c>
      <c r="W1838" s="50">
        <v>4.95</v>
      </c>
      <c r="X1838" s="50">
        <v>2.8125</v>
      </c>
      <c r="Y1838" s="50">
        <v>16.2</v>
      </c>
    </row>
    <row r="1839">
      <c r="A1839" s="26">
        <v>1833.0</v>
      </c>
      <c r="B1839" s="65">
        <v>0.32098740700337725</v>
      </c>
      <c r="C1839" s="65">
        <v>-0.5252869263589048</v>
      </c>
      <c r="D1839" s="65">
        <v>0.1266912662873339</v>
      </c>
      <c r="E1839" s="65">
        <v>-0.18818430101915198</v>
      </c>
      <c r="F1839" s="65">
        <v>7.049776614734363</v>
      </c>
      <c r="G1839" s="50">
        <v>0.0</v>
      </c>
      <c r="H1839" s="50">
        <v>0.0</v>
      </c>
      <c r="I1839" s="50">
        <v>0.0</v>
      </c>
      <c r="J1839" s="50">
        <v>0.0</v>
      </c>
      <c r="K1839" s="50">
        <v>0.0</v>
      </c>
      <c r="L1839" s="50">
        <v>0.0</v>
      </c>
      <c r="M1839" s="50">
        <v>0.0</v>
      </c>
      <c r="N1839" s="50">
        <v>0.0</v>
      </c>
      <c r="O1839" s="50">
        <v>0.0</v>
      </c>
      <c r="P1839" s="50">
        <v>0.0</v>
      </c>
      <c r="Q1839" s="50">
        <v>0.0</v>
      </c>
      <c r="R1839" s="50">
        <v>9.9</v>
      </c>
      <c r="S1839" s="50">
        <v>0.0</v>
      </c>
      <c r="T1839" s="50">
        <v>2.8125</v>
      </c>
      <c r="U1839" s="50">
        <v>0.0</v>
      </c>
      <c r="V1839" s="50">
        <v>0.0</v>
      </c>
      <c r="W1839" s="50">
        <v>0.0</v>
      </c>
      <c r="X1839" s="50">
        <v>2.8125</v>
      </c>
      <c r="Y1839" s="50">
        <v>15.525</v>
      </c>
    </row>
    <row r="1840">
      <c r="A1840" s="26">
        <v>1834.0</v>
      </c>
      <c r="B1840" s="65">
        <v>-0.29617879214358966</v>
      </c>
      <c r="C1840" s="65">
        <v>-1.4974035268006824</v>
      </c>
      <c r="D1840" s="65">
        <v>-0.25115883310072273</v>
      </c>
      <c r="E1840" s="65">
        <v>-0.23708668799777277</v>
      </c>
      <c r="F1840" s="65">
        <v>4.625791063246458</v>
      </c>
      <c r="G1840" s="50">
        <v>0.0</v>
      </c>
      <c r="H1840" s="50">
        <v>0.0</v>
      </c>
      <c r="I1840" s="50">
        <v>0.0</v>
      </c>
      <c r="J1840" s="50">
        <v>0.0</v>
      </c>
      <c r="K1840" s="50">
        <v>0.0</v>
      </c>
      <c r="L1840" s="50">
        <v>0.0</v>
      </c>
      <c r="M1840" s="50">
        <v>0.0</v>
      </c>
      <c r="N1840" s="50">
        <v>0.0</v>
      </c>
      <c r="O1840" s="50">
        <v>7.425000000000001</v>
      </c>
      <c r="P1840" s="50">
        <v>0.0</v>
      </c>
      <c r="Q1840" s="50">
        <v>0.0</v>
      </c>
      <c r="R1840" s="50">
        <v>0.0</v>
      </c>
      <c r="S1840" s="50">
        <v>0.0</v>
      </c>
      <c r="T1840" s="50">
        <v>2.8125</v>
      </c>
      <c r="U1840" s="50">
        <v>0.0</v>
      </c>
      <c r="V1840" s="50">
        <v>0.0</v>
      </c>
      <c r="W1840" s="50">
        <v>0.0</v>
      </c>
      <c r="X1840" s="50">
        <v>2.8125</v>
      </c>
      <c r="Y1840" s="50">
        <v>13.05</v>
      </c>
    </row>
    <row r="1841">
      <c r="A1841" s="26">
        <v>1835.0</v>
      </c>
      <c r="B1841" s="65">
        <v>-0.09551130146109037</v>
      </c>
      <c r="C1841" s="65">
        <v>1.4010282481286176</v>
      </c>
      <c r="D1841" s="65">
        <v>1.024739482175876</v>
      </c>
      <c r="E1841" s="65">
        <v>0.47502145487841535</v>
      </c>
      <c r="F1841" s="65">
        <v>5.082773508208977</v>
      </c>
      <c r="G1841" s="50">
        <v>0.0</v>
      </c>
      <c r="H1841" s="50">
        <v>0.0</v>
      </c>
      <c r="I1841" s="50">
        <v>0.0</v>
      </c>
      <c r="J1841" s="50">
        <v>0.0</v>
      </c>
      <c r="K1841" s="50">
        <v>0.0</v>
      </c>
      <c r="L1841" s="50">
        <v>0.0</v>
      </c>
      <c r="M1841" s="50">
        <v>0.0</v>
      </c>
      <c r="N1841" s="50">
        <v>0.0</v>
      </c>
      <c r="O1841" s="50">
        <v>0.0</v>
      </c>
      <c r="P1841" s="50">
        <v>0.0</v>
      </c>
      <c r="Q1841" s="50">
        <v>0.0</v>
      </c>
      <c r="R1841" s="50">
        <v>0.0</v>
      </c>
      <c r="S1841" s="50">
        <v>0.0</v>
      </c>
      <c r="T1841" s="50">
        <v>2.8125</v>
      </c>
      <c r="U1841" s="50">
        <v>0.0</v>
      </c>
      <c r="V1841" s="50">
        <v>0.0</v>
      </c>
      <c r="W1841" s="50">
        <v>0.0</v>
      </c>
      <c r="X1841" s="50">
        <v>2.8125</v>
      </c>
      <c r="Y1841" s="50">
        <v>5.625</v>
      </c>
    </row>
    <row r="1842">
      <c r="A1842" s="26">
        <v>1836.0</v>
      </c>
      <c r="B1842" s="65">
        <v>0.6986641085349764</v>
      </c>
      <c r="C1842" s="65">
        <v>-0.6048105141341334</v>
      </c>
      <c r="D1842" s="65">
        <v>0.593509117348297</v>
      </c>
      <c r="E1842" s="65">
        <v>-0.5675823707170833</v>
      </c>
      <c r="F1842" s="65">
        <v>5.586323479404575</v>
      </c>
      <c r="G1842" s="50">
        <v>0.0</v>
      </c>
      <c r="H1842" s="50">
        <v>0.0</v>
      </c>
      <c r="I1842" s="50">
        <v>0.0</v>
      </c>
      <c r="J1842" s="50">
        <v>0.0</v>
      </c>
      <c r="K1842" s="50">
        <v>0.0</v>
      </c>
      <c r="L1842" s="50">
        <v>0.0</v>
      </c>
      <c r="M1842" s="50">
        <v>0.0</v>
      </c>
      <c r="N1842" s="50">
        <v>0.0</v>
      </c>
      <c r="O1842" s="50">
        <v>0.0</v>
      </c>
      <c r="P1842" s="50">
        <v>0.0</v>
      </c>
      <c r="Q1842" s="50">
        <v>0.0</v>
      </c>
      <c r="R1842" s="50">
        <v>0.0</v>
      </c>
      <c r="S1842" s="50">
        <v>0.0</v>
      </c>
      <c r="T1842" s="50">
        <v>2.8125</v>
      </c>
      <c r="U1842" s="50">
        <v>0.0</v>
      </c>
      <c r="V1842" s="50">
        <v>0.0</v>
      </c>
      <c r="W1842" s="50">
        <v>0.0</v>
      </c>
      <c r="X1842" s="50">
        <v>2.8125</v>
      </c>
      <c r="Y1842" s="50">
        <v>5.625</v>
      </c>
    </row>
    <row r="1843">
      <c r="A1843" s="26">
        <v>1837.0</v>
      </c>
      <c r="B1843" s="65">
        <v>-1.0090322218472867</v>
      </c>
      <c r="C1843" s="65">
        <v>-0.16038252465335273</v>
      </c>
      <c r="D1843" s="65">
        <v>-0.6375846113129355</v>
      </c>
      <c r="E1843" s="65">
        <v>0.5673184534839352</v>
      </c>
      <c r="F1843" s="65">
        <v>0.5615725313190304</v>
      </c>
      <c r="G1843" s="50">
        <v>0.0</v>
      </c>
      <c r="H1843" s="50">
        <v>0.0</v>
      </c>
      <c r="I1843" s="50">
        <v>0.0</v>
      </c>
      <c r="J1843" s="50">
        <v>0.0</v>
      </c>
      <c r="K1843" s="50">
        <v>0.0</v>
      </c>
      <c r="L1843" s="50">
        <v>0.0</v>
      </c>
      <c r="M1843" s="50">
        <v>0.0</v>
      </c>
      <c r="N1843" s="50">
        <v>0.0</v>
      </c>
      <c r="O1843" s="50">
        <v>7.425000000000001</v>
      </c>
      <c r="P1843" s="50">
        <v>0.0</v>
      </c>
      <c r="Q1843" s="50">
        <v>0.0</v>
      </c>
      <c r="R1843" s="50">
        <v>9.9</v>
      </c>
      <c r="S1843" s="50">
        <v>0.0</v>
      </c>
      <c r="T1843" s="50">
        <v>2.8125</v>
      </c>
      <c r="U1843" s="50">
        <v>9.9</v>
      </c>
      <c r="V1843" s="50">
        <v>0.0</v>
      </c>
      <c r="W1843" s="50">
        <v>4.95</v>
      </c>
      <c r="X1843" s="50">
        <v>2.8125</v>
      </c>
      <c r="Y1843" s="50">
        <v>37.800000000000004</v>
      </c>
    </row>
    <row r="1844">
      <c r="A1844" s="26">
        <v>1838.0</v>
      </c>
      <c r="B1844" s="65">
        <v>-0.6252643814852878</v>
      </c>
      <c r="C1844" s="65">
        <v>-0.06813314339637563</v>
      </c>
      <c r="D1844" s="65">
        <v>-0.8591336043839912</v>
      </c>
      <c r="E1844" s="65">
        <v>1.32657948266849</v>
      </c>
      <c r="F1844" s="65">
        <v>1.2853401632409887</v>
      </c>
      <c r="G1844" s="50">
        <v>0.0</v>
      </c>
      <c r="H1844" s="50">
        <v>0.0</v>
      </c>
      <c r="I1844" s="50">
        <v>0.0</v>
      </c>
      <c r="J1844" s="50">
        <v>0.0</v>
      </c>
      <c r="K1844" s="50">
        <v>0.0</v>
      </c>
      <c r="L1844" s="50">
        <v>0.0</v>
      </c>
      <c r="M1844" s="50">
        <v>0.0</v>
      </c>
      <c r="N1844" s="50">
        <v>0.0</v>
      </c>
      <c r="O1844" s="50">
        <v>0.0</v>
      </c>
      <c r="P1844" s="50">
        <v>2.475</v>
      </c>
      <c r="Q1844" s="50">
        <v>0.0</v>
      </c>
      <c r="R1844" s="50">
        <v>0.0</v>
      </c>
      <c r="S1844" s="50">
        <v>0.0</v>
      </c>
      <c r="T1844" s="50">
        <v>2.8125</v>
      </c>
      <c r="U1844" s="50">
        <v>0.0</v>
      </c>
      <c r="V1844" s="50">
        <v>0.0</v>
      </c>
      <c r="W1844" s="50">
        <v>4.95</v>
      </c>
      <c r="X1844" s="50">
        <v>2.8125</v>
      </c>
      <c r="Y1844" s="50">
        <v>13.05</v>
      </c>
    </row>
    <row r="1845">
      <c r="A1845" s="26">
        <v>1839.0</v>
      </c>
      <c r="B1845" s="65">
        <v>0.718270859240777</v>
      </c>
      <c r="C1845" s="65">
        <v>-0.4037671819646077</v>
      </c>
      <c r="D1845" s="65">
        <v>-0.7679564712765596</v>
      </c>
      <c r="E1845" s="65">
        <v>0.9753366652144658</v>
      </c>
      <c r="F1845" s="65">
        <v>10.949180958129524</v>
      </c>
      <c r="G1845" s="50">
        <v>0.0</v>
      </c>
      <c r="H1845" s="50">
        <v>0.0</v>
      </c>
      <c r="I1845" s="50">
        <v>0.0</v>
      </c>
      <c r="J1845" s="50">
        <v>0.0</v>
      </c>
      <c r="K1845" s="50">
        <v>0.0</v>
      </c>
      <c r="L1845" s="50">
        <v>0.0</v>
      </c>
      <c r="M1845" s="50">
        <v>0.0</v>
      </c>
      <c r="N1845" s="50">
        <v>0.0</v>
      </c>
      <c r="O1845" s="50">
        <v>0.0</v>
      </c>
      <c r="P1845" s="50">
        <v>0.0</v>
      </c>
      <c r="Q1845" s="50">
        <v>0.0</v>
      </c>
      <c r="R1845" s="50">
        <v>0.0</v>
      </c>
      <c r="S1845" s="50">
        <v>0.0</v>
      </c>
      <c r="T1845" s="50">
        <v>2.8125</v>
      </c>
      <c r="U1845" s="50">
        <v>0.0</v>
      </c>
      <c r="V1845" s="50">
        <v>0.0</v>
      </c>
      <c r="W1845" s="50">
        <v>0.0</v>
      </c>
      <c r="X1845" s="50">
        <v>2.8125</v>
      </c>
      <c r="Y1845" s="50">
        <v>5.625</v>
      </c>
    </row>
    <row r="1846">
      <c r="A1846" s="26">
        <v>1840.0</v>
      </c>
      <c r="B1846" s="65">
        <v>-1.7730415290642623</v>
      </c>
      <c r="C1846" s="65">
        <v>1.3065610366641636</v>
      </c>
      <c r="D1846" s="65">
        <v>-0.4508371352127411</v>
      </c>
      <c r="E1846" s="65">
        <v>-0.5955919614923764</v>
      </c>
      <c r="F1846" s="65">
        <v>3.673451981612693</v>
      </c>
      <c r="G1846" s="50">
        <v>0.0</v>
      </c>
      <c r="H1846" s="50">
        <v>0.0</v>
      </c>
      <c r="I1846" s="50">
        <v>0.0</v>
      </c>
      <c r="J1846" s="50">
        <v>0.0</v>
      </c>
      <c r="K1846" s="50">
        <v>0.0</v>
      </c>
      <c r="L1846" s="50">
        <v>0.0</v>
      </c>
      <c r="M1846" s="50">
        <v>0.0</v>
      </c>
      <c r="N1846" s="50">
        <v>0.0</v>
      </c>
      <c r="O1846" s="50">
        <v>0.0</v>
      </c>
      <c r="P1846" s="50">
        <v>0.0</v>
      </c>
      <c r="Q1846" s="50">
        <v>0.0</v>
      </c>
      <c r="R1846" s="50">
        <v>9.9</v>
      </c>
      <c r="S1846" s="50">
        <v>0.0</v>
      </c>
      <c r="T1846" s="50">
        <v>2.8125</v>
      </c>
      <c r="U1846" s="50">
        <v>0.0</v>
      </c>
      <c r="V1846" s="50">
        <v>0.0</v>
      </c>
      <c r="W1846" s="50">
        <v>0.0</v>
      </c>
      <c r="X1846" s="50">
        <v>2.8125</v>
      </c>
      <c r="Y1846" s="50">
        <v>15.525</v>
      </c>
    </row>
    <row r="1847">
      <c r="A1847" s="26">
        <v>1841.0</v>
      </c>
      <c r="B1847" s="65">
        <v>-0.8493498532741384</v>
      </c>
      <c r="C1847" s="65">
        <v>-1.6404373473354303</v>
      </c>
      <c r="D1847" s="65">
        <v>-0.06140021897532562</v>
      </c>
      <c r="E1847" s="65">
        <v>-2.246039683308197</v>
      </c>
      <c r="F1847" s="65">
        <v>7.49797994523834</v>
      </c>
      <c r="G1847" s="50">
        <v>0.0</v>
      </c>
      <c r="H1847" s="50">
        <v>0.0</v>
      </c>
      <c r="I1847" s="50">
        <v>0.0</v>
      </c>
      <c r="J1847" s="50">
        <v>0.0</v>
      </c>
      <c r="K1847" s="50">
        <v>0.0</v>
      </c>
      <c r="L1847" s="50">
        <v>0.0</v>
      </c>
      <c r="M1847" s="50">
        <v>0.0</v>
      </c>
      <c r="N1847" s="50">
        <v>0.0</v>
      </c>
      <c r="O1847" s="50">
        <v>0.0</v>
      </c>
      <c r="P1847" s="50">
        <v>0.0</v>
      </c>
      <c r="Q1847" s="50">
        <v>0.0</v>
      </c>
      <c r="R1847" s="50">
        <v>9.9</v>
      </c>
      <c r="S1847" s="50">
        <v>0.0</v>
      </c>
      <c r="T1847" s="50">
        <v>2.8125</v>
      </c>
      <c r="U1847" s="50">
        <v>0.0</v>
      </c>
      <c r="V1847" s="50">
        <v>5.625</v>
      </c>
      <c r="W1847" s="50">
        <v>0.0</v>
      </c>
      <c r="X1847" s="50">
        <v>2.8125</v>
      </c>
      <c r="Y1847" s="50">
        <v>21.15</v>
      </c>
    </row>
    <row r="1848">
      <c r="A1848" s="26">
        <v>1842.0</v>
      </c>
      <c r="B1848" s="65">
        <v>0.16325310651252903</v>
      </c>
      <c r="C1848" s="65">
        <v>1.116384914699646</v>
      </c>
      <c r="D1848" s="65">
        <v>0.3086863559241741</v>
      </c>
      <c r="E1848" s="65">
        <v>-1.1855518712918056</v>
      </c>
      <c r="F1848" s="65">
        <v>2.820731550892279</v>
      </c>
      <c r="G1848" s="50">
        <v>0.0</v>
      </c>
      <c r="H1848" s="50">
        <v>0.0</v>
      </c>
      <c r="I1848" s="50">
        <v>0.0</v>
      </c>
      <c r="J1848" s="50">
        <v>0.0</v>
      </c>
      <c r="K1848" s="50">
        <v>0.0</v>
      </c>
      <c r="L1848" s="50">
        <v>0.0</v>
      </c>
      <c r="M1848" s="50">
        <v>0.0</v>
      </c>
      <c r="N1848" s="50">
        <v>0.0</v>
      </c>
      <c r="O1848" s="50">
        <v>0.0</v>
      </c>
      <c r="P1848" s="50">
        <v>0.0</v>
      </c>
      <c r="Q1848" s="50">
        <v>0.0</v>
      </c>
      <c r="R1848" s="50">
        <v>9.9</v>
      </c>
      <c r="S1848" s="50">
        <v>0.0</v>
      </c>
      <c r="T1848" s="50">
        <v>2.8125</v>
      </c>
      <c r="U1848" s="50">
        <v>9.9</v>
      </c>
      <c r="V1848" s="50">
        <v>0.0</v>
      </c>
      <c r="W1848" s="50">
        <v>4.95</v>
      </c>
      <c r="X1848" s="50">
        <v>2.8125</v>
      </c>
      <c r="Y1848" s="50">
        <v>30.375</v>
      </c>
    </row>
    <row r="1849">
      <c r="A1849" s="26">
        <v>1843.0</v>
      </c>
      <c r="B1849" s="65">
        <v>-0.5665367292114903</v>
      </c>
      <c r="C1849" s="65">
        <v>0.5953699388869756</v>
      </c>
      <c r="D1849" s="65">
        <v>0.2762632182111599</v>
      </c>
      <c r="E1849" s="65">
        <v>-1.5710429754725146</v>
      </c>
      <c r="F1849" s="65">
        <v>8.915278794294533</v>
      </c>
      <c r="G1849" s="50">
        <v>0.0</v>
      </c>
      <c r="H1849" s="50">
        <v>0.0</v>
      </c>
      <c r="I1849" s="50">
        <v>0.0</v>
      </c>
      <c r="J1849" s="50">
        <v>0.0</v>
      </c>
      <c r="K1849" s="50">
        <v>0.0</v>
      </c>
      <c r="L1849" s="50">
        <v>0.0</v>
      </c>
      <c r="M1849" s="50">
        <v>0.0</v>
      </c>
      <c r="N1849" s="50">
        <v>0.0</v>
      </c>
      <c r="O1849" s="50">
        <v>0.0</v>
      </c>
      <c r="P1849" s="50">
        <v>0.0</v>
      </c>
      <c r="Q1849" s="50">
        <v>0.0</v>
      </c>
      <c r="R1849" s="50">
        <v>0.0</v>
      </c>
      <c r="S1849" s="50">
        <v>0.0</v>
      </c>
      <c r="T1849" s="50">
        <v>2.8125</v>
      </c>
      <c r="U1849" s="50">
        <v>0.0</v>
      </c>
      <c r="V1849" s="50">
        <v>5.625</v>
      </c>
      <c r="W1849" s="50">
        <v>4.95</v>
      </c>
      <c r="X1849" s="50">
        <v>2.8125</v>
      </c>
      <c r="Y1849" s="50">
        <v>16.2</v>
      </c>
    </row>
    <row r="1850">
      <c r="A1850" s="26">
        <v>1844.0</v>
      </c>
      <c r="B1850" s="65">
        <v>0.3650175790695705</v>
      </c>
      <c r="C1850" s="65">
        <v>1.9369310956206776</v>
      </c>
      <c r="D1850" s="65">
        <v>-0.28420017614704124</v>
      </c>
      <c r="E1850" s="65">
        <v>1.0935630325403245</v>
      </c>
      <c r="F1850" s="65">
        <v>1.749738491373997</v>
      </c>
      <c r="G1850" s="50">
        <v>0.0</v>
      </c>
      <c r="H1850" s="50">
        <v>0.0</v>
      </c>
      <c r="I1850" s="50">
        <v>0.0</v>
      </c>
      <c r="J1850" s="50">
        <v>0.0</v>
      </c>
      <c r="K1850" s="50">
        <v>0.0</v>
      </c>
      <c r="L1850" s="50">
        <v>0.0</v>
      </c>
      <c r="M1850" s="50">
        <v>0.0</v>
      </c>
      <c r="N1850" s="50">
        <v>0.0</v>
      </c>
      <c r="O1850" s="50">
        <v>0.0</v>
      </c>
      <c r="P1850" s="50">
        <v>0.0</v>
      </c>
      <c r="Q1850" s="50">
        <v>0.0</v>
      </c>
      <c r="R1850" s="50">
        <v>0.0</v>
      </c>
      <c r="S1850" s="50">
        <v>0.0</v>
      </c>
      <c r="T1850" s="50">
        <v>2.8125</v>
      </c>
      <c r="U1850" s="50">
        <v>0.0</v>
      </c>
      <c r="V1850" s="50">
        <v>0.0</v>
      </c>
      <c r="W1850" s="50">
        <v>0.0</v>
      </c>
      <c r="X1850" s="50">
        <v>2.8125</v>
      </c>
      <c r="Y1850" s="50">
        <v>5.625</v>
      </c>
    </row>
    <row r="1851">
      <c r="A1851" s="26">
        <v>1845.0</v>
      </c>
      <c r="B1851" s="65">
        <v>-0.3619324416899229</v>
      </c>
      <c r="C1851" s="65">
        <v>-0.21778361737237192</v>
      </c>
      <c r="D1851" s="65">
        <v>-0.9609968279874207</v>
      </c>
      <c r="E1851" s="65">
        <v>0.1962882747425277</v>
      </c>
      <c r="F1851" s="65">
        <v>5.06408952039022</v>
      </c>
      <c r="G1851" s="50">
        <v>0.0</v>
      </c>
      <c r="H1851" s="50">
        <v>0.0</v>
      </c>
      <c r="I1851" s="50">
        <v>0.0</v>
      </c>
      <c r="J1851" s="50">
        <v>0.0</v>
      </c>
      <c r="K1851" s="50">
        <v>0.0</v>
      </c>
      <c r="L1851" s="50">
        <v>0.0</v>
      </c>
      <c r="M1851" s="50">
        <v>0.0</v>
      </c>
      <c r="N1851" s="50">
        <v>0.0</v>
      </c>
      <c r="O1851" s="50">
        <v>0.0</v>
      </c>
      <c r="P1851" s="50">
        <v>0.0</v>
      </c>
      <c r="Q1851" s="50">
        <v>0.0</v>
      </c>
      <c r="R1851" s="50">
        <v>0.0</v>
      </c>
      <c r="S1851" s="50">
        <v>0.0</v>
      </c>
      <c r="T1851" s="50">
        <v>2.8125</v>
      </c>
      <c r="U1851" s="50">
        <v>0.0</v>
      </c>
      <c r="V1851" s="50">
        <v>0.0</v>
      </c>
      <c r="W1851" s="50">
        <v>0.0</v>
      </c>
      <c r="X1851" s="50">
        <v>2.8125</v>
      </c>
      <c r="Y1851" s="50">
        <v>5.625</v>
      </c>
    </row>
    <row r="1852">
      <c r="A1852" s="26">
        <v>1846.0</v>
      </c>
      <c r="B1852" s="65">
        <v>-1.0309410461176836</v>
      </c>
      <c r="C1852" s="65">
        <v>0.14686748290881527</v>
      </c>
      <c r="D1852" s="65">
        <v>-1.6300452069730074</v>
      </c>
      <c r="E1852" s="65">
        <v>-1.0591129012653335</v>
      </c>
      <c r="F1852" s="65">
        <v>4.389400160906248</v>
      </c>
      <c r="G1852" s="50">
        <v>0.0</v>
      </c>
      <c r="H1852" s="50">
        <v>0.0</v>
      </c>
      <c r="I1852" s="50">
        <v>0.0</v>
      </c>
      <c r="J1852" s="50">
        <v>0.0</v>
      </c>
      <c r="K1852" s="50">
        <v>0.0</v>
      </c>
      <c r="L1852" s="50">
        <v>0.0</v>
      </c>
      <c r="M1852" s="50">
        <v>0.0</v>
      </c>
      <c r="N1852" s="50">
        <v>0.0</v>
      </c>
      <c r="O1852" s="50">
        <v>0.0</v>
      </c>
      <c r="P1852" s="50">
        <v>0.0</v>
      </c>
      <c r="Q1852" s="50">
        <v>0.0</v>
      </c>
      <c r="R1852" s="50">
        <v>0.0</v>
      </c>
      <c r="S1852" s="50">
        <v>0.0</v>
      </c>
      <c r="T1852" s="50">
        <v>2.8125</v>
      </c>
      <c r="U1852" s="50">
        <v>9.9</v>
      </c>
      <c r="V1852" s="50">
        <v>5.625</v>
      </c>
      <c r="W1852" s="50">
        <v>0.0</v>
      </c>
      <c r="X1852" s="50">
        <v>2.8125</v>
      </c>
      <c r="Y1852" s="50">
        <v>21.15</v>
      </c>
    </row>
    <row r="1853">
      <c r="A1853" s="26">
        <v>1847.0</v>
      </c>
      <c r="B1853" s="65">
        <v>1.7463960660536206</v>
      </c>
      <c r="C1853" s="65">
        <v>0.1737165461697073</v>
      </c>
      <c r="D1853" s="65">
        <v>1.2905002549985765</v>
      </c>
      <c r="E1853" s="65">
        <v>-0.8308092395027287</v>
      </c>
      <c r="F1853" s="65">
        <v>2.7160446124471274</v>
      </c>
      <c r="G1853" s="50">
        <v>0.0</v>
      </c>
      <c r="H1853" s="50">
        <v>0.0</v>
      </c>
      <c r="I1853" s="50">
        <v>0.0</v>
      </c>
      <c r="J1853" s="50">
        <v>0.0</v>
      </c>
      <c r="K1853" s="50">
        <v>0.0</v>
      </c>
      <c r="L1853" s="50">
        <v>0.0</v>
      </c>
      <c r="M1853" s="50">
        <v>0.0</v>
      </c>
      <c r="N1853" s="50">
        <v>0.0</v>
      </c>
      <c r="O1853" s="50">
        <v>0.0</v>
      </c>
      <c r="P1853" s="50">
        <v>0.0</v>
      </c>
      <c r="Q1853" s="50">
        <v>0.0</v>
      </c>
      <c r="R1853" s="50">
        <v>0.0</v>
      </c>
      <c r="S1853" s="50">
        <v>0.0</v>
      </c>
      <c r="T1853" s="50">
        <v>2.8125</v>
      </c>
      <c r="U1853" s="50">
        <v>0.0</v>
      </c>
      <c r="V1853" s="50">
        <v>0.0</v>
      </c>
      <c r="W1853" s="50">
        <v>0.0</v>
      </c>
      <c r="X1853" s="50">
        <v>2.8125</v>
      </c>
      <c r="Y1853" s="50">
        <v>5.625</v>
      </c>
    </row>
    <row r="1854">
      <c r="A1854" s="26">
        <v>1848.0</v>
      </c>
      <c r="B1854" s="65">
        <v>1.2290164864665893</v>
      </c>
      <c r="C1854" s="65">
        <v>-0.6089313985346032</v>
      </c>
      <c r="D1854" s="65">
        <v>-0.37393126090169676</v>
      </c>
      <c r="E1854" s="65">
        <v>-1.5141019166889373</v>
      </c>
      <c r="F1854" s="65">
        <v>1.58135036308031</v>
      </c>
      <c r="G1854" s="50">
        <v>0.0</v>
      </c>
      <c r="H1854" s="50">
        <v>0.0</v>
      </c>
      <c r="I1854" s="50">
        <v>0.0</v>
      </c>
      <c r="J1854" s="50">
        <v>0.0</v>
      </c>
      <c r="K1854" s="50">
        <v>0.0</v>
      </c>
      <c r="L1854" s="50">
        <v>0.0</v>
      </c>
      <c r="M1854" s="50">
        <v>0.0</v>
      </c>
      <c r="N1854" s="50">
        <v>0.0</v>
      </c>
      <c r="O1854" s="50">
        <v>0.0</v>
      </c>
      <c r="P1854" s="50">
        <v>0.0</v>
      </c>
      <c r="Q1854" s="50">
        <v>0.0</v>
      </c>
      <c r="R1854" s="50">
        <v>0.0</v>
      </c>
      <c r="S1854" s="50">
        <v>0.0</v>
      </c>
      <c r="T1854" s="50">
        <v>2.8125</v>
      </c>
      <c r="U1854" s="50">
        <v>0.0</v>
      </c>
      <c r="V1854" s="50">
        <v>5.625</v>
      </c>
      <c r="W1854" s="50">
        <v>0.0</v>
      </c>
      <c r="X1854" s="50">
        <v>2.8125</v>
      </c>
      <c r="Y1854" s="50">
        <v>11.25</v>
      </c>
    </row>
    <row r="1855">
      <c r="A1855" s="26">
        <v>1849.0</v>
      </c>
      <c r="B1855" s="65">
        <v>-1.8278376428516643</v>
      </c>
      <c r="C1855" s="65">
        <v>-1.5479723249178263</v>
      </c>
      <c r="D1855" s="65">
        <v>-0.005515725536857506</v>
      </c>
      <c r="E1855" s="65">
        <v>-0.6035631725202347</v>
      </c>
      <c r="F1855" s="65">
        <v>5.544447501526652</v>
      </c>
      <c r="G1855" s="50">
        <v>0.0</v>
      </c>
      <c r="H1855" s="50">
        <v>0.0</v>
      </c>
      <c r="I1855" s="50">
        <v>0.0</v>
      </c>
      <c r="J1855" s="50">
        <v>0.0</v>
      </c>
      <c r="K1855" s="50">
        <v>0.0</v>
      </c>
      <c r="L1855" s="50">
        <v>0.0</v>
      </c>
      <c r="M1855" s="50">
        <v>0.0</v>
      </c>
      <c r="N1855" s="50">
        <v>0.0</v>
      </c>
      <c r="O1855" s="50">
        <v>0.0</v>
      </c>
      <c r="P1855" s="50">
        <v>0.0</v>
      </c>
      <c r="Q1855" s="50">
        <v>0.0</v>
      </c>
      <c r="R1855" s="50">
        <v>0.0</v>
      </c>
      <c r="S1855" s="50">
        <v>0.0</v>
      </c>
      <c r="T1855" s="50">
        <v>2.8125</v>
      </c>
      <c r="U1855" s="50">
        <v>0.0</v>
      </c>
      <c r="V1855" s="50">
        <v>5.625</v>
      </c>
      <c r="W1855" s="50">
        <v>0.0</v>
      </c>
      <c r="X1855" s="50">
        <v>2.8125</v>
      </c>
      <c r="Y1855" s="50">
        <v>11.25</v>
      </c>
    </row>
    <row r="1856">
      <c r="A1856" s="26">
        <v>1850.0</v>
      </c>
      <c r="B1856" s="65">
        <v>1.9660408988115605</v>
      </c>
      <c r="C1856" s="65">
        <v>-0.8493961616170851</v>
      </c>
      <c r="D1856" s="65">
        <v>1.8254939037291762</v>
      </c>
      <c r="E1856" s="65">
        <v>-0.21180418035970644</v>
      </c>
      <c r="F1856" s="65">
        <v>11.302538420833056</v>
      </c>
      <c r="G1856" s="50">
        <v>0.0</v>
      </c>
      <c r="H1856" s="50">
        <v>0.0</v>
      </c>
      <c r="I1856" s="50">
        <v>0.0</v>
      </c>
      <c r="J1856" s="50">
        <v>0.0</v>
      </c>
      <c r="K1856" s="50">
        <v>0.0</v>
      </c>
      <c r="L1856" s="50">
        <v>0.0</v>
      </c>
      <c r="M1856" s="50">
        <v>0.0</v>
      </c>
      <c r="N1856" s="50">
        <v>0.0</v>
      </c>
      <c r="O1856" s="50">
        <v>0.0</v>
      </c>
      <c r="P1856" s="50">
        <v>0.0</v>
      </c>
      <c r="Q1856" s="50">
        <v>0.0</v>
      </c>
      <c r="R1856" s="50">
        <v>0.0</v>
      </c>
      <c r="S1856" s="50">
        <v>0.0</v>
      </c>
      <c r="T1856" s="50">
        <v>2.8125</v>
      </c>
      <c r="U1856" s="50">
        <v>0.0</v>
      </c>
      <c r="V1856" s="50">
        <v>0.0</v>
      </c>
      <c r="W1856" s="50">
        <v>0.0</v>
      </c>
      <c r="X1856" s="50">
        <v>2.8125</v>
      </c>
      <c r="Y1856" s="50">
        <v>5.625</v>
      </c>
    </row>
    <row r="1857">
      <c r="A1857" s="26">
        <v>1851.0</v>
      </c>
      <c r="B1857" s="65">
        <v>1.130895232819629</v>
      </c>
      <c r="C1857" s="65">
        <v>-0.7171347591983291</v>
      </c>
      <c r="D1857" s="65">
        <v>-0.8622180811640731</v>
      </c>
      <c r="E1857" s="65">
        <v>0.11284444745767383</v>
      </c>
      <c r="F1857" s="65">
        <v>2.4679720909347944</v>
      </c>
      <c r="G1857" s="50">
        <v>0.0</v>
      </c>
      <c r="H1857" s="50">
        <v>0.0</v>
      </c>
      <c r="I1857" s="50">
        <v>0.0</v>
      </c>
      <c r="J1857" s="50">
        <v>0.0</v>
      </c>
      <c r="K1857" s="50">
        <v>0.0</v>
      </c>
      <c r="L1857" s="50">
        <v>0.0</v>
      </c>
      <c r="M1857" s="50">
        <v>0.0</v>
      </c>
      <c r="N1857" s="50">
        <v>0.0</v>
      </c>
      <c r="O1857" s="50">
        <v>0.0</v>
      </c>
      <c r="P1857" s="50">
        <v>0.0</v>
      </c>
      <c r="Q1857" s="50">
        <v>0.0</v>
      </c>
      <c r="R1857" s="50">
        <v>0.0</v>
      </c>
      <c r="S1857" s="50">
        <v>0.0</v>
      </c>
      <c r="T1857" s="50">
        <v>2.8125</v>
      </c>
      <c r="U1857" s="50">
        <v>0.0</v>
      </c>
      <c r="V1857" s="50">
        <v>5.625</v>
      </c>
      <c r="W1857" s="50">
        <v>0.0</v>
      </c>
      <c r="X1857" s="50">
        <v>2.8125</v>
      </c>
      <c r="Y1857" s="50">
        <v>11.25</v>
      </c>
    </row>
    <row r="1858">
      <c r="A1858" s="26">
        <v>1852.0</v>
      </c>
      <c r="B1858" s="65">
        <v>-1.992999562260484</v>
      </c>
      <c r="C1858" s="65">
        <v>0.9577056252620225</v>
      </c>
      <c r="D1858" s="65">
        <v>1.4947298923277132</v>
      </c>
      <c r="E1858" s="65">
        <v>-0.5634445628331691</v>
      </c>
      <c r="F1858" s="65">
        <v>4.894887986159182</v>
      </c>
      <c r="G1858" s="50">
        <v>0.0</v>
      </c>
      <c r="H1858" s="50">
        <v>0.0</v>
      </c>
      <c r="I1858" s="50">
        <v>0.0</v>
      </c>
      <c r="J1858" s="50">
        <v>0.0</v>
      </c>
      <c r="K1858" s="50">
        <v>0.0</v>
      </c>
      <c r="L1858" s="50">
        <v>0.0</v>
      </c>
      <c r="M1858" s="50">
        <v>0.0</v>
      </c>
      <c r="N1858" s="50">
        <v>0.0</v>
      </c>
      <c r="O1858" s="50">
        <v>0.0</v>
      </c>
      <c r="P1858" s="50">
        <v>2.475</v>
      </c>
      <c r="Q1858" s="50">
        <v>0.0</v>
      </c>
      <c r="R1858" s="50">
        <v>0.0</v>
      </c>
      <c r="S1858" s="50">
        <v>0.0</v>
      </c>
      <c r="T1858" s="50">
        <v>2.8125</v>
      </c>
      <c r="U1858" s="50">
        <v>0.0</v>
      </c>
      <c r="V1858" s="50">
        <v>0.0</v>
      </c>
      <c r="W1858" s="50">
        <v>4.95</v>
      </c>
      <c r="X1858" s="50">
        <v>2.8125</v>
      </c>
      <c r="Y1858" s="50">
        <v>13.05</v>
      </c>
    </row>
    <row r="1859">
      <c r="A1859" s="26">
        <v>1853.0</v>
      </c>
      <c r="B1859" s="65">
        <v>-1.0131383100743894</v>
      </c>
      <c r="C1859" s="65">
        <v>-0.1725701871730168</v>
      </c>
      <c r="D1859" s="65">
        <v>1.8403624717655107</v>
      </c>
      <c r="E1859" s="65">
        <v>0.6867871881758739</v>
      </c>
      <c r="F1859" s="65">
        <v>13.090490856455341</v>
      </c>
      <c r="G1859" s="50">
        <v>0.0</v>
      </c>
      <c r="H1859" s="50">
        <v>0.0</v>
      </c>
      <c r="I1859" s="50">
        <v>0.0</v>
      </c>
      <c r="J1859" s="50">
        <v>0.0</v>
      </c>
      <c r="K1859" s="50">
        <v>0.0</v>
      </c>
      <c r="L1859" s="50">
        <v>0.0</v>
      </c>
      <c r="M1859" s="50">
        <v>0.0</v>
      </c>
      <c r="N1859" s="50">
        <v>0.0</v>
      </c>
      <c r="O1859" s="50">
        <v>0.0</v>
      </c>
      <c r="P1859" s="50">
        <v>0.0</v>
      </c>
      <c r="Q1859" s="50">
        <v>0.0</v>
      </c>
      <c r="R1859" s="50">
        <v>0.0</v>
      </c>
      <c r="S1859" s="50">
        <v>0.0</v>
      </c>
      <c r="T1859" s="50">
        <v>2.8125</v>
      </c>
      <c r="U1859" s="50">
        <v>0.0</v>
      </c>
      <c r="V1859" s="50">
        <v>0.0</v>
      </c>
      <c r="W1859" s="50">
        <v>0.0</v>
      </c>
      <c r="X1859" s="50">
        <v>2.8125</v>
      </c>
      <c r="Y1859" s="50">
        <v>5.625</v>
      </c>
    </row>
    <row r="1860">
      <c r="A1860" s="26">
        <v>1854.0</v>
      </c>
      <c r="B1860" s="65">
        <v>0.39292881042129796</v>
      </c>
      <c r="C1860" s="65">
        <v>0.046348762091055776</v>
      </c>
      <c r="D1860" s="65">
        <v>-2.055271938028152</v>
      </c>
      <c r="E1860" s="65">
        <v>-1.521831310123104</v>
      </c>
      <c r="F1860" s="65">
        <v>2.16831298035713</v>
      </c>
      <c r="G1860" s="50">
        <v>0.0</v>
      </c>
      <c r="H1860" s="50">
        <v>0.0</v>
      </c>
      <c r="I1860" s="50">
        <v>0.0</v>
      </c>
      <c r="J1860" s="50">
        <v>0.0</v>
      </c>
      <c r="K1860" s="50">
        <v>0.0</v>
      </c>
      <c r="L1860" s="50">
        <v>0.0</v>
      </c>
      <c r="M1860" s="50">
        <v>0.0</v>
      </c>
      <c r="N1860" s="50">
        <v>0.0</v>
      </c>
      <c r="O1860" s="50">
        <v>7.425000000000001</v>
      </c>
      <c r="P1860" s="50">
        <v>2.475</v>
      </c>
      <c r="Q1860" s="50">
        <v>0.0</v>
      </c>
      <c r="R1860" s="50">
        <v>9.9</v>
      </c>
      <c r="S1860" s="50">
        <v>0.0</v>
      </c>
      <c r="T1860" s="50">
        <v>2.8125</v>
      </c>
      <c r="U1860" s="50">
        <v>0.0</v>
      </c>
      <c r="V1860" s="50">
        <v>5.625</v>
      </c>
      <c r="W1860" s="50">
        <v>0.0</v>
      </c>
      <c r="X1860" s="50">
        <v>2.8125</v>
      </c>
      <c r="Y1860" s="50">
        <v>31.05</v>
      </c>
    </row>
    <row r="1861">
      <c r="A1861" s="26">
        <v>1855.0</v>
      </c>
      <c r="B1861" s="65">
        <v>0.1853281645193997</v>
      </c>
      <c r="C1861" s="65">
        <v>2.1183725684912993</v>
      </c>
      <c r="D1861" s="65">
        <v>0.7193292851676766</v>
      </c>
      <c r="E1861" s="65">
        <v>1.221060002574934</v>
      </c>
      <c r="F1861" s="65">
        <v>4.782639134085003</v>
      </c>
      <c r="G1861" s="50">
        <v>0.0</v>
      </c>
      <c r="H1861" s="50">
        <v>0.0</v>
      </c>
      <c r="I1861" s="50">
        <v>0.0</v>
      </c>
      <c r="J1861" s="50">
        <v>0.0</v>
      </c>
      <c r="K1861" s="50">
        <v>0.0</v>
      </c>
      <c r="L1861" s="50">
        <v>0.0</v>
      </c>
      <c r="M1861" s="50">
        <v>0.0</v>
      </c>
      <c r="N1861" s="50">
        <v>0.0</v>
      </c>
      <c r="O1861" s="50">
        <v>0.0</v>
      </c>
      <c r="P1861" s="50">
        <v>0.0</v>
      </c>
      <c r="Q1861" s="50">
        <v>0.0</v>
      </c>
      <c r="R1861" s="50">
        <v>0.0</v>
      </c>
      <c r="S1861" s="50">
        <v>0.0</v>
      </c>
      <c r="T1861" s="50">
        <v>2.8125</v>
      </c>
      <c r="U1861" s="50">
        <v>0.0</v>
      </c>
      <c r="V1861" s="50">
        <v>0.0</v>
      </c>
      <c r="W1861" s="50">
        <v>0.0</v>
      </c>
      <c r="X1861" s="50">
        <v>2.8125</v>
      </c>
      <c r="Y1861" s="50">
        <v>5.625</v>
      </c>
    </row>
    <row r="1862">
      <c r="A1862" s="26">
        <v>1856.0</v>
      </c>
      <c r="B1862" s="65">
        <v>0.015810159434751832</v>
      </c>
      <c r="C1862" s="65">
        <v>2.469624274642595</v>
      </c>
      <c r="D1862" s="65">
        <v>0.41296605211288245</v>
      </c>
      <c r="E1862" s="65">
        <v>-0.21883038391628898</v>
      </c>
      <c r="F1862" s="65">
        <v>5.671027014340415</v>
      </c>
      <c r="G1862" s="50">
        <v>0.0</v>
      </c>
      <c r="H1862" s="50">
        <v>0.0</v>
      </c>
      <c r="I1862" s="50">
        <v>0.0</v>
      </c>
      <c r="J1862" s="50">
        <v>0.0</v>
      </c>
      <c r="K1862" s="50">
        <v>0.0</v>
      </c>
      <c r="L1862" s="50">
        <v>0.0</v>
      </c>
      <c r="M1862" s="50">
        <v>0.0</v>
      </c>
      <c r="N1862" s="50">
        <v>0.0</v>
      </c>
      <c r="O1862" s="50">
        <v>0.0</v>
      </c>
      <c r="P1862" s="50">
        <v>0.0</v>
      </c>
      <c r="Q1862" s="50">
        <v>0.0</v>
      </c>
      <c r="R1862" s="50">
        <v>0.0</v>
      </c>
      <c r="S1862" s="50">
        <v>0.0</v>
      </c>
      <c r="T1862" s="50">
        <v>2.8125</v>
      </c>
      <c r="U1862" s="50">
        <v>0.0</v>
      </c>
      <c r="V1862" s="50">
        <v>5.625</v>
      </c>
      <c r="W1862" s="50">
        <v>0.0</v>
      </c>
      <c r="X1862" s="50">
        <v>2.8125</v>
      </c>
      <c r="Y1862" s="50">
        <v>11.25</v>
      </c>
    </row>
    <row r="1863">
      <c r="A1863" s="26">
        <v>1857.0</v>
      </c>
      <c r="B1863" s="65">
        <v>-0.5275060706739964</v>
      </c>
      <c r="C1863" s="65">
        <v>-0.6967074887514296</v>
      </c>
      <c r="D1863" s="65">
        <v>0.1156842551042431</v>
      </c>
      <c r="E1863" s="65">
        <v>0.5566188480014481</v>
      </c>
      <c r="F1863" s="65">
        <v>1.1536305880218893</v>
      </c>
      <c r="G1863" s="50">
        <v>0.0</v>
      </c>
      <c r="H1863" s="50">
        <v>0.0</v>
      </c>
      <c r="I1863" s="50">
        <v>0.0</v>
      </c>
      <c r="J1863" s="50">
        <v>0.0</v>
      </c>
      <c r="K1863" s="50">
        <v>0.0</v>
      </c>
      <c r="L1863" s="50">
        <v>0.0</v>
      </c>
      <c r="M1863" s="50">
        <v>0.0</v>
      </c>
      <c r="N1863" s="50">
        <v>0.0</v>
      </c>
      <c r="O1863" s="50">
        <v>0.0</v>
      </c>
      <c r="P1863" s="50">
        <v>0.0</v>
      </c>
      <c r="Q1863" s="50">
        <v>0.0</v>
      </c>
      <c r="R1863" s="50">
        <v>9.9</v>
      </c>
      <c r="S1863" s="50">
        <v>0.0</v>
      </c>
      <c r="T1863" s="50">
        <v>2.8125</v>
      </c>
      <c r="U1863" s="50">
        <v>9.9</v>
      </c>
      <c r="V1863" s="50">
        <v>0.0</v>
      </c>
      <c r="W1863" s="50">
        <v>4.95</v>
      </c>
      <c r="X1863" s="50">
        <v>2.8125</v>
      </c>
      <c r="Y1863" s="50">
        <v>30.375</v>
      </c>
    </row>
    <row r="1864">
      <c r="A1864" s="26">
        <v>1858.0</v>
      </c>
      <c r="B1864" s="65">
        <v>1.7401331976977958</v>
      </c>
      <c r="C1864" s="65">
        <v>0.3228500776008856</v>
      </c>
      <c r="D1864" s="65">
        <v>-0.22011070287654938</v>
      </c>
      <c r="E1864" s="65">
        <v>0.8906078697845242</v>
      </c>
      <c r="F1864" s="65">
        <v>3.27712597018217</v>
      </c>
      <c r="G1864" s="50">
        <v>0.0</v>
      </c>
      <c r="H1864" s="50">
        <v>0.0</v>
      </c>
      <c r="I1864" s="50">
        <v>0.0</v>
      </c>
      <c r="J1864" s="50">
        <v>0.0</v>
      </c>
      <c r="K1864" s="50">
        <v>0.0</v>
      </c>
      <c r="L1864" s="50">
        <v>0.0</v>
      </c>
      <c r="M1864" s="50">
        <v>0.0</v>
      </c>
      <c r="N1864" s="50">
        <v>0.0</v>
      </c>
      <c r="O1864" s="50">
        <v>0.0</v>
      </c>
      <c r="P1864" s="50">
        <v>0.0</v>
      </c>
      <c r="Q1864" s="50">
        <v>0.0</v>
      </c>
      <c r="R1864" s="50">
        <v>0.0</v>
      </c>
      <c r="S1864" s="50">
        <v>0.0</v>
      </c>
      <c r="T1864" s="50">
        <v>2.8125</v>
      </c>
      <c r="U1864" s="50">
        <v>0.0</v>
      </c>
      <c r="V1864" s="50">
        <v>0.0</v>
      </c>
      <c r="W1864" s="50">
        <v>0.0</v>
      </c>
      <c r="X1864" s="50">
        <v>2.8125</v>
      </c>
      <c r="Y1864" s="50">
        <v>5.625</v>
      </c>
    </row>
    <row r="1865">
      <c r="A1865" s="26">
        <v>1859.0</v>
      </c>
      <c r="B1865" s="65">
        <v>0.8514425130633627</v>
      </c>
      <c r="C1865" s="65">
        <v>0.6715288009719517</v>
      </c>
      <c r="D1865" s="65">
        <v>-0.6031949941938878</v>
      </c>
      <c r="E1865" s="65">
        <v>-1.732081839093423</v>
      </c>
      <c r="F1865" s="65">
        <v>3.699251627010044</v>
      </c>
      <c r="G1865" s="50">
        <v>0.0</v>
      </c>
      <c r="H1865" s="50">
        <v>0.0</v>
      </c>
      <c r="I1865" s="50">
        <v>0.0</v>
      </c>
      <c r="J1865" s="50">
        <v>0.0</v>
      </c>
      <c r="K1865" s="50">
        <v>0.0</v>
      </c>
      <c r="L1865" s="50">
        <v>0.0</v>
      </c>
      <c r="M1865" s="50">
        <v>0.0</v>
      </c>
      <c r="N1865" s="50">
        <v>0.0</v>
      </c>
      <c r="O1865" s="50">
        <v>0.0</v>
      </c>
      <c r="P1865" s="50">
        <v>0.0</v>
      </c>
      <c r="Q1865" s="50">
        <v>0.0</v>
      </c>
      <c r="R1865" s="50">
        <v>0.0</v>
      </c>
      <c r="S1865" s="50">
        <v>0.0</v>
      </c>
      <c r="T1865" s="50">
        <v>2.8125</v>
      </c>
      <c r="U1865" s="50">
        <v>0.0</v>
      </c>
      <c r="V1865" s="50">
        <v>5.625</v>
      </c>
      <c r="W1865" s="50">
        <v>4.95</v>
      </c>
      <c r="X1865" s="50">
        <v>2.8125</v>
      </c>
      <c r="Y1865" s="50">
        <v>16.2</v>
      </c>
    </row>
    <row r="1866">
      <c r="A1866" s="26">
        <v>1860.0</v>
      </c>
      <c r="B1866" s="65">
        <v>-0.11358526031828571</v>
      </c>
      <c r="C1866" s="65">
        <v>2.328426166982943</v>
      </c>
      <c r="D1866" s="65">
        <v>-0.07759853333019891</v>
      </c>
      <c r="E1866" s="65">
        <v>0.9667800752539093</v>
      </c>
      <c r="F1866" s="65">
        <v>1.9598377569891576</v>
      </c>
      <c r="G1866" s="50">
        <v>0.0</v>
      </c>
      <c r="H1866" s="50">
        <v>0.0</v>
      </c>
      <c r="I1866" s="50">
        <v>0.0</v>
      </c>
      <c r="J1866" s="50">
        <v>0.0</v>
      </c>
      <c r="K1866" s="50">
        <v>0.0</v>
      </c>
      <c r="L1866" s="50">
        <v>0.0</v>
      </c>
      <c r="M1866" s="50">
        <v>0.0</v>
      </c>
      <c r="N1866" s="50">
        <v>0.0</v>
      </c>
      <c r="O1866" s="50">
        <v>0.0</v>
      </c>
      <c r="P1866" s="50">
        <v>0.0</v>
      </c>
      <c r="Q1866" s="50">
        <v>0.0</v>
      </c>
      <c r="R1866" s="50">
        <v>0.0</v>
      </c>
      <c r="S1866" s="50">
        <v>0.0</v>
      </c>
      <c r="T1866" s="50">
        <v>2.8125</v>
      </c>
      <c r="U1866" s="50">
        <v>0.0</v>
      </c>
      <c r="V1866" s="50">
        <v>0.0</v>
      </c>
      <c r="W1866" s="50">
        <v>4.95</v>
      </c>
      <c r="X1866" s="50">
        <v>2.8125</v>
      </c>
      <c r="Y1866" s="50">
        <v>10.575</v>
      </c>
    </row>
    <row r="1867">
      <c r="A1867" s="26">
        <v>1861.0</v>
      </c>
      <c r="B1867" s="65">
        <v>1.4417363240032746</v>
      </c>
      <c r="C1867" s="65">
        <v>2.937940480873351</v>
      </c>
      <c r="D1867" s="65">
        <v>1.2922723894461703</v>
      </c>
      <c r="E1867" s="65">
        <v>0.47568897476285277</v>
      </c>
      <c r="F1867" s="65">
        <v>9.212167514936993</v>
      </c>
      <c r="G1867" s="50">
        <v>0.0</v>
      </c>
      <c r="H1867" s="50">
        <v>0.0</v>
      </c>
      <c r="I1867" s="50">
        <v>0.0</v>
      </c>
      <c r="J1867" s="50">
        <v>0.0</v>
      </c>
      <c r="K1867" s="50">
        <v>0.0</v>
      </c>
      <c r="L1867" s="50">
        <v>0.0</v>
      </c>
      <c r="M1867" s="50">
        <v>0.0</v>
      </c>
      <c r="N1867" s="50">
        <v>0.0</v>
      </c>
      <c r="O1867" s="50">
        <v>0.0</v>
      </c>
      <c r="P1867" s="50">
        <v>0.0</v>
      </c>
      <c r="Q1867" s="50">
        <v>0.0</v>
      </c>
      <c r="R1867" s="50">
        <v>0.0</v>
      </c>
      <c r="S1867" s="50">
        <v>0.0</v>
      </c>
      <c r="T1867" s="50">
        <v>2.8125</v>
      </c>
      <c r="U1867" s="50">
        <v>0.0</v>
      </c>
      <c r="V1867" s="50">
        <v>0.0</v>
      </c>
      <c r="W1867" s="50">
        <v>0.0</v>
      </c>
      <c r="X1867" s="50">
        <v>2.8125</v>
      </c>
      <c r="Y1867" s="50">
        <v>5.625</v>
      </c>
    </row>
    <row r="1868">
      <c r="A1868" s="26">
        <v>1862.0</v>
      </c>
      <c r="B1868" s="65">
        <v>-0.9480636995255658</v>
      </c>
      <c r="C1868" s="65">
        <v>0.4266342855495427</v>
      </c>
      <c r="D1868" s="65">
        <v>0.24183314414131213</v>
      </c>
      <c r="E1868" s="65">
        <v>1.9035641570007158</v>
      </c>
      <c r="F1868" s="65">
        <v>4.335287121733302</v>
      </c>
      <c r="G1868" s="50">
        <v>0.0</v>
      </c>
      <c r="H1868" s="50">
        <v>0.0</v>
      </c>
      <c r="I1868" s="50">
        <v>0.0</v>
      </c>
      <c r="J1868" s="50">
        <v>0.0</v>
      </c>
      <c r="K1868" s="50">
        <v>0.0</v>
      </c>
      <c r="L1868" s="50">
        <v>0.0</v>
      </c>
      <c r="M1868" s="50">
        <v>0.0</v>
      </c>
      <c r="N1868" s="50">
        <v>0.0</v>
      </c>
      <c r="O1868" s="50">
        <v>0.0</v>
      </c>
      <c r="P1868" s="50">
        <v>0.0</v>
      </c>
      <c r="Q1868" s="50">
        <v>0.0</v>
      </c>
      <c r="R1868" s="50">
        <v>9.9</v>
      </c>
      <c r="S1868" s="50">
        <v>0.0</v>
      </c>
      <c r="T1868" s="50">
        <v>2.8125</v>
      </c>
      <c r="U1868" s="50">
        <v>0.0</v>
      </c>
      <c r="V1868" s="50">
        <v>0.0</v>
      </c>
      <c r="W1868" s="50">
        <v>0.0</v>
      </c>
      <c r="X1868" s="50">
        <v>2.8125</v>
      </c>
      <c r="Y1868" s="50">
        <v>15.525</v>
      </c>
    </row>
    <row r="1869">
      <c r="A1869" s="26">
        <v>1863.0</v>
      </c>
      <c r="B1869" s="65">
        <v>0.08620678050366024</v>
      </c>
      <c r="C1869" s="65">
        <v>-2.1138015818165847</v>
      </c>
      <c r="D1869" s="65">
        <v>0.5061113541310172</v>
      </c>
      <c r="E1869" s="65">
        <v>0.09532567006036119</v>
      </c>
      <c r="F1869" s="65">
        <v>4.475824871272528</v>
      </c>
      <c r="G1869" s="50">
        <v>0.0</v>
      </c>
      <c r="H1869" s="50">
        <v>0.0</v>
      </c>
      <c r="I1869" s="50">
        <v>0.0</v>
      </c>
      <c r="J1869" s="50">
        <v>0.0</v>
      </c>
      <c r="K1869" s="50">
        <v>0.0</v>
      </c>
      <c r="L1869" s="50">
        <v>0.0</v>
      </c>
      <c r="M1869" s="50">
        <v>0.0</v>
      </c>
      <c r="N1869" s="50">
        <v>0.0</v>
      </c>
      <c r="O1869" s="50">
        <v>0.0</v>
      </c>
      <c r="P1869" s="50">
        <v>0.0</v>
      </c>
      <c r="Q1869" s="50">
        <v>0.0</v>
      </c>
      <c r="R1869" s="50">
        <v>0.0</v>
      </c>
      <c r="S1869" s="50">
        <v>0.0</v>
      </c>
      <c r="T1869" s="50">
        <v>2.8125</v>
      </c>
      <c r="U1869" s="50">
        <v>0.0</v>
      </c>
      <c r="V1869" s="50">
        <v>0.0</v>
      </c>
      <c r="W1869" s="50">
        <v>0.0</v>
      </c>
      <c r="X1869" s="50">
        <v>2.8125</v>
      </c>
      <c r="Y1869" s="50">
        <v>5.625</v>
      </c>
    </row>
    <row r="1870">
      <c r="A1870" s="26">
        <v>1864.0</v>
      </c>
      <c r="B1870" s="65">
        <v>0.09397804632045242</v>
      </c>
      <c r="C1870" s="65">
        <v>-1.628690894063191</v>
      </c>
      <c r="D1870" s="65">
        <v>0.4229296822921557</v>
      </c>
      <c r="E1870" s="65">
        <v>-0.24004470675564377</v>
      </c>
      <c r="F1870" s="65">
        <v>1.8205435838649784</v>
      </c>
      <c r="G1870" s="50">
        <v>0.0</v>
      </c>
      <c r="H1870" s="50">
        <v>0.0</v>
      </c>
      <c r="I1870" s="50">
        <v>0.0</v>
      </c>
      <c r="J1870" s="50">
        <v>0.0</v>
      </c>
      <c r="K1870" s="50">
        <v>0.0</v>
      </c>
      <c r="L1870" s="50">
        <v>0.0</v>
      </c>
      <c r="M1870" s="50">
        <v>0.0</v>
      </c>
      <c r="N1870" s="50">
        <v>0.0</v>
      </c>
      <c r="O1870" s="50">
        <v>0.0</v>
      </c>
      <c r="P1870" s="50">
        <v>0.0</v>
      </c>
      <c r="Q1870" s="50">
        <v>0.0</v>
      </c>
      <c r="R1870" s="50">
        <v>9.9</v>
      </c>
      <c r="S1870" s="50">
        <v>0.0</v>
      </c>
      <c r="T1870" s="50">
        <v>2.8125</v>
      </c>
      <c r="U1870" s="50">
        <v>0.0</v>
      </c>
      <c r="V1870" s="50">
        <v>5.625</v>
      </c>
      <c r="W1870" s="50">
        <v>0.0</v>
      </c>
      <c r="X1870" s="50">
        <v>2.8125</v>
      </c>
      <c r="Y1870" s="50">
        <v>21.15</v>
      </c>
    </row>
    <row r="1871">
      <c r="A1871" s="26">
        <v>1865.0</v>
      </c>
      <c r="B1871" s="65">
        <v>-0.3559463804672655</v>
      </c>
      <c r="C1871" s="65">
        <v>-0.3519445919301888</v>
      </c>
      <c r="D1871" s="65">
        <v>-0.5557441513762953</v>
      </c>
      <c r="E1871" s="65">
        <v>0.5620059985514548</v>
      </c>
      <c r="F1871" s="65">
        <v>9.63961522104846</v>
      </c>
      <c r="G1871" s="50">
        <v>0.0</v>
      </c>
      <c r="H1871" s="50">
        <v>0.0</v>
      </c>
      <c r="I1871" s="50">
        <v>0.0</v>
      </c>
      <c r="J1871" s="50">
        <v>0.0</v>
      </c>
      <c r="K1871" s="50">
        <v>0.0</v>
      </c>
      <c r="L1871" s="50">
        <v>0.0</v>
      </c>
      <c r="M1871" s="50">
        <v>0.0</v>
      </c>
      <c r="N1871" s="50">
        <v>0.0</v>
      </c>
      <c r="O1871" s="50">
        <v>0.0</v>
      </c>
      <c r="P1871" s="50">
        <v>2.475</v>
      </c>
      <c r="Q1871" s="50">
        <v>0.0</v>
      </c>
      <c r="R1871" s="50">
        <v>0.0</v>
      </c>
      <c r="S1871" s="50">
        <v>0.0</v>
      </c>
      <c r="T1871" s="50">
        <v>2.8125</v>
      </c>
      <c r="U1871" s="50">
        <v>0.0</v>
      </c>
      <c r="V1871" s="50">
        <v>0.0</v>
      </c>
      <c r="W1871" s="50">
        <v>0.0</v>
      </c>
      <c r="X1871" s="50">
        <v>2.8125</v>
      </c>
      <c r="Y1871" s="50">
        <v>8.1</v>
      </c>
    </row>
    <row r="1872">
      <c r="A1872" s="26">
        <v>1866.0</v>
      </c>
      <c r="B1872" s="65">
        <v>1.0100065755107077</v>
      </c>
      <c r="C1872" s="65">
        <v>0.5056862140912893</v>
      </c>
      <c r="D1872" s="65">
        <v>-1.2722717732530273</v>
      </c>
      <c r="E1872" s="65">
        <v>0.07785763339251066</v>
      </c>
      <c r="F1872" s="65">
        <v>7.802765609127968</v>
      </c>
      <c r="G1872" s="50">
        <v>0.0</v>
      </c>
      <c r="H1872" s="50">
        <v>0.0</v>
      </c>
      <c r="I1872" s="50">
        <v>0.0</v>
      </c>
      <c r="J1872" s="50">
        <v>0.0</v>
      </c>
      <c r="K1872" s="50">
        <v>0.0</v>
      </c>
      <c r="L1872" s="50">
        <v>0.0</v>
      </c>
      <c r="M1872" s="50">
        <v>0.0</v>
      </c>
      <c r="N1872" s="50">
        <v>0.0</v>
      </c>
      <c r="O1872" s="50">
        <v>0.0</v>
      </c>
      <c r="P1872" s="50">
        <v>0.0</v>
      </c>
      <c r="Q1872" s="50">
        <v>0.0</v>
      </c>
      <c r="R1872" s="50">
        <v>0.0</v>
      </c>
      <c r="S1872" s="50">
        <v>0.0</v>
      </c>
      <c r="T1872" s="50">
        <v>2.8125</v>
      </c>
      <c r="U1872" s="50">
        <v>0.0</v>
      </c>
      <c r="V1872" s="50">
        <v>0.0</v>
      </c>
      <c r="W1872" s="50">
        <v>0.0</v>
      </c>
      <c r="X1872" s="50">
        <v>2.8125</v>
      </c>
      <c r="Y1872" s="50">
        <v>5.625</v>
      </c>
    </row>
    <row r="1873">
      <c r="A1873" s="26">
        <v>1867.0</v>
      </c>
      <c r="B1873" s="65">
        <v>-0.5030471997719727</v>
      </c>
      <c r="C1873" s="65">
        <v>-0.028844972100845304</v>
      </c>
      <c r="D1873" s="65">
        <v>-0.3533854628064408</v>
      </c>
      <c r="E1873" s="65">
        <v>-1.2649679613447422</v>
      </c>
      <c r="F1873" s="65">
        <v>3.6740916435270643</v>
      </c>
      <c r="G1873" s="50">
        <v>0.0</v>
      </c>
      <c r="H1873" s="50">
        <v>0.0</v>
      </c>
      <c r="I1873" s="50">
        <v>0.0</v>
      </c>
      <c r="J1873" s="50">
        <v>0.0</v>
      </c>
      <c r="K1873" s="50">
        <v>0.0</v>
      </c>
      <c r="L1873" s="50">
        <v>0.0</v>
      </c>
      <c r="M1873" s="50">
        <v>0.0</v>
      </c>
      <c r="N1873" s="50">
        <v>0.0</v>
      </c>
      <c r="O1873" s="50">
        <v>0.0</v>
      </c>
      <c r="P1873" s="50">
        <v>0.0</v>
      </c>
      <c r="Q1873" s="50">
        <v>0.0</v>
      </c>
      <c r="R1873" s="50">
        <v>0.0</v>
      </c>
      <c r="S1873" s="50">
        <v>0.0</v>
      </c>
      <c r="T1873" s="50">
        <v>2.8125</v>
      </c>
      <c r="U1873" s="50">
        <v>0.0</v>
      </c>
      <c r="V1873" s="50">
        <v>5.625</v>
      </c>
      <c r="W1873" s="50">
        <v>0.0</v>
      </c>
      <c r="X1873" s="50">
        <v>2.8125</v>
      </c>
      <c r="Y1873" s="50">
        <v>11.25</v>
      </c>
    </row>
    <row r="1874">
      <c r="A1874" s="26">
        <v>1868.0</v>
      </c>
      <c r="B1874" s="65">
        <v>0.3080712111959519</v>
      </c>
      <c r="C1874" s="65">
        <v>-0.1116196623606728</v>
      </c>
      <c r="D1874" s="65">
        <v>-1.2815674307537732</v>
      </c>
      <c r="E1874" s="65">
        <v>0.1990752484072915</v>
      </c>
      <c r="F1874" s="65">
        <v>1.4644940360964744</v>
      </c>
      <c r="G1874" s="50">
        <v>0.0</v>
      </c>
      <c r="H1874" s="50">
        <v>0.0</v>
      </c>
      <c r="I1874" s="50">
        <v>0.0</v>
      </c>
      <c r="J1874" s="50">
        <v>0.0</v>
      </c>
      <c r="K1874" s="50">
        <v>0.0</v>
      </c>
      <c r="L1874" s="50">
        <v>0.0</v>
      </c>
      <c r="M1874" s="50">
        <v>0.0</v>
      </c>
      <c r="N1874" s="50">
        <v>0.0</v>
      </c>
      <c r="O1874" s="50">
        <v>7.425000000000001</v>
      </c>
      <c r="P1874" s="50">
        <v>0.0</v>
      </c>
      <c r="Q1874" s="50">
        <v>0.0</v>
      </c>
      <c r="R1874" s="50">
        <v>9.9</v>
      </c>
      <c r="S1874" s="50">
        <v>0.0</v>
      </c>
      <c r="T1874" s="50">
        <v>2.8125</v>
      </c>
      <c r="U1874" s="50">
        <v>0.0</v>
      </c>
      <c r="V1874" s="50">
        <v>0.0</v>
      </c>
      <c r="W1874" s="50">
        <v>0.0</v>
      </c>
      <c r="X1874" s="50">
        <v>2.8125</v>
      </c>
      <c r="Y1874" s="50">
        <v>22.950000000000003</v>
      </c>
    </row>
    <row r="1875">
      <c r="A1875" s="26">
        <v>1869.0</v>
      </c>
      <c r="B1875" s="65">
        <v>0.45890476526589435</v>
      </c>
      <c r="C1875" s="65">
        <v>-0.4032590357579079</v>
      </c>
      <c r="D1875" s="65">
        <v>1.9742998743000053</v>
      </c>
      <c r="E1875" s="65">
        <v>0.4928491644542084</v>
      </c>
      <c r="F1875" s="65">
        <v>8.1220878458264</v>
      </c>
      <c r="G1875" s="50">
        <v>0.0</v>
      </c>
      <c r="H1875" s="50">
        <v>0.0</v>
      </c>
      <c r="I1875" s="50">
        <v>0.0</v>
      </c>
      <c r="J1875" s="50">
        <v>0.0</v>
      </c>
      <c r="K1875" s="50">
        <v>0.0</v>
      </c>
      <c r="L1875" s="50">
        <v>0.0</v>
      </c>
      <c r="M1875" s="50">
        <v>0.0</v>
      </c>
      <c r="N1875" s="50">
        <v>0.0</v>
      </c>
      <c r="O1875" s="50">
        <v>0.0</v>
      </c>
      <c r="P1875" s="50">
        <v>0.0</v>
      </c>
      <c r="Q1875" s="50">
        <v>0.0</v>
      </c>
      <c r="R1875" s="50">
        <v>0.0</v>
      </c>
      <c r="S1875" s="50">
        <v>0.0</v>
      </c>
      <c r="T1875" s="50">
        <v>2.8125</v>
      </c>
      <c r="U1875" s="50">
        <v>0.0</v>
      </c>
      <c r="V1875" s="50">
        <v>0.0</v>
      </c>
      <c r="W1875" s="50">
        <v>0.0</v>
      </c>
      <c r="X1875" s="50">
        <v>2.8125</v>
      </c>
      <c r="Y1875" s="50">
        <v>5.625</v>
      </c>
    </row>
    <row r="1876">
      <c r="A1876" s="26">
        <v>1870.0</v>
      </c>
      <c r="B1876" s="65">
        <v>0.6798639593066549</v>
      </c>
      <c r="C1876" s="65">
        <v>-0.795960932126312</v>
      </c>
      <c r="D1876" s="65">
        <v>0.48870013901193676</v>
      </c>
      <c r="E1876" s="65">
        <v>-0.44010142590166756</v>
      </c>
      <c r="F1876" s="65">
        <v>2.9820576136989363</v>
      </c>
      <c r="G1876" s="50">
        <v>0.0</v>
      </c>
      <c r="H1876" s="50">
        <v>0.0</v>
      </c>
      <c r="I1876" s="50">
        <v>0.0</v>
      </c>
      <c r="J1876" s="50">
        <v>0.0</v>
      </c>
      <c r="K1876" s="50">
        <v>0.0</v>
      </c>
      <c r="L1876" s="50">
        <v>0.0</v>
      </c>
      <c r="M1876" s="50">
        <v>0.0</v>
      </c>
      <c r="N1876" s="50">
        <v>0.0</v>
      </c>
      <c r="O1876" s="50">
        <v>0.0</v>
      </c>
      <c r="P1876" s="50">
        <v>0.0</v>
      </c>
      <c r="Q1876" s="50">
        <v>0.0</v>
      </c>
      <c r="R1876" s="50">
        <v>0.0</v>
      </c>
      <c r="S1876" s="50">
        <v>0.0</v>
      </c>
      <c r="T1876" s="50">
        <v>2.8125</v>
      </c>
      <c r="U1876" s="50">
        <v>0.0</v>
      </c>
      <c r="V1876" s="50">
        <v>5.625</v>
      </c>
      <c r="W1876" s="50">
        <v>0.0</v>
      </c>
      <c r="X1876" s="50">
        <v>2.8125</v>
      </c>
      <c r="Y1876" s="50">
        <v>11.25</v>
      </c>
    </row>
    <row r="1877">
      <c r="A1877" s="26">
        <v>1871.0</v>
      </c>
      <c r="B1877" s="65">
        <v>-0.5555833086383035</v>
      </c>
      <c r="C1877" s="65">
        <v>-0.5276021741986411</v>
      </c>
      <c r="D1877" s="65">
        <v>0.2669230606583984</v>
      </c>
      <c r="E1877" s="65">
        <v>1.2823260229040367</v>
      </c>
      <c r="F1877" s="65">
        <v>5.895560759167623</v>
      </c>
      <c r="G1877" s="50">
        <v>0.0</v>
      </c>
      <c r="H1877" s="50">
        <v>0.0</v>
      </c>
      <c r="I1877" s="50">
        <v>0.0</v>
      </c>
      <c r="J1877" s="50">
        <v>0.0</v>
      </c>
      <c r="K1877" s="50">
        <v>0.0</v>
      </c>
      <c r="L1877" s="50">
        <v>0.0</v>
      </c>
      <c r="M1877" s="50">
        <v>0.0</v>
      </c>
      <c r="N1877" s="50">
        <v>0.0</v>
      </c>
      <c r="O1877" s="50">
        <v>0.0</v>
      </c>
      <c r="P1877" s="50">
        <v>0.0</v>
      </c>
      <c r="Q1877" s="50">
        <v>0.0</v>
      </c>
      <c r="R1877" s="50">
        <v>0.0</v>
      </c>
      <c r="S1877" s="50">
        <v>0.0</v>
      </c>
      <c r="T1877" s="50">
        <v>2.8125</v>
      </c>
      <c r="U1877" s="50">
        <v>0.0</v>
      </c>
      <c r="V1877" s="50">
        <v>0.0</v>
      </c>
      <c r="W1877" s="50">
        <v>0.0</v>
      </c>
      <c r="X1877" s="50">
        <v>2.8125</v>
      </c>
      <c r="Y1877" s="50">
        <v>5.625</v>
      </c>
    </row>
    <row r="1878">
      <c r="A1878" s="26">
        <v>1872.0</v>
      </c>
      <c r="B1878" s="65">
        <v>1.8096765269094368</v>
      </c>
      <c r="C1878" s="65">
        <v>0.6419959497232985</v>
      </c>
      <c r="D1878" s="65">
        <v>0.046303749862395764</v>
      </c>
      <c r="E1878" s="65">
        <v>-1.1011696072876658</v>
      </c>
      <c r="F1878" s="65">
        <v>2.635973420455139</v>
      </c>
      <c r="G1878" s="50">
        <v>0.0</v>
      </c>
      <c r="H1878" s="50">
        <v>0.0</v>
      </c>
      <c r="I1878" s="50">
        <v>0.0</v>
      </c>
      <c r="J1878" s="50">
        <v>0.0</v>
      </c>
      <c r="K1878" s="50">
        <v>0.0</v>
      </c>
      <c r="L1878" s="50">
        <v>0.0</v>
      </c>
      <c r="M1878" s="50">
        <v>0.0</v>
      </c>
      <c r="N1878" s="50">
        <v>0.0</v>
      </c>
      <c r="O1878" s="50">
        <v>0.0</v>
      </c>
      <c r="P1878" s="50">
        <v>0.0</v>
      </c>
      <c r="Q1878" s="50">
        <v>0.0</v>
      </c>
      <c r="R1878" s="50">
        <v>0.0</v>
      </c>
      <c r="S1878" s="50">
        <v>0.0</v>
      </c>
      <c r="T1878" s="50">
        <v>2.8125</v>
      </c>
      <c r="U1878" s="50">
        <v>0.0</v>
      </c>
      <c r="V1878" s="50">
        <v>0.0</v>
      </c>
      <c r="W1878" s="50">
        <v>0.0</v>
      </c>
      <c r="X1878" s="50">
        <v>2.8125</v>
      </c>
      <c r="Y1878" s="50">
        <v>5.625</v>
      </c>
    </row>
    <row r="1879">
      <c r="A1879" s="26">
        <v>1873.0</v>
      </c>
      <c r="B1879" s="65">
        <v>2.134839919428077</v>
      </c>
      <c r="C1879" s="65">
        <v>-0.7558827769449448</v>
      </c>
      <c r="D1879" s="65">
        <v>1.9651194111801402</v>
      </c>
      <c r="E1879" s="65">
        <v>-1.9514644012713271</v>
      </c>
      <c r="F1879" s="65">
        <v>18.353815353785915</v>
      </c>
      <c r="G1879" s="50">
        <v>0.0</v>
      </c>
      <c r="H1879" s="50">
        <v>0.0</v>
      </c>
      <c r="I1879" s="50">
        <v>0.0</v>
      </c>
      <c r="J1879" s="50">
        <v>0.0</v>
      </c>
      <c r="K1879" s="50">
        <v>0.0</v>
      </c>
      <c r="L1879" s="50">
        <v>0.0</v>
      </c>
      <c r="M1879" s="50">
        <v>0.0</v>
      </c>
      <c r="N1879" s="50">
        <v>0.0</v>
      </c>
      <c r="O1879" s="50">
        <v>0.0</v>
      </c>
      <c r="P1879" s="50">
        <v>0.0</v>
      </c>
      <c r="Q1879" s="50">
        <v>0.0</v>
      </c>
      <c r="R1879" s="50">
        <v>0.0</v>
      </c>
      <c r="S1879" s="50">
        <v>0.0</v>
      </c>
      <c r="T1879" s="50">
        <v>2.8125</v>
      </c>
      <c r="U1879" s="50">
        <v>0.0</v>
      </c>
      <c r="V1879" s="50">
        <v>0.0</v>
      </c>
      <c r="W1879" s="50">
        <v>0.0</v>
      </c>
      <c r="X1879" s="50">
        <v>2.8125</v>
      </c>
      <c r="Y1879" s="50">
        <v>5.625</v>
      </c>
    </row>
    <row r="1880">
      <c r="A1880" s="26">
        <v>1874.0</v>
      </c>
      <c r="B1880" s="65">
        <v>-0.0022756310606156446</v>
      </c>
      <c r="C1880" s="65">
        <v>-0.7833227749953563</v>
      </c>
      <c r="D1880" s="65">
        <v>0.896442070837909</v>
      </c>
      <c r="E1880" s="65">
        <v>-0.5301286220834933</v>
      </c>
      <c r="F1880" s="65">
        <v>0.7890144253364099</v>
      </c>
      <c r="G1880" s="50">
        <v>0.0</v>
      </c>
      <c r="H1880" s="50">
        <v>0.0</v>
      </c>
      <c r="I1880" s="50">
        <v>13.5</v>
      </c>
      <c r="J1880" s="50">
        <v>0.0</v>
      </c>
      <c r="K1880" s="50">
        <v>0.0</v>
      </c>
      <c r="L1880" s="50">
        <v>0.0</v>
      </c>
      <c r="M1880" s="50">
        <v>0.0</v>
      </c>
      <c r="N1880" s="50">
        <v>0.0</v>
      </c>
      <c r="O1880" s="50">
        <v>0.0</v>
      </c>
      <c r="P1880" s="50">
        <v>0.0</v>
      </c>
      <c r="Q1880" s="50">
        <v>0.0</v>
      </c>
      <c r="R1880" s="50">
        <v>0.0</v>
      </c>
      <c r="S1880" s="50">
        <v>0.0</v>
      </c>
      <c r="T1880" s="50">
        <v>2.8125</v>
      </c>
      <c r="U1880" s="50">
        <v>0.0</v>
      </c>
      <c r="V1880" s="50">
        <v>0.0</v>
      </c>
      <c r="W1880" s="50">
        <v>4.95</v>
      </c>
      <c r="X1880" s="50">
        <v>2.8125</v>
      </c>
      <c r="Y1880" s="50">
        <v>24.075</v>
      </c>
    </row>
    <row r="1881">
      <c r="A1881" s="26">
        <v>1875.0</v>
      </c>
      <c r="B1881" s="65">
        <v>0.8017139805026386</v>
      </c>
      <c r="C1881" s="65">
        <v>-0.35621454778060363</v>
      </c>
      <c r="D1881" s="65">
        <v>-1.376326372355194</v>
      </c>
      <c r="E1881" s="65">
        <v>0.3441381764956982</v>
      </c>
      <c r="F1881" s="65">
        <v>4.639272257940978</v>
      </c>
      <c r="G1881" s="50">
        <v>0.0</v>
      </c>
      <c r="H1881" s="50">
        <v>0.0</v>
      </c>
      <c r="I1881" s="50">
        <v>0.0</v>
      </c>
      <c r="J1881" s="50">
        <v>0.0</v>
      </c>
      <c r="K1881" s="50">
        <v>0.0</v>
      </c>
      <c r="L1881" s="50">
        <v>0.0</v>
      </c>
      <c r="M1881" s="50">
        <v>0.0</v>
      </c>
      <c r="N1881" s="50">
        <v>0.0</v>
      </c>
      <c r="O1881" s="50">
        <v>0.0</v>
      </c>
      <c r="P1881" s="50">
        <v>0.0</v>
      </c>
      <c r="Q1881" s="50">
        <v>0.0</v>
      </c>
      <c r="R1881" s="50">
        <v>0.0</v>
      </c>
      <c r="S1881" s="50">
        <v>0.0</v>
      </c>
      <c r="T1881" s="50">
        <v>2.8125</v>
      </c>
      <c r="U1881" s="50">
        <v>0.0</v>
      </c>
      <c r="V1881" s="50">
        <v>0.0</v>
      </c>
      <c r="W1881" s="50">
        <v>0.0</v>
      </c>
      <c r="X1881" s="50">
        <v>2.8125</v>
      </c>
      <c r="Y1881" s="50">
        <v>5.625</v>
      </c>
    </row>
    <row r="1882">
      <c r="A1882" s="26">
        <v>1876.0</v>
      </c>
      <c r="B1882" s="65">
        <v>-0.4314338589337542</v>
      </c>
      <c r="C1882" s="65">
        <v>0.3376108371979613</v>
      </c>
      <c r="D1882" s="65">
        <v>2.0810230857817085</v>
      </c>
      <c r="E1882" s="65">
        <v>0.5694659676225521</v>
      </c>
      <c r="F1882" s="65">
        <v>4.517522172349588</v>
      </c>
      <c r="G1882" s="50">
        <v>0.0</v>
      </c>
      <c r="H1882" s="50">
        <v>0.0</v>
      </c>
      <c r="I1882" s="50">
        <v>0.0</v>
      </c>
      <c r="J1882" s="50">
        <v>0.0</v>
      </c>
      <c r="K1882" s="50">
        <v>0.0</v>
      </c>
      <c r="L1882" s="50">
        <v>0.0</v>
      </c>
      <c r="M1882" s="50">
        <v>0.0</v>
      </c>
      <c r="N1882" s="50">
        <v>0.0</v>
      </c>
      <c r="O1882" s="50">
        <v>0.0</v>
      </c>
      <c r="P1882" s="50">
        <v>0.0</v>
      </c>
      <c r="Q1882" s="50">
        <v>0.0</v>
      </c>
      <c r="R1882" s="50">
        <v>0.0</v>
      </c>
      <c r="S1882" s="50">
        <v>0.0</v>
      </c>
      <c r="T1882" s="50">
        <v>2.8125</v>
      </c>
      <c r="U1882" s="50">
        <v>0.0</v>
      </c>
      <c r="V1882" s="50">
        <v>0.0</v>
      </c>
      <c r="W1882" s="50">
        <v>0.0</v>
      </c>
      <c r="X1882" s="50">
        <v>2.8125</v>
      </c>
      <c r="Y1882" s="50">
        <v>5.625</v>
      </c>
    </row>
    <row r="1883">
      <c r="A1883" s="26">
        <v>1877.0</v>
      </c>
      <c r="B1883" s="65">
        <v>-0.4298107511325019</v>
      </c>
      <c r="C1883" s="65">
        <v>-0.5446346785967284</v>
      </c>
      <c r="D1883" s="65">
        <v>-1.144014846792236</v>
      </c>
      <c r="E1883" s="65">
        <v>0.7192764467087172</v>
      </c>
      <c r="F1883" s="65">
        <v>2.5249495803410236</v>
      </c>
      <c r="G1883" s="50">
        <v>0.0</v>
      </c>
      <c r="H1883" s="50">
        <v>0.0</v>
      </c>
      <c r="I1883" s="50">
        <v>0.0</v>
      </c>
      <c r="J1883" s="50">
        <v>0.0</v>
      </c>
      <c r="K1883" s="50">
        <v>0.0</v>
      </c>
      <c r="L1883" s="50">
        <v>0.0</v>
      </c>
      <c r="M1883" s="50">
        <v>0.0</v>
      </c>
      <c r="N1883" s="50">
        <v>0.0</v>
      </c>
      <c r="O1883" s="50">
        <v>0.0</v>
      </c>
      <c r="P1883" s="50">
        <v>0.0</v>
      </c>
      <c r="Q1883" s="50">
        <v>0.0</v>
      </c>
      <c r="R1883" s="50">
        <v>9.9</v>
      </c>
      <c r="S1883" s="50">
        <v>0.0</v>
      </c>
      <c r="T1883" s="50">
        <v>2.8125</v>
      </c>
      <c r="U1883" s="50">
        <v>0.0</v>
      </c>
      <c r="V1883" s="50">
        <v>5.625</v>
      </c>
      <c r="W1883" s="50">
        <v>0.0</v>
      </c>
      <c r="X1883" s="50">
        <v>2.8125</v>
      </c>
      <c r="Y1883" s="50">
        <v>21.15</v>
      </c>
    </row>
    <row r="1884">
      <c r="A1884" s="26">
        <v>1878.0</v>
      </c>
      <c r="B1884" s="65">
        <v>-0.6839205382302601</v>
      </c>
      <c r="C1884" s="65">
        <v>-1.7363840024531108</v>
      </c>
      <c r="D1884" s="65">
        <v>-0.8947270809268235</v>
      </c>
      <c r="E1884" s="65">
        <v>-0.717058430841388</v>
      </c>
      <c r="F1884" s="65">
        <v>2.7970723228727126</v>
      </c>
      <c r="G1884" s="50">
        <v>0.0</v>
      </c>
      <c r="H1884" s="50">
        <v>0.0</v>
      </c>
      <c r="I1884" s="50">
        <v>0.0</v>
      </c>
      <c r="J1884" s="50">
        <v>0.0</v>
      </c>
      <c r="K1884" s="50">
        <v>0.0</v>
      </c>
      <c r="L1884" s="50">
        <v>0.0</v>
      </c>
      <c r="M1884" s="50">
        <v>0.0</v>
      </c>
      <c r="N1884" s="50">
        <v>0.0</v>
      </c>
      <c r="O1884" s="50">
        <v>7.425000000000001</v>
      </c>
      <c r="P1884" s="50">
        <v>0.0</v>
      </c>
      <c r="Q1884" s="50">
        <v>0.0</v>
      </c>
      <c r="R1884" s="50">
        <v>0.0</v>
      </c>
      <c r="S1884" s="50">
        <v>0.0</v>
      </c>
      <c r="T1884" s="50">
        <v>2.8125</v>
      </c>
      <c r="U1884" s="50">
        <v>0.0</v>
      </c>
      <c r="V1884" s="50">
        <v>0.0</v>
      </c>
      <c r="W1884" s="50">
        <v>0.0</v>
      </c>
      <c r="X1884" s="50">
        <v>2.8125</v>
      </c>
      <c r="Y1884" s="50">
        <v>13.05</v>
      </c>
    </row>
    <row r="1885">
      <c r="A1885" s="26">
        <v>1879.0</v>
      </c>
      <c r="B1885" s="65">
        <v>-0.5388322972560214</v>
      </c>
      <c r="C1885" s="65">
        <v>0.5004733002503022</v>
      </c>
      <c r="D1885" s="65">
        <v>0.5646912433275455</v>
      </c>
      <c r="E1885" s="65">
        <v>1.7193289459516183</v>
      </c>
      <c r="F1885" s="65">
        <v>14.837429326566328</v>
      </c>
      <c r="G1885" s="50">
        <v>0.0</v>
      </c>
      <c r="H1885" s="50">
        <v>0.0</v>
      </c>
      <c r="I1885" s="50">
        <v>0.0</v>
      </c>
      <c r="J1885" s="50">
        <v>0.0</v>
      </c>
      <c r="K1885" s="50">
        <v>0.0</v>
      </c>
      <c r="L1885" s="50">
        <v>0.0</v>
      </c>
      <c r="M1885" s="50">
        <v>0.0</v>
      </c>
      <c r="N1885" s="50">
        <v>0.0</v>
      </c>
      <c r="O1885" s="50">
        <v>0.0</v>
      </c>
      <c r="P1885" s="50">
        <v>0.0</v>
      </c>
      <c r="Q1885" s="50">
        <v>0.0</v>
      </c>
      <c r="R1885" s="50">
        <v>0.0</v>
      </c>
      <c r="S1885" s="50">
        <v>0.0</v>
      </c>
      <c r="T1885" s="50">
        <v>2.8125</v>
      </c>
      <c r="U1885" s="50">
        <v>0.0</v>
      </c>
      <c r="V1885" s="50">
        <v>0.0</v>
      </c>
      <c r="W1885" s="50">
        <v>0.0</v>
      </c>
      <c r="X1885" s="50">
        <v>2.8125</v>
      </c>
      <c r="Y1885" s="50">
        <v>5.625</v>
      </c>
    </row>
    <row r="1886">
      <c r="A1886" s="26">
        <v>1880.0</v>
      </c>
      <c r="B1886" s="65">
        <v>1.1460279483964249</v>
      </c>
      <c r="C1886" s="65">
        <v>-1.0140838214279169</v>
      </c>
      <c r="D1886" s="65">
        <v>-0.6046664141028093</v>
      </c>
      <c r="E1886" s="65">
        <v>0.2007966732661889</v>
      </c>
      <c r="F1886" s="65">
        <v>1.5716216754432026</v>
      </c>
      <c r="G1886" s="50">
        <v>0.0</v>
      </c>
      <c r="H1886" s="50">
        <v>0.0</v>
      </c>
      <c r="I1886" s="50">
        <v>0.0</v>
      </c>
      <c r="J1886" s="50">
        <v>0.0</v>
      </c>
      <c r="K1886" s="50">
        <v>0.0</v>
      </c>
      <c r="L1886" s="50">
        <v>0.0</v>
      </c>
      <c r="M1886" s="50">
        <v>0.0</v>
      </c>
      <c r="N1886" s="50">
        <v>0.0</v>
      </c>
      <c r="O1886" s="50">
        <v>7.425000000000001</v>
      </c>
      <c r="P1886" s="50">
        <v>0.0</v>
      </c>
      <c r="Q1886" s="50">
        <v>0.0</v>
      </c>
      <c r="R1886" s="50">
        <v>0.0</v>
      </c>
      <c r="S1886" s="50">
        <v>0.0</v>
      </c>
      <c r="T1886" s="50">
        <v>2.8125</v>
      </c>
      <c r="U1886" s="50">
        <v>0.0</v>
      </c>
      <c r="V1886" s="50">
        <v>0.0</v>
      </c>
      <c r="W1886" s="50">
        <v>0.0</v>
      </c>
      <c r="X1886" s="50">
        <v>2.8125</v>
      </c>
      <c r="Y1886" s="50">
        <v>13.05</v>
      </c>
    </row>
    <row r="1887">
      <c r="A1887" s="26">
        <v>1881.0</v>
      </c>
      <c r="B1887" s="65">
        <v>-2.169469103191134</v>
      </c>
      <c r="C1887" s="65">
        <v>-0.7123571843808283</v>
      </c>
      <c r="D1887" s="65">
        <v>0.40546358886485656</v>
      </c>
      <c r="E1887" s="65">
        <v>-0.42786380890942016</v>
      </c>
      <c r="F1887" s="65">
        <v>4.768343843319163</v>
      </c>
      <c r="G1887" s="50">
        <v>0.0</v>
      </c>
      <c r="H1887" s="50">
        <v>0.0</v>
      </c>
      <c r="I1887" s="50">
        <v>0.0</v>
      </c>
      <c r="J1887" s="50">
        <v>0.0</v>
      </c>
      <c r="K1887" s="50">
        <v>0.0</v>
      </c>
      <c r="L1887" s="50">
        <v>0.0</v>
      </c>
      <c r="M1887" s="50">
        <v>0.0</v>
      </c>
      <c r="N1887" s="50">
        <v>0.0</v>
      </c>
      <c r="O1887" s="50">
        <v>7.425000000000001</v>
      </c>
      <c r="P1887" s="50">
        <v>0.0</v>
      </c>
      <c r="Q1887" s="50">
        <v>0.0</v>
      </c>
      <c r="R1887" s="50">
        <v>9.9</v>
      </c>
      <c r="S1887" s="50">
        <v>0.0</v>
      </c>
      <c r="T1887" s="50">
        <v>2.8125</v>
      </c>
      <c r="U1887" s="50">
        <v>0.0</v>
      </c>
      <c r="V1887" s="50">
        <v>5.625</v>
      </c>
      <c r="W1887" s="50">
        <v>0.0</v>
      </c>
      <c r="X1887" s="50">
        <v>2.8125</v>
      </c>
      <c r="Y1887" s="50">
        <v>28.575000000000003</v>
      </c>
    </row>
    <row r="1888">
      <c r="A1888" s="26">
        <v>1882.0</v>
      </c>
      <c r="B1888" s="65">
        <v>-0.020658907586567</v>
      </c>
      <c r="C1888" s="65">
        <v>0.550154841569482</v>
      </c>
      <c r="D1888" s="65">
        <v>0.43104444859829033</v>
      </c>
      <c r="E1888" s="65">
        <v>1.132727028615516</v>
      </c>
      <c r="F1888" s="65">
        <v>1.1794090688580179</v>
      </c>
      <c r="G1888" s="50">
        <v>0.0</v>
      </c>
      <c r="H1888" s="50">
        <v>0.0</v>
      </c>
      <c r="I1888" s="50">
        <v>0.0</v>
      </c>
      <c r="J1888" s="50">
        <v>0.0</v>
      </c>
      <c r="K1888" s="50">
        <v>0.0</v>
      </c>
      <c r="L1888" s="50">
        <v>0.0</v>
      </c>
      <c r="M1888" s="50">
        <v>0.0</v>
      </c>
      <c r="N1888" s="50">
        <v>0.0</v>
      </c>
      <c r="O1888" s="50">
        <v>7.425000000000001</v>
      </c>
      <c r="P1888" s="50">
        <v>0.0</v>
      </c>
      <c r="Q1888" s="50">
        <v>0.0</v>
      </c>
      <c r="R1888" s="50">
        <v>9.9</v>
      </c>
      <c r="S1888" s="50">
        <v>0.0</v>
      </c>
      <c r="T1888" s="50">
        <v>2.8125</v>
      </c>
      <c r="U1888" s="50">
        <v>0.0</v>
      </c>
      <c r="V1888" s="50">
        <v>5.625</v>
      </c>
      <c r="W1888" s="50">
        <v>0.0</v>
      </c>
      <c r="X1888" s="50">
        <v>2.8125</v>
      </c>
      <c r="Y1888" s="50">
        <v>28.575000000000003</v>
      </c>
    </row>
    <row r="1889">
      <c r="A1889" s="26">
        <v>1883.0</v>
      </c>
      <c r="B1889" s="65">
        <v>0.29440006228793897</v>
      </c>
      <c r="C1889" s="65">
        <v>-0.1519781167279053</v>
      </c>
      <c r="D1889" s="65">
        <v>3.393899883262046</v>
      </c>
      <c r="E1889" s="65">
        <v>-0.8555003025598382</v>
      </c>
      <c r="F1889" s="65">
        <v>6.494403871590211</v>
      </c>
      <c r="G1889" s="50">
        <v>0.0</v>
      </c>
      <c r="H1889" s="50">
        <v>0.0</v>
      </c>
      <c r="I1889" s="50">
        <v>0.0</v>
      </c>
      <c r="J1889" s="50">
        <v>0.0</v>
      </c>
      <c r="K1889" s="50">
        <v>0.0</v>
      </c>
      <c r="L1889" s="50">
        <v>0.0</v>
      </c>
      <c r="M1889" s="50">
        <v>0.0</v>
      </c>
      <c r="N1889" s="50">
        <v>0.0</v>
      </c>
      <c r="O1889" s="50">
        <v>0.0</v>
      </c>
      <c r="P1889" s="50">
        <v>0.0</v>
      </c>
      <c r="Q1889" s="50">
        <v>0.0</v>
      </c>
      <c r="R1889" s="50">
        <v>0.0</v>
      </c>
      <c r="S1889" s="50">
        <v>0.0</v>
      </c>
      <c r="T1889" s="50">
        <v>2.8125</v>
      </c>
      <c r="U1889" s="50">
        <v>0.0</v>
      </c>
      <c r="V1889" s="50">
        <v>5.625</v>
      </c>
      <c r="W1889" s="50">
        <v>0.0</v>
      </c>
      <c r="X1889" s="50">
        <v>2.8125</v>
      </c>
      <c r="Y1889" s="50">
        <v>11.25</v>
      </c>
    </row>
    <row r="1890">
      <c r="A1890" s="26">
        <v>1884.0</v>
      </c>
      <c r="B1890" s="65">
        <v>0.3103156483920753</v>
      </c>
      <c r="C1890" s="65">
        <v>-0.290828619200279</v>
      </c>
      <c r="D1890" s="65">
        <v>-0.053342153679256085</v>
      </c>
      <c r="E1890" s="65">
        <v>-0.3786433729392118</v>
      </c>
      <c r="F1890" s="65">
        <v>5.578460773914607</v>
      </c>
      <c r="G1890" s="50">
        <v>0.0</v>
      </c>
      <c r="H1890" s="50">
        <v>0.0</v>
      </c>
      <c r="I1890" s="50">
        <v>0.0</v>
      </c>
      <c r="J1890" s="50">
        <v>0.0</v>
      </c>
      <c r="K1890" s="50">
        <v>0.0</v>
      </c>
      <c r="L1890" s="50">
        <v>0.0</v>
      </c>
      <c r="M1890" s="50">
        <v>0.0</v>
      </c>
      <c r="N1890" s="50">
        <v>0.0</v>
      </c>
      <c r="O1890" s="50">
        <v>0.0</v>
      </c>
      <c r="P1890" s="50">
        <v>0.0</v>
      </c>
      <c r="Q1890" s="50">
        <v>0.0</v>
      </c>
      <c r="R1890" s="50">
        <v>0.0</v>
      </c>
      <c r="S1890" s="50">
        <v>0.0</v>
      </c>
      <c r="T1890" s="50">
        <v>2.8125</v>
      </c>
      <c r="U1890" s="50">
        <v>0.0</v>
      </c>
      <c r="V1890" s="50">
        <v>5.625</v>
      </c>
      <c r="W1890" s="50">
        <v>0.0</v>
      </c>
      <c r="X1890" s="50">
        <v>2.8125</v>
      </c>
      <c r="Y1890" s="50">
        <v>11.25</v>
      </c>
    </row>
    <row r="1891">
      <c r="A1891" s="26">
        <v>1885.0</v>
      </c>
      <c r="B1891" s="65">
        <v>0.05670485280826075</v>
      </c>
      <c r="C1891" s="65">
        <v>1.3521780339647929</v>
      </c>
      <c r="D1891" s="65">
        <v>-0.5701986152880341</v>
      </c>
      <c r="E1891" s="65">
        <v>0.11612861073169659</v>
      </c>
      <c r="F1891" s="65">
        <v>5.266608764773638</v>
      </c>
      <c r="G1891" s="50">
        <v>0.0</v>
      </c>
      <c r="H1891" s="50">
        <v>0.0</v>
      </c>
      <c r="I1891" s="50">
        <v>0.0</v>
      </c>
      <c r="J1891" s="50">
        <v>0.0</v>
      </c>
      <c r="K1891" s="50">
        <v>0.0</v>
      </c>
      <c r="L1891" s="50">
        <v>0.0</v>
      </c>
      <c r="M1891" s="50">
        <v>0.0</v>
      </c>
      <c r="N1891" s="50">
        <v>0.0</v>
      </c>
      <c r="O1891" s="50">
        <v>0.0</v>
      </c>
      <c r="P1891" s="50">
        <v>2.475</v>
      </c>
      <c r="Q1891" s="50">
        <v>0.0</v>
      </c>
      <c r="R1891" s="50">
        <v>0.0</v>
      </c>
      <c r="S1891" s="50">
        <v>0.0</v>
      </c>
      <c r="T1891" s="50">
        <v>2.8125</v>
      </c>
      <c r="U1891" s="50">
        <v>0.0</v>
      </c>
      <c r="V1891" s="50">
        <v>0.0</v>
      </c>
      <c r="W1891" s="50">
        <v>0.0</v>
      </c>
      <c r="X1891" s="50">
        <v>2.8125</v>
      </c>
      <c r="Y1891" s="50">
        <v>8.1</v>
      </c>
    </row>
    <row r="1892">
      <c r="A1892" s="26">
        <v>1886.0</v>
      </c>
      <c r="B1892" s="65">
        <v>-1.4073041931283712</v>
      </c>
      <c r="C1892" s="65">
        <v>-1.3107904700625022</v>
      </c>
      <c r="D1892" s="65">
        <v>-1.360293742016013</v>
      </c>
      <c r="E1892" s="65">
        <v>-0.6294740738413941</v>
      </c>
      <c r="F1892" s="65">
        <v>3.857389993597759</v>
      </c>
      <c r="G1892" s="50">
        <v>0.0</v>
      </c>
      <c r="H1892" s="50">
        <v>0.0</v>
      </c>
      <c r="I1892" s="50">
        <v>0.0</v>
      </c>
      <c r="J1892" s="50">
        <v>0.0</v>
      </c>
      <c r="K1892" s="50">
        <v>0.0</v>
      </c>
      <c r="L1892" s="50">
        <v>0.0</v>
      </c>
      <c r="M1892" s="50">
        <v>0.0</v>
      </c>
      <c r="N1892" s="50">
        <v>0.0</v>
      </c>
      <c r="O1892" s="50">
        <v>7.425000000000001</v>
      </c>
      <c r="P1892" s="50">
        <v>0.0</v>
      </c>
      <c r="Q1892" s="50">
        <v>0.0</v>
      </c>
      <c r="R1892" s="50">
        <v>0.0</v>
      </c>
      <c r="S1892" s="50">
        <v>0.0</v>
      </c>
      <c r="T1892" s="50">
        <v>2.8125</v>
      </c>
      <c r="U1892" s="50">
        <v>9.9</v>
      </c>
      <c r="V1892" s="50">
        <v>5.625</v>
      </c>
      <c r="W1892" s="50">
        <v>0.0</v>
      </c>
      <c r="X1892" s="50">
        <v>2.8125</v>
      </c>
      <c r="Y1892" s="50">
        <v>28.575000000000003</v>
      </c>
    </row>
    <row r="1893">
      <c r="A1893" s="26">
        <v>1887.0</v>
      </c>
      <c r="B1893" s="65">
        <v>-0.4564726869186949</v>
      </c>
      <c r="C1893" s="65">
        <v>0.01664364663286196</v>
      </c>
      <c r="D1893" s="65">
        <v>0.5420002834685658</v>
      </c>
      <c r="E1893" s="65">
        <v>0.08516786994024296</v>
      </c>
      <c r="F1893" s="65">
        <v>2.41337831241231</v>
      </c>
      <c r="G1893" s="50">
        <v>0.0</v>
      </c>
      <c r="H1893" s="50">
        <v>0.0</v>
      </c>
      <c r="I1893" s="50">
        <v>0.0</v>
      </c>
      <c r="J1893" s="50">
        <v>0.0</v>
      </c>
      <c r="K1893" s="50">
        <v>0.0</v>
      </c>
      <c r="L1893" s="50">
        <v>0.0</v>
      </c>
      <c r="M1893" s="50">
        <v>0.0</v>
      </c>
      <c r="N1893" s="50">
        <v>0.0</v>
      </c>
      <c r="O1893" s="50">
        <v>0.0</v>
      </c>
      <c r="P1893" s="50">
        <v>0.0</v>
      </c>
      <c r="Q1893" s="50">
        <v>0.0</v>
      </c>
      <c r="R1893" s="50">
        <v>0.0</v>
      </c>
      <c r="S1893" s="50">
        <v>0.0</v>
      </c>
      <c r="T1893" s="50">
        <v>2.8125</v>
      </c>
      <c r="U1893" s="50">
        <v>0.0</v>
      </c>
      <c r="V1893" s="50">
        <v>0.0</v>
      </c>
      <c r="W1893" s="50">
        <v>0.0</v>
      </c>
      <c r="X1893" s="50">
        <v>2.8125</v>
      </c>
      <c r="Y1893" s="50">
        <v>5.625</v>
      </c>
    </row>
    <row r="1894">
      <c r="A1894" s="26">
        <v>1888.0</v>
      </c>
      <c r="B1894" s="65">
        <v>0.1078017838041269</v>
      </c>
      <c r="C1894" s="65">
        <v>-0.7636498578541976</v>
      </c>
      <c r="D1894" s="65">
        <v>1.1878878369244694</v>
      </c>
      <c r="E1894" s="65">
        <v>0.6753980212447989</v>
      </c>
      <c r="F1894" s="65">
        <v>2.6836342959504664</v>
      </c>
      <c r="G1894" s="50">
        <v>0.0</v>
      </c>
      <c r="H1894" s="50">
        <v>0.0</v>
      </c>
      <c r="I1894" s="50">
        <v>0.0</v>
      </c>
      <c r="J1894" s="50">
        <v>0.0</v>
      </c>
      <c r="K1894" s="50">
        <v>0.0</v>
      </c>
      <c r="L1894" s="50">
        <v>0.0</v>
      </c>
      <c r="M1894" s="50">
        <v>0.0</v>
      </c>
      <c r="N1894" s="50">
        <v>0.0</v>
      </c>
      <c r="O1894" s="50">
        <v>0.0</v>
      </c>
      <c r="P1894" s="50">
        <v>0.0</v>
      </c>
      <c r="Q1894" s="50">
        <v>0.0</v>
      </c>
      <c r="R1894" s="50">
        <v>0.0</v>
      </c>
      <c r="S1894" s="50">
        <v>0.0</v>
      </c>
      <c r="T1894" s="50">
        <v>2.8125</v>
      </c>
      <c r="U1894" s="50">
        <v>0.0</v>
      </c>
      <c r="V1894" s="50">
        <v>0.0</v>
      </c>
      <c r="W1894" s="50">
        <v>0.0</v>
      </c>
      <c r="X1894" s="50">
        <v>2.8125</v>
      </c>
      <c r="Y1894" s="50">
        <v>5.625</v>
      </c>
    </row>
    <row r="1895">
      <c r="A1895" s="26">
        <v>1889.0</v>
      </c>
      <c r="B1895" s="65">
        <v>-0.6272661455016825</v>
      </c>
      <c r="C1895" s="65">
        <v>-0.5961519526328843</v>
      </c>
      <c r="D1895" s="65">
        <v>-0.2329247281006816</v>
      </c>
      <c r="E1895" s="65">
        <v>0.07153172807524763</v>
      </c>
      <c r="F1895" s="65">
        <v>6.568809509280712</v>
      </c>
      <c r="G1895" s="50">
        <v>0.0</v>
      </c>
      <c r="H1895" s="50">
        <v>0.0</v>
      </c>
      <c r="I1895" s="50">
        <v>0.0</v>
      </c>
      <c r="J1895" s="50">
        <v>0.0</v>
      </c>
      <c r="K1895" s="50">
        <v>0.0</v>
      </c>
      <c r="L1895" s="50">
        <v>0.0</v>
      </c>
      <c r="M1895" s="50">
        <v>0.0</v>
      </c>
      <c r="N1895" s="50">
        <v>0.0</v>
      </c>
      <c r="O1895" s="50">
        <v>0.0</v>
      </c>
      <c r="P1895" s="50">
        <v>0.0</v>
      </c>
      <c r="Q1895" s="50">
        <v>0.0</v>
      </c>
      <c r="R1895" s="50">
        <v>0.0</v>
      </c>
      <c r="S1895" s="50">
        <v>0.0</v>
      </c>
      <c r="T1895" s="50">
        <v>2.8125</v>
      </c>
      <c r="U1895" s="50">
        <v>0.0</v>
      </c>
      <c r="V1895" s="50">
        <v>0.0</v>
      </c>
      <c r="W1895" s="50">
        <v>0.0</v>
      </c>
      <c r="X1895" s="50">
        <v>2.8125</v>
      </c>
      <c r="Y1895" s="50">
        <v>5.625</v>
      </c>
    </row>
    <row r="1896">
      <c r="A1896" s="26">
        <v>1890.0</v>
      </c>
      <c r="B1896" s="65">
        <v>1.378265904561848</v>
      </c>
      <c r="C1896" s="65">
        <v>-0.4973383158134577</v>
      </c>
      <c r="D1896" s="65">
        <v>0.8153160358428436</v>
      </c>
      <c r="E1896" s="65">
        <v>0.8552190747981768</v>
      </c>
      <c r="F1896" s="65">
        <v>4.769509959074471</v>
      </c>
      <c r="G1896" s="50">
        <v>0.0</v>
      </c>
      <c r="H1896" s="50">
        <v>0.0</v>
      </c>
      <c r="I1896" s="50">
        <v>0.0</v>
      </c>
      <c r="J1896" s="50">
        <v>0.0</v>
      </c>
      <c r="K1896" s="50">
        <v>0.0</v>
      </c>
      <c r="L1896" s="50">
        <v>0.0</v>
      </c>
      <c r="M1896" s="50">
        <v>0.0</v>
      </c>
      <c r="N1896" s="50">
        <v>0.0</v>
      </c>
      <c r="O1896" s="50">
        <v>0.0</v>
      </c>
      <c r="P1896" s="50">
        <v>0.0</v>
      </c>
      <c r="Q1896" s="50">
        <v>0.0</v>
      </c>
      <c r="R1896" s="50">
        <v>0.0</v>
      </c>
      <c r="S1896" s="50">
        <v>0.0</v>
      </c>
      <c r="T1896" s="50">
        <v>2.8125</v>
      </c>
      <c r="U1896" s="50">
        <v>0.0</v>
      </c>
      <c r="V1896" s="50">
        <v>0.0</v>
      </c>
      <c r="W1896" s="50">
        <v>0.0</v>
      </c>
      <c r="X1896" s="50">
        <v>2.8125</v>
      </c>
      <c r="Y1896" s="50">
        <v>5.625</v>
      </c>
    </row>
    <row r="1897">
      <c r="A1897" s="26">
        <v>1891.0</v>
      </c>
      <c r="B1897" s="65">
        <v>0.6346798608198938</v>
      </c>
      <c r="C1897" s="65">
        <v>0.19901413537293278</v>
      </c>
      <c r="D1897" s="65">
        <v>-0.1653963397875265</v>
      </c>
      <c r="E1897" s="65">
        <v>-1.616563400548805</v>
      </c>
      <c r="F1897" s="65">
        <v>7.3347683141656965</v>
      </c>
      <c r="G1897" s="50">
        <v>0.0</v>
      </c>
      <c r="H1897" s="50">
        <v>0.0</v>
      </c>
      <c r="I1897" s="50">
        <v>0.0</v>
      </c>
      <c r="J1897" s="50">
        <v>0.0</v>
      </c>
      <c r="K1897" s="50">
        <v>0.0</v>
      </c>
      <c r="L1897" s="50">
        <v>0.0</v>
      </c>
      <c r="M1897" s="50">
        <v>0.0</v>
      </c>
      <c r="N1897" s="50">
        <v>0.0</v>
      </c>
      <c r="O1897" s="50">
        <v>0.0</v>
      </c>
      <c r="P1897" s="50">
        <v>0.0</v>
      </c>
      <c r="Q1897" s="50">
        <v>0.0</v>
      </c>
      <c r="R1897" s="50">
        <v>0.0</v>
      </c>
      <c r="S1897" s="50">
        <v>0.0</v>
      </c>
      <c r="T1897" s="50">
        <v>2.8125</v>
      </c>
      <c r="U1897" s="50">
        <v>9.9</v>
      </c>
      <c r="V1897" s="50">
        <v>0.0</v>
      </c>
      <c r="W1897" s="50">
        <v>0.0</v>
      </c>
      <c r="X1897" s="50">
        <v>2.8125</v>
      </c>
      <c r="Y1897" s="50">
        <v>15.525</v>
      </c>
    </row>
    <row r="1898">
      <c r="A1898" s="26">
        <v>1892.0</v>
      </c>
      <c r="B1898" s="65">
        <v>-0.3190424553856183</v>
      </c>
      <c r="C1898" s="65">
        <v>-0.21209085497655697</v>
      </c>
      <c r="D1898" s="65">
        <v>-0.7879546681293623</v>
      </c>
      <c r="E1898" s="65">
        <v>-0.9177327153353994</v>
      </c>
      <c r="F1898" s="65">
        <v>3.8271690691258975</v>
      </c>
      <c r="G1898" s="50">
        <v>0.0</v>
      </c>
      <c r="H1898" s="50">
        <v>0.0</v>
      </c>
      <c r="I1898" s="50">
        <v>0.0</v>
      </c>
      <c r="J1898" s="50">
        <v>0.0</v>
      </c>
      <c r="K1898" s="50">
        <v>0.0</v>
      </c>
      <c r="L1898" s="50">
        <v>0.0</v>
      </c>
      <c r="M1898" s="50">
        <v>0.0</v>
      </c>
      <c r="N1898" s="50">
        <v>0.0</v>
      </c>
      <c r="O1898" s="50">
        <v>0.0</v>
      </c>
      <c r="P1898" s="50">
        <v>0.0</v>
      </c>
      <c r="Q1898" s="50">
        <v>0.0</v>
      </c>
      <c r="R1898" s="50">
        <v>0.0</v>
      </c>
      <c r="S1898" s="50">
        <v>0.0</v>
      </c>
      <c r="T1898" s="50">
        <v>2.8125</v>
      </c>
      <c r="U1898" s="50">
        <v>0.0</v>
      </c>
      <c r="V1898" s="50">
        <v>5.625</v>
      </c>
      <c r="W1898" s="50">
        <v>4.95</v>
      </c>
      <c r="X1898" s="50">
        <v>2.8125</v>
      </c>
      <c r="Y1898" s="50">
        <v>16.2</v>
      </c>
    </row>
    <row r="1899">
      <c r="A1899" s="26">
        <v>1893.0</v>
      </c>
      <c r="B1899" s="65">
        <v>-0.5251457595460218</v>
      </c>
      <c r="C1899" s="65">
        <v>0.326363233091025</v>
      </c>
      <c r="D1899" s="65">
        <v>-0.374247216923533</v>
      </c>
      <c r="E1899" s="65">
        <v>0.006155309354635712</v>
      </c>
      <c r="F1899" s="65">
        <v>4.197817829052968</v>
      </c>
      <c r="G1899" s="50">
        <v>0.0</v>
      </c>
      <c r="H1899" s="50">
        <v>0.0</v>
      </c>
      <c r="I1899" s="50">
        <v>0.0</v>
      </c>
      <c r="J1899" s="50">
        <v>0.0</v>
      </c>
      <c r="K1899" s="50">
        <v>0.0</v>
      </c>
      <c r="L1899" s="50">
        <v>0.0</v>
      </c>
      <c r="M1899" s="50">
        <v>0.0</v>
      </c>
      <c r="N1899" s="50">
        <v>0.0</v>
      </c>
      <c r="O1899" s="50">
        <v>7.425000000000001</v>
      </c>
      <c r="P1899" s="50">
        <v>0.0</v>
      </c>
      <c r="Q1899" s="50">
        <v>0.0</v>
      </c>
      <c r="R1899" s="50">
        <v>0.0</v>
      </c>
      <c r="S1899" s="50">
        <v>0.0</v>
      </c>
      <c r="T1899" s="50">
        <v>2.8125</v>
      </c>
      <c r="U1899" s="50">
        <v>0.0</v>
      </c>
      <c r="V1899" s="50">
        <v>0.0</v>
      </c>
      <c r="W1899" s="50">
        <v>0.0</v>
      </c>
      <c r="X1899" s="50">
        <v>2.8125</v>
      </c>
      <c r="Y1899" s="50">
        <v>13.05</v>
      </c>
    </row>
    <row r="1900">
      <c r="A1900" s="26">
        <v>1894.0</v>
      </c>
      <c r="B1900" s="65">
        <v>1.4708937619337512</v>
      </c>
      <c r="C1900" s="65">
        <v>-1.1595573148008276</v>
      </c>
      <c r="D1900" s="65">
        <v>-0.9311559871570685</v>
      </c>
      <c r="E1900" s="65">
        <v>1.6734562903343362</v>
      </c>
      <c r="F1900" s="65">
        <v>2.2771034110535204</v>
      </c>
      <c r="G1900" s="50">
        <v>0.0</v>
      </c>
      <c r="H1900" s="50">
        <v>0.0</v>
      </c>
      <c r="I1900" s="50">
        <v>0.0</v>
      </c>
      <c r="J1900" s="50">
        <v>0.0</v>
      </c>
      <c r="K1900" s="50">
        <v>0.0</v>
      </c>
      <c r="L1900" s="50">
        <v>0.0</v>
      </c>
      <c r="M1900" s="50">
        <v>0.0</v>
      </c>
      <c r="N1900" s="50">
        <v>0.0</v>
      </c>
      <c r="O1900" s="50">
        <v>0.0</v>
      </c>
      <c r="P1900" s="50">
        <v>0.0</v>
      </c>
      <c r="Q1900" s="50">
        <v>0.0</v>
      </c>
      <c r="R1900" s="50">
        <v>0.0</v>
      </c>
      <c r="S1900" s="50">
        <v>0.0</v>
      </c>
      <c r="T1900" s="50">
        <v>2.8125</v>
      </c>
      <c r="U1900" s="50">
        <v>0.0</v>
      </c>
      <c r="V1900" s="50">
        <v>0.0</v>
      </c>
      <c r="W1900" s="50">
        <v>0.0</v>
      </c>
      <c r="X1900" s="50">
        <v>2.8125</v>
      </c>
      <c r="Y1900" s="50">
        <v>5.625</v>
      </c>
    </row>
    <row r="1901">
      <c r="A1901" s="26">
        <v>1895.0</v>
      </c>
      <c r="B1901" s="65">
        <v>1.6129371683977365</v>
      </c>
      <c r="C1901" s="65">
        <v>0.1716163078303708</v>
      </c>
      <c r="D1901" s="65">
        <v>0.7234669757320416</v>
      </c>
      <c r="E1901" s="65">
        <v>0.4066878772484401</v>
      </c>
      <c r="F1901" s="65">
        <v>10.583550588065247</v>
      </c>
      <c r="G1901" s="50">
        <v>0.0</v>
      </c>
      <c r="H1901" s="50">
        <v>0.0</v>
      </c>
      <c r="I1901" s="50">
        <v>0.0</v>
      </c>
      <c r="J1901" s="50">
        <v>0.0</v>
      </c>
      <c r="K1901" s="50">
        <v>0.0</v>
      </c>
      <c r="L1901" s="50">
        <v>0.0</v>
      </c>
      <c r="M1901" s="50">
        <v>0.0</v>
      </c>
      <c r="N1901" s="50">
        <v>0.0</v>
      </c>
      <c r="O1901" s="50">
        <v>0.0</v>
      </c>
      <c r="P1901" s="50">
        <v>0.0</v>
      </c>
      <c r="Q1901" s="50">
        <v>0.0</v>
      </c>
      <c r="R1901" s="50">
        <v>0.0</v>
      </c>
      <c r="S1901" s="50">
        <v>0.0</v>
      </c>
      <c r="T1901" s="50">
        <v>2.8125</v>
      </c>
      <c r="U1901" s="50">
        <v>0.0</v>
      </c>
      <c r="V1901" s="50">
        <v>0.0</v>
      </c>
      <c r="W1901" s="50">
        <v>0.0</v>
      </c>
      <c r="X1901" s="50">
        <v>2.8125</v>
      </c>
      <c r="Y1901" s="50">
        <v>5.625</v>
      </c>
    </row>
    <row r="1902">
      <c r="A1902" s="26">
        <v>1896.0</v>
      </c>
      <c r="B1902" s="65">
        <v>-0.6197880469319751</v>
      </c>
      <c r="C1902" s="65">
        <v>0.6723393423274844</v>
      </c>
      <c r="D1902" s="65">
        <v>-0.9043762029778329</v>
      </c>
      <c r="E1902" s="65">
        <v>-0.42493500082930863</v>
      </c>
      <c r="F1902" s="65">
        <v>18.707019642612433</v>
      </c>
      <c r="G1902" s="50">
        <v>0.0</v>
      </c>
      <c r="H1902" s="50">
        <v>0.0</v>
      </c>
      <c r="I1902" s="50">
        <v>0.0</v>
      </c>
      <c r="J1902" s="50">
        <v>0.0</v>
      </c>
      <c r="K1902" s="50">
        <v>0.0</v>
      </c>
      <c r="L1902" s="50">
        <v>0.0</v>
      </c>
      <c r="M1902" s="50">
        <v>0.0</v>
      </c>
      <c r="N1902" s="50">
        <v>0.0</v>
      </c>
      <c r="O1902" s="50">
        <v>0.0</v>
      </c>
      <c r="P1902" s="50">
        <v>0.0</v>
      </c>
      <c r="Q1902" s="50">
        <v>0.0</v>
      </c>
      <c r="R1902" s="50">
        <v>0.0</v>
      </c>
      <c r="S1902" s="50">
        <v>0.0</v>
      </c>
      <c r="T1902" s="50">
        <v>2.8125</v>
      </c>
      <c r="U1902" s="50">
        <v>0.0</v>
      </c>
      <c r="V1902" s="50">
        <v>5.625</v>
      </c>
      <c r="W1902" s="50">
        <v>0.0</v>
      </c>
      <c r="X1902" s="50">
        <v>2.8125</v>
      </c>
      <c r="Y1902" s="50">
        <v>11.25</v>
      </c>
    </row>
    <row r="1903">
      <c r="A1903" s="26">
        <v>1897.0</v>
      </c>
      <c r="B1903" s="65">
        <v>1.144186615973991</v>
      </c>
      <c r="C1903" s="65">
        <v>-0.19517507487348315</v>
      </c>
      <c r="D1903" s="65">
        <v>-0.38262612283006764</v>
      </c>
      <c r="E1903" s="65">
        <v>0.9783271544201613</v>
      </c>
      <c r="F1903" s="65">
        <v>2.6928430631183895</v>
      </c>
      <c r="G1903" s="50">
        <v>0.0</v>
      </c>
      <c r="H1903" s="50">
        <v>0.0</v>
      </c>
      <c r="I1903" s="50">
        <v>0.0</v>
      </c>
      <c r="J1903" s="50">
        <v>0.0</v>
      </c>
      <c r="K1903" s="50">
        <v>0.0</v>
      </c>
      <c r="L1903" s="50">
        <v>0.0</v>
      </c>
      <c r="M1903" s="50">
        <v>0.0</v>
      </c>
      <c r="N1903" s="50">
        <v>0.0</v>
      </c>
      <c r="O1903" s="50">
        <v>0.0</v>
      </c>
      <c r="P1903" s="50">
        <v>0.0</v>
      </c>
      <c r="Q1903" s="50">
        <v>0.0</v>
      </c>
      <c r="R1903" s="50">
        <v>0.0</v>
      </c>
      <c r="S1903" s="50">
        <v>0.0</v>
      </c>
      <c r="T1903" s="50">
        <v>2.8125</v>
      </c>
      <c r="U1903" s="50">
        <v>0.0</v>
      </c>
      <c r="V1903" s="50">
        <v>0.0</v>
      </c>
      <c r="W1903" s="50">
        <v>0.0</v>
      </c>
      <c r="X1903" s="50">
        <v>2.8125</v>
      </c>
      <c r="Y1903" s="50">
        <v>5.625</v>
      </c>
    </row>
    <row r="1904">
      <c r="A1904" s="26">
        <v>1898.0</v>
      </c>
      <c r="B1904" s="65">
        <v>-1.7968997325313016</v>
      </c>
      <c r="C1904" s="65">
        <v>-1.060051081760809</v>
      </c>
      <c r="D1904" s="65">
        <v>0.7756594989988843</v>
      </c>
      <c r="E1904" s="65">
        <v>1.3067168721005253</v>
      </c>
      <c r="F1904" s="65">
        <v>4.508104655350554</v>
      </c>
      <c r="G1904" s="50">
        <v>0.0</v>
      </c>
      <c r="H1904" s="50">
        <v>0.0</v>
      </c>
      <c r="I1904" s="50">
        <v>0.0</v>
      </c>
      <c r="J1904" s="50">
        <v>0.0</v>
      </c>
      <c r="K1904" s="50">
        <v>0.0</v>
      </c>
      <c r="L1904" s="50">
        <v>0.0</v>
      </c>
      <c r="M1904" s="50">
        <v>0.0</v>
      </c>
      <c r="N1904" s="50">
        <v>0.0</v>
      </c>
      <c r="O1904" s="50">
        <v>7.425000000000001</v>
      </c>
      <c r="P1904" s="50">
        <v>0.0</v>
      </c>
      <c r="Q1904" s="50">
        <v>0.0</v>
      </c>
      <c r="R1904" s="50">
        <v>0.0</v>
      </c>
      <c r="S1904" s="50">
        <v>0.0</v>
      </c>
      <c r="T1904" s="50">
        <v>2.8125</v>
      </c>
      <c r="U1904" s="50">
        <v>0.0</v>
      </c>
      <c r="V1904" s="50">
        <v>5.625</v>
      </c>
      <c r="W1904" s="50">
        <v>0.0</v>
      </c>
      <c r="X1904" s="50">
        <v>2.8125</v>
      </c>
      <c r="Y1904" s="50">
        <v>18.675</v>
      </c>
    </row>
    <row r="1905">
      <c r="A1905" s="26">
        <v>1899.0</v>
      </c>
      <c r="B1905" s="65">
        <v>-0.9243829878129864</v>
      </c>
      <c r="C1905" s="65">
        <v>-0.9868765905252856</v>
      </c>
      <c r="D1905" s="65">
        <v>0.9306330067376345</v>
      </c>
      <c r="E1905" s="65">
        <v>-0.06370803784419782</v>
      </c>
      <c r="F1905" s="65">
        <v>7.72288255858271</v>
      </c>
      <c r="G1905" s="50">
        <v>0.0</v>
      </c>
      <c r="H1905" s="50">
        <v>0.0</v>
      </c>
      <c r="I1905" s="50">
        <v>0.0</v>
      </c>
      <c r="J1905" s="50">
        <v>0.0</v>
      </c>
      <c r="K1905" s="50">
        <v>0.0</v>
      </c>
      <c r="L1905" s="50">
        <v>0.0</v>
      </c>
      <c r="M1905" s="50">
        <v>0.0</v>
      </c>
      <c r="N1905" s="50">
        <v>0.0</v>
      </c>
      <c r="O1905" s="50">
        <v>7.425000000000001</v>
      </c>
      <c r="P1905" s="50">
        <v>0.0</v>
      </c>
      <c r="Q1905" s="50">
        <v>0.0</v>
      </c>
      <c r="R1905" s="50">
        <v>9.9</v>
      </c>
      <c r="S1905" s="50">
        <v>0.0</v>
      </c>
      <c r="T1905" s="50">
        <v>2.8125</v>
      </c>
      <c r="U1905" s="50">
        <v>0.0</v>
      </c>
      <c r="V1905" s="50">
        <v>5.625</v>
      </c>
      <c r="W1905" s="50">
        <v>4.95</v>
      </c>
      <c r="X1905" s="50">
        <v>2.8125</v>
      </c>
      <c r="Y1905" s="50">
        <v>33.525000000000006</v>
      </c>
    </row>
    <row r="1906">
      <c r="A1906" s="26">
        <v>1900.0</v>
      </c>
      <c r="B1906" s="65">
        <v>0.10361178980861223</v>
      </c>
      <c r="C1906" s="65">
        <v>-0.6414579339019358</v>
      </c>
      <c r="D1906" s="65">
        <v>0.4804717356337943</v>
      </c>
      <c r="E1906" s="65">
        <v>-0.20725890933875232</v>
      </c>
      <c r="F1906" s="65">
        <v>3.263830488187978</v>
      </c>
      <c r="G1906" s="50">
        <v>0.0</v>
      </c>
      <c r="H1906" s="50">
        <v>0.0</v>
      </c>
      <c r="I1906" s="50">
        <v>0.0</v>
      </c>
      <c r="J1906" s="50">
        <v>0.0</v>
      </c>
      <c r="K1906" s="50">
        <v>0.0</v>
      </c>
      <c r="L1906" s="50">
        <v>0.0</v>
      </c>
      <c r="M1906" s="50">
        <v>0.0</v>
      </c>
      <c r="N1906" s="50">
        <v>0.0</v>
      </c>
      <c r="O1906" s="50">
        <v>0.0</v>
      </c>
      <c r="P1906" s="50">
        <v>0.0</v>
      </c>
      <c r="Q1906" s="50">
        <v>0.0</v>
      </c>
      <c r="R1906" s="50">
        <v>0.0</v>
      </c>
      <c r="S1906" s="50">
        <v>0.0</v>
      </c>
      <c r="T1906" s="50">
        <v>2.8125</v>
      </c>
      <c r="U1906" s="50">
        <v>0.0</v>
      </c>
      <c r="V1906" s="50">
        <v>0.0</v>
      </c>
      <c r="W1906" s="50">
        <v>0.0</v>
      </c>
      <c r="X1906" s="50">
        <v>2.8125</v>
      </c>
      <c r="Y1906" s="50">
        <v>5.625</v>
      </c>
    </row>
    <row r="1907">
      <c r="A1907" s="26">
        <v>1901.0</v>
      </c>
      <c r="B1907" s="65">
        <v>0.8148150167847358</v>
      </c>
      <c r="C1907" s="65">
        <v>-1.1010686866069854</v>
      </c>
      <c r="D1907" s="65">
        <v>0.5065140600099459</v>
      </c>
      <c r="E1907" s="65">
        <v>-0.7683755802431751</v>
      </c>
      <c r="F1907" s="65">
        <v>3.60993294928234</v>
      </c>
      <c r="G1907" s="50">
        <v>0.0</v>
      </c>
      <c r="H1907" s="50">
        <v>0.0</v>
      </c>
      <c r="I1907" s="50">
        <v>0.0</v>
      </c>
      <c r="J1907" s="50">
        <v>0.0</v>
      </c>
      <c r="K1907" s="50">
        <v>0.0</v>
      </c>
      <c r="L1907" s="50">
        <v>0.0</v>
      </c>
      <c r="M1907" s="50">
        <v>0.0</v>
      </c>
      <c r="N1907" s="50">
        <v>0.0</v>
      </c>
      <c r="O1907" s="50">
        <v>0.0</v>
      </c>
      <c r="P1907" s="50">
        <v>0.0</v>
      </c>
      <c r="Q1907" s="50">
        <v>0.0</v>
      </c>
      <c r="R1907" s="50">
        <v>0.0</v>
      </c>
      <c r="S1907" s="50">
        <v>0.0</v>
      </c>
      <c r="T1907" s="50">
        <v>2.8125</v>
      </c>
      <c r="U1907" s="50">
        <v>0.0</v>
      </c>
      <c r="V1907" s="50">
        <v>0.0</v>
      </c>
      <c r="W1907" s="50">
        <v>0.0</v>
      </c>
      <c r="X1907" s="50">
        <v>2.8125</v>
      </c>
      <c r="Y1907" s="50">
        <v>5.625</v>
      </c>
    </row>
    <row r="1908">
      <c r="A1908" s="26">
        <v>1902.0</v>
      </c>
      <c r="B1908" s="65">
        <v>1.2012055189821067</v>
      </c>
      <c r="C1908" s="65">
        <v>1.9024805203790554</v>
      </c>
      <c r="D1908" s="65">
        <v>0.8992933370415749</v>
      </c>
      <c r="E1908" s="65">
        <v>0.8405399401701259</v>
      </c>
      <c r="F1908" s="65">
        <v>2.3329581492848144</v>
      </c>
      <c r="G1908" s="50">
        <v>0.0</v>
      </c>
      <c r="H1908" s="50">
        <v>0.0</v>
      </c>
      <c r="I1908" s="50">
        <v>0.0</v>
      </c>
      <c r="J1908" s="50">
        <v>0.0</v>
      </c>
      <c r="K1908" s="50">
        <v>0.0</v>
      </c>
      <c r="L1908" s="50">
        <v>0.0</v>
      </c>
      <c r="M1908" s="50">
        <v>0.0</v>
      </c>
      <c r="N1908" s="50">
        <v>0.0</v>
      </c>
      <c r="O1908" s="50">
        <v>0.0</v>
      </c>
      <c r="P1908" s="50">
        <v>0.0</v>
      </c>
      <c r="Q1908" s="50">
        <v>0.0</v>
      </c>
      <c r="R1908" s="50">
        <v>0.0</v>
      </c>
      <c r="S1908" s="50">
        <v>0.0</v>
      </c>
      <c r="T1908" s="50">
        <v>2.8125</v>
      </c>
      <c r="U1908" s="50">
        <v>0.0</v>
      </c>
      <c r="V1908" s="50">
        <v>0.0</v>
      </c>
      <c r="W1908" s="50">
        <v>4.95</v>
      </c>
      <c r="X1908" s="50">
        <v>2.8125</v>
      </c>
      <c r="Y1908" s="50">
        <v>10.575</v>
      </c>
    </row>
    <row r="1909">
      <c r="A1909" s="26">
        <v>1903.0</v>
      </c>
      <c r="B1909" s="65">
        <v>-0.7761088557328889</v>
      </c>
      <c r="C1909" s="65">
        <v>1.2307922699160654</v>
      </c>
      <c r="D1909" s="65">
        <v>1.2366526583829558</v>
      </c>
      <c r="E1909" s="65">
        <v>-0.028911326702977226</v>
      </c>
      <c r="F1909" s="65">
        <v>2.212457426642105</v>
      </c>
      <c r="G1909" s="50">
        <v>0.0</v>
      </c>
      <c r="H1909" s="50">
        <v>0.0</v>
      </c>
      <c r="I1909" s="50">
        <v>0.0</v>
      </c>
      <c r="J1909" s="50">
        <v>0.0</v>
      </c>
      <c r="K1909" s="50">
        <v>0.0</v>
      </c>
      <c r="L1909" s="50">
        <v>0.0</v>
      </c>
      <c r="M1909" s="50">
        <v>0.0</v>
      </c>
      <c r="N1909" s="50">
        <v>0.0</v>
      </c>
      <c r="O1909" s="50">
        <v>0.0</v>
      </c>
      <c r="P1909" s="50">
        <v>2.475</v>
      </c>
      <c r="Q1909" s="50">
        <v>0.0</v>
      </c>
      <c r="R1909" s="50">
        <v>0.0</v>
      </c>
      <c r="S1909" s="50">
        <v>0.0</v>
      </c>
      <c r="T1909" s="50">
        <v>2.8125</v>
      </c>
      <c r="U1909" s="50">
        <v>0.0</v>
      </c>
      <c r="V1909" s="50">
        <v>0.0</v>
      </c>
      <c r="W1909" s="50">
        <v>0.0</v>
      </c>
      <c r="X1909" s="50">
        <v>2.8125</v>
      </c>
      <c r="Y1909" s="50">
        <v>8.1</v>
      </c>
    </row>
    <row r="1910">
      <c r="A1910" s="26">
        <v>1904.0</v>
      </c>
      <c r="B1910" s="65">
        <v>-0.3805423300127374</v>
      </c>
      <c r="C1910" s="65">
        <v>-0.4677274909212857</v>
      </c>
      <c r="D1910" s="65">
        <v>0.4517451860381174</v>
      </c>
      <c r="E1910" s="65">
        <v>0.09438932093471782</v>
      </c>
      <c r="F1910" s="65">
        <v>6.06686281634471</v>
      </c>
      <c r="G1910" s="50">
        <v>0.0</v>
      </c>
      <c r="H1910" s="50">
        <v>0.0</v>
      </c>
      <c r="I1910" s="50">
        <v>0.0</v>
      </c>
      <c r="J1910" s="50">
        <v>0.0</v>
      </c>
      <c r="K1910" s="50">
        <v>0.0</v>
      </c>
      <c r="L1910" s="50">
        <v>0.0</v>
      </c>
      <c r="M1910" s="50">
        <v>0.0</v>
      </c>
      <c r="N1910" s="50">
        <v>0.0</v>
      </c>
      <c r="O1910" s="50">
        <v>0.0</v>
      </c>
      <c r="P1910" s="50">
        <v>0.0</v>
      </c>
      <c r="Q1910" s="50">
        <v>0.0</v>
      </c>
      <c r="R1910" s="50">
        <v>0.0</v>
      </c>
      <c r="S1910" s="50">
        <v>0.0</v>
      </c>
      <c r="T1910" s="50">
        <v>2.8125</v>
      </c>
      <c r="U1910" s="50">
        <v>0.0</v>
      </c>
      <c r="V1910" s="50">
        <v>0.0</v>
      </c>
      <c r="W1910" s="50">
        <v>0.0</v>
      </c>
      <c r="X1910" s="50">
        <v>2.8125</v>
      </c>
      <c r="Y1910" s="50">
        <v>5.625</v>
      </c>
    </row>
    <row r="1911">
      <c r="A1911" s="26">
        <v>1905.0</v>
      </c>
      <c r="B1911" s="65">
        <v>-0.5203154587527351</v>
      </c>
      <c r="C1911" s="65">
        <v>-0.24397429297295742</v>
      </c>
      <c r="D1911" s="65">
        <v>1.732663961073079</v>
      </c>
      <c r="E1911" s="65">
        <v>-0.010420715632957865</v>
      </c>
      <c r="F1911" s="65">
        <v>1.1505035797007077</v>
      </c>
      <c r="G1911" s="50">
        <v>0.0</v>
      </c>
      <c r="H1911" s="50">
        <v>0.0</v>
      </c>
      <c r="I1911" s="50">
        <v>0.0</v>
      </c>
      <c r="J1911" s="50">
        <v>0.0</v>
      </c>
      <c r="K1911" s="50">
        <v>0.0</v>
      </c>
      <c r="L1911" s="50">
        <v>0.0</v>
      </c>
      <c r="M1911" s="50">
        <v>0.0</v>
      </c>
      <c r="N1911" s="50">
        <v>0.0</v>
      </c>
      <c r="O1911" s="50">
        <v>7.425000000000001</v>
      </c>
      <c r="P1911" s="50">
        <v>2.475</v>
      </c>
      <c r="Q1911" s="50">
        <v>0.0</v>
      </c>
      <c r="R1911" s="50">
        <v>9.9</v>
      </c>
      <c r="S1911" s="50">
        <v>0.0</v>
      </c>
      <c r="T1911" s="50">
        <v>2.8125</v>
      </c>
      <c r="U1911" s="50">
        <v>0.0</v>
      </c>
      <c r="V1911" s="50">
        <v>5.625</v>
      </c>
      <c r="W1911" s="50">
        <v>0.0</v>
      </c>
      <c r="X1911" s="50">
        <v>2.8125</v>
      </c>
      <c r="Y1911" s="50">
        <v>31.05</v>
      </c>
    </row>
    <row r="1912">
      <c r="A1912" s="26">
        <v>1906.0</v>
      </c>
      <c r="B1912" s="65">
        <v>-0.14853503109492525</v>
      </c>
      <c r="C1912" s="65">
        <v>1.2376479629241004</v>
      </c>
      <c r="D1912" s="65">
        <v>-0.6850207727643879</v>
      </c>
      <c r="E1912" s="65">
        <v>-0.9350253493853987</v>
      </c>
      <c r="F1912" s="65">
        <v>5.161842119379359</v>
      </c>
      <c r="G1912" s="50">
        <v>0.0</v>
      </c>
      <c r="H1912" s="50">
        <v>0.0</v>
      </c>
      <c r="I1912" s="50">
        <v>0.0</v>
      </c>
      <c r="J1912" s="50">
        <v>0.0</v>
      </c>
      <c r="K1912" s="50">
        <v>0.0</v>
      </c>
      <c r="L1912" s="50">
        <v>0.0</v>
      </c>
      <c r="M1912" s="50">
        <v>0.0</v>
      </c>
      <c r="N1912" s="50">
        <v>0.0</v>
      </c>
      <c r="O1912" s="50">
        <v>0.0</v>
      </c>
      <c r="P1912" s="50">
        <v>0.0</v>
      </c>
      <c r="Q1912" s="50">
        <v>0.0</v>
      </c>
      <c r="R1912" s="50">
        <v>0.0</v>
      </c>
      <c r="S1912" s="50">
        <v>0.0</v>
      </c>
      <c r="T1912" s="50">
        <v>2.8125</v>
      </c>
      <c r="U1912" s="50">
        <v>9.9</v>
      </c>
      <c r="V1912" s="50">
        <v>0.0</v>
      </c>
      <c r="W1912" s="50">
        <v>0.0</v>
      </c>
      <c r="X1912" s="50">
        <v>2.8125</v>
      </c>
      <c r="Y1912" s="50">
        <v>15.525</v>
      </c>
    </row>
    <row r="1913">
      <c r="A1913" s="26">
        <v>1907.0</v>
      </c>
      <c r="B1913" s="65">
        <v>-1.8781838164105682</v>
      </c>
      <c r="C1913" s="65">
        <v>1.3890463732430978</v>
      </c>
      <c r="D1913" s="65">
        <v>0.07939819409070219</v>
      </c>
      <c r="E1913" s="65">
        <v>0.5331689356651655</v>
      </c>
      <c r="F1913" s="65">
        <v>7.53003438501535</v>
      </c>
      <c r="G1913" s="50">
        <v>0.0</v>
      </c>
      <c r="H1913" s="50">
        <v>0.0</v>
      </c>
      <c r="I1913" s="50">
        <v>0.0</v>
      </c>
      <c r="J1913" s="50">
        <v>0.0</v>
      </c>
      <c r="K1913" s="50">
        <v>0.0</v>
      </c>
      <c r="L1913" s="50">
        <v>0.0</v>
      </c>
      <c r="M1913" s="50">
        <v>0.0</v>
      </c>
      <c r="N1913" s="50">
        <v>0.0</v>
      </c>
      <c r="O1913" s="50">
        <v>0.0</v>
      </c>
      <c r="P1913" s="50">
        <v>0.0</v>
      </c>
      <c r="Q1913" s="50">
        <v>0.0</v>
      </c>
      <c r="R1913" s="50">
        <v>0.0</v>
      </c>
      <c r="S1913" s="50">
        <v>0.0</v>
      </c>
      <c r="T1913" s="50">
        <v>2.8125</v>
      </c>
      <c r="U1913" s="50">
        <v>0.0</v>
      </c>
      <c r="V1913" s="50">
        <v>5.625</v>
      </c>
      <c r="W1913" s="50">
        <v>0.0</v>
      </c>
      <c r="X1913" s="50">
        <v>2.8125</v>
      </c>
      <c r="Y1913" s="50">
        <v>11.25</v>
      </c>
    </row>
    <row r="1914">
      <c r="A1914" s="26">
        <v>1908.0</v>
      </c>
      <c r="B1914" s="65">
        <v>-0.01722031359894689</v>
      </c>
      <c r="C1914" s="65">
        <v>0.8577759854350315</v>
      </c>
      <c r="D1914" s="65">
        <v>0.27982058073656774</v>
      </c>
      <c r="E1914" s="65">
        <v>0.3162229179883683</v>
      </c>
      <c r="F1914" s="65">
        <v>2.2961308434010492</v>
      </c>
      <c r="G1914" s="50">
        <v>0.0</v>
      </c>
      <c r="H1914" s="50">
        <v>0.0</v>
      </c>
      <c r="I1914" s="50">
        <v>0.0</v>
      </c>
      <c r="J1914" s="50">
        <v>0.0</v>
      </c>
      <c r="K1914" s="50">
        <v>0.0</v>
      </c>
      <c r="L1914" s="50">
        <v>0.0</v>
      </c>
      <c r="M1914" s="50">
        <v>0.0</v>
      </c>
      <c r="N1914" s="50">
        <v>0.0</v>
      </c>
      <c r="O1914" s="50">
        <v>0.0</v>
      </c>
      <c r="P1914" s="50">
        <v>0.0</v>
      </c>
      <c r="Q1914" s="50">
        <v>0.0</v>
      </c>
      <c r="R1914" s="50">
        <v>0.0</v>
      </c>
      <c r="S1914" s="50">
        <v>0.0</v>
      </c>
      <c r="T1914" s="50">
        <v>2.8125</v>
      </c>
      <c r="U1914" s="50">
        <v>0.0</v>
      </c>
      <c r="V1914" s="50">
        <v>5.625</v>
      </c>
      <c r="W1914" s="50">
        <v>4.95</v>
      </c>
      <c r="X1914" s="50">
        <v>2.8125</v>
      </c>
      <c r="Y1914" s="50">
        <v>16.2</v>
      </c>
    </row>
    <row r="1915">
      <c r="A1915" s="26">
        <v>1909.0</v>
      </c>
      <c r="B1915" s="65">
        <v>-0.7647025383916103</v>
      </c>
      <c r="C1915" s="65">
        <v>1.4234570802184632</v>
      </c>
      <c r="D1915" s="65">
        <v>-0.6852469021281883</v>
      </c>
      <c r="E1915" s="65">
        <v>-0.653974234187034</v>
      </c>
      <c r="F1915" s="65">
        <v>5.3212172456169275</v>
      </c>
      <c r="G1915" s="50">
        <v>0.0</v>
      </c>
      <c r="H1915" s="50">
        <v>0.0</v>
      </c>
      <c r="I1915" s="50">
        <v>0.0</v>
      </c>
      <c r="J1915" s="50">
        <v>0.0</v>
      </c>
      <c r="K1915" s="50">
        <v>0.0</v>
      </c>
      <c r="L1915" s="50">
        <v>0.0</v>
      </c>
      <c r="M1915" s="50">
        <v>0.0</v>
      </c>
      <c r="N1915" s="50">
        <v>0.0</v>
      </c>
      <c r="O1915" s="50">
        <v>0.0</v>
      </c>
      <c r="P1915" s="50">
        <v>0.0</v>
      </c>
      <c r="Q1915" s="50">
        <v>0.0</v>
      </c>
      <c r="R1915" s="50">
        <v>9.9</v>
      </c>
      <c r="S1915" s="50">
        <v>0.0</v>
      </c>
      <c r="T1915" s="50">
        <v>2.8125</v>
      </c>
      <c r="U1915" s="50">
        <v>0.0</v>
      </c>
      <c r="V1915" s="50">
        <v>0.0</v>
      </c>
      <c r="W1915" s="50">
        <v>0.0</v>
      </c>
      <c r="X1915" s="50">
        <v>2.8125</v>
      </c>
      <c r="Y1915" s="50">
        <v>15.525</v>
      </c>
    </row>
    <row r="1916">
      <c r="A1916" s="26">
        <v>1910.0</v>
      </c>
      <c r="B1916" s="65">
        <v>-0.6751147243289748</v>
      </c>
      <c r="C1916" s="65">
        <v>1.300271081919863</v>
      </c>
      <c r="D1916" s="65">
        <v>1.6321930588128375</v>
      </c>
      <c r="E1916" s="65">
        <v>-0.9324912714651642</v>
      </c>
      <c r="F1916" s="65">
        <v>5.781922332390315</v>
      </c>
      <c r="G1916" s="50">
        <v>0.0</v>
      </c>
      <c r="H1916" s="50">
        <v>0.0</v>
      </c>
      <c r="I1916" s="50">
        <v>0.0</v>
      </c>
      <c r="J1916" s="50">
        <v>0.0</v>
      </c>
      <c r="K1916" s="50">
        <v>0.0</v>
      </c>
      <c r="L1916" s="50">
        <v>0.0</v>
      </c>
      <c r="M1916" s="50">
        <v>0.0</v>
      </c>
      <c r="N1916" s="50">
        <v>0.0</v>
      </c>
      <c r="O1916" s="50">
        <v>0.0</v>
      </c>
      <c r="P1916" s="50">
        <v>0.0</v>
      </c>
      <c r="Q1916" s="50">
        <v>0.0</v>
      </c>
      <c r="R1916" s="50">
        <v>0.0</v>
      </c>
      <c r="S1916" s="50">
        <v>0.0</v>
      </c>
      <c r="T1916" s="50">
        <v>2.8125</v>
      </c>
      <c r="U1916" s="50">
        <v>0.0</v>
      </c>
      <c r="V1916" s="50">
        <v>0.0</v>
      </c>
      <c r="W1916" s="50">
        <v>4.95</v>
      </c>
      <c r="X1916" s="50">
        <v>2.8125</v>
      </c>
      <c r="Y1916" s="50">
        <v>10.575</v>
      </c>
    </row>
    <row r="1917">
      <c r="A1917" s="26">
        <v>1911.0</v>
      </c>
      <c r="B1917" s="65">
        <v>-1.4021484044164854</v>
      </c>
      <c r="C1917" s="65">
        <v>-0.12437819921295248</v>
      </c>
      <c r="D1917" s="65">
        <v>0.348749440134863</v>
      </c>
      <c r="E1917" s="65">
        <v>-1.0714463975942197</v>
      </c>
      <c r="F1917" s="65">
        <v>2.7827429494317086</v>
      </c>
      <c r="G1917" s="50">
        <v>0.0</v>
      </c>
      <c r="H1917" s="50">
        <v>0.0</v>
      </c>
      <c r="I1917" s="50">
        <v>0.0</v>
      </c>
      <c r="J1917" s="50">
        <v>0.0</v>
      </c>
      <c r="K1917" s="50">
        <v>0.0</v>
      </c>
      <c r="L1917" s="50">
        <v>0.0</v>
      </c>
      <c r="M1917" s="50">
        <v>0.0</v>
      </c>
      <c r="N1917" s="50">
        <v>0.0</v>
      </c>
      <c r="O1917" s="50">
        <v>7.425000000000001</v>
      </c>
      <c r="P1917" s="50">
        <v>0.0</v>
      </c>
      <c r="Q1917" s="50">
        <v>0.0</v>
      </c>
      <c r="R1917" s="50">
        <v>9.9</v>
      </c>
      <c r="S1917" s="50">
        <v>0.0</v>
      </c>
      <c r="T1917" s="50">
        <v>2.8125</v>
      </c>
      <c r="U1917" s="50">
        <v>9.9</v>
      </c>
      <c r="V1917" s="50">
        <v>5.625</v>
      </c>
      <c r="W1917" s="50">
        <v>0.0</v>
      </c>
      <c r="X1917" s="50">
        <v>2.8125</v>
      </c>
      <c r="Y1917" s="50">
        <v>38.475</v>
      </c>
    </row>
    <row r="1918">
      <c r="A1918" s="26">
        <v>1912.0</v>
      </c>
      <c r="B1918" s="65">
        <v>0.2475006955105805</v>
      </c>
      <c r="C1918" s="65">
        <v>-0.7132081035890089</v>
      </c>
      <c r="D1918" s="65">
        <v>-0.348587219079157</v>
      </c>
      <c r="E1918" s="65">
        <v>-0.22046004359571483</v>
      </c>
      <c r="F1918" s="65">
        <v>1.9891594854317063</v>
      </c>
      <c r="G1918" s="50">
        <v>0.0</v>
      </c>
      <c r="H1918" s="50">
        <v>0.0</v>
      </c>
      <c r="I1918" s="50">
        <v>0.0</v>
      </c>
      <c r="J1918" s="50">
        <v>0.0</v>
      </c>
      <c r="K1918" s="50">
        <v>0.0</v>
      </c>
      <c r="L1918" s="50">
        <v>0.0</v>
      </c>
      <c r="M1918" s="50">
        <v>0.0</v>
      </c>
      <c r="N1918" s="50">
        <v>0.0</v>
      </c>
      <c r="O1918" s="50">
        <v>0.0</v>
      </c>
      <c r="P1918" s="50">
        <v>0.0</v>
      </c>
      <c r="Q1918" s="50">
        <v>0.0</v>
      </c>
      <c r="R1918" s="50">
        <v>0.0</v>
      </c>
      <c r="S1918" s="50">
        <v>0.0</v>
      </c>
      <c r="T1918" s="50">
        <v>2.8125</v>
      </c>
      <c r="U1918" s="50">
        <v>0.0</v>
      </c>
      <c r="V1918" s="50">
        <v>0.0</v>
      </c>
      <c r="W1918" s="50">
        <v>0.0</v>
      </c>
      <c r="X1918" s="50">
        <v>2.8125</v>
      </c>
      <c r="Y1918" s="50">
        <v>5.625</v>
      </c>
    </row>
    <row r="1919">
      <c r="A1919" s="26">
        <v>1913.0</v>
      </c>
      <c r="B1919" s="65">
        <v>0.6024199928199889</v>
      </c>
      <c r="C1919" s="65">
        <v>-0.76487599992496</v>
      </c>
      <c r="D1919" s="65">
        <v>-0.4977164543822306</v>
      </c>
      <c r="E1919" s="65">
        <v>0.1055977839667286</v>
      </c>
      <c r="F1919" s="65">
        <v>2.8953199105257212</v>
      </c>
      <c r="G1919" s="50">
        <v>0.0</v>
      </c>
      <c r="H1919" s="50">
        <v>0.0</v>
      </c>
      <c r="I1919" s="50">
        <v>0.0</v>
      </c>
      <c r="J1919" s="50">
        <v>0.0</v>
      </c>
      <c r="K1919" s="50">
        <v>0.0</v>
      </c>
      <c r="L1919" s="50">
        <v>0.0</v>
      </c>
      <c r="M1919" s="50">
        <v>0.0</v>
      </c>
      <c r="N1919" s="50">
        <v>0.0</v>
      </c>
      <c r="O1919" s="50">
        <v>0.0</v>
      </c>
      <c r="P1919" s="50">
        <v>0.0</v>
      </c>
      <c r="Q1919" s="50">
        <v>0.0</v>
      </c>
      <c r="R1919" s="50">
        <v>0.0</v>
      </c>
      <c r="S1919" s="50">
        <v>0.0</v>
      </c>
      <c r="T1919" s="50">
        <v>2.8125</v>
      </c>
      <c r="U1919" s="50">
        <v>0.0</v>
      </c>
      <c r="V1919" s="50">
        <v>0.0</v>
      </c>
      <c r="W1919" s="50">
        <v>0.0</v>
      </c>
      <c r="X1919" s="50">
        <v>2.8125</v>
      </c>
      <c r="Y1919" s="50">
        <v>5.625</v>
      </c>
    </row>
    <row r="1920">
      <c r="A1920" s="26">
        <v>1914.0</v>
      </c>
      <c r="B1920" s="65">
        <v>1.379327868070126</v>
      </c>
      <c r="C1920" s="65">
        <v>-1.100760587607328</v>
      </c>
      <c r="D1920" s="65">
        <v>-0.7397222846566651</v>
      </c>
      <c r="E1920" s="65">
        <v>-0.5588757710148319</v>
      </c>
      <c r="F1920" s="65">
        <v>2.7502757464306025</v>
      </c>
      <c r="G1920" s="50">
        <v>0.0</v>
      </c>
      <c r="H1920" s="50">
        <v>0.0</v>
      </c>
      <c r="I1920" s="50">
        <v>0.0</v>
      </c>
      <c r="J1920" s="50">
        <v>0.0</v>
      </c>
      <c r="K1920" s="50">
        <v>0.0</v>
      </c>
      <c r="L1920" s="50">
        <v>0.0</v>
      </c>
      <c r="M1920" s="50">
        <v>0.0</v>
      </c>
      <c r="N1920" s="50">
        <v>0.0</v>
      </c>
      <c r="O1920" s="50">
        <v>0.0</v>
      </c>
      <c r="P1920" s="50">
        <v>0.0</v>
      </c>
      <c r="Q1920" s="50">
        <v>0.0</v>
      </c>
      <c r="R1920" s="50">
        <v>0.0</v>
      </c>
      <c r="S1920" s="50">
        <v>0.0</v>
      </c>
      <c r="T1920" s="50">
        <v>2.8125</v>
      </c>
      <c r="U1920" s="50">
        <v>0.0</v>
      </c>
      <c r="V1920" s="50">
        <v>0.0</v>
      </c>
      <c r="W1920" s="50">
        <v>0.0</v>
      </c>
      <c r="X1920" s="50">
        <v>2.8125</v>
      </c>
      <c r="Y1920" s="50">
        <v>5.625</v>
      </c>
    </row>
    <row r="1921">
      <c r="A1921" s="26">
        <v>1915.0</v>
      </c>
      <c r="B1921" s="65">
        <v>-1.1609495624603174</v>
      </c>
      <c r="C1921" s="65">
        <v>-0.5953036390733463</v>
      </c>
      <c r="D1921" s="65">
        <v>1.6523030754705421</v>
      </c>
      <c r="E1921" s="65">
        <v>0.7301324468341479</v>
      </c>
      <c r="F1921" s="65">
        <v>2.0942691725413414</v>
      </c>
      <c r="G1921" s="50">
        <v>0.0</v>
      </c>
      <c r="H1921" s="50">
        <v>0.0</v>
      </c>
      <c r="I1921" s="50">
        <v>0.0</v>
      </c>
      <c r="J1921" s="50">
        <v>0.0</v>
      </c>
      <c r="K1921" s="50">
        <v>0.0</v>
      </c>
      <c r="L1921" s="50">
        <v>0.0</v>
      </c>
      <c r="M1921" s="50">
        <v>0.0</v>
      </c>
      <c r="N1921" s="50">
        <v>0.0</v>
      </c>
      <c r="O1921" s="50">
        <v>7.425000000000001</v>
      </c>
      <c r="P1921" s="50">
        <v>0.0</v>
      </c>
      <c r="Q1921" s="50">
        <v>0.0</v>
      </c>
      <c r="R1921" s="50">
        <v>0.0</v>
      </c>
      <c r="S1921" s="50">
        <v>0.0</v>
      </c>
      <c r="T1921" s="50">
        <v>2.8125</v>
      </c>
      <c r="U1921" s="50">
        <v>9.9</v>
      </c>
      <c r="V1921" s="50">
        <v>0.0</v>
      </c>
      <c r="W1921" s="50">
        <v>4.95</v>
      </c>
      <c r="X1921" s="50">
        <v>2.8125</v>
      </c>
      <c r="Y1921" s="50">
        <v>27.900000000000002</v>
      </c>
    </row>
    <row r="1922">
      <c r="A1922" s="26">
        <v>1916.0</v>
      </c>
      <c r="B1922" s="65">
        <v>0.42343721815856505</v>
      </c>
      <c r="C1922" s="65">
        <v>0.6763543319795339</v>
      </c>
      <c r="D1922" s="65">
        <v>0.8123085589416036</v>
      </c>
      <c r="E1922" s="65">
        <v>-0.2795228936782807</v>
      </c>
      <c r="F1922" s="65">
        <v>0.6805573578827314</v>
      </c>
      <c r="G1922" s="50">
        <v>0.0</v>
      </c>
      <c r="H1922" s="50">
        <v>0.0</v>
      </c>
      <c r="I1922" s="50">
        <v>0.0</v>
      </c>
      <c r="J1922" s="50">
        <v>0.0</v>
      </c>
      <c r="K1922" s="50">
        <v>0.0</v>
      </c>
      <c r="L1922" s="50">
        <v>0.0</v>
      </c>
      <c r="M1922" s="50">
        <v>0.0</v>
      </c>
      <c r="N1922" s="50">
        <v>0.0</v>
      </c>
      <c r="O1922" s="50">
        <v>0.0</v>
      </c>
      <c r="P1922" s="50">
        <v>0.0</v>
      </c>
      <c r="Q1922" s="50">
        <v>0.0</v>
      </c>
      <c r="R1922" s="50">
        <v>0.0</v>
      </c>
      <c r="S1922" s="50">
        <v>0.0</v>
      </c>
      <c r="T1922" s="50">
        <v>2.8125</v>
      </c>
      <c r="U1922" s="50">
        <v>0.0</v>
      </c>
      <c r="V1922" s="50">
        <v>5.625</v>
      </c>
      <c r="W1922" s="50">
        <v>4.95</v>
      </c>
      <c r="X1922" s="50">
        <v>2.8125</v>
      </c>
      <c r="Y1922" s="50">
        <v>16.2</v>
      </c>
    </row>
    <row r="1923">
      <c r="A1923" s="26">
        <v>1917.0</v>
      </c>
      <c r="B1923" s="65">
        <v>0.9474961149522168</v>
      </c>
      <c r="C1923" s="65">
        <v>0.7615364569049693</v>
      </c>
      <c r="D1923" s="65">
        <v>-1.762779830665245</v>
      </c>
      <c r="E1923" s="65">
        <v>0.08581900035984544</v>
      </c>
      <c r="F1923" s="65">
        <v>3.1492023428155167</v>
      </c>
      <c r="G1923" s="50">
        <v>0.0</v>
      </c>
      <c r="H1923" s="50">
        <v>0.0</v>
      </c>
      <c r="I1923" s="50">
        <v>0.0</v>
      </c>
      <c r="J1923" s="50">
        <v>0.0</v>
      </c>
      <c r="K1923" s="50">
        <v>0.0</v>
      </c>
      <c r="L1923" s="50">
        <v>0.0</v>
      </c>
      <c r="M1923" s="50">
        <v>0.0</v>
      </c>
      <c r="N1923" s="50">
        <v>0.0</v>
      </c>
      <c r="O1923" s="50">
        <v>0.0</v>
      </c>
      <c r="P1923" s="50">
        <v>0.0</v>
      </c>
      <c r="Q1923" s="50">
        <v>0.0</v>
      </c>
      <c r="R1923" s="50">
        <v>0.0</v>
      </c>
      <c r="S1923" s="50">
        <v>0.0</v>
      </c>
      <c r="T1923" s="50">
        <v>2.8125</v>
      </c>
      <c r="U1923" s="50">
        <v>0.0</v>
      </c>
      <c r="V1923" s="50">
        <v>0.0</v>
      </c>
      <c r="W1923" s="50">
        <v>0.0</v>
      </c>
      <c r="X1923" s="50">
        <v>2.8125</v>
      </c>
      <c r="Y1923" s="50">
        <v>5.625</v>
      </c>
    </row>
    <row r="1924">
      <c r="A1924" s="26">
        <v>1918.0</v>
      </c>
      <c r="B1924" s="65">
        <v>-1.6542201990550036</v>
      </c>
      <c r="C1924" s="65">
        <v>0.47883518956779364</v>
      </c>
      <c r="D1924" s="65">
        <v>-1.1129851908318527</v>
      </c>
      <c r="E1924" s="65">
        <v>-1.1398174953109828</v>
      </c>
      <c r="F1924" s="65">
        <v>4.300563727872683</v>
      </c>
      <c r="G1924" s="50">
        <v>0.0</v>
      </c>
      <c r="H1924" s="50">
        <v>0.0</v>
      </c>
      <c r="I1924" s="50">
        <v>0.0</v>
      </c>
      <c r="J1924" s="50">
        <v>0.0</v>
      </c>
      <c r="K1924" s="50">
        <v>0.0</v>
      </c>
      <c r="L1924" s="50">
        <v>0.0</v>
      </c>
      <c r="M1924" s="50">
        <v>0.0</v>
      </c>
      <c r="N1924" s="50">
        <v>0.0</v>
      </c>
      <c r="O1924" s="50">
        <v>0.0</v>
      </c>
      <c r="P1924" s="50">
        <v>0.0</v>
      </c>
      <c r="Q1924" s="50">
        <v>0.0</v>
      </c>
      <c r="R1924" s="50">
        <v>9.9</v>
      </c>
      <c r="S1924" s="50">
        <v>0.0</v>
      </c>
      <c r="T1924" s="50">
        <v>2.8125</v>
      </c>
      <c r="U1924" s="50">
        <v>9.9</v>
      </c>
      <c r="V1924" s="50">
        <v>5.625</v>
      </c>
      <c r="W1924" s="50">
        <v>0.0</v>
      </c>
      <c r="X1924" s="50">
        <v>2.8125</v>
      </c>
      <c r="Y1924" s="50">
        <v>31.05</v>
      </c>
    </row>
    <row r="1925">
      <c r="A1925" s="26">
        <v>1919.0</v>
      </c>
      <c r="B1925" s="65">
        <v>0.7285498469044231</v>
      </c>
      <c r="C1925" s="65">
        <v>-0.5413056457580675</v>
      </c>
      <c r="D1925" s="65">
        <v>0.06689633636887445</v>
      </c>
      <c r="E1925" s="65">
        <v>0.9649511011722323</v>
      </c>
      <c r="F1925" s="65">
        <v>2.9667424584373765</v>
      </c>
      <c r="G1925" s="50">
        <v>0.0</v>
      </c>
      <c r="H1925" s="50">
        <v>0.0</v>
      </c>
      <c r="I1925" s="50">
        <v>0.0</v>
      </c>
      <c r="J1925" s="50">
        <v>0.0</v>
      </c>
      <c r="K1925" s="50">
        <v>0.0</v>
      </c>
      <c r="L1925" s="50">
        <v>0.0</v>
      </c>
      <c r="M1925" s="50">
        <v>0.0</v>
      </c>
      <c r="N1925" s="50">
        <v>0.0</v>
      </c>
      <c r="O1925" s="50">
        <v>0.0</v>
      </c>
      <c r="P1925" s="50">
        <v>0.0</v>
      </c>
      <c r="Q1925" s="50">
        <v>0.0</v>
      </c>
      <c r="R1925" s="50">
        <v>0.0</v>
      </c>
      <c r="S1925" s="50">
        <v>0.0</v>
      </c>
      <c r="T1925" s="50">
        <v>2.8125</v>
      </c>
      <c r="U1925" s="50">
        <v>0.0</v>
      </c>
      <c r="V1925" s="50">
        <v>0.0</v>
      </c>
      <c r="W1925" s="50">
        <v>0.0</v>
      </c>
      <c r="X1925" s="50">
        <v>2.8125</v>
      </c>
      <c r="Y1925" s="50">
        <v>5.625</v>
      </c>
    </row>
    <row r="1926">
      <c r="A1926" s="26">
        <v>1920.0</v>
      </c>
      <c r="B1926" s="65">
        <v>-0.42512697728535903</v>
      </c>
      <c r="C1926" s="65">
        <v>-1.8821256742200312</v>
      </c>
      <c r="D1926" s="65">
        <v>0.20857327046909352</v>
      </c>
      <c r="E1926" s="65">
        <v>-0.6451539901088074</v>
      </c>
      <c r="F1926" s="65">
        <v>2.892317648309094</v>
      </c>
      <c r="G1926" s="50">
        <v>0.0</v>
      </c>
      <c r="H1926" s="50">
        <v>0.0</v>
      </c>
      <c r="I1926" s="50">
        <v>0.0</v>
      </c>
      <c r="J1926" s="50">
        <v>0.0</v>
      </c>
      <c r="K1926" s="50">
        <v>0.0</v>
      </c>
      <c r="L1926" s="50">
        <v>0.0</v>
      </c>
      <c r="M1926" s="50">
        <v>0.0</v>
      </c>
      <c r="N1926" s="50">
        <v>0.0</v>
      </c>
      <c r="O1926" s="50">
        <v>7.425000000000001</v>
      </c>
      <c r="P1926" s="50">
        <v>2.475</v>
      </c>
      <c r="Q1926" s="50">
        <v>0.0</v>
      </c>
      <c r="R1926" s="50">
        <v>0.0</v>
      </c>
      <c r="S1926" s="50">
        <v>0.0</v>
      </c>
      <c r="T1926" s="50">
        <v>2.8125</v>
      </c>
      <c r="U1926" s="50">
        <v>0.0</v>
      </c>
      <c r="V1926" s="50">
        <v>0.0</v>
      </c>
      <c r="W1926" s="50">
        <v>0.0</v>
      </c>
      <c r="X1926" s="50">
        <v>2.8125</v>
      </c>
      <c r="Y1926" s="50">
        <v>15.525</v>
      </c>
    </row>
    <row r="1927">
      <c r="A1927" s="26">
        <v>1921.0</v>
      </c>
      <c r="B1927" s="65">
        <v>0.4614216308517531</v>
      </c>
      <c r="C1927" s="65">
        <v>0.1739951757661329</v>
      </c>
      <c r="D1927" s="65">
        <v>-0.6031060053249573</v>
      </c>
      <c r="E1927" s="65">
        <v>-0.6000820039089749</v>
      </c>
      <c r="F1927" s="65">
        <v>2.85456493776378</v>
      </c>
      <c r="G1927" s="50">
        <v>0.0</v>
      </c>
      <c r="H1927" s="50">
        <v>0.0</v>
      </c>
      <c r="I1927" s="50">
        <v>0.0</v>
      </c>
      <c r="J1927" s="50">
        <v>0.0</v>
      </c>
      <c r="K1927" s="50">
        <v>0.0</v>
      </c>
      <c r="L1927" s="50">
        <v>0.0</v>
      </c>
      <c r="M1927" s="50">
        <v>0.0</v>
      </c>
      <c r="N1927" s="50">
        <v>0.0</v>
      </c>
      <c r="O1927" s="50">
        <v>0.0</v>
      </c>
      <c r="P1927" s="50">
        <v>0.0</v>
      </c>
      <c r="Q1927" s="50">
        <v>0.0</v>
      </c>
      <c r="R1927" s="50">
        <v>0.0</v>
      </c>
      <c r="S1927" s="50">
        <v>0.0</v>
      </c>
      <c r="T1927" s="50">
        <v>2.8125</v>
      </c>
      <c r="U1927" s="50">
        <v>0.0</v>
      </c>
      <c r="V1927" s="50">
        <v>0.0</v>
      </c>
      <c r="W1927" s="50">
        <v>0.0</v>
      </c>
      <c r="X1927" s="50">
        <v>2.8125</v>
      </c>
      <c r="Y1927" s="50">
        <v>5.625</v>
      </c>
    </row>
    <row r="1928">
      <c r="A1928" s="26">
        <v>1922.0</v>
      </c>
      <c r="B1928" s="65">
        <v>0.859435175392917</v>
      </c>
      <c r="C1928" s="65">
        <v>0.20901644640519138</v>
      </c>
      <c r="D1928" s="65">
        <v>0.5045381818634874</v>
      </c>
      <c r="E1928" s="65">
        <v>0.6069060237497769</v>
      </c>
      <c r="F1928" s="65">
        <v>9.337938387800712</v>
      </c>
      <c r="G1928" s="50">
        <v>0.0</v>
      </c>
      <c r="H1928" s="50">
        <v>0.0</v>
      </c>
      <c r="I1928" s="50">
        <v>0.0</v>
      </c>
      <c r="J1928" s="50">
        <v>0.0</v>
      </c>
      <c r="K1928" s="50">
        <v>0.0</v>
      </c>
      <c r="L1928" s="50">
        <v>0.0</v>
      </c>
      <c r="M1928" s="50">
        <v>0.0</v>
      </c>
      <c r="N1928" s="50">
        <v>0.0</v>
      </c>
      <c r="O1928" s="50">
        <v>0.0</v>
      </c>
      <c r="P1928" s="50">
        <v>0.0</v>
      </c>
      <c r="Q1928" s="50">
        <v>0.0</v>
      </c>
      <c r="R1928" s="50">
        <v>0.0</v>
      </c>
      <c r="S1928" s="50">
        <v>0.0</v>
      </c>
      <c r="T1928" s="50">
        <v>2.8125</v>
      </c>
      <c r="U1928" s="50">
        <v>0.0</v>
      </c>
      <c r="V1928" s="50">
        <v>0.0</v>
      </c>
      <c r="W1928" s="50">
        <v>0.0</v>
      </c>
      <c r="X1928" s="50">
        <v>2.8125</v>
      </c>
      <c r="Y1928" s="50">
        <v>5.625</v>
      </c>
    </row>
    <row r="1929">
      <c r="A1929" s="26">
        <v>1923.0</v>
      </c>
      <c r="B1929" s="65">
        <v>-1.2694666368400758</v>
      </c>
      <c r="C1929" s="65">
        <v>-0.5284239008250599</v>
      </c>
      <c r="D1929" s="65">
        <v>-0.7537421660274846</v>
      </c>
      <c r="E1929" s="65">
        <v>0.9608638928593886</v>
      </c>
      <c r="F1929" s="65">
        <v>3.60443392650216</v>
      </c>
      <c r="G1929" s="50">
        <v>0.0</v>
      </c>
      <c r="H1929" s="50">
        <v>0.0</v>
      </c>
      <c r="I1929" s="50">
        <v>0.0</v>
      </c>
      <c r="J1929" s="50">
        <v>0.0</v>
      </c>
      <c r="K1929" s="50">
        <v>0.0</v>
      </c>
      <c r="L1929" s="50">
        <v>0.0</v>
      </c>
      <c r="M1929" s="50">
        <v>0.0</v>
      </c>
      <c r="N1929" s="50">
        <v>0.0</v>
      </c>
      <c r="O1929" s="50">
        <v>7.425000000000001</v>
      </c>
      <c r="P1929" s="50">
        <v>0.0</v>
      </c>
      <c r="Q1929" s="50">
        <v>0.0</v>
      </c>
      <c r="R1929" s="50">
        <v>9.9</v>
      </c>
      <c r="S1929" s="50">
        <v>0.0</v>
      </c>
      <c r="T1929" s="50">
        <v>2.8125</v>
      </c>
      <c r="U1929" s="50">
        <v>0.0</v>
      </c>
      <c r="V1929" s="50">
        <v>5.625</v>
      </c>
      <c r="W1929" s="50">
        <v>0.0</v>
      </c>
      <c r="X1929" s="50">
        <v>2.8125</v>
      </c>
      <c r="Y1929" s="50">
        <v>28.575000000000003</v>
      </c>
    </row>
    <row r="1930">
      <c r="A1930" s="26">
        <v>1924.0</v>
      </c>
      <c r="B1930" s="65">
        <v>1.6433516081464883</v>
      </c>
      <c r="C1930" s="65">
        <v>-1.7231039277362503</v>
      </c>
      <c r="D1930" s="65">
        <v>0.6553120308589365</v>
      </c>
      <c r="E1930" s="65">
        <v>0.10445562791503839</v>
      </c>
      <c r="F1930" s="65">
        <v>1.577309321605799</v>
      </c>
      <c r="G1930" s="50">
        <v>0.0</v>
      </c>
      <c r="H1930" s="50">
        <v>0.0</v>
      </c>
      <c r="I1930" s="50">
        <v>0.0</v>
      </c>
      <c r="J1930" s="50">
        <v>0.0</v>
      </c>
      <c r="K1930" s="50">
        <v>0.0</v>
      </c>
      <c r="L1930" s="50">
        <v>0.0</v>
      </c>
      <c r="M1930" s="50">
        <v>0.0</v>
      </c>
      <c r="N1930" s="50">
        <v>0.0</v>
      </c>
      <c r="O1930" s="50">
        <v>0.0</v>
      </c>
      <c r="P1930" s="50">
        <v>0.0</v>
      </c>
      <c r="Q1930" s="50">
        <v>0.0</v>
      </c>
      <c r="R1930" s="50">
        <v>0.0</v>
      </c>
      <c r="S1930" s="50">
        <v>0.0</v>
      </c>
      <c r="T1930" s="50">
        <v>2.8125</v>
      </c>
      <c r="U1930" s="50">
        <v>0.0</v>
      </c>
      <c r="V1930" s="50">
        <v>0.0</v>
      </c>
      <c r="W1930" s="50">
        <v>0.0</v>
      </c>
      <c r="X1930" s="50">
        <v>2.8125</v>
      </c>
      <c r="Y1930" s="50">
        <v>5.625</v>
      </c>
    </row>
    <row r="1931">
      <c r="A1931" s="26">
        <v>1925.0</v>
      </c>
      <c r="B1931" s="65">
        <v>0.6954208295814147</v>
      </c>
      <c r="C1931" s="65">
        <v>1.7664008567300602</v>
      </c>
      <c r="D1931" s="65">
        <v>-0.5945998904810356</v>
      </c>
      <c r="E1931" s="65">
        <v>1.2465928663967385</v>
      </c>
      <c r="F1931" s="65">
        <v>2.7581296197666276</v>
      </c>
      <c r="G1931" s="50">
        <v>0.0</v>
      </c>
      <c r="H1931" s="50">
        <v>0.0</v>
      </c>
      <c r="I1931" s="50">
        <v>0.0</v>
      </c>
      <c r="J1931" s="50">
        <v>0.0</v>
      </c>
      <c r="K1931" s="50">
        <v>0.0</v>
      </c>
      <c r="L1931" s="50">
        <v>0.0</v>
      </c>
      <c r="M1931" s="50">
        <v>0.0</v>
      </c>
      <c r="N1931" s="50">
        <v>0.0</v>
      </c>
      <c r="O1931" s="50">
        <v>0.0</v>
      </c>
      <c r="P1931" s="50">
        <v>0.0</v>
      </c>
      <c r="Q1931" s="50">
        <v>0.0</v>
      </c>
      <c r="R1931" s="50">
        <v>0.0</v>
      </c>
      <c r="S1931" s="50">
        <v>0.0</v>
      </c>
      <c r="T1931" s="50">
        <v>2.8125</v>
      </c>
      <c r="U1931" s="50">
        <v>0.0</v>
      </c>
      <c r="V1931" s="50">
        <v>0.0</v>
      </c>
      <c r="W1931" s="50">
        <v>0.0</v>
      </c>
      <c r="X1931" s="50">
        <v>2.8125</v>
      </c>
      <c r="Y1931" s="50">
        <v>5.625</v>
      </c>
    </row>
    <row r="1932">
      <c r="A1932" s="26">
        <v>1926.0</v>
      </c>
      <c r="B1932" s="65">
        <v>0.19321617645089334</v>
      </c>
      <c r="C1932" s="65">
        <v>1.8725511762805065</v>
      </c>
      <c r="D1932" s="65">
        <v>-0.5086568116059876</v>
      </c>
      <c r="E1932" s="65">
        <v>0.0643582685170675</v>
      </c>
      <c r="F1932" s="65">
        <v>9.407788498506822</v>
      </c>
      <c r="G1932" s="50">
        <v>0.0</v>
      </c>
      <c r="H1932" s="50">
        <v>0.0</v>
      </c>
      <c r="I1932" s="50">
        <v>0.0</v>
      </c>
      <c r="J1932" s="50">
        <v>0.0</v>
      </c>
      <c r="K1932" s="50">
        <v>0.0</v>
      </c>
      <c r="L1932" s="50">
        <v>0.0</v>
      </c>
      <c r="M1932" s="50">
        <v>0.0</v>
      </c>
      <c r="N1932" s="50">
        <v>0.0</v>
      </c>
      <c r="O1932" s="50">
        <v>0.0</v>
      </c>
      <c r="P1932" s="50">
        <v>0.0</v>
      </c>
      <c r="Q1932" s="50">
        <v>0.0</v>
      </c>
      <c r="R1932" s="50">
        <v>9.9</v>
      </c>
      <c r="S1932" s="50">
        <v>0.0</v>
      </c>
      <c r="T1932" s="50">
        <v>2.8125</v>
      </c>
      <c r="U1932" s="50">
        <v>0.0</v>
      </c>
      <c r="V1932" s="50">
        <v>0.0</v>
      </c>
      <c r="W1932" s="50">
        <v>0.0</v>
      </c>
      <c r="X1932" s="50">
        <v>2.8125</v>
      </c>
      <c r="Y1932" s="50">
        <v>15.525</v>
      </c>
    </row>
    <row r="1933">
      <c r="A1933" s="26">
        <v>1927.0</v>
      </c>
      <c r="B1933" s="65">
        <v>0.47355226327062017</v>
      </c>
      <c r="C1933" s="65">
        <v>-0.03984577603542981</v>
      </c>
      <c r="D1933" s="65">
        <v>-1.0132871670193078</v>
      </c>
      <c r="E1933" s="65">
        <v>-0.6687716947590159</v>
      </c>
      <c r="F1933" s="65">
        <v>2.676217427623956</v>
      </c>
      <c r="G1933" s="50">
        <v>0.0</v>
      </c>
      <c r="H1933" s="50">
        <v>0.0</v>
      </c>
      <c r="I1933" s="50">
        <v>0.0</v>
      </c>
      <c r="J1933" s="50">
        <v>0.0</v>
      </c>
      <c r="K1933" s="50">
        <v>0.0</v>
      </c>
      <c r="L1933" s="50">
        <v>0.0</v>
      </c>
      <c r="M1933" s="50">
        <v>0.0</v>
      </c>
      <c r="N1933" s="50">
        <v>0.0</v>
      </c>
      <c r="O1933" s="50">
        <v>0.0</v>
      </c>
      <c r="P1933" s="50">
        <v>0.0</v>
      </c>
      <c r="Q1933" s="50">
        <v>0.0</v>
      </c>
      <c r="R1933" s="50">
        <v>0.0</v>
      </c>
      <c r="S1933" s="50">
        <v>0.0</v>
      </c>
      <c r="T1933" s="50">
        <v>2.8125</v>
      </c>
      <c r="U1933" s="50">
        <v>0.0</v>
      </c>
      <c r="V1933" s="50">
        <v>0.0</v>
      </c>
      <c r="W1933" s="50">
        <v>0.0</v>
      </c>
      <c r="X1933" s="50">
        <v>2.8125</v>
      </c>
      <c r="Y1933" s="50">
        <v>5.625</v>
      </c>
    </row>
    <row r="1934">
      <c r="A1934" s="26">
        <v>1928.0</v>
      </c>
      <c r="B1934" s="65">
        <v>-0.05006095373050525</v>
      </c>
      <c r="C1934" s="65">
        <v>-0.721798096239204</v>
      </c>
      <c r="D1934" s="65">
        <v>-0.7125759662474843</v>
      </c>
      <c r="E1934" s="65">
        <v>0.09927786979740823</v>
      </c>
      <c r="F1934" s="65">
        <v>2.4856881187843123</v>
      </c>
      <c r="G1934" s="50">
        <v>0.0</v>
      </c>
      <c r="H1934" s="50">
        <v>0.0</v>
      </c>
      <c r="I1934" s="50">
        <v>0.0</v>
      </c>
      <c r="J1934" s="50">
        <v>0.0</v>
      </c>
      <c r="K1934" s="50">
        <v>0.0</v>
      </c>
      <c r="L1934" s="50">
        <v>0.0</v>
      </c>
      <c r="M1934" s="50">
        <v>0.0</v>
      </c>
      <c r="N1934" s="50">
        <v>0.0</v>
      </c>
      <c r="O1934" s="50">
        <v>7.425000000000001</v>
      </c>
      <c r="P1934" s="50">
        <v>2.475</v>
      </c>
      <c r="Q1934" s="50">
        <v>0.0</v>
      </c>
      <c r="R1934" s="50">
        <v>0.0</v>
      </c>
      <c r="S1934" s="50">
        <v>0.0</v>
      </c>
      <c r="T1934" s="50">
        <v>2.8125</v>
      </c>
      <c r="U1934" s="50">
        <v>0.0</v>
      </c>
      <c r="V1934" s="50">
        <v>0.0</v>
      </c>
      <c r="W1934" s="50">
        <v>0.0</v>
      </c>
      <c r="X1934" s="50">
        <v>2.8125</v>
      </c>
      <c r="Y1934" s="50">
        <v>15.525</v>
      </c>
    </row>
    <row r="1935">
      <c r="A1935" s="26">
        <v>1929.0</v>
      </c>
      <c r="B1935" s="65">
        <v>-0.6277035634254509</v>
      </c>
      <c r="C1935" s="65">
        <v>0.5524309423941982</v>
      </c>
      <c r="D1935" s="65">
        <v>1.0361556749683078</v>
      </c>
      <c r="E1935" s="65">
        <v>1.1273567025549234</v>
      </c>
      <c r="F1935" s="65">
        <v>4.3914013789307855</v>
      </c>
      <c r="G1935" s="50">
        <v>0.0</v>
      </c>
      <c r="H1935" s="50">
        <v>0.0</v>
      </c>
      <c r="I1935" s="50">
        <v>0.0</v>
      </c>
      <c r="J1935" s="50">
        <v>0.0</v>
      </c>
      <c r="K1935" s="50">
        <v>0.0</v>
      </c>
      <c r="L1935" s="50">
        <v>0.0</v>
      </c>
      <c r="M1935" s="50">
        <v>0.0</v>
      </c>
      <c r="N1935" s="50">
        <v>0.0</v>
      </c>
      <c r="O1935" s="50">
        <v>0.0</v>
      </c>
      <c r="P1935" s="50">
        <v>0.0</v>
      </c>
      <c r="Q1935" s="50">
        <v>0.0</v>
      </c>
      <c r="R1935" s="50">
        <v>0.0</v>
      </c>
      <c r="S1935" s="50">
        <v>0.0</v>
      </c>
      <c r="T1935" s="50">
        <v>2.8125</v>
      </c>
      <c r="U1935" s="50">
        <v>0.0</v>
      </c>
      <c r="V1935" s="50">
        <v>0.0</v>
      </c>
      <c r="W1935" s="50">
        <v>0.0</v>
      </c>
      <c r="X1935" s="50">
        <v>2.8125</v>
      </c>
      <c r="Y1935" s="50">
        <v>5.625</v>
      </c>
    </row>
    <row r="1936">
      <c r="A1936" s="26">
        <v>1930.0</v>
      </c>
      <c r="B1936" s="65">
        <v>-0.8610903383491905</v>
      </c>
      <c r="C1936" s="65">
        <v>0.7604218598365434</v>
      </c>
      <c r="D1936" s="65">
        <v>-1.5268673186762851</v>
      </c>
      <c r="E1936" s="65">
        <v>-0.3458468070050028</v>
      </c>
      <c r="F1936" s="65">
        <v>5.737563590932139</v>
      </c>
      <c r="G1936" s="50">
        <v>0.0</v>
      </c>
      <c r="H1936" s="50">
        <v>0.0</v>
      </c>
      <c r="I1936" s="50">
        <v>0.0</v>
      </c>
      <c r="J1936" s="50">
        <v>0.0</v>
      </c>
      <c r="K1936" s="50">
        <v>0.0</v>
      </c>
      <c r="L1936" s="50">
        <v>0.0</v>
      </c>
      <c r="M1936" s="50">
        <v>0.0</v>
      </c>
      <c r="N1936" s="50">
        <v>0.0</v>
      </c>
      <c r="O1936" s="50">
        <v>0.0</v>
      </c>
      <c r="P1936" s="50">
        <v>2.475</v>
      </c>
      <c r="Q1936" s="50">
        <v>0.0</v>
      </c>
      <c r="R1936" s="50">
        <v>0.0</v>
      </c>
      <c r="S1936" s="50">
        <v>0.0</v>
      </c>
      <c r="T1936" s="50">
        <v>2.8125</v>
      </c>
      <c r="U1936" s="50">
        <v>0.0</v>
      </c>
      <c r="V1936" s="50">
        <v>5.625</v>
      </c>
      <c r="W1936" s="50">
        <v>0.0</v>
      </c>
      <c r="X1936" s="50">
        <v>2.8125</v>
      </c>
      <c r="Y1936" s="50">
        <v>13.725</v>
      </c>
    </row>
    <row r="1937">
      <c r="A1937" s="26">
        <v>1931.0</v>
      </c>
      <c r="B1937" s="65">
        <v>-0.8739958951049742</v>
      </c>
      <c r="C1937" s="65">
        <v>0.8214395215257231</v>
      </c>
      <c r="D1937" s="65">
        <v>-0.0384298715932928</v>
      </c>
      <c r="E1937" s="65">
        <v>-0.5987238851085902</v>
      </c>
      <c r="F1937" s="65">
        <v>5.939291107406294</v>
      </c>
      <c r="G1937" s="50">
        <v>0.0</v>
      </c>
      <c r="H1937" s="50">
        <v>0.0</v>
      </c>
      <c r="I1937" s="50">
        <v>0.0</v>
      </c>
      <c r="J1937" s="50">
        <v>0.0</v>
      </c>
      <c r="K1937" s="50">
        <v>0.0</v>
      </c>
      <c r="L1937" s="50">
        <v>0.0</v>
      </c>
      <c r="M1937" s="50">
        <v>0.0</v>
      </c>
      <c r="N1937" s="50">
        <v>0.0</v>
      </c>
      <c r="O1937" s="50">
        <v>0.0</v>
      </c>
      <c r="P1937" s="50">
        <v>0.0</v>
      </c>
      <c r="Q1937" s="50">
        <v>0.0</v>
      </c>
      <c r="R1937" s="50">
        <v>0.0</v>
      </c>
      <c r="S1937" s="50">
        <v>0.0</v>
      </c>
      <c r="T1937" s="50">
        <v>2.8125</v>
      </c>
      <c r="U1937" s="50">
        <v>0.0</v>
      </c>
      <c r="V1937" s="50">
        <v>0.0</v>
      </c>
      <c r="W1937" s="50">
        <v>4.95</v>
      </c>
      <c r="X1937" s="50">
        <v>2.8125</v>
      </c>
      <c r="Y1937" s="50">
        <v>10.575</v>
      </c>
    </row>
    <row r="1938">
      <c r="A1938" s="26">
        <v>1932.0</v>
      </c>
      <c r="B1938" s="65">
        <v>-0.07163382179426737</v>
      </c>
      <c r="C1938" s="65">
        <v>0.576148958494155</v>
      </c>
      <c r="D1938" s="65">
        <v>2.588294220134739</v>
      </c>
      <c r="E1938" s="65">
        <v>-2.7824352293634624</v>
      </c>
      <c r="F1938" s="65">
        <v>4.620688329142967</v>
      </c>
      <c r="G1938" s="50">
        <v>0.0</v>
      </c>
      <c r="H1938" s="50">
        <v>0.0</v>
      </c>
      <c r="I1938" s="50">
        <v>0.0</v>
      </c>
      <c r="J1938" s="50">
        <v>0.0</v>
      </c>
      <c r="K1938" s="50">
        <v>0.0</v>
      </c>
      <c r="L1938" s="50">
        <v>0.0</v>
      </c>
      <c r="M1938" s="50">
        <v>0.0</v>
      </c>
      <c r="N1938" s="50">
        <v>0.0</v>
      </c>
      <c r="O1938" s="50">
        <v>0.0</v>
      </c>
      <c r="P1938" s="50">
        <v>0.0</v>
      </c>
      <c r="Q1938" s="50">
        <v>0.0</v>
      </c>
      <c r="R1938" s="50">
        <v>0.0</v>
      </c>
      <c r="S1938" s="50">
        <v>0.0</v>
      </c>
      <c r="T1938" s="50">
        <v>2.8125</v>
      </c>
      <c r="U1938" s="50">
        <v>0.0</v>
      </c>
      <c r="V1938" s="50">
        <v>0.0</v>
      </c>
      <c r="W1938" s="50">
        <v>4.95</v>
      </c>
      <c r="X1938" s="50">
        <v>2.8125</v>
      </c>
      <c r="Y1938" s="50">
        <v>10.575</v>
      </c>
    </row>
    <row r="1939">
      <c r="A1939" s="26">
        <v>1933.0</v>
      </c>
      <c r="B1939" s="65">
        <v>0.20891776100687898</v>
      </c>
      <c r="C1939" s="65">
        <v>-0.5168775254333436</v>
      </c>
      <c r="D1939" s="65">
        <v>-0.5658024774925153</v>
      </c>
      <c r="E1939" s="65">
        <v>1.1751163946594863</v>
      </c>
      <c r="F1939" s="65">
        <v>4.168618756883596</v>
      </c>
      <c r="G1939" s="50">
        <v>0.0</v>
      </c>
      <c r="H1939" s="50">
        <v>0.0</v>
      </c>
      <c r="I1939" s="50">
        <v>0.0</v>
      </c>
      <c r="J1939" s="50">
        <v>0.0</v>
      </c>
      <c r="K1939" s="50">
        <v>0.0</v>
      </c>
      <c r="L1939" s="50">
        <v>0.0</v>
      </c>
      <c r="M1939" s="50">
        <v>0.0</v>
      </c>
      <c r="N1939" s="50">
        <v>0.0</v>
      </c>
      <c r="O1939" s="50">
        <v>0.0</v>
      </c>
      <c r="P1939" s="50">
        <v>0.0</v>
      </c>
      <c r="Q1939" s="50">
        <v>0.0</v>
      </c>
      <c r="R1939" s="50">
        <v>0.0</v>
      </c>
      <c r="S1939" s="50">
        <v>0.0</v>
      </c>
      <c r="T1939" s="50">
        <v>2.8125</v>
      </c>
      <c r="U1939" s="50">
        <v>0.0</v>
      </c>
      <c r="V1939" s="50">
        <v>0.0</v>
      </c>
      <c r="W1939" s="50">
        <v>0.0</v>
      </c>
      <c r="X1939" s="50">
        <v>2.8125</v>
      </c>
      <c r="Y1939" s="50">
        <v>5.625</v>
      </c>
    </row>
    <row r="1940">
      <c r="A1940" s="26">
        <v>1934.0</v>
      </c>
      <c r="B1940" s="65">
        <v>-0.48592125393431224</v>
      </c>
      <c r="C1940" s="65">
        <v>0.6531312450695853</v>
      </c>
      <c r="D1940" s="65">
        <v>-0.7425413870324455</v>
      </c>
      <c r="E1940" s="65">
        <v>0.21687129960396748</v>
      </c>
      <c r="F1940" s="65">
        <v>2.047769799069578</v>
      </c>
      <c r="G1940" s="50">
        <v>0.0</v>
      </c>
      <c r="H1940" s="50">
        <v>0.0</v>
      </c>
      <c r="I1940" s="50">
        <v>0.0</v>
      </c>
      <c r="J1940" s="50">
        <v>0.0</v>
      </c>
      <c r="K1940" s="50">
        <v>0.0</v>
      </c>
      <c r="L1940" s="50">
        <v>0.0</v>
      </c>
      <c r="M1940" s="50">
        <v>0.0</v>
      </c>
      <c r="N1940" s="50">
        <v>0.0</v>
      </c>
      <c r="O1940" s="50">
        <v>0.0</v>
      </c>
      <c r="P1940" s="50">
        <v>0.0</v>
      </c>
      <c r="Q1940" s="50">
        <v>0.0</v>
      </c>
      <c r="R1940" s="50">
        <v>0.0</v>
      </c>
      <c r="S1940" s="50">
        <v>0.0</v>
      </c>
      <c r="T1940" s="50">
        <v>2.8125</v>
      </c>
      <c r="U1940" s="50">
        <v>0.0</v>
      </c>
      <c r="V1940" s="50">
        <v>0.0</v>
      </c>
      <c r="W1940" s="50">
        <v>0.0</v>
      </c>
      <c r="X1940" s="50">
        <v>2.8125</v>
      </c>
      <c r="Y1940" s="50">
        <v>5.625</v>
      </c>
    </row>
    <row r="1941">
      <c r="A1941" s="26">
        <v>1935.0</v>
      </c>
      <c r="B1941" s="65">
        <v>-0.39677090495524486</v>
      </c>
      <c r="C1941" s="65">
        <v>-0.18988478592201793</v>
      </c>
      <c r="D1941" s="65">
        <v>-0.3901715838375572</v>
      </c>
      <c r="E1941" s="65">
        <v>-1.3135130223767568</v>
      </c>
      <c r="F1941" s="65">
        <v>5.98107714493395</v>
      </c>
      <c r="G1941" s="50">
        <v>0.0</v>
      </c>
      <c r="H1941" s="50">
        <v>0.0</v>
      </c>
      <c r="I1941" s="50">
        <v>0.0</v>
      </c>
      <c r="J1941" s="50">
        <v>0.0</v>
      </c>
      <c r="K1941" s="50">
        <v>0.0</v>
      </c>
      <c r="L1941" s="50">
        <v>0.0</v>
      </c>
      <c r="M1941" s="50">
        <v>0.0</v>
      </c>
      <c r="N1941" s="50">
        <v>0.0</v>
      </c>
      <c r="O1941" s="50">
        <v>0.0</v>
      </c>
      <c r="P1941" s="50">
        <v>0.0</v>
      </c>
      <c r="Q1941" s="50">
        <v>0.0</v>
      </c>
      <c r="R1941" s="50">
        <v>0.0</v>
      </c>
      <c r="S1941" s="50">
        <v>0.0</v>
      </c>
      <c r="T1941" s="50">
        <v>2.8125</v>
      </c>
      <c r="U1941" s="50">
        <v>0.0</v>
      </c>
      <c r="V1941" s="50">
        <v>5.625</v>
      </c>
      <c r="W1941" s="50">
        <v>0.0</v>
      </c>
      <c r="X1941" s="50">
        <v>2.8125</v>
      </c>
      <c r="Y1941" s="50">
        <v>11.25</v>
      </c>
    </row>
    <row r="1942">
      <c r="A1942" s="26">
        <v>1936.0</v>
      </c>
      <c r="B1942" s="65">
        <v>0.24259936234773424</v>
      </c>
      <c r="C1942" s="65">
        <v>0.1394695769349257</v>
      </c>
      <c r="D1942" s="65">
        <v>-0.6371582782538517</v>
      </c>
      <c r="E1942" s="65">
        <v>-0.5284823213719427</v>
      </c>
      <c r="F1942" s="65">
        <v>6.328869605695312</v>
      </c>
      <c r="G1942" s="50">
        <v>0.0</v>
      </c>
      <c r="H1942" s="50">
        <v>0.0</v>
      </c>
      <c r="I1942" s="50">
        <v>0.0</v>
      </c>
      <c r="J1942" s="50">
        <v>0.0</v>
      </c>
      <c r="K1942" s="50">
        <v>0.0</v>
      </c>
      <c r="L1942" s="50">
        <v>0.0</v>
      </c>
      <c r="M1942" s="50">
        <v>0.0</v>
      </c>
      <c r="N1942" s="50">
        <v>0.0</v>
      </c>
      <c r="O1942" s="50">
        <v>0.0</v>
      </c>
      <c r="P1942" s="50">
        <v>0.0</v>
      </c>
      <c r="Q1942" s="50">
        <v>0.0</v>
      </c>
      <c r="R1942" s="50">
        <v>0.0</v>
      </c>
      <c r="S1942" s="50">
        <v>0.0</v>
      </c>
      <c r="T1942" s="50">
        <v>2.8125</v>
      </c>
      <c r="U1942" s="50">
        <v>0.0</v>
      </c>
      <c r="V1942" s="50">
        <v>5.625</v>
      </c>
      <c r="W1942" s="50">
        <v>0.0</v>
      </c>
      <c r="X1942" s="50">
        <v>2.8125</v>
      </c>
      <c r="Y1942" s="50">
        <v>11.25</v>
      </c>
    </row>
    <row r="1943">
      <c r="A1943" s="26">
        <v>1937.0</v>
      </c>
      <c r="B1943" s="65">
        <v>1.514461702499493</v>
      </c>
      <c r="C1943" s="65">
        <v>-1.4320400582593678</v>
      </c>
      <c r="D1943" s="65">
        <v>-0.6322509522810478</v>
      </c>
      <c r="E1943" s="65">
        <v>0.18104802620237959</v>
      </c>
      <c r="F1943" s="65">
        <v>0.5604655659942098</v>
      </c>
      <c r="G1943" s="50">
        <v>0.0</v>
      </c>
      <c r="H1943" s="50">
        <v>0.0</v>
      </c>
      <c r="I1943" s="50">
        <v>0.0</v>
      </c>
      <c r="J1943" s="50">
        <v>0.0</v>
      </c>
      <c r="K1943" s="50">
        <v>0.0</v>
      </c>
      <c r="L1943" s="50">
        <v>0.0</v>
      </c>
      <c r="M1943" s="50">
        <v>0.0</v>
      </c>
      <c r="N1943" s="50">
        <v>0.0</v>
      </c>
      <c r="O1943" s="50">
        <v>0.0</v>
      </c>
      <c r="P1943" s="50">
        <v>0.0</v>
      </c>
      <c r="Q1943" s="50">
        <v>0.0</v>
      </c>
      <c r="R1943" s="50">
        <v>0.0</v>
      </c>
      <c r="S1943" s="50">
        <v>11.25</v>
      </c>
      <c r="T1943" s="50">
        <v>2.8125</v>
      </c>
      <c r="U1943" s="50">
        <v>0.0</v>
      </c>
      <c r="V1943" s="50">
        <v>0.0</v>
      </c>
      <c r="W1943" s="50">
        <v>0.0</v>
      </c>
      <c r="X1943" s="50">
        <v>2.8125</v>
      </c>
      <c r="Y1943" s="50">
        <v>16.875</v>
      </c>
    </row>
    <row r="1944">
      <c r="A1944" s="26">
        <v>1938.0</v>
      </c>
      <c r="B1944" s="65">
        <v>0.9112285024058784</v>
      </c>
      <c r="C1944" s="65">
        <v>-0.01737126498068948</v>
      </c>
      <c r="D1944" s="65">
        <v>-0.5136214918146521</v>
      </c>
      <c r="E1944" s="65">
        <v>-0.5638970854783849</v>
      </c>
      <c r="F1944" s="65">
        <v>22.42823626528713</v>
      </c>
      <c r="G1944" s="50">
        <v>0.0</v>
      </c>
      <c r="H1944" s="50">
        <v>0.0</v>
      </c>
      <c r="I1944" s="50">
        <v>0.0</v>
      </c>
      <c r="J1944" s="50">
        <v>0.0</v>
      </c>
      <c r="K1944" s="50">
        <v>0.0</v>
      </c>
      <c r="L1944" s="50">
        <v>0.0</v>
      </c>
      <c r="M1944" s="50">
        <v>0.0</v>
      </c>
      <c r="N1944" s="50">
        <v>0.0</v>
      </c>
      <c r="O1944" s="50">
        <v>0.0</v>
      </c>
      <c r="P1944" s="50">
        <v>0.0</v>
      </c>
      <c r="Q1944" s="50">
        <v>0.0</v>
      </c>
      <c r="R1944" s="50">
        <v>0.0</v>
      </c>
      <c r="S1944" s="50">
        <v>0.0</v>
      </c>
      <c r="T1944" s="50">
        <v>2.8125</v>
      </c>
      <c r="U1944" s="50">
        <v>0.0</v>
      </c>
      <c r="V1944" s="50">
        <v>0.0</v>
      </c>
      <c r="W1944" s="50">
        <v>0.0</v>
      </c>
      <c r="X1944" s="50">
        <v>2.8125</v>
      </c>
      <c r="Y1944" s="50">
        <v>5.625</v>
      </c>
    </row>
    <row r="1945">
      <c r="A1945" s="26">
        <v>1939.0</v>
      </c>
      <c r="B1945" s="65">
        <v>0.46842240262406415</v>
      </c>
      <c r="C1945" s="65">
        <v>0.6731228212849159</v>
      </c>
      <c r="D1945" s="65">
        <v>-1.5856027918258386</v>
      </c>
      <c r="E1945" s="65">
        <v>-0.6605484106951591</v>
      </c>
      <c r="F1945" s="65">
        <v>3.179191590164158</v>
      </c>
      <c r="G1945" s="50">
        <v>0.0</v>
      </c>
      <c r="H1945" s="50">
        <v>0.0</v>
      </c>
      <c r="I1945" s="50">
        <v>0.0</v>
      </c>
      <c r="J1945" s="50">
        <v>0.0</v>
      </c>
      <c r="K1945" s="50">
        <v>0.0</v>
      </c>
      <c r="L1945" s="50">
        <v>0.0</v>
      </c>
      <c r="M1945" s="50">
        <v>0.0</v>
      </c>
      <c r="N1945" s="50">
        <v>0.0</v>
      </c>
      <c r="O1945" s="50">
        <v>0.0</v>
      </c>
      <c r="P1945" s="50">
        <v>0.0</v>
      </c>
      <c r="Q1945" s="50">
        <v>0.0</v>
      </c>
      <c r="R1945" s="50">
        <v>0.0</v>
      </c>
      <c r="S1945" s="50">
        <v>0.0</v>
      </c>
      <c r="T1945" s="50">
        <v>2.8125</v>
      </c>
      <c r="U1945" s="50">
        <v>0.0</v>
      </c>
      <c r="V1945" s="50">
        <v>0.0</v>
      </c>
      <c r="W1945" s="50">
        <v>0.0</v>
      </c>
      <c r="X1945" s="50">
        <v>2.8125</v>
      </c>
      <c r="Y1945" s="50">
        <v>5.625</v>
      </c>
    </row>
    <row r="1946">
      <c r="A1946" s="26">
        <v>1940.0</v>
      </c>
      <c r="B1946" s="65">
        <v>0.8497965631406273</v>
      </c>
      <c r="C1946" s="65">
        <v>1.50718592987686</v>
      </c>
      <c r="D1946" s="65">
        <v>-0.22871023768517962</v>
      </c>
      <c r="E1946" s="65">
        <v>-1.6224786314648512</v>
      </c>
      <c r="F1946" s="65">
        <v>3.566335697397304</v>
      </c>
      <c r="G1946" s="50">
        <v>0.0</v>
      </c>
      <c r="H1946" s="50">
        <v>0.0</v>
      </c>
      <c r="I1946" s="50">
        <v>0.0</v>
      </c>
      <c r="J1946" s="50">
        <v>0.0</v>
      </c>
      <c r="K1946" s="50">
        <v>0.0</v>
      </c>
      <c r="L1946" s="50">
        <v>0.0</v>
      </c>
      <c r="M1946" s="50">
        <v>0.0</v>
      </c>
      <c r="N1946" s="50">
        <v>0.0</v>
      </c>
      <c r="O1946" s="50">
        <v>0.0</v>
      </c>
      <c r="P1946" s="50">
        <v>0.0</v>
      </c>
      <c r="Q1946" s="50">
        <v>0.0</v>
      </c>
      <c r="R1946" s="50">
        <v>0.0</v>
      </c>
      <c r="S1946" s="50">
        <v>0.0</v>
      </c>
      <c r="T1946" s="50">
        <v>2.8125</v>
      </c>
      <c r="U1946" s="50">
        <v>0.0</v>
      </c>
      <c r="V1946" s="50">
        <v>0.0</v>
      </c>
      <c r="W1946" s="50">
        <v>0.0</v>
      </c>
      <c r="X1946" s="50">
        <v>2.8125</v>
      </c>
      <c r="Y1946" s="50">
        <v>5.625</v>
      </c>
    </row>
    <row r="1947">
      <c r="A1947" s="26">
        <v>1941.0</v>
      </c>
      <c r="B1947" s="65">
        <v>0.17711205904125046</v>
      </c>
      <c r="C1947" s="65">
        <v>-0.2644231901358342</v>
      </c>
      <c r="D1947" s="65">
        <v>0.43415296187022373</v>
      </c>
      <c r="E1947" s="65">
        <v>0.3641241708311568</v>
      </c>
      <c r="F1947" s="65">
        <v>7.95739075232967</v>
      </c>
      <c r="G1947" s="50">
        <v>0.0</v>
      </c>
      <c r="H1947" s="50">
        <v>0.0</v>
      </c>
      <c r="I1947" s="50">
        <v>0.0</v>
      </c>
      <c r="J1947" s="50">
        <v>0.0</v>
      </c>
      <c r="K1947" s="50">
        <v>0.0</v>
      </c>
      <c r="L1947" s="50">
        <v>0.0</v>
      </c>
      <c r="M1947" s="50">
        <v>0.0</v>
      </c>
      <c r="N1947" s="50">
        <v>0.0</v>
      </c>
      <c r="O1947" s="50">
        <v>0.0</v>
      </c>
      <c r="P1947" s="50">
        <v>0.0</v>
      </c>
      <c r="Q1947" s="50">
        <v>0.0</v>
      </c>
      <c r="R1947" s="50">
        <v>0.0</v>
      </c>
      <c r="S1947" s="50">
        <v>0.0</v>
      </c>
      <c r="T1947" s="50">
        <v>2.8125</v>
      </c>
      <c r="U1947" s="50">
        <v>0.0</v>
      </c>
      <c r="V1947" s="50">
        <v>5.625</v>
      </c>
      <c r="W1947" s="50">
        <v>0.0</v>
      </c>
      <c r="X1947" s="50">
        <v>2.8125</v>
      </c>
      <c r="Y1947" s="50">
        <v>11.25</v>
      </c>
    </row>
    <row r="1948">
      <c r="A1948" s="26">
        <v>1942.0</v>
      </c>
      <c r="B1948" s="65">
        <v>-1.7257534808579218</v>
      </c>
      <c r="C1948" s="65">
        <v>-0.666202093078856</v>
      </c>
      <c r="D1948" s="65">
        <v>0.6190947276672648</v>
      </c>
      <c r="E1948" s="65">
        <v>-0.523221969764584</v>
      </c>
      <c r="F1948" s="65">
        <v>2.0482860352792795</v>
      </c>
      <c r="G1948" s="50">
        <v>0.0</v>
      </c>
      <c r="H1948" s="50">
        <v>0.0</v>
      </c>
      <c r="I1948" s="50">
        <v>0.0</v>
      </c>
      <c r="J1948" s="50">
        <v>0.0</v>
      </c>
      <c r="K1948" s="50">
        <v>0.0</v>
      </c>
      <c r="L1948" s="50">
        <v>0.0</v>
      </c>
      <c r="M1948" s="50">
        <v>0.0</v>
      </c>
      <c r="N1948" s="50">
        <v>0.0</v>
      </c>
      <c r="O1948" s="50">
        <v>0.0</v>
      </c>
      <c r="P1948" s="50">
        <v>2.475</v>
      </c>
      <c r="Q1948" s="50">
        <v>0.0</v>
      </c>
      <c r="R1948" s="50">
        <v>0.0</v>
      </c>
      <c r="S1948" s="50">
        <v>0.0</v>
      </c>
      <c r="T1948" s="50">
        <v>2.8125</v>
      </c>
      <c r="U1948" s="50">
        <v>0.0</v>
      </c>
      <c r="V1948" s="50">
        <v>5.625</v>
      </c>
      <c r="W1948" s="50">
        <v>4.95</v>
      </c>
      <c r="X1948" s="50">
        <v>2.8125</v>
      </c>
      <c r="Y1948" s="50">
        <v>18.675</v>
      </c>
    </row>
    <row r="1949">
      <c r="A1949" s="26">
        <v>1943.0</v>
      </c>
      <c r="B1949" s="65">
        <v>-1.8140106132507252</v>
      </c>
      <c r="C1949" s="65">
        <v>0.4495594190113249</v>
      </c>
      <c r="D1949" s="65">
        <v>-1.716513559892454</v>
      </c>
      <c r="E1949" s="65">
        <v>1.8536508904839375</v>
      </c>
      <c r="F1949" s="65">
        <v>10.103820469797434</v>
      </c>
      <c r="G1949" s="50">
        <v>0.0</v>
      </c>
      <c r="H1949" s="50">
        <v>0.0</v>
      </c>
      <c r="I1949" s="50">
        <v>0.0</v>
      </c>
      <c r="J1949" s="50">
        <v>0.0</v>
      </c>
      <c r="K1949" s="50">
        <v>0.0</v>
      </c>
      <c r="L1949" s="50">
        <v>0.0</v>
      </c>
      <c r="M1949" s="50">
        <v>0.0</v>
      </c>
      <c r="N1949" s="50">
        <v>0.0</v>
      </c>
      <c r="O1949" s="50">
        <v>0.0</v>
      </c>
      <c r="P1949" s="50">
        <v>0.0</v>
      </c>
      <c r="Q1949" s="50">
        <v>0.0</v>
      </c>
      <c r="R1949" s="50">
        <v>0.0</v>
      </c>
      <c r="S1949" s="50">
        <v>0.0</v>
      </c>
      <c r="T1949" s="50">
        <v>2.8125</v>
      </c>
      <c r="U1949" s="50">
        <v>0.0</v>
      </c>
      <c r="V1949" s="50">
        <v>0.0</v>
      </c>
      <c r="W1949" s="50">
        <v>0.0</v>
      </c>
      <c r="X1949" s="50">
        <v>2.8125</v>
      </c>
      <c r="Y1949" s="50">
        <v>5.625</v>
      </c>
    </row>
    <row r="1950">
      <c r="A1950" s="26">
        <v>1944.0</v>
      </c>
      <c r="B1950" s="65">
        <v>-0.05363040906842802</v>
      </c>
      <c r="C1950" s="65">
        <v>-0.7853985688871198</v>
      </c>
      <c r="D1950" s="65">
        <v>0.7819962165272109</v>
      </c>
      <c r="E1950" s="65">
        <v>-0.9543892151080923</v>
      </c>
      <c r="F1950" s="65">
        <v>7.777778402654678</v>
      </c>
      <c r="G1950" s="50">
        <v>0.0</v>
      </c>
      <c r="H1950" s="50">
        <v>0.0</v>
      </c>
      <c r="I1950" s="50">
        <v>0.0</v>
      </c>
      <c r="J1950" s="50">
        <v>0.0</v>
      </c>
      <c r="K1950" s="50">
        <v>0.0</v>
      </c>
      <c r="L1950" s="50">
        <v>0.0</v>
      </c>
      <c r="M1950" s="50">
        <v>0.0</v>
      </c>
      <c r="N1950" s="50">
        <v>0.0</v>
      </c>
      <c r="O1950" s="50">
        <v>0.0</v>
      </c>
      <c r="P1950" s="50">
        <v>0.0</v>
      </c>
      <c r="Q1950" s="50">
        <v>0.0</v>
      </c>
      <c r="R1950" s="50">
        <v>0.0</v>
      </c>
      <c r="S1950" s="50">
        <v>0.0</v>
      </c>
      <c r="T1950" s="50">
        <v>2.8125</v>
      </c>
      <c r="U1950" s="50">
        <v>0.0</v>
      </c>
      <c r="V1950" s="50">
        <v>0.0</v>
      </c>
      <c r="W1950" s="50">
        <v>0.0</v>
      </c>
      <c r="X1950" s="50">
        <v>2.8125</v>
      </c>
      <c r="Y1950" s="50">
        <v>5.625</v>
      </c>
    </row>
    <row r="1951">
      <c r="A1951" s="26">
        <v>1945.0</v>
      </c>
      <c r="B1951" s="65">
        <v>-0.6901830743197788</v>
      </c>
      <c r="C1951" s="65">
        <v>-0.3911912819028665</v>
      </c>
      <c r="D1951" s="65">
        <v>1.2957409171972762</v>
      </c>
      <c r="E1951" s="65">
        <v>1.4691778349539744</v>
      </c>
      <c r="F1951" s="65">
        <v>3.270343551509527</v>
      </c>
      <c r="G1951" s="50">
        <v>0.0</v>
      </c>
      <c r="H1951" s="50">
        <v>0.0</v>
      </c>
      <c r="I1951" s="50">
        <v>0.0</v>
      </c>
      <c r="J1951" s="50">
        <v>0.0</v>
      </c>
      <c r="K1951" s="50">
        <v>0.0</v>
      </c>
      <c r="L1951" s="50">
        <v>0.0</v>
      </c>
      <c r="M1951" s="50">
        <v>0.0</v>
      </c>
      <c r="N1951" s="50">
        <v>0.0</v>
      </c>
      <c r="O1951" s="50">
        <v>0.0</v>
      </c>
      <c r="P1951" s="50">
        <v>0.0</v>
      </c>
      <c r="Q1951" s="50">
        <v>0.0</v>
      </c>
      <c r="R1951" s="50">
        <v>0.0</v>
      </c>
      <c r="S1951" s="50">
        <v>0.0</v>
      </c>
      <c r="T1951" s="50">
        <v>2.8125</v>
      </c>
      <c r="U1951" s="50">
        <v>0.0</v>
      </c>
      <c r="V1951" s="50">
        <v>5.625</v>
      </c>
      <c r="W1951" s="50">
        <v>0.0</v>
      </c>
      <c r="X1951" s="50">
        <v>2.8125</v>
      </c>
      <c r="Y1951" s="50">
        <v>11.25</v>
      </c>
    </row>
    <row r="1952">
      <c r="A1952" s="26">
        <v>1946.0</v>
      </c>
      <c r="B1952" s="65">
        <v>-1.495868436306603</v>
      </c>
      <c r="C1952" s="65">
        <v>0.22442390242197788</v>
      </c>
      <c r="D1952" s="65">
        <v>0.18262285847820225</v>
      </c>
      <c r="E1952" s="65">
        <v>-0.7146800254572164</v>
      </c>
      <c r="F1952" s="65">
        <v>6.491908689463296</v>
      </c>
      <c r="G1952" s="50">
        <v>0.0</v>
      </c>
      <c r="H1952" s="50">
        <v>0.0</v>
      </c>
      <c r="I1952" s="50">
        <v>0.0</v>
      </c>
      <c r="J1952" s="50">
        <v>0.0</v>
      </c>
      <c r="K1952" s="50">
        <v>0.0</v>
      </c>
      <c r="L1952" s="50">
        <v>0.0</v>
      </c>
      <c r="M1952" s="50">
        <v>0.0</v>
      </c>
      <c r="N1952" s="50">
        <v>0.0</v>
      </c>
      <c r="O1952" s="50">
        <v>0.0</v>
      </c>
      <c r="P1952" s="50">
        <v>0.0</v>
      </c>
      <c r="Q1952" s="50">
        <v>0.0</v>
      </c>
      <c r="R1952" s="50">
        <v>0.0</v>
      </c>
      <c r="S1952" s="50">
        <v>0.0</v>
      </c>
      <c r="T1952" s="50">
        <v>2.8125</v>
      </c>
      <c r="U1952" s="50">
        <v>0.0</v>
      </c>
      <c r="V1952" s="50">
        <v>5.625</v>
      </c>
      <c r="W1952" s="50">
        <v>0.0</v>
      </c>
      <c r="X1952" s="50">
        <v>2.8125</v>
      </c>
      <c r="Y1952" s="50">
        <v>11.25</v>
      </c>
    </row>
    <row r="1953">
      <c r="A1953" s="26">
        <v>1947.0</v>
      </c>
      <c r="B1953" s="65">
        <v>-0.4282752361202142</v>
      </c>
      <c r="C1953" s="65">
        <v>-0.45926001875174244</v>
      </c>
      <c r="D1953" s="65">
        <v>0.4480987428428268</v>
      </c>
      <c r="E1953" s="65">
        <v>-1.3630297841234151</v>
      </c>
      <c r="F1953" s="65">
        <v>5.093680753319687</v>
      </c>
      <c r="G1953" s="50">
        <v>0.0</v>
      </c>
      <c r="H1953" s="50">
        <v>0.0</v>
      </c>
      <c r="I1953" s="50">
        <v>0.0</v>
      </c>
      <c r="J1953" s="50">
        <v>0.0</v>
      </c>
      <c r="K1953" s="50">
        <v>0.0</v>
      </c>
      <c r="L1953" s="50">
        <v>0.0</v>
      </c>
      <c r="M1953" s="50">
        <v>0.0</v>
      </c>
      <c r="N1953" s="50">
        <v>0.0</v>
      </c>
      <c r="O1953" s="50">
        <v>0.0</v>
      </c>
      <c r="P1953" s="50">
        <v>0.0</v>
      </c>
      <c r="Q1953" s="50">
        <v>0.0</v>
      </c>
      <c r="R1953" s="50">
        <v>9.9</v>
      </c>
      <c r="S1953" s="50">
        <v>0.0</v>
      </c>
      <c r="T1953" s="50">
        <v>2.8125</v>
      </c>
      <c r="U1953" s="50">
        <v>0.0</v>
      </c>
      <c r="V1953" s="50">
        <v>5.625</v>
      </c>
      <c r="W1953" s="50">
        <v>0.0</v>
      </c>
      <c r="X1953" s="50">
        <v>2.8125</v>
      </c>
      <c r="Y1953" s="50">
        <v>21.15</v>
      </c>
    </row>
    <row r="1954">
      <c r="A1954" s="26">
        <v>1948.0</v>
      </c>
      <c r="B1954" s="65">
        <v>1.5066607884326821</v>
      </c>
      <c r="C1954" s="65">
        <v>0.6918598698269938</v>
      </c>
      <c r="D1954" s="65">
        <v>0.47777238283243634</v>
      </c>
      <c r="E1954" s="65">
        <v>-0.7536965310161334</v>
      </c>
      <c r="F1954" s="65">
        <v>10.62516916612599</v>
      </c>
      <c r="G1954" s="50">
        <v>0.0</v>
      </c>
      <c r="H1954" s="50">
        <v>0.0</v>
      </c>
      <c r="I1954" s="50">
        <v>0.0</v>
      </c>
      <c r="J1954" s="50">
        <v>0.0</v>
      </c>
      <c r="K1954" s="50">
        <v>0.0</v>
      </c>
      <c r="L1954" s="50">
        <v>0.0</v>
      </c>
      <c r="M1954" s="50">
        <v>0.0</v>
      </c>
      <c r="N1954" s="50">
        <v>0.0</v>
      </c>
      <c r="O1954" s="50">
        <v>0.0</v>
      </c>
      <c r="P1954" s="50">
        <v>0.0</v>
      </c>
      <c r="Q1954" s="50">
        <v>0.0</v>
      </c>
      <c r="R1954" s="50">
        <v>0.0</v>
      </c>
      <c r="S1954" s="50">
        <v>0.0</v>
      </c>
      <c r="T1954" s="50">
        <v>2.8125</v>
      </c>
      <c r="U1954" s="50">
        <v>0.0</v>
      </c>
      <c r="V1954" s="50">
        <v>0.0</v>
      </c>
      <c r="W1954" s="50">
        <v>0.0</v>
      </c>
      <c r="X1954" s="50">
        <v>2.8125</v>
      </c>
      <c r="Y1954" s="50">
        <v>5.625</v>
      </c>
    </row>
    <row r="1955">
      <c r="A1955" s="26">
        <v>1949.0</v>
      </c>
      <c r="B1955" s="65">
        <v>0.31351296092330416</v>
      </c>
      <c r="C1955" s="65">
        <v>1.0891551683150673</v>
      </c>
      <c r="D1955" s="65">
        <v>-0.11250239510436477</v>
      </c>
      <c r="E1955" s="65">
        <v>-1.2708061094692515</v>
      </c>
      <c r="F1955" s="65">
        <v>1.3794138150801878</v>
      </c>
      <c r="G1955" s="50">
        <v>0.0</v>
      </c>
      <c r="H1955" s="50">
        <v>0.0</v>
      </c>
      <c r="I1955" s="50">
        <v>0.0</v>
      </c>
      <c r="J1955" s="50">
        <v>0.0</v>
      </c>
      <c r="K1955" s="50">
        <v>0.0</v>
      </c>
      <c r="L1955" s="50">
        <v>0.0</v>
      </c>
      <c r="M1955" s="50">
        <v>0.0</v>
      </c>
      <c r="N1955" s="50">
        <v>0.0</v>
      </c>
      <c r="O1955" s="50">
        <v>0.0</v>
      </c>
      <c r="P1955" s="50">
        <v>0.0</v>
      </c>
      <c r="Q1955" s="50">
        <v>0.0</v>
      </c>
      <c r="R1955" s="50">
        <v>9.9</v>
      </c>
      <c r="S1955" s="50">
        <v>0.0</v>
      </c>
      <c r="T1955" s="50">
        <v>2.8125</v>
      </c>
      <c r="U1955" s="50">
        <v>0.0</v>
      </c>
      <c r="V1955" s="50">
        <v>5.625</v>
      </c>
      <c r="W1955" s="50">
        <v>0.0</v>
      </c>
      <c r="X1955" s="50">
        <v>2.8125</v>
      </c>
      <c r="Y1955" s="50">
        <v>21.15</v>
      </c>
    </row>
    <row r="1956">
      <c r="A1956" s="26">
        <v>1950.0</v>
      </c>
      <c r="B1956" s="65">
        <v>0.269089567303036</v>
      </c>
      <c r="C1956" s="65">
        <v>0.5271711188746433</v>
      </c>
      <c r="D1956" s="65">
        <v>0.42376703360707185</v>
      </c>
      <c r="E1956" s="65">
        <v>0.021068270234959663</v>
      </c>
      <c r="F1956" s="65">
        <v>11.347482082624731</v>
      </c>
      <c r="G1956" s="50">
        <v>0.0</v>
      </c>
      <c r="H1956" s="50">
        <v>0.0</v>
      </c>
      <c r="I1956" s="50">
        <v>0.0</v>
      </c>
      <c r="J1956" s="50">
        <v>0.0</v>
      </c>
      <c r="K1956" s="50">
        <v>0.0</v>
      </c>
      <c r="L1956" s="50">
        <v>0.0</v>
      </c>
      <c r="M1956" s="50">
        <v>0.0</v>
      </c>
      <c r="N1956" s="50">
        <v>0.0</v>
      </c>
      <c r="O1956" s="50">
        <v>0.0</v>
      </c>
      <c r="P1956" s="50">
        <v>0.0</v>
      </c>
      <c r="Q1956" s="50">
        <v>0.0</v>
      </c>
      <c r="R1956" s="50">
        <v>0.0</v>
      </c>
      <c r="S1956" s="50">
        <v>0.0</v>
      </c>
      <c r="T1956" s="50">
        <v>2.8125</v>
      </c>
      <c r="U1956" s="50">
        <v>0.0</v>
      </c>
      <c r="V1956" s="50">
        <v>0.0</v>
      </c>
      <c r="W1956" s="50">
        <v>0.0</v>
      </c>
      <c r="X1956" s="50">
        <v>2.8125</v>
      </c>
      <c r="Y1956" s="50">
        <v>5.625</v>
      </c>
    </row>
    <row r="1957">
      <c r="A1957" s="26">
        <v>1951.0</v>
      </c>
      <c r="B1957" s="65">
        <v>-0.7090545944941173</v>
      </c>
      <c r="C1957" s="65">
        <v>0.6603009686515869</v>
      </c>
      <c r="D1957" s="65">
        <v>1.145614370624547</v>
      </c>
      <c r="E1957" s="65">
        <v>2.2438137342576336</v>
      </c>
      <c r="F1957" s="65">
        <v>3.9306350908071805</v>
      </c>
      <c r="G1957" s="50">
        <v>0.0</v>
      </c>
      <c r="H1957" s="50">
        <v>0.0</v>
      </c>
      <c r="I1957" s="50">
        <v>0.0</v>
      </c>
      <c r="J1957" s="50">
        <v>0.0</v>
      </c>
      <c r="K1957" s="50">
        <v>0.0</v>
      </c>
      <c r="L1957" s="50">
        <v>0.0</v>
      </c>
      <c r="M1957" s="50">
        <v>0.0</v>
      </c>
      <c r="N1957" s="50">
        <v>0.0</v>
      </c>
      <c r="O1957" s="50">
        <v>7.425000000000001</v>
      </c>
      <c r="P1957" s="50">
        <v>0.0</v>
      </c>
      <c r="Q1957" s="50">
        <v>0.0</v>
      </c>
      <c r="R1957" s="50">
        <v>0.0</v>
      </c>
      <c r="S1957" s="50">
        <v>0.0</v>
      </c>
      <c r="T1957" s="50">
        <v>2.8125</v>
      </c>
      <c r="U1957" s="50">
        <v>0.0</v>
      </c>
      <c r="V1957" s="50">
        <v>0.0</v>
      </c>
      <c r="W1957" s="50">
        <v>0.0</v>
      </c>
      <c r="X1957" s="50">
        <v>2.8125</v>
      </c>
      <c r="Y1957" s="50">
        <v>13.05</v>
      </c>
    </row>
    <row r="1958">
      <c r="A1958" s="26">
        <v>1952.0</v>
      </c>
      <c r="B1958" s="65">
        <v>-0.4017593648029039</v>
      </c>
      <c r="C1958" s="65">
        <v>1.3718673203457308</v>
      </c>
      <c r="D1958" s="65">
        <v>0.6623020427161936</v>
      </c>
      <c r="E1958" s="65">
        <v>-0.028156809500169706</v>
      </c>
      <c r="F1958" s="65">
        <v>3.0295173133406235</v>
      </c>
      <c r="G1958" s="50">
        <v>0.0</v>
      </c>
      <c r="H1958" s="50">
        <v>0.0</v>
      </c>
      <c r="I1958" s="50">
        <v>0.0</v>
      </c>
      <c r="J1958" s="50">
        <v>0.0</v>
      </c>
      <c r="K1958" s="50">
        <v>0.0</v>
      </c>
      <c r="L1958" s="50">
        <v>0.0</v>
      </c>
      <c r="M1958" s="50">
        <v>0.0</v>
      </c>
      <c r="N1958" s="50">
        <v>0.0</v>
      </c>
      <c r="O1958" s="50">
        <v>0.0</v>
      </c>
      <c r="P1958" s="50">
        <v>0.0</v>
      </c>
      <c r="Q1958" s="50">
        <v>0.0</v>
      </c>
      <c r="R1958" s="50">
        <v>0.0</v>
      </c>
      <c r="S1958" s="50">
        <v>0.0</v>
      </c>
      <c r="T1958" s="50">
        <v>2.8125</v>
      </c>
      <c r="U1958" s="50">
        <v>0.0</v>
      </c>
      <c r="V1958" s="50">
        <v>0.0</v>
      </c>
      <c r="W1958" s="50">
        <v>0.0</v>
      </c>
      <c r="X1958" s="50">
        <v>2.8125</v>
      </c>
      <c r="Y1958" s="50">
        <v>5.625</v>
      </c>
    </row>
    <row r="1959">
      <c r="A1959" s="26">
        <v>1953.0</v>
      </c>
      <c r="B1959" s="65">
        <v>0.5063472905407902</v>
      </c>
      <c r="C1959" s="65">
        <v>-0.3120187760379048</v>
      </c>
      <c r="D1959" s="65">
        <v>0.666733137672558</v>
      </c>
      <c r="E1959" s="65">
        <v>-1.5088674350016689</v>
      </c>
      <c r="F1959" s="65">
        <v>8.884498091840188</v>
      </c>
      <c r="G1959" s="50">
        <v>0.0</v>
      </c>
      <c r="H1959" s="50">
        <v>0.0</v>
      </c>
      <c r="I1959" s="50">
        <v>0.0</v>
      </c>
      <c r="J1959" s="50">
        <v>0.0</v>
      </c>
      <c r="K1959" s="50">
        <v>0.0</v>
      </c>
      <c r="L1959" s="50">
        <v>0.0</v>
      </c>
      <c r="M1959" s="50">
        <v>0.0</v>
      </c>
      <c r="N1959" s="50">
        <v>0.0</v>
      </c>
      <c r="O1959" s="50">
        <v>0.0</v>
      </c>
      <c r="P1959" s="50">
        <v>0.0</v>
      </c>
      <c r="Q1959" s="50">
        <v>0.0</v>
      </c>
      <c r="R1959" s="50">
        <v>0.0</v>
      </c>
      <c r="S1959" s="50">
        <v>0.0</v>
      </c>
      <c r="T1959" s="50">
        <v>2.8125</v>
      </c>
      <c r="U1959" s="50">
        <v>0.0</v>
      </c>
      <c r="V1959" s="50">
        <v>0.0</v>
      </c>
      <c r="W1959" s="50">
        <v>0.0</v>
      </c>
      <c r="X1959" s="50">
        <v>2.8125</v>
      </c>
      <c r="Y1959" s="50">
        <v>5.625</v>
      </c>
    </row>
    <row r="1960">
      <c r="A1960" s="26">
        <v>1954.0</v>
      </c>
      <c r="B1960" s="65">
        <v>-1.2984600957405772</v>
      </c>
      <c r="C1960" s="65">
        <v>0.16297145344346703</v>
      </c>
      <c r="D1960" s="65">
        <v>-1.3362348384119511</v>
      </c>
      <c r="E1960" s="65">
        <v>0.19018095508721714</v>
      </c>
      <c r="F1960" s="65">
        <v>9.62709089176963</v>
      </c>
      <c r="G1960" s="50">
        <v>0.0</v>
      </c>
      <c r="H1960" s="50">
        <v>0.0</v>
      </c>
      <c r="I1960" s="50">
        <v>0.0</v>
      </c>
      <c r="J1960" s="50">
        <v>0.0</v>
      </c>
      <c r="K1960" s="50">
        <v>0.0</v>
      </c>
      <c r="L1960" s="50">
        <v>0.0</v>
      </c>
      <c r="M1960" s="50">
        <v>0.0</v>
      </c>
      <c r="N1960" s="50">
        <v>0.0</v>
      </c>
      <c r="O1960" s="50">
        <v>0.0</v>
      </c>
      <c r="P1960" s="50">
        <v>0.0</v>
      </c>
      <c r="Q1960" s="50">
        <v>0.0</v>
      </c>
      <c r="R1960" s="50">
        <v>0.0</v>
      </c>
      <c r="S1960" s="50">
        <v>0.0</v>
      </c>
      <c r="T1960" s="50">
        <v>2.8125</v>
      </c>
      <c r="U1960" s="50">
        <v>0.0</v>
      </c>
      <c r="V1960" s="50">
        <v>0.0</v>
      </c>
      <c r="W1960" s="50">
        <v>0.0</v>
      </c>
      <c r="X1960" s="50">
        <v>2.8125</v>
      </c>
      <c r="Y1960" s="50">
        <v>5.625</v>
      </c>
    </row>
    <row r="1961">
      <c r="A1961" s="26">
        <v>1955.0</v>
      </c>
      <c r="B1961" s="65">
        <v>-1.0653381750621675</v>
      </c>
      <c r="C1961" s="65">
        <v>-1.0023874439247804</v>
      </c>
      <c r="D1961" s="65">
        <v>-1.0087651924731489</v>
      </c>
      <c r="E1961" s="65">
        <v>-0.4871902799837809</v>
      </c>
      <c r="F1961" s="65">
        <v>3.501294711370885</v>
      </c>
      <c r="G1961" s="50">
        <v>0.0</v>
      </c>
      <c r="H1961" s="50">
        <v>0.0</v>
      </c>
      <c r="I1961" s="50">
        <v>0.0</v>
      </c>
      <c r="J1961" s="50">
        <v>0.0</v>
      </c>
      <c r="K1961" s="50">
        <v>0.0</v>
      </c>
      <c r="L1961" s="50">
        <v>0.0</v>
      </c>
      <c r="M1961" s="50">
        <v>0.0</v>
      </c>
      <c r="N1961" s="50">
        <v>0.0</v>
      </c>
      <c r="O1961" s="50">
        <v>0.0</v>
      </c>
      <c r="P1961" s="50">
        <v>0.0</v>
      </c>
      <c r="Q1961" s="50">
        <v>0.0</v>
      </c>
      <c r="R1961" s="50">
        <v>0.0</v>
      </c>
      <c r="S1961" s="50">
        <v>0.0</v>
      </c>
      <c r="T1961" s="50">
        <v>2.8125</v>
      </c>
      <c r="U1961" s="50">
        <v>0.0</v>
      </c>
      <c r="V1961" s="50">
        <v>5.625</v>
      </c>
      <c r="W1961" s="50">
        <v>4.95</v>
      </c>
      <c r="X1961" s="50">
        <v>2.8125</v>
      </c>
      <c r="Y1961" s="50">
        <v>16.2</v>
      </c>
    </row>
    <row r="1962">
      <c r="A1962" s="26">
        <v>1956.0</v>
      </c>
      <c r="B1962" s="65">
        <v>0.27687100550527477</v>
      </c>
      <c r="C1962" s="65">
        <v>-0.4223838548165865</v>
      </c>
      <c r="D1962" s="65">
        <v>-0.11525899403494658</v>
      </c>
      <c r="E1962" s="65">
        <v>-0.11366591462043132</v>
      </c>
      <c r="F1962" s="65">
        <v>3.111300583863141</v>
      </c>
      <c r="G1962" s="50">
        <v>0.0</v>
      </c>
      <c r="H1962" s="50">
        <v>0.0</v>
      </c>
      <c r="I1962" s="50">
        <v>0.0</v>
      </c>
      <c r="J1962" s="50">
        <v>0.0</v>
      </c>
      <c r="K1962" s="50">
        <v>0.0</v>
      </c>
      <c r="L1962" s="50">
        <v>0.0</v>
      </c>
      <c r="M1962" s="50">
        <v>0.0</v>
      </c>
      <c r="N1962" s="50">
        <v>0.0</v>
      </c>
      <c r="O1962" s="50">
        <v>0.0</v>
      </c>
      <c r="P1962" s="50">
        <v>0.0</v>
      </c>
      <c r="Q1962" s="50">
        <v>0.0</v>
      </c>
      <c r="R1962" s="50">
        <v>0.0</v>
      </c>
      <c r="S1962" s="50">
        <v>0.0</v>
      </c>
      <c r="T1962" s="50">
        <v>2.8125</v>
      </c>
      <c r="U1962" s="50">
        <v>0.0</v>
      </c>
      <c r="V1962" s="50">
        <v>5.625</v>
      </c>
      <c r="W1962" s="50">
        <v>0.0</v>
      </c>
      <c r="X1962" s="50">
        <v>2.8125</v>
      </c>
      <c r="Y1962" s="50">
        <v>11.25</v>
      </c>
    </row>
    <row r="1963">
      <c r="A1963" s="26">
        <v>1957.0</v>
      </c>
      <c r="B1963" s="65">
        <v>0.024110657505397558</v>
      </c>
      <c r="C1963" s="65">
        <v>-0.16799564334821185</v>
      </c>
      <c r="D1963" s="65">
        <v>0.5409665655675895</v>
      </c>
      <c r="E1963" s="65">
        <v>1.0953167307379146</v>
      </c>
      <c r="F1963" s="65">
        <v>1.1929865980647452</v>
      </c>
      <c r="G1963" s="50">
        <v>0.0</v>
      </c>
      <c r="H1963" s="50">
        <v>0.0</v>
      </c>
      <c r="I1963" s="50">
        <v>0.0</v>
      </c>
      <c r="J1963" s="50">
        <v>0.0</v>
      </c>
      <c r="K1963" s="50">
        <v>0.0</v>
      </c>
      <c r="L1963" s="50">
        <v>0.0</v>
      </c>
      <c r="M1963" s="50">
        <v>0.0</v>
      </c>
      <c r="N1963" s="50">
        <v>0.0</v>
      </c>
      <c r="O1963" s="50">
        <v>0.0</v>
      </c>
      <c r="P1963" s="50">
        <v>0.0</v>
      </c>
      <c r="Q1963" s="50">
        <v>0.0</v>
      </c>
      <c r="R1963" s="50">
        <v>0.0</v>
      </c>
      <c r="S1963" s="50">
        <v>0.0</v>
      </c>
      <c r="T1963" s="50">
        <v>2.8125</v>
      </c>
      <c r="U1963" s="50">
        <v>0.0</v>
      </c>
      <c r="V1963" s="50">
        <v>0.0</v>
      </c>
      <c r="W1963" s="50">
        <v>0.0</v>
      </c>
      <c r="X1963" s="50">
        <v>2.8125</v>
      </c>
      <c r="Y1963" s="50">
        <v>5.625</v>
      </c>
    </row>
    <row r="1964">
      <c r="A1964" s="26">
        <v>1958.0</v>
      </c>
      <c r="B1964" s="65">
        <v>-1.5051058280215692</v>
      </c>
      <c r="C1964" s="65">
        <v>1.8190991168462232</v>
      </c>
      <c r="D1964" s="65">
        <v>-1.6167902979615947</v>
      </c>
      <c r="E1964" s="65">
        <v>0.21792080884852888</v>
      </c>
      <c r="F1964" s="65">
        <v>4.025768451892584</v>
      </c>
      <c r="G1964" s="50">
        <v>0.0</v>
      </c>
      <c r="H1964" s="50">
        <v>0.0</v>
      </c>
      <c r="I1964" s="50">
        <v>0.0</v>
      </c>
      <c r="J1964" s="50">
        <v>0.0</v>
      </c>
      <c r="K1964" s="50">
        <v>0.0</v>
      </c>
      <c r="L1964" s="50">
        <v>0.0</v>
      </c>
      <c r="M1964" s="50">
        <v>0.0</v>
      </c>
      <c r="N1964" s="50">
        <v>0.0</v>
      </c>
      <c r="O1964" s="50">
        <v>0.0</v>
      </c>
      <c r="P1964" s="50">
        <v>2.475</v>
      </c>
      <c r="Q1964" s="50">
        <v>0.0</v>
      </c>
      <c r="R1964" s="50">
        <v>9.9</v>
      </c>
      <c r="S1964" s="50">
        <v>0.0</v>
      </c>
      <c r="T1964" s="50">
        <v>2.8125</v>
      </c>
      <c r="U1964" s="50">
        <v>0.0</v>
      </c>
      <c r="V1964" s="50">
        <v>0.0</v>
      </c>
      <c r="W1964" s="50">
        <v>0.0</v>
      </c>
      <c r="X1964" s="50">
        <v>2.8125</v>
      </c>
      <c r="Y1964" s="50">
        <v>18.0</v>
      </c>
    </row>
    <row r="1965">
      <c r="A1965" s="26">
        <v>1959.0</v>
      </c>
      <c r="B1965" s="65">
        <v>0.2610030070564563</v>
      </c>
      <c r="C1965" s="65">
        <v>1.2794862460582546</v>
      </c>
      <c r="D1965" s="65">
        <v>-1.4361095266286974</v>
      </c>
      <c r="E1965" s="65">
        <v>-1.8535829495874183</v>
      </c>
      <c r="F1965" s="65">
        <v>2.7974357796920293</v>
      </c>
      <c r="G1965" s="50">
        <v>0.0</v>
      </c>
      <c r="H1965" s="50">
        <v>0.0</v>
      </c>
      <c r="I1965" s="50">
        <v>0.0</v>
      </c>
      <c r="J1965" s="50">
        <v>0.0</v>
      </c>
      <c r="K1965" s="50">
        <v>0.0</v>
      </c>
      <c r="L1965" s="50">
        <v>0.0</v>
      </c>
      <c r="M1965" s="50">
        <v>0.0</v>
      </c>
      <c r="N1965" s="50">
        <v>0.0</v>
      </c>
      <c r="O1965" s="50">
        <v>0.0</v>
      </c>
      <c r="P1965" s="50">
        <v>0.0</v>
      </c>
      <c r="Q1965" s="50">
        <v>0.0</v>
      </c>
      <c r="R1965" s="50">
        <v>0.0</v>
      </c>
      <c r="S1965" s="50">
        <v>0.0</v>
      </c>
      <c r="T1965" s="50">
        <v>2.8125</v>
      </c>
      <c r="U1965" s="50">
        <v>9.9</v>
      </c>
      <c r="V1965" s="50">
        <v>5.625</v>
      </c>
      <c r="W1965" s="50">
        <v>0.0</v>
      </c>
      <c r="X1965" s="50">
        <v>2.8125</v>
      </c>
      <c r="Y1965" s="50">
        <v>21.15</v>
      </c>
    </row>
    <row r="1966">
      <c r="A1966" s="26">
        <v>1960.0</v>
      </c>
      <c r="B1966" s="65">
        <v>-0.6116981775712599</v>
      </c>
      <c r="C1966" s="65">
        <v>-0.5210947649198733</v>
      </c>
      <c r="D1966" s="65">
        <v>-0.7561522305752241</v>
      </c>
      <c r="E1966" s="65">
        <v>-1.1500576805485727</v>
      </c>
      <c r="F1966" s="65">
        <v>5.1619922209799975</v>
      </c>
      <c r="G1966" s="50">
        <v>0.0</v>
      </c>
      <c r="H1966" s="50">
        <v>0.0</v>
      </c>
      <c r="I1966" s="50">
        <v>0.0</v>
      </c>
      <c r="J1966" s="50">
        <v>0.0</v>
      </c>
      <c r="K1966" s="50">
        <v>0.0</v>
      </c>
      <c r="L1966" s="50">
        <v>0.0</v>
      </c>
      <c r="M1966" s="50">
        <v>0.0</v>
      </c>
      <c r="N1966" s="50">
        <v>0.0</v>
      </c>
      <c r="O1966" s="50">
        <v>7.425000000000001</v>
      </c>
      <c r="P1966" s="50">
        <v>0.0</v>
      </c>
      <c r="Q1966" s="50">
        <v>0.0</v>
      </c>
      <c r="R1966" s="50">
        <v>0.0</v>
      </c>
      <c r="S1966" s="50">
        <v>0.0</v>
      </c>
      <c r="T1966" s="50">
        <v>2.8125</v>
      </c>
      <c r="U1966" s="50">
        <v>0.0</v>
      </c>
      <c r="V1966" s="50">
        <v>5.625</v>
      </c>
      <c r="W1966" s="50">
        <v>0.0</v>
      </c>
      <c r="X1966" s="50">
        <v>2.8125</v>
      </c>
      <c r="Y1966" s="50">
        <v>18.675</v>
      </c>
    </row>
    <row r="1967">
      <c r="A1967" s="26">
        <v>1961.0</v>
      </c>
      <c r="B1967" s="65">
        <v>-1.174598962922675</v>
      </c>
      <c r="C1967" s="65">
        <v>1.1134619433314266</v>
      </c>
      <c r="D1967" s="65">
        <v>0.012377225164351037</v>
      </c>
      <c r="E1967" s="65">
        <v>-0.07858630573343023</v>
      </c>
      <c r="F1967" s="65">
        <v>3.8473739030060052</v>
      </c>
      <c r="G1967" s="50">
        <v>0.0</v>
      </c>
      <c r="H1967" s="50">
        <v>0.0</v>
      </c>
      <c r="I1967" s="50">
        <v>0.0</v>
      </c>
      <c r="J1967" s="50">
        <v>0.0</v>
      </c>
      <c r="K1967" s="50">
        <v>0.0</v>
      </c>
      <c r="L1967" s="50">
        <v>0.0</v>
      </c>
      <c r="M1967" s="50">
        <v>0.0</v>
      </c>
      <c r="N1967" s="50">
        <v>0.0</v>
      </c>
      <c r="O1967" s="50">
        <v>0.0</v>
      </c>
      <c r="P1967" s="50">
        <v>0.0</v>
      </c>
      <c r="Q1967" s="50">
        <v>0.0</v>
      </c>
      <c r="R1967" s="50">
        <v>0.0</v>
      </c>
      <c r="S1967" s="50">
        <v>0.0</v>
      </c>
      <c r="T1967" s="50">
        <v>2.8125</v>
      </c>
      <c r="U1967" s="50">
        <v>0.0</v>
      </c>
      <c r="V1967" s="50">
        <v>5.625</v>
      </c>
      <c r="W1967" s="50">
        <v>4.95</v>
      </c>
      <c r="X1967" s="50">
        <v>2.8125</v>
      </c>
      <c r="Y1967" s="50">
        <v>16.2</v>
      </c>
    </row>
    <row r="1968">
      <c r="A1968" s="26">
        <v>1962.0</v>
      </c>
      <c r="B1968" s="65">
        <v>-0.8390849202717593</v>
      </c>
      <c r="C1968" s="65">
        <v>-0.1523122542344477</v>
      </c>
      <c r="D1968" s="65">
        <v>-0.33303289233947314</v>
      </c>
      <c r="E1968" s="65">
        <v>-0.7324981615427572</v>
      </c>
      <c r="F1968" s="65">
        <v>0.8712802752153058</v>
      </c>
      <c r="G1968" s="50">
        <v>0.0</v>
      </c>
      <c r="H1968" s="50">
        <v>0.0</v>
      </c>
      <c r="I1968" s="50">
        <v>0.0</v>
      </c>
      <c r="J1968" s="50">
        <v>0.0</v>
      </c>
      <c r="K1968" s="50">
        <v>0.0</v>
      </c>
      <c r="L1968" s="50">
        <v>0.0</v>
      </c>
      <c r="M1968" s="50">
        <v>0.0</v>
      </c>
      <c r="N1968" s="50">
        <v>0.0</v>
      </c>
      <c r="O1968" s="50">
        <v>0.0</v>
      </c>
      <c r="P1968" s="50">
        <v>0.0</v>
      </c>
      <c r="Q1968" s="50">
        <v>0.0</v>
      </c>
      <c r="R1968" s="50">
        <v>0.0</v>
      </c>
      <c r="S1968" s="50">
        <v>11.25</v>
      </c>
      <c r="T1968" s="50">
        <v>2.8125</v>
      </c>
      <c r="U1968" s="50">
        <v>0.0</v>
      </c>
      <c r="V1968" s="50">
        <v>5.625</v>
      </c>
      <c r="W1968" s="50">
        <v>0.0</v>
      </c>
      <c r="X1968" s="50">
        <v>2.8125</v>
      </c>
      <c r="Y1968" s="50">
        <v>22.5</v>
      </c>
    </row>
    <row r="1969">
      <c r="A1969" s="26">
        <v>1963.0</v>
      </c>
      <c r="B1969" s="65">
        <v>0.964644017729547</v>
      </c>
      <c r="C1969" s="65">
        <v>-0.20192549801693513</v>
      </c>
      <c r="D1969" s="65">
        <v>0.07641294991648269</v>
      </c>
      <c r="E1969" s="65">
        <v>1.012343869106111</v>
      </c>
      <c r="F1969" s="65">
        <v>2.197802162406455</v>
      </c>
      <c r="G1969" s="50">
        <v>0.0</v>
      </c>
      <c r="H1969" s="50">
        <v>0.0</v>
      </c>
      <c r="I1969" s="50">
        <v>0.0</v>
      </c>
      <c r="J1969" s="50">
        <v>0.0</v>
      </c>
      <c r="K1969" s="50">
        <v>0.0</v>
      </c>
      <c r="L1969" s="50">
        <v>0.0</v>
      </c>
      <c r="M1969" s="50">
        <v>0.0</v>
      </c>
      <c r="N1969" s="50">
        <v>0.0</v>
      </c>
      <c r="O1969" s="50">
        <v>0.0</v>
      </c>
      <c r="P1969" s="50">
        <v>0.0</v>
      </c>
      <c r="Q1969" s="50">
        <v>0.0</v>
      </c>
      <c r="R1969" s="50">
        <v>0.0</v>
      </c>
      <c r="S1969" s="50">
        <v>0.0</v>
      </c>
      <c r="T1969" s="50">
        <v>2.8125</v>
      </c>
      <c r="U1969" s="50">
        <v>0.0</v>
      </c>
      <c r="V1969" s="50">
        <v>0.0</v>
      </c>
      <c r="W1969" s="50">
        <v>0.0</v>
      </c>
      <c r="X1969" s="50">
        <v>2.8125</v>
      </c>
      <c r="Y1969" s="50">
        <v>5.625</v>
      </c>
    </row>
    <row r="1970">
      <c r="A1970" s="26">
        <v>1964.0</v>
      </c>
      <c r="B1970" s="65">
        <v>-0.897163682820699</v>
      </c>
      <c r="C1970" s="65">
        <v>0.10264836630177801</v>
      </c>
      <c r="D1970" s="65">
        <v>-0.39103487874465065</v>
      </c>
      <c r="E1970" s="65">
        <v>1.187476881308488</v>
      </c>
      <c r="F1970" s="65">
        <v>1.4302362897068208</v>
      </c>
      <c r="G1970" s="50">
        <v>0.0</v>
      </c>
      <c r="H1970" s="50">
        <v>0.0</v>
      </c>
      <c r="I1970" s="50">
        <v>0.0</v>
      </c>
      <c r="J1970" s="50">
        <v>0.0</v>
      </c>
      <c r="K1970" s="50">
        <v>0.0</v>
      </c>
      <c r="L1970" s="50">
        <v>0.0</v>
      </c>
      <c r="M1970" s="50">
        <v>0.0</v>
      </c>
      <c r="N1970" s="50">
        <v>0.0</v>
      </c>
      <c r="O1970" s="50">
        <v>0.0</v>
      </c>
      <c r="P1970" s="50">
        <v>0.0</v>
      </c>
      <c r="Q1970" s="50">
        <v>0.0</v>
      </c>
      <c r="R1970" s="50">
        <v>9.9</v>
      </c>
      <c r="S1970" s="50">
        <v>0.0</v>
      </c>
      <c r="T1970" s="50">
        <v>2.8125</v>
      </c>
      <c r="U1970" s="50">
        <v>0.0</v>
      </c>
      <c r="V1970" s="50">
        <v>5.625</v>
      </c>
      <c r="W1970" s="50">
        <v>4.95</v>
      </c>
      <c r="X1970" s="50">
        <v>2.8125</v>
      </c>
      <c r="Y1970" s="50">
        <v>26.099999999999998</v>
      </c>
    </row>
    <row r="1971">
      <c r="A1971" s="26">
        <v>1965.0</v>
      </c>
      <c r="B1971" s="65">
        <v>-0.4162865598720251</v>
      </c>
      <c r="C1971" s="65">
        <v>1.1312175361431487</v>
      </c>
      <c r="D1971" s="65">
        <v>0.5392915409773807</v>
      </c>
      <c r="E1971" s="65">
        <v>0.17434101315820044</v>
      </c>
      <c r="F1971" s="65">
        <v>1.2022342127287458</v>
      </c>
      <c r="G1971" s="50">
        <v>0.0</v>
      </c>
      <c r="H1971" s="50">
        <v>0.0</v>
      </c>
      <c r="I1971" s="50">
        <v>0.0</v>
      </c>
      <c r="J1971" s="50">
        <v>0.0</v>
      </c>
      <c r="K1971" s="50">
        <v>0.0</v>
      </c>
      <c r="L1971" s="50">
        <v>0.0</v>
      </c>
      <c r="M1971" s="50">
        <v>0.0</v>
      </c>
      <c r="N1971" s="50">
        <v>0.0</v>
      </c>
      <c r="O1971" s="50">
        <v>7.425000000000001</v>
      </c>
      <c r="P1971" s="50">
        <v>0.0</v>
      </c>
      <c r="Q1971" s="50">
        <v>0.0</v>
      </c>
      <c r="R1971" s="50">
        <v>0.0</v>
      </c>
      <c r="S1971" s="50">
        <v>0.0</v>
      </c>
      <c r="T1971" s="50">
        <v>2.8125</v>
      </c>
      <c r="U1971" s="50">
        <v>0.0</v>
      </c>
      <c r="V1971" s="50">
        <v>5.625</v>
      </c>
      <c r="W1971" s="50">
        <v>0.0</v>
      </c>
      <c r="X1971" s="50">
        <v>2.8125</v>
      </c>
      <c r="Y1971" s="50">
        <v>18.675</v>
      </c>
    </row>
    <row r="1972">
      <c r="A1972" s="26">
        <v>1966.0</v>
      </c>
      <c r="B1972" s="65">
        <v>0.059479099229702216</v>
      </c>
      <c r="C1972" s="65">
        <v>2.0088548834780324</v>
      </c>
      <c r="D1972" s="65">
        <v>0.5207637943975982</v>
      </c>
      <c r="E1972" s="65">
        <v>1.3206103283843844</v>
      </c>
      <c r="F1972" s="65">
        <v>4.871841251822616</v>
      </c>
      <c r="G1972" s="50">
        <v>0.0</v>
      </c>
      <c r="H1972" s="50">
        <v>0.0</v>
      </c>
      <c r="I1972" s="50">
        <v>0.0</v>
      </c>
      <c r="J1972" s="50">
        <v>0.0</v>
      </c>
      <c r="K1972" s="50">
        <v>0.0</v>
      </c>
      <c r="L1972" s="50">
        <v>0.0</v>
      </c>
      <c r="M1972" s="50">
        <v>0.0</v>
      </c>
      <c r="N1972" s="50">
        <v>0.0</v>
      </c>
      <c r="O1972" s="50">
        <v>0.0</v>
      </c>
      <c r="P1972" s="50">
        <v>0.0</v>
      </c>
      <c r="Q1972" s="50">
        <v>0.0</v>
      </c>
      <c r="R1972" s="50">
        <v>0.0</v>
      </c>
      <c r="S1972" s="50">
        <v>0.0</v>
      </c>
      <c r="T1972" s="50">
        <v>2.8125</v>
      </c>
      <c r="U1972" s="50">
        <v>0.0</v>
      </c>
      <c r="V1972" s="50">
        <v>0.0</v>
      </c>
      <c r="W1972" s="50">
        <v>0.0</v>
      </c>
      <c r="X1972" s="50">
        <v>2.8125</v>
      </c>
      <c r="Y1972" s="50">
        <v>5.625</v>
      </c>
    </row>
    <row r="1973">
      <c r="A1973" s="26">
        <v>1967.0</v>
      </c>
      <c r="B1973" s="65">
        <v>0.24413690083659512</v>
      </c>
      <c r="C1973" s="65">
        <v>-0.15195335278454947</v>
      </c>
      <c r="D1973" s="65">
        <v>0.17770042649548853</v>
      </c>
      <c r="E1973" s="65">
        <v>0.462744800281966</v>
      </c>
      <c r="F1973" s="65">
        <v>7.762477758597328</v>
      </c>
      <c r="G1973" s="50">
        <v>0.0</v>
      </c>
      <c r="H1973" s="50">
        <v>0.0</v>
      </c>
      <c r="I1973" s="50">
        <v>0.0</v>
      </c>
      <c r="J1973" s="50">
        <v>0.0</v>
      </c>
      <c r="K1973" s="50">
        <v>0.0</v>
      </c>
      <c r="L1973" s="50">
        <v>0.0</v>
      </c>
      <c r="M1973" s="50">
        <v>0.0</v>
      </c>
      <c r="N1973" s="50">
        <v>0.0</v>
      </c>
      <c r="O1973" s="50">
        <v>0.0</v>
      </c>
      <c r="P1973" s="50">
        <v>0.0</v>
      </c>
      <c r="Q1973" s="50">
        <v>0.0</v>
      </c>
      <c r="R1973" s="50">
        <v>0.0</v>
      </c>
      <c r="S1973" s="50">
        <v>0.0</v>
      </c>
      <c r="T1973" s="50">
        <v>2.8125</v>
      </c>
      <c r="U1973" s="50">
        <v>0.0</v>
      </c>
      <c r="V1973" s="50">
        <v>0.0</v>
      </c>
      <c r="W1973" s="50">
        <v>0.0</v>
      </c>
      <c r="X1973" s="50">
        <v>2.8125</v>
      </c>
      <c r="Y1973" s="50">
        <v>5.625</v>
      </c>
    </row>
    <row r="1974">
      <c r="A1974" s="26">
        <v>1968.0</v>
      </c>
      <c r="B1974" s="65">
        <v>-1.4464105372908544</v>
      </c>
      <c r="C1974" s="65">
        <v>-0.007075992340833968</v>
      </c>
      <c r="D1974" s="65">
        <v>-0.767382737550891</v>
      </c>
      <c r="E1974" s="65">
        <v>-1.0618211266770659</v>
      </c>
      <c r="F1974" s="65">
        <v>8.570574369237029</v>
      </c>
      <c r="G1974" s="50">
        <v>0.0</v>
      </c>
      <c r="H1974" s="50">
        <v>0.0</v>
      </c>
      <c r="I1974" s="50">
        <v>0.0</v>
      </c>
      <c r="J1974" s="50">
        <v>0.0</v>
      </c>
      <c r="K1974" s="50">
        <v>0.0</v>
      </c>
      <c r="L1974" s="50">
        <v>0.0</v>
      </c>
      <c r="M1974" s="50">
        <v>0.0</v>
      </c>
      <c r="N1974" s="50">
        <v>0.0</v>
      </c>
      <c r="O1974" s="50">
        <v>7.425000000000001</v>
      </c>
      <c r="P1974" s="50">
        <v>0.0</v>
      </c>
      <c r="Q1974" s="50">
        <v>0.0</v>
      </c>
      <c r="R1974" s="50">
        <v>0.0</v>
      </c>
      <c r="S1974" s="50">
        <v>0.0</v>
      </c>
      <c r="T1974" s="50">
        <v>2.8125</v>
      </c>
      <c r="U1974" s="50">
        <v>0.0</v>
      </c>
      <c r="V1974" s="50">
        <v>5.625</v>
      </c>
      <c r="W1974" s="50">
        <v>0.0</v>
      </c>
      <c r="X1974" s="50">
        <v>2.8125</v>
      </c>
      <c r="Y1974" s="50">
        <v>18.675</v>
      </c>
    </row>
    <row r="1975">
      <c r="A1975" s="26">
        <v>1969.0</v>
      </c>
      <c r="B1975" s="65">
        <v>-0.1825717514777365</v>
      </c>
      <c r="C1975" s="65">
        <v>-0.8451930086087942</v>
      </c>
      <c r="D1975" s="65">
        <v>-0.78690636761175</v>
      </c>
      <c r="E1975" s="65">
        <v>-0.31642121441515625</v>
      </c>
      <c r="F1975" s="65">
        <v>3.0355091325677277</v>
      </c>
      <c r="G1975" s="50">
        <v>0.0</v>
      </c>
      <c r="H1975" s="50">
        <v>0.0</v>
      </c>
      <c r="I1975" s="50">
        <v>0.0</v>
      </c>
      <c r="J1975" s="50">
        <v>0.0</v>
      </c>
      <c r="K1975" s="50">
        <v>0.0</v>
      </c>
      <c r="L1975" s="50">
        <v>0.0</v>
      </c>
      <c r="M1975" s="50">
        <v>0.0</v>
      </c>
      <c r="N1975" s="50">
        <v>0.0</v>
      </c>
      <c r="O1975" s="50">
        <v>0.0</v>
      </c>
      <c r="P1975" s="50">
        <v>0.0</v>
      </c>
      <c r="Q1975" s="50">
        <v>0.0</v>
      </c>
      <c r="R1975" s="50">
        <v>0.0</v>
      </c>
      <c r="S1975" s="50">
        <v>11.25</v>
      </c>
      <c r="T1975" s="50">
        <v>2.8125</v>
      </c>
      <c r="U1975" s="50">
        <v>0.0</v>
      </c>
      <c r="V1975" s="50">
        <v>0.0</v>
      </c>
      <c r="W1975" s="50">
        <v>4.95</v>
      </c>
      <c r="X1975" s="50">
        <v>2.8125</v>
      </c>
      <c r="Y1975" s="50">
        <v>21.825</v>
      </c>
    </row>
    <row r="1976">
      <c r="A1976" s="26">
        <v>1970.0</v>
      </c>
      <c r="B1976" s="65">
        <v>-2.1788649414090657</v>
      </c>
      <c r="C1976" s="65">
        <v>-0.9226542807519921</v>
      </c>
      <c r="D1976" s="65">
        <v>0.23938679082694508</v>
      </c>
      <c r="E1976" s="65">
        <v>0.5252072524912066</v>
      </c>
      <c r="F1976" s="65">
        <v>2.1873216911039215</v>
      </c>
      <c r="G1976" s="50">
        <v>0.0</v>
      </c>
      <c r="H1976" s="50">
        <v>0.0</v>
      </c>
      <c r="I1976" s="50">
        <v>0.0</v>
      </c>
      <c r="J1976" s="50">
        <v>0.0</v>
      </c>
      <c r="K1976" s="50">
        <v>0.0</v>
      </c>
      <c r="L1976" s="50">
        <v>0.0</v>
      </c>
      <c r="M1976" s="50">
        <v>0.0</v>
      </c>
      <c r="N1976" s="50">
        <v>0.0</v>
      </c>
      <c r="O1976" s="50">
        <v>7.425000000000001</v>
      </c>
      <c r="P1976" s="50">
        <v>0.0</v>
      </c>
      <c r="Q1976" s="50">
        <v>0.0</v>
      </c>
      <c r="R1976" s="50">
        <v>9.9</v>
      </c>
      <c r="S1976" s="50">
        <v>11.25</v>
      </c>
      <c r="T1976" s="50">
        <v>2.8125</v>
      </c>
      <c r="U1976" s="50">
        <v>0.0</v>
      </c>
      <c r="V1976" s="50">
        <v>5.625</v>
      </c>
      <c r="W1976" s="50">
        <v>0.0</v>
      </c>
      <c r="X1976" s="50">
        <v>2.8125</v>
      </c>
      <c r="Y1976" s="50">
        <v>39.825</v>
      </c>
    </row>
    <row r="1977">
      <c r="A1977" s="26">
        <v>1971.0</v>
      </c>
      <c r="B1977" s="65">
        <v>-2.216147972005207</v>
      </c>
      <c r="C1977" s="65">
        <v>1.8630996429623115</v>
      </c>
      <c r="D1977" s="65">
        <v>0.5514553247560016</v>
      </c>
      <c r="E1977" s="65">
        <v>-1.8086594330356403</v>
      </c>
      <c r="F1977" s="65">
        <v>7.871361206160693</v>
      </c>
      <c r="G1977" s="50">
        <v>0.0</v>
      </c>
      <c r="H1977" s="50">
        <v>0.0</v>
      </c>
      <c r="I1977" s="50">
        <v>0.0</v>
      </c>
      <c r="J1977" s="50">
        <v>0.0</v>
      </c>
      <c r="K1977" s="50">
        <v>0.0</v>
      </c>
      <c r="L1977" s="50">
        <v>0.0</v>
      </c>
      <c r="M1977" s="50">
        <v>0.0</v>
      </c>
      <c r="N1977" s="50">
        <v>0.0</v>
      </c>
      <c r="O1977" s="50">
        <v>0.0</v>
      </c>
      <c r="P1977" s="50">
        <v>0.0</v>
      </c>
      <c r="Q1977" s="50">
        <v>0.0</v>
      </c>
      <c r="R1977" s="50">
        <v>0.0</v>
      </c>
      <c r="S1977" s="50">
        <v>0.0</v>
      </c>
      <c r="T1977" s="50">
        <v>2.8125</v>
      </c>
      <c r="U1977" s="50">
        <v>9.9</v>
      </c>
      <c r="V1977" s="50">
        <v>5.625</v>
      </c>
      <c r="W1977" s="50">
        <v>4.95</v>
      </c>
      <c r="X1977" s="50">
        <v>2.8125</v>
      </c>
      <c r="Y1977" s="50">
        <v>26.099999999999998</v>
      </c>
    </row>
    <row r="1978">
      <c r="A1978" s="26">
        <v>1972.0</v>
      </c>
      <c r="B1978" s="65">
        <v>1.022883917052872</v>
      </c>
      <c r="C1978" s="65">
        <v>0.66691145986153</v>
      </c>
      <c r="D1978" s="65">
        <v>-0.403104490290563</v>
      </c>
      <c r="E1978" s="65">
        <v>0.4180540484859157</v>
      </c>
      <c r="F1978" s="65">
        <v>2.7643530734724253</v>
      </c>
      <c r="G1978" s="50">
        <v>0.0</v>
      </c>
      <c r="H1978" s="50">
        <v>0.0</v>
      </c>
      <c r="I1978" s="50">
        <v>0.0</v>
      </c>
      <c r="J1978" s="50">
        <v>0.0</v>
      </c>
      <c r="K1978" s="50">
        <v>0.0</v>
      </c>
      <c r="L1978" s="50">
        <v>0.0</v>
      </c>
      <c r="M1978" s="50">
        <v>0.0</v>
      </c>
      <c r="N1978" s="50">
        <v>0.0</v>
      </c>
      <c r="O1978" s="50">
        <v>0.0</v>
      </c>
      <c r="P1978" s="50">
        <v>0.0</v>
      </c>
      <c r="Q1978" s="50">
        <v>0.0</v>
      </c>
      <c r="R1978" s="50">
        <v>0.0</v>
      </c>
      <c r="S1978" s="50">
        <v>0.0</v>
      </c>
      <c r="T1978" s="50">
        <v>2.8125</v>
      </c>
      <c r="U1978" s="50">
        <v>0.0</v>
      </c>
      <c r="V1978" s="50">
        <v>0.0</v>
      </c>
      <c r="W1978" s="50">
        <v>0.0</v>
      </c>
      <c r="X1978" s="50">
        <v>2.8125</v>
      </c>
      <c r="Y1978" s="50">
        <v>5.625</v>
      </c>
    </row>
    <row r="1979">
      <c r="A1979" s="26">
        <v>1973.0</v>
      </c>
      <c r="B1979" s="65">
        <v>-0.9397040648717125</v>
      </c>
      <c r="C1979" s="65">
        <v>-0.03507818683258198</v>
      </c>
      <c r="D1979" s="65">
        <v>-0.060857880053690167</v>
      </c>
      <c r="E1979" s="65">
        <v>1.18893611188781</v>
      </c>
      <c r="F1979" s="65">
        <v>3.429128792775975</v>
      </c>
      <c r="G1979" s="50">
        <v>0.0</v>
      </c>
      <c r="H1979" s="50">
        <v>0.0</v>
      </c>
      <c r="I1979" s="50">
        <v>0.0</v>
      </c>
      <c r="J1979" s="50">
        <v>0.0</v>
      </c>
      <c r="K1979" s="50">
        <v>0.0</v>
      </c>
      <c r="L1979" s="50">
        <v>0.0</v>
      </c>
      <c r="M1979" s="50">
        <v>0.0</v>
      </c>
      <c r="N1979" s="50">
        <v>0.0</v>
      </c>
      <c r="O1979" s="50">
        <v>0.0</v>
      </c>
      <c r="P1979" s="50">
        <v>0.0</v>
      </c>
      <c r="Q1979" s="50">
        <v>0.0</v>
      </c>
      <c r="R1979" s="50">
        <v>9.9</v>
      </c>
      <c r="S1979" s="50">
        <v>0.0</v>
      </c>
      <c r="T1979" s="50">
        <v>2.8125</v>
      </c>
      <c r="U1979" s="50">
        <v>0.0</v>
      </c>
      <c r="V1979" s="50">
        <v>5.625</v>
      </c>
      <c r="W1979" s="50">
        <v>0.0</v>
      </c>
      <c r="X1979" s="50">
        <v>2.8125</v>
      </c>
      <c r="Y1979" s="50">
        <v>21.15</v>
      </c>
    </row>
    <row r="1980">
      <c r="A1980" s="26">
        <v>1974.0</v>
      </c>
      <c r="B1980" s="65">
        <v>-0.15281053010837467</v>
      </c>
      <c r="C1980" s="65">
        <v>1.2724965161489938</v>
      </c>
      <c r="D1980" s="65">
        <v>0.5916365163248946</v>
      </c>
      <c r="E1980" s="65">
        <v>-0.7876798646324646</v>
      </c>
      <c r="F1980" s="65">
        <v>5.5254786705485675</v>
      </c>
      <c r="G1980" s="50">
        <v>0.0</v>
      </c>
      <c r="H1980" s="50">
        <v>0.0</v>
      </c>
      <c r="I1980" s="50">
        <v>0.0</v>
      </c>
      <c r="J1980" s="50">
        <v>0.0</v>
      </c>
      <c r="K1980" s="50">
        <v>0.0</v>
      </c>
      <c r="L1980" s="50">
        <v>0.0</v>
      </c>
      <c r="M1980" s="50">
        <v>0.0</v>
      </c>
      <c r="N1980" s="50">
        <v>0.0</v>
      </c>
      <c r="O1980" s="50">
        <v>0.0</v>
      </c>
      <c r="P1980" s="50">
        <v>0.0</v>
      </c>
      <c r="Q1980" s="50">
        <v>0.0</v>
      </c>
      <c r="R1980" s="50">
        <v>0.0</v>
      </c>
      <c r="S1980" s="50">
        <v>0.0</v>
      </c>
      <c r="T1980" s="50">
        <v>2.8125</v>
      </c>
      <c r="U1980" s="50">
        <v>0.0</v>
      </c>
      <c r="V1980" s="50">
        <v>5.625</v>
      </c>
      <c r="W1980" s="50">
        <v>0.0</v>
      </c>
      <c r="X1980" s="50">
        <v>2.8125</v>
      </c>
      <c r="Y1980" s="50">
        <v>11.25</v>
      </c>
    </row>
    <row r="1981">
      <c r="A1981" s="26">
        <v>1975.0</v>
      </c>
      <c r="B1981" s="65">
        <v>0.5787759174827191</v>
      </c>
      <c r="C1981" s="65">
        <v>0.3334681472605272</v>
      </c>
      <c r="D1981" s="65">
        <v>0.35075973233515556</v>
      </c>
      <c r="E1981" s="65">
        <v>0.13814587857252048</v>
      </c>
      <c r="F1981" s="65">
        <v>7.410123407432237</v>
      </c>
      <c r="G1981" s="50">
        <v>0.0</v>
      </c>
      <c r="H1981" s="50">
        <v>0.0</v>
      </c>
      <c r="I1981" s="50">
        <v>0.0</v>
      </c>
      <c r="J1981" s="50">
        <v>0.0</v>
      </c>
      <c r="K1981" s="50">
        <v>0.0</v>
      </c>
      <c r="L1981" s="50">
        <v>0.0</v>
      </c>
      <c r="M1981" s="50">
        <v>0.0</v>
      </c>
      <c r="N1981" s="50">
        <v>0.0</v>
      </c>
      <c r="O1981" s="50">
        <v>0.0</v>
      </c>
      <c r="P1981" s="50">
        <v>0.0</v>
      </c>
      <c r="Q1981" s="50">
        <v>0.0</v>
      </c>
      <c r="R1981" s="50">
        <v>0.0</v>
      </c>
      <c r="S1981" s="50">
        <v>0.0</v>
      </c>
      <c r="T1981" s="50">
        <v>2.8125</v>
      </c>
      <c r="U1981" s="50">
        <v>0.0</v>
      </c>
      <c r="V1981" s="50">
        <v>0.0</v>
      </c>
      <c r="W1981" s="50">
        <v>0.0</v>
      </c>
      <c r="X1981" s="50">
        <v>2.8125</v>
      </c>
      <c r="Y1981" s="50">
        <v>5.625</v>
      </c>
    </row>
    <row r="1982">
      <c r="A1982" s="26">
        <v>1976.0</v>
      </c>
      <c r="B1982" s="65">
        <v>0.6886921335245478</v>
      </c>
      <c r="C1982" s="65">
        <v>0.5667441775027956</v>
      </c>
      <c r="D1982" s="65">
        <v>-0.43025307185781697</v>
      </c>
      <c r="E1982" s="65">
        <v>1.686930640241993</v>
      </c>
      <c r="F1982" s="65">
        <v>10.22597085877147</v>
      </c>
      <c r="G1982" s="50">
        <v>0.0</v>
      </c>
      <c r="H1982" s="50">
        <v>0.0</v>
      </c>
      <c r="I1982" s="50">
        <v>0.0</v>
      </c>
      <c r="J1982" s="50">
        <v>0.0</v>
      </c>
      <c r="K1982" s="50">
        <v>0.0</v>
      </c>
      <c r="L1982" s="50">
        <v>0.0</v>
      </c>
      <c r="M1982" s="50">
        <v>0.0</v>
      </c>
      <c r="N1982" s="50">
        <v>0.0</v>
      </c>
      <c r="O1982" s="50">
        <v>0.0</v>
      </c>
      <c r="P1982" s="50">
        <v>0.0</v>
      </c>
      <c r="Q1982" s="50">
        <v>0.0</v>
      </c>
      <c r="R1982" s="50">
        <v>0.0</v>
      </c>
      <c r="S1982" s="50">
        <v>0.0</v>
      </c>
      <c r="T1982" s="50">
        <v>2.8125</v>
      </c>
      <c r="U1982" s="50">
        <v>0.0</v>
      </c>
      <c r="V1982" s="50">
        <v>5.625</v>
      </c>
      <c r="W1982" s="50">
        <v>0.0</v>
      </c>
      <c r="X1982" s="50">
        <v>2.8125</v>
      </c>
      <c r="Y1982" s="50">
        <v>11.25</v>
      </c>
    </row>
    <row r="1983">
      <c r="A1983" s="26">
        <v>1977.0</v>
      </c>
      <c r="B1983" s="65">
        <v>-0.9117726793027</v>
      </c>
      <c r="C1983" s="65">
        <v>0.7295286010728335</v>
      </c>
      <c r="D1983" s="65">
        <v>0.3290425906091008</v>
      </c>
      <c r="E1983" s="65">
        <v>-0.2593373208020236</v>
      </c>
      <c r="F1983" s="65">
        <v>1.518480054925488</v>
      </c>
      <c r="G1983" s="50">
        <v>0.0</v>
      </c>
      <c r="H1983" s="50">
        <v>11.25</v>
      </c>
      <c r="I1983" s="50">
        <v>0.0</v>
      </c>
      <c r="J1983" s="50">
        <v>0.0</v>
      </c>
      <c r="K1983" s="50">
        <v>0.0</v>
      </c>
      <c r="L1983" s="50">
        <v>0.0</v>
      </c>
      <c r="M1983" s="50">
        <v>0.0</v>
      </c>
      <c r="N1983" s="50">
        <v>0.0</v>
      </c>
      <c r="O1983" s="50">
        <v>7.425000000000001</v>
      </c>
      <c r="P1983" s="50">
        <v>2.475</v>
      </c>
      <c r="Q1983" s="50">
        <v>0.0</v>
      </c>
      <c r="R1983" s="50">
        <v>0.0</v>
      </c>
      <c r="S1983" s="50">
        <v>0.0</v>
      </c>
      <c r="T1983" s="50">
        <v>2.8125</v>
      </c>
      <c r="U1983" s="50">
        <v>0.0</v>
      </c>
      <c r="V1983" s="50">
        <v>5.625</v>
      </c>
      <c r="W1983" s="50">
        <v>0.0</v>
      </c>
      <c r="X1983" s="50">
        <v>2.8125</v>
      </c>
      <c r="Y1983" s="50">
        <v>32.400000000000006</v>
      </c>
    </row>
    <row r="1984">
      <c r="A1984" s="26">
        <v>1978.0</v>
      </c>
      <c r="B1984" s="65">
        <v>0.4442894900311735</v>
      </c>
      <c r="C1984" s="65">
        <v>-1.275894850377612</v>
      </c>
      <c r="D1984" s="65">
        <v>-0.907599981610491</v>
      </c>
      <c r="E1984" s="65">
        <v>0.13961378637630004</v>
      </c>
      <c r="F1984" s="65">
        <v>9.035583735779932</v>
      </c>
      <c r="G1984" s="50">
        <v>0.0</v>
      </c>
      <c r="H1984" s="50">
        <v>0.0</v>
      </c>
      <c r="I1984" s="50">
        <v>0.0</v>
      </c>
      <c r="J1984" s="50">
        <v>0.0</v>
      </c>
      <c r="K1984" s="50">
        <v>0.0</v>
      </c>
      <c r="L1984" s="50">
        <v>0.0</v>
      </c>
      <c r="M1984" s="50">
        <v>0.0</v>
      </c>
      <c r="N1984" s="50">
        <v>0.0</v>
      </c>
      <c r="O1984" s="50">
        <v>0.0</v>
      </c>
      <c r="P1984" s="50">
        <v>0.0</v>
      </c>
      <c r="Q1984" s="50">
        <v>0.0</v>
      </c>
      <c r="R1984" s="50">
        <v>0.0</v>
      </c>
      <c r="S1984" s="50">
        <v>0.0</v>
      </c>
      <c r="T1984" s="50">
        <v>2.8125</v>
      </c>
      <c r="U1984" s="50">
        <v>0.0</v>
      </c>
      <c r="V1984" s="50">
        <v>0.0</v>
      </c>
      <c r="W1984" s="50">
        <v>0.0</v>
      </c>
      <c r="X1984" s="50">
        <v>2.8125</v>
      </c>
      <c r="Y1984" s="50">
        <v>5.625</v>
      </c>
    </row>
    <row r="1985">
      <c r="A1985" s="26">
        <v>1979.0</v>
      </c>
      <c r="B1985" s="65">
        <v>-0.32715212604807786</v>
      </c>
      <c r="C1985" s="65">
        <v>-0.23234437166821809</v>
      </c>
      <c r="D1985" s="65">
        <v>0.1821223843540195</v>
      </c>
      <c r="E1985" s="65">
        <v>0.49232592622932486</v>
      </c>
      <c r="F1985" s="65">
        <v>3.6113576452743232</v>
      </c>
      <c r="G1985" s="50">
        <v>0.0</v>
      </c>
      <c r="H1985" s="50">
        <v>0.0</v>
      </c>
      <c r="I1985" s="50">
        <v>0.0</v>
      </c>
      <c r="J1985" s="50">
        <v>0.0</v>
      </c>
      <c r="K1985" s="50">
        <v>0.0</v>
      </c>
      <c r="L1985" s="50">
        <v>0.0</v>
      </c>
      <c r="M1985" s="50">
        <v>0.0</v>
      </c>
      <c r="N1985" s="50">
        <v>0.0</v>
      </c>
      <c r="O1985" s="50">
        <v>0.0</v>
      </c>
      <c r="P1985" s="50">
        <v>0.0</v>
      </c>
      <c r="Q1985" s="50">
        <v>0.0</v>
      </c>
      <c r="R1985" s="50">
        <v>0.0</v>
      </c>
      <c r="S1985" s="50">
        <v>0.0</v>
      </c>
      <c r="T1985" s="50">
        <v>2.8125</v>
      </c>
      <c r="U1985" s="50">
        <v>0.0</v>
      </c>
      <c r="V1985" s="50">
        <v>0.0</v>
      </c>
      <c r="W1985" s="50">
        <v>0.0</v>
      </c>
      <c r="X1985" s="50">
        <v>2.8125</v>
      </c>
      <c r="Y1985" s="50">
        <v>5.625</v>
      </c>
    </row>
    <row r="1986">
      <c r="A1986" s="26">
        <v>1980.0</v>
      </c>
      <c r="B1986" s="65">
        <v>0.5636766894800047</v>
      </c>
      <c r="C1986" s="65">
        <v>1.103570952431752</v>
      </c>
      <c r="D1986" s="65">
        <v>-0.129881785084552</v>
      </c>
      <c r="E1986" s="65">
        <v>1.7135725101030905</v>
      </c>
      <c r="F1986" s="65">
        <v>3.2541674934026377</v>
      </c>
      <c r="G1986" s="50">
        <v>0.0</v>
      </c>
      <c r="H1986" s="50">
        <v>0.0</v>
      </c>
      <c r="I1986" s="50">
        <v>0.0</v>
      </c>
      <c r="J1986" s="50">
        <v>0.0</v>
      </c>
      <c r="K1986" s="50">
        <v>0.0</v>
      </c>
      <c r="L1986" s="50">
        <v>0.0</v>
      </c>
      <c r="M1986" s="50">
        <v>0.0</v>
      </c>
      <c r="N1986" s="50">
        <v>0.0</v>
      </c>
      <c r="O1986" s="50">
        <v>0.0</v>
      </c>
      <c r="P1986" s="50">
        <v>0.0</v>
      </c>
      <c r="Q1986" s="50">
        <v>0.0</v>
      </c>
      <c r="R1986" s="50">
        <v>0.0</v>
      </c>
      <c r="S1986" s="50">
        <v>0.0</v>
      </c>
      <c r="T1986" s="50">
        <v>2.8125</v>
      </c>
      <c r="U1986" s="50">
        <v>0.0</v>
      </c>
      <c r="V1986" s="50">
        <v>0.0</v>
      </c>
      <c r="W1986" s="50">
        <v>0.0</v>
      </c>
      <c r="X1986" s="50">
        <v>2.8125</v>
      </c>
      <c r="Y1986" s="50">
        <v>5.625</v>
      </c>
    </row>
    <row r="1987">
      <c r="A1987" s="26">
        <v>1981.0</v>
      </c>
      <c r="B1987" s="65">
        <v>-0.8057557756031121</v>
      </c>
      <c r="C1987" s="65">
        <v>-1.9314422789685668</v>
      </c>
      <c r="D1987" s="65">
        <v>-0.626938631361248</v>
      </c>
      <c r="E1987" s="65">
        <v>-0.05720632496719331</v>
      </c>
      <c r="F1987" s="65">
        <v>10.688425293304277</v>
      </c>
      <c r="G1987" s="50">
        <v>0.0</v>
      </c>
      <c r="H1987" s="50">
        <v>0.0</v>
      </c>
      <c r="I1987" s="50">
        <v>0.0</v>
      </c>
      <c r="J1987" s="50">
        <v>0.0</v>
      </c>
      <c r="K1987" s="50">
        <v>0.0</v>
      </c>
      <c r="L1987" s="50">
        <v>0.0</v>
      </c>
      <c r="M1987" s="50">
        <v>0.0</v>
      </c>
      <c r="N1987" s="50">
        <v>0.0</v>
      </c>
      <c r="O1987" s="50">
        <v>0.0</v>
      </c>
      <c r="P1987" s="50">
        <v>0.0</v>
      </c>
      <c r="Q1987" s="50">
        <v>0.0</v>
      </c>
      <c r="R1987" s="50">
        <v>0.0</v>
      </c>
      <c r="S1987" s="50">
        <v>0.0</v>
      </c>
      <c r="T1987" s="50">
        <v>2.8125</v>
      </c>
      <c r="U1987" s="50">
        <v>0.0</v>
      </c>
      <c r="V1987" s="50">
        <v>0.0</v>
      </c>
      <c r="W1987" s="50">
        <v>0.0</v>
      </c>
      <c r="X1987" s="50">
        <v>2.8125</v>
      </c>
      <c r="Y1987" s="50">
        <v>5.625</v>
      </c>
    </row>
    <row r="1988">
      <c r="A1988" s="26">
        <v>1982.0</v>
      </c>
      <c r="B1988" s="65">
        <v>1.0345771563579231</v>
      </c>
      <c r="C1988" s="65">
        <v>0.7679462213230328</v>
      </c>
      <c r="D1988" s="65">
        <v>-1.4187644067468272</v>
      </c>
      <c r="E1988" s="65">
        <v>-0.5582107865314573</v>
      </c>
      <c r="F1988" s="65">
        <v>4.562266803029556</v>
      </c>
      <c r="G1988" s="50">
        <v>0.0</v>
      </c>
      <c r="H1988" s="50">
        <v>0.0</v>
      </c>
      <c r="I1988" s="50">
        <v>0.0</v>
      </c>
      <c r="J1988" s="50">
        <v>0.0</v>
      </c>
      <c r="K1988" s="50">
        <v>0.0</v>
      </c>
      <c r="L1988" s="50">
        <v>0.0</v>
      </c>
      <c r="M1988" s="50">
        <v>0.0</v>
      </c>
      <c r="N1988" s="50">
        <v>0.0</v>
      </c>
      <c r="O1988" s="50">
        <v>0.0</v>
      </c>
      <c r="P1988" s="50">
        <v>2.475</v>
      </c>
      <c r="Q1988" s="50">
        <v>0.0</v>
      </c>
      <c r="R1988" s="50">
        <v>0.0</v>
      </c>
      <c r="S1988" s="50">
        <v>0.0</v>
      </c>
      <c r="T1988" s="50">
        <v>2.8125</v>
      </c>
      <c r="U1988" s="50">
        <v>0.0</v>
      </c>
      <c r="V1988" s="50">
        <v>0.0</v>
      </c>
      <c r="W1988" s="50">
        <v>0.0</v>
      </c>
      <c r="X1988" s="50">
        <v>2.8125</v>
      </c>
      <c r="Y1988" s="50">
        <v>8.1</v>
      </c>
    </row>
    <row r="1989">
      <c r="A1989" s="26">
        <v>1983.0</v>
      </c>
      <c r="B1989" s="65">
        <v>0.10705560761203267</v>
      </c>
      <c r="C1989" s="65">
        <v>1.276826238492029</v>
      </c>
      <c r="D1989" s="65">
        <v>-1.2172127959256316</v>
      </c>
      <c r="E1989" s="65">
        <v>-0.32995497720228034</v>
      </c>
      <c r="F1989" s="65">
        <v>6.318068406162672</v>
      </c>
      <c r="G1989" s="50">
        <v>0.0</v>
      </c>
      <c r="H1989" s="50">
        <v>0.0</v>
      </c>
      <c r="I1989" s="50">
        <v>0.0</v>
      </c>
      <c r="J1989" s="50">
        <v>0.0</v>
      </c>
      <c r="K1989" s="50">
        <v>0.0</v>
      </c>
      <c r="L1989" s="50">
        <v>0.0</v>
      </c>
      <c r="M1989" s="50">
        <v>0.0</v>
      </c>
      <c r="N1989" s="50">
        <v>0.0</v>
      </c>
      <c r="O1989" s="50">
        <v>0.0</v>
      </c>
      <c r="P1989" s="50">
        <v>0.0</v>
      </c>
      <c r="Q1989" s="50">
        <v>0.0</v>
      </c>
      <c r="R1989" s="50">
        <v>0.0</v>
      </c>
      <c r="S1989" s="50">
        <v>0.0</v>
      </c>
      <c r="T1989" s="50">
        <v>2.8125</v>
      </c>
      <c r="U1989" s="50">
        <v>0.0</v>
      </c>
      <c r="V1989" s="50">
        <v>0.0</v>
      </c>
      <c r="W1989" s="50">
        <v>0.0</v>
      </c>
      <c r="X1989" s="50">
        <v>2.8125</v>
      </c>
      <c r="Y1989" s="50">
        <v>5.625</v>
      </c>
    </row>
    <row r="1990">
      <c r="A1990" s="26">
        <v>1984.0</v>
      </c>
      <c r="B1990" s="65">
        <v>-1.5343818765724675</v>
      </c>
      <c r="C1990" s="65">
        <v>0.02497724430058788</v>
      </c>
      <c r="D1990" s="65">
        <v>-0.8246516056281726</v>
      </c>
      <c r="E1990" s="65">
        <v>-0.9456428622227896</v>
      </c>
      <c r="F1990" s="65">
        <v>7.018150560762939</v>
      </c>
      <c r="G1990" s="50">
        <v>0.0</v>
      </c>
      <c r="H1990" s="50">
        <v>0.0</v>
      </c>
      <c r="I1990" s="50">
        <v>0.0</v>
      </c>
      <c r="J1990" s="50">
        <v>0.0</v>
      </c>
      <c r="K1990" s="50">
        <v>0.0</v>
      </c>
      <c r="L1990" s="50">
        <v>0.0</v>
      </c>
      <c r="M1990" s="50">
        <v>0.0</v>
      </c>
      <c r="N1990" s="50">
        <v>0.0</v>
      </c>
      <c r="O1990" s="50">
        <v>0.0</v>
      </c>
      <c r="P1990" s="50">
        <v>0.0</v>
      </c>
      <c r="Q1990" s="50">
        <v>0.0</v>
      </c>
      <c r="R1990" s="50">
        <v>9.9</v>
      </c>
      <c r="S1990" s="50">
        <v>0.0</v>
      </c>
      <c r="T1990" s="50">
        <v>2.8125</v>
      </c>
      <c r="U1990" s="50">
        <v>0.0</v>
      </c>
      <c r="V1990" s="50">
        <v>5.625</v>
      </c>
      <c r="W1990" s="50">
        <v>0.0</v>
      </c>
      <c r="X1990" s="50">
        <v>2.8125</v>
      </c>
      <c r="Y1990" s="50">
        <v>21.15</v>
      </c>
    </row>
    <row r="1991">
      <c r="A1991" s="26">
        <v>1985.0</v>
      </c>
      <c r="B1991" s="65">
        <v>-0.8997750399405776</v>
      </c>
      <c r="C1991" s="65">
        <v>0.8782628954692348</v>
      </c>
      <c r="D1991" s="65">
        <v>1.5483153320886014</v>
      </c>
      <c r="E1991" s="65">
        <v>0.10180047038633913</v>
      </c>
      <c r="F1991" s="65">
        <v>2.947552325873206</v>
      </c>
      <c r="G1991" s="50">
        <v>0.0</v>
      </c>
      <c r="H1991" s="50">
        <v>0.0</v>
      </c>
      <c r="I1991" s="50">
        <v>0.0</v>
      </c>
      <c r="J1991" s="50">
        <v>0.0</v>
      </c>
      <c r="K1991" s="50">
        <v>0.0</v>
      </c>
      <c r="L1991" s="50">
        <v>0.0</v>
      </c>
      <c r="M1991" s="50">
        <v>0.0</v>
      </c>
      <c r="N1991" s="50">
        <v>0.0</v>
      </c>
      <c r="O1991" s="50">
        <v>0.0</v>
      </c>
      <c r="P1991" s="50">
        <v>0.0</v>
      </c>
      <c r="Q1991" s="50">
        <v>0.0</v>
      </c>
      <c r="R1991" s="50">
        <v>0.0</v>
      </c>
      <c r="S1991" s="50">
        <v>0.0</v>
      </c>
      <c r="T1991" s="50">
        <v>2.8125</v>
      </c>
      <c r="U1991" s="50">
        <v>0.0</v>
      </c>
      <c r="V1991" s="50">
        <v>0.0</v>
      </c>
      <c r="W1991" s="50">
        <v>0.0</v>
      </c>
      <c r="X1991" s="50">
        <v>2.8125</v>
      </c>
      <c r="Y1991" s="50">
        <v>5.625</v>
      </c>
    </row>
    <row r="1992">
      <c r="A1992" s="26">
        <v>1986.0</v>
      </c>
      <c r="B1992" s="65">
        <v>1.3542400752782588</v>
      </c>
      <c r="C1992" s="65">
        <v>-1.333657628761146</v>
      </c>
      <c r="D1992" s="65">
        <v>1.0529522113914282</v>
      </c>
      <c r="E1992" s="65">
        <v>0.25554097966227046</v>
      </c>
      <c r="F1992" s="65">
        <v>1.5935165558674338</v>
      </c>
      <c r="G1992" s="50">
        <v>0.0</v>
      </c>
      <c r="H1992" s="50">
        <v>0.0</v>
      </c>
      <c r="I1992" s="50">
        <v>0.0</v>
      </c>
      <c r="J1992" s="50">
        <v>0.0</v>
      </c>
      <c r="K1992" s="50">
        <v>0.0</v>
      </c>
      <c r="L1992" s="50">
        <v>0.0</v>
      </c>
      <c r="M1992" s="50">
        <v>0.0</v>
      </c>
      <c r="N1992" s="50">
        <v>0.0</v>
      </c>
      <c r="O1992" s="50">
        <v>0.0</v>
      </c>
      <c r="P1992" s="50">
        <v>0.0</v>
      </c>
      <c r="Q1992" s="50">
        <v>0.0</v>
      </c>
      <c r="R1992" s="50">
        <v>0.0</v>
      </c>
      <c r="S1992" s="50">
        <v>0.0</v>
      </c>
      <c r="T1992" s="50">
        <v>2.8125</v>
      </c>
      <c r="U1992" s="50">
        <v>0.0</v>
      </c>
      <c r="V1992" s="50">
        <v>0.0</v>
      </c>
      <c r="W1992" s="50">
        <v>0.0</v>
      </c>
      <c r="X1992" s="50">
        <v>2.8125</v>
      </c>
      <c r="Y1992" s="50">
        <v>5.625</v>
      </c>
    </row>
    <row r="1993">
      <c r="A1993" s="26">
        <v>1987.0</v>
      </c>
      <c r="B1993" s="65">
        <v>0.6985438540174498</v>
      </c>
      <c r="C1993" s="65">
        <v>0.76532532239323</v>
      </c>
      <c r="D1993" s="65">
        <v>0.28526562280082757</v>
      </c>
      <c r="E1993" s="65">
        <v>1.2375202775501453</v>
      </c>
      <c r="F1993" s="65">
        <v>3.0762015645977256</v>
      </c>
      <c r="G1993" s="50">
        <v>0.0</v>
      </c>
      <c r="H1993" s="50">
        <v>0.0</v>
      </c>
      <c r="I1993" s="50">
        <v>0.0</v>
      </c>
      <c r="J1993" s="50">
        <v>0.0</v>
      </c>
      <c r="K1993" s="50">
        <v>0.0</v>
      </c>
      <c r="L1993" s="50">
        <v>0.0</v>
      </c>
      <c r="M1993" s="50">
        <v>0.0</v>
      </c>
      <c r="N1993" s="50">
        <v>0.0</v>
      </c>
      <c r="O1993" s="50">
        <v>0.0</v>
      </c>
      <c r="P1993" s="50">
        <v>0.0</v>
      </c>
      <c r="Q1993" s="50">
        <v>0.0</v>
      </c>
      <c r="R1993" s="50">
        <v>0.0</v>
      </c>
      <c r="S1993" s="50">
        <v>0.0</v>
      </c>
      <c r="T1993" s="50">
        <v>2.8125</v>
      </c>
      <c r="U1993" s="50">
        <v>0.0</v>
      </c>
      <c r="V1993" s="50">
        <v>0.0</v>
      </c>
      <c r="W1993" s="50">
        <v>0.0</v>
      </c>
      <c r="X1993" s="50">
        <v>2.8125</v>
      </c>
      <c r="Y1993" s="50">
        <v>5.625</v>
      </c>
    </row>
    <row r="1994">
      <c r="A1994" s="26">
        <v>1988.0</v>
      </c>
      <c r="B1994" s="65">
        <v>1.102710852073227</v>
      </c>
      <c r="C1994" s="65">
        <v>0.14697171818677499</v>
      </c>
      <c r="D1994" s="65">
        <v>-0.19986763100241395</v>
      </c>
      <c r="E1994" s="65">
        <v>-1.1935510338858424</v>
      </c>
      <c r="F1994" s="65">
        <v>7.193352714887823</v>
      </c>
      <c r="G1994" s="50">
        <v>0.0</v>
      </c>
      <c r="H1994" s="50">
        <v>0.0</v>
      </c>
      <c r="I1994" s="50">
        <v>0.0</v>
      </c>
      <c r="J1994" s="50">
        <v>0.0</v>
      </c>
      <c r="K1994" s="50">
        <v>0.0</v>
      </c>
      <c r="L1994" s="50">
        <v>0.0</v>
      </c>
      <c r="M1994" s="50">
        <v>0.0</v>
      </c>
      <c r="N1994" s="50">
        <v>0.0</v>
      </c>
      <c r="O1994" s="50">
        <v>0.0</v>
      </c>
      <c r="P1994" s="50">
        <v>0.0</v>
      </c>
      <c r="Q1994" s="50">
        <v>0.0</v>
      </c>
      <c r="R1994" s="50">
        <v>0.0</v>
      </c>
      <c r="S1994" s="50">
        <v>0.0</v>
      </c>
      <c r="T1994" s="50">
        <v>2.8125</v>
      </c>
      <c r="U1994" s="50">
        <v>0.0</v>
      </c>
      <c r="V1994" s="50">
        <v>0.0</v>
      </c>
      <c r="W1994" s="50">
        <v>0.0</v>
      </c>
      <c r="X1994" s="50">
        <v>2.8125</v>
      </c>
      <c r="Y1994" s="50">
        <v>5.625</v>
      </c>
    </row>
    <row r="1995">
      <c r="A1995" s="26">
        <v>1989.0</v>
      </c>
      <c r="B1995" s="65">
        <v>0.0064879527131664816</v>
      </c>
      <c r="C1995" s="65">
        <v>-0.7723906703824245</v>
      </c>
      <c r="D1995" s="65">
        <v>0.4240854387427457</v>
      </c>
      <c r="E1995" s="65">
        <v>-0.2279476896374267</v>
      </c>
      <c r="F1995" s="65">
        <v>5.256010195146826</v>
      </c>
      <c r="G1995" s="50">
        <v>0.0</v>
      </c>
      <c r="H1995" s="50">
        <v>0.0</v>
      </c>
      <c r="I1995" s="50">
        <v>0.0</v>
      </c>
      <c r="J1995" s="50">
        <v>0.0</v>
      </c>
      <c r="K1995" s="50">
        <v>0.0</v>
      </c>
      <c r="L1995" s="50">
        <v>0.0</v>
      </c>
      <c r="M1995" s="50">
        <v>0.0</v>
      </c>
      <c r="N1995" s="50">
        <v>0.0</v>
      </c>
      <c r="O1995" s="50">
        <v>0.0</v>
      </c>
      <c r="P1995" s="50">
        <v>0.0</v>
      </c>
      <c r="Q1995" s="50">
        <v>0.0</v>
      </c>
      <c r="R1995" s="50">
        <v>0.0</v>
      </c>
      <c r="S1995" s="50">
        <v>0.0</v>
      </c>
      <c r="T1995" s="50">
        <v>2.8125</v>
      </c>
      <c r="U1995" s="50">
        <v>0.0</v>
      </c>
      <c r="V1995" s="50">
        <v>5.625</v>
      </c>
      <c r="W1995" s="50">
        <v>0.0</v>
      </c>
      <c r="X1995" s="50">
        <v>2.8125</v>
      </c>
      <c r="Y1995" s="50">
        <v>11.25</v>
      </c>
    </row>
    <row r="1996">
      <c r="A1996" s="26">
        <v>1990.0</v>
      </c>
      <c r="B1996" s="65">
        <v>-0.1719312365396168</v>
      </c>
      <c r="C1996" s="65">
        <v>1.8330966920401541</v>
      </c>
      <c r="D1996" s="65">
        <v>0.16486585502460963</v>
      </c>
      <c r="E1996" s="65">
        <v>0.6642823047964046</v>
      </c>
      <c r="F1996" s="65">
        <v>2.7123066089795773</v>
      </c>
      <c r="G1996" s="50">
        <v>0.0</v>
      </c>
      <c r="H1996" s="50">
        <v>0.0</v>
      </c>
      <c r="I1996" s="50">
        <v>0.0</v>
      </c>
      <c r="J1996" s="50">
        <v>0.0</v>
      </c>
      <c r="K1996" s="50">
        <v>0.0</v>
      </c>
      <c r="L1996" s="50">
        <v>0.0</v>
      </c>
      <c r="M1996" s="50">
        <v>0.0</v>
      </c>
      <c r="N1996" s="50">
        <v>0.0</v>
      </c>
      <c r="O1996" s="50">
        <v>0.0</v>
      </c>
      <c r="P1996" s="50">
        <v>0.0</v>
      </c>
      <c r="Q1996" s="50">
        <v>0.0</v>
      </c>
      <c r="R1996" s="50">
        <v>0.0</v>
      </c>
      <c r="S1996" s="50">
        <v>0.0</v>
      </c>
      <c r="T1996" s="50">
        <v>2.8125</v>
      </c>
      <c r="U1996" s="50">
        <v>0.0</v>
      </c>
      <c r="V1996" s="50">
        <v>0.0</v>
      </c>
      <c r="W1996" s="50">
        <v>0.0</v>
      </c>
      <c r="X1996" s="50">
        <v>2.8125</v>
      </c>
      <c r="Y1996" s="50">
        <v>5.625</v>
      </c>
    </row>
    <row r="1997">
      <c r="A1997" s="26">
        <v>1991.0</v>
      </c>
      <c r="B1997" s="65">
        <v>0.4010186746791574</v>
      </c>
      <c r="C1997" s="65">
        <v>0.01589231999619609</v>
      </c>
      <c r="D1997" s="65">
        <v>0.41122817341502127</v>
      </c>
      <c r="E1997" s="65">
        <v>-0.15724891983104222</v>
      </c>
      <c r="F1997" s="65">
        <v>3.0999739705074885</v>
      </c>
      <c r="G1997" s="50">
        <v>0.0</v>
      </c>
      <c r="H1997" s="50">
        <v>0.0</v>
      </c>
      <c r="I1997" s="50">
        <v>0.0</v>
      </c>
      <c r="J1997" s="50">
        <v>0.0</v>
      </c>
      <c r="K1997" s="50">
        <v>0.0</v>
      </c>
      <c r="L1997" s="50">
        <v>0.0</v>
      </c>
      <c r="M1997" s="50">
        <v>0.0</v>
      </c>
      <c r="N1997" s="50">
        <v>0.0</v>
      </c>
      <c r="O1997" s="50">
        <v>0.0</v>
      </c>
      <c r="P1997" s="50">
        <v>0.0</v>
      </c>
      <c r="Q1997" s="50">
        <v>0.0</v>
      </c>
      <c r="R1997" s="50">
        <v>0.0</v>
      </c>
      <c r="S1997" s="50">
        <v>0.0</v>
      </c>
      <c r="T1997" s="50">
        <v>2.8125</v>
      </c>
      <c r="U1997" s="50">
        <v>0.0</v>
      </c>
      <c r="V1997" s="50">
        <v>5.625</v>
      </c>
      <c r="W1997" s="50">
        <v>0.0</v>
      </c>
      <c r="X1997" s="50">
        <v>2.8125</v>
      </c>
      <c r="Y1997" s="50">
        <v>11.25</v>
      </c>
    </row>
    <row r="1998">
      <c r="A1998" s="26">
        <v>1992.0</v>
      </c>
      <c r="B1998" s="65">
        <v>0.742036840591965</v>
      </c>
      <c r="C1998" s="65">
        <v>0.12006852770998873</v>
      </c>
      <c r="D1998" s="65">
        <v>-0.9201653014826564</v>
      </c>
      <c r="E1998" s="65">
        <v>2.967180483960144</v>
      </c>
      <c r="F1998" s="65">
        <v>6.299848409733968</v>
      </c>
      <c r="G1998" s="50">
        <v>0.0</v>
      </c>
      <c r="H1998" s="50">
        <v>0.0</v>
      </c>
      <c r="I1998" s="50">
        <v>0.0</v>
      </c>
      <c r="J1998" s="50">
        <v>0.0</v>
      </c>
      <c r="K1998" s="50">
        <v>0.0</v>
      </c>
      <c r="L1998" s="50">
        <v>0.0</v>
      </c>
      <c r="M1998" s="50">
        <v>0.0</v>
      </c>
      <c r="N1998" s="50">
        <v>0.0</v>
      </c>
      <c r="O1998" s="50">
        <v>0.0</v>
      </c>
      <c r="P1998" s="50">
        <v>0.0</v>
      </c>
      <c r="Q1998" s="50">
        <v>0.0</v>
      </c>
      <c r="R1998" s="50">
        <v>0.0</v>
      </c>
      <c r="S1998" s="50">
        <v>0.0</v>
      </c>
      <c r="T1998" s="50">
        <v>2.8125</v>
      </c>
      <c r="U1998" s="50">
        <v>0.0</v>
      </c>
      <c r="V1998" s="50">
        <v>0.0</v>
      </c>
      <c r="W1998" s="50">
        <v>0.0</v>
      </c>
      <c r="X1998" s="50">
        <v>2.8125</v>
      </c>
      <c r="Y1998" s="50">
        <v>5.625</v>
      </c>
    </row>
    <row r="1999">
      <c r="A1999" s="26">
        <v>1993.0</v>
      </c>
      <c r="B1999" s="65">
        <v>0.13098266405522208</v>
      </c>
      <c r="C1999" s="65">
        <v>-1.3554327340906602</v>
      </c>
      <c r="D1999" s="65">
        <v>-0.809223057925601</v>
      </c>
      <c r="E1999" s="65">
        <v>0.6672385818584058</v>
      </c>
      <c r="F1999" s="65">
        <v>1.9261091392314833</v>
      </c>
      <c r="G1999" s="50">
        <v>0.0</v>
      </c>
      <c r="H1999" s="50">
        <v>0.0</v>
      </c>
      <c r="I1999" s="50">
        <v>0.0</v>
      </c>
      <c r="J1999" s="50">
        <v>0.0</v>
      </c>
      <c r="K1999" s="50">
        <v>0.0</v>
      </c>
      <c r="L1999" s="50">
        <v>0.0</v>
      </c>
      <c r="M1999" s="50">
        <v>0.0</v>
      </c>
      <c r="N1999" s="50">
        <v>0.0</v>
      </c>
      <c r="O1999" s="50">
        <v>0.0</v>
      </c>
      <c r="P1999" s="50">
        <v>0.0</v>
      </c>
      <c r="Q1999" s="50">
        <v>0.0</v>
      </c>
      <c r="R1999" s="50">
        <v>0.0</v>
      </c>
      <c r="S1999" s="50">
        <v>0.0</v>
      </c>
      <c r="T1999" s="50">
        <v>2.8125</v>
      </c>
      <c r="U1999" s="50">
        <v>0.0</v>
      </c>
      <c r="V1999" s="50">
        <v>0.0</v>
      </c>
      <c r="W1999" s="50">
        <v>0.0</v>
      </c>
      <c r="X1999" s="50">
        <v>2.8125</v>
      </c>
      <c r="Y1999" s="50">
        <v>5.625</v>
      </c>
    </row>
    <row r="2000">
      <c r="A2000" s="26">
        <v>1994.0</v>
      </c>
      <c r="B2000" s="65">
        <v>-0.09509073951891661</v>
      </c>
      <c r="C2000" s="65">
        <v>1.1206175263091083</v>
      </c>
      <c r="D2000" s="65">
        <v>-0.33289548536917224</v>
      </c>
      <c r="E2000" s="65">
        <v>0.2613904709386592</v>
      </c>
      <c r="F2000" s="65">
        <v>22.87068383990475</v>
      </c>
      <c r="G2000" s="50">
        <v>0.0</v>
      </c>
      <c r="H2000" s="50">
        <v>0.0</v>
      </c>
      <c r="I2000" s="50">
        <v>0.0</v>
      </c>
      <c r="J2000" s="50">
        <v>0.0</v>
      </c>
      <c r="K2000" s="50">
        <v>0.0</v>
      </c>
      <c r="L2000" s="50">
        <v>0.0</v>
      </c>
      <c r="M2000" s="50">
        <v>0.0</v>
      </c>
      <c r="N2000" s="50">
        <v>0.0</v>
      </c>
      <c r="O2000" s="50">
        <v>0.0</v>
      </c>
      <c r="P2000" s="50">
        <v>0.0</v>
      </c>
      <c r="Q2000" s="50">
        <v>0.0</v>
      </c>
      <c r="R2000" s="50">
        <v>0.0</v>
      </c>
      <c r="S2000" s="50">
        <v>0.0</v>
      </c>
      <c r="T2000" s="50">
        <v>2.8125</v>
      </c>
      <c r="U2000" s="50">
        <v>0.0</v>
      </c>
      <c r="V2000" s="50">
        <v>0.0</v>
      </c>
      <c r="W2000" s="50">
        <v>0.0</v>
      </c>
      <c r="X2000" s="50">
        <v>2.8125</v>
      </c>
      <c r="Y2000" s="50">
        <v>5.625</v>
      </c>
    </row>
    <row r="2001">
      <c r="A2001" s="26">
        <v>1995.0</v>
      </c>
      <c r="B2001" s="65">
        <v>1.0082827999973363</v>
      </c>
      <c r="C2001" s="65">
        <v>0.11481150478943963</v>
      </c>
      <c r="D2001" s="65">
        <v>0.5408411518426424</v>
      </c>
      <c r="E2001" s="65">
        <v>-2.3092921126674697</v>
      </c>
      <c r="F2001" s="65">
        <v>4.932885893676369</v>
      </c>
      <c r="G2001" s="50">
        <v>0.0</v>
      </c>
      <c r="H2001" s="50">
        <v>0.0</v>
      </c>
      <c r="I2001" s="50">
        <v>0.0</v>
      </c>
      <c r="J2001" s="50">
        <v>0.0</v>
      </c>
      <c r="K2001" s="50">
        <v>0.0</v>
      </c>
      <c r="L2001" s="50">
        <v>0.0</v>
      </c>
      <c r="M2001" s="50">
        <v>0.0</v>
      </c>
      <c r="N2001" s="50">
        <v>0.0</v>
      </c>
      <c r="O2001" s="50">
        <v>0.0</v>
      </c>
      <c r="P2001" s="50">
        <v>0.0</v>
      </c>
      <c r="Q2001" s="50">
        <v>0.0</v>
      </c>
      <c r="R2001" s="50">
        <v>0.0</v>
      </c>
      <c r="S2001" s="50">
        <v>0.0</v>
      </c>
      <c r="T2001" s="50">
        <v>2.8125</v>
      </c>
      <c r="U2001" s="50">
        <v>0.0</v>
      </c>
      <c r="V2001" s="50">
        <v>0.0</v>
      </c>
      <c r="W2001" s="50">
        <v>0.0</v>
      </c>
      <c r="X2001" s="50">
        <v>2.8125</v>
      </c>
      <c r="Y2001" s="50">
        <v>5.625</v>
      </c>
    </row>
    <row r="2002">
      <c r="A2002" s="26">
        <v>1996.0</v>
      </c>
      <c r="B2002" s="65">
        <v>1.1374344668886516</v>
      </c>
      <c r="C2002" s="65">
        <v>0.22721655252189177</v>
      </c>
      <c r="D2002" s="65">
        <v>-1.6482967471473249</v>
      </c>
      <c r="E2002" s="65">
        <v>-2.8506665838644514</v>
      </c>
      <c r="F2002" s="65">
        <v>1.8539835225639907</v>
      </c>
      <c r="G2002" s="50">
        <v>0.0</v>
      </c>
      <c r="H2002" s="50">
        <v>0.0</v>
      </c>
      <c r="I2002" s="50">
        <v>0.0</v>
      </c>
      <c r="J2002" s="50">
        <v>0.0</v>
      </c>
      <c r="K2002" s="50">
        <v>0.0</v>
      </c>
      <c r="L2002" s="50">
        <v>0.0</v>
      </c>
      <c r="M2002" s="50">
        <v>0.0</v>
      </c>
      <c r="N2002" s="50">
        <v>0.0</v>
      </c>
      <c r="O2002" s="50">
        <v>0.0</v>
      </c>
      <c r="P2002" s="50">
        <v>0.0</v>
      </c>
      <c r="Q2002" s="50">
        <v>0.0</v>
      </c>
      <c r="R2002" s="50">
        <v>0.0</v>
      </c>
      <c r="S2002" s="50">
        <v>0.0</v>
      </c>
      <c r="T2002" s="50">
        <v>2.8125</v>
      </c>
      <c r="U2002" s="50">
        <v>0.0</v>
      </c>
      <c r="V2002" s="50">
        <v>5.625</v>
      </c>
      <c r="W2002" s="50">
        <v>4.95</v>
      </c>
      <c r="X2002" s="50">
        <v>2.8125</v>
      </c>
      <c r="Y2002" s="50">
        <v>16.2</v>
      </c>
    </row>
    <row r="2003">
      <c r="A2003" s="26">
        <v>1997.0</v>
      </c>
      <c r="B2003" s="65">
        <v>0.8435087319635612</v>
      </c>
      <c r="C2003" s="65">
        <v>0.8840174042144853</v>
      </c>
      <c r="D2003" s="65">
        <v>0.0015214365040116416</v>
      </c>
      <c r="E2003" s="65">
        <v>-0.21380060836605694</v>
      </c>
      <c r="F2003" s="65">
        <v>2.721484327974639</v>
      </c>
      <c r="G2003" s="50">
        <v>0.0</v>
      </c>
      <c r="H2003" s="50">
        <v>0.0</v>
      </c>
      <c r="I2003" s="50">
        <v>0.0</v>
      </c>
      <c r="J2003" s="50">
        <v>0.0</v>
      </c>
      <c r="K2003" s="50">
        <v>0.0</v>
      </c>
      <c r="L2003" s="50">
        <v>0.0</v>
      </c>
      <c r="M2003" s="50">
        <v>0.0</v>
      </c>
      <c r="N2003" s="50">
        <v>0.0</v>
      </c>
      <c r="O2003" s="50">
        <v>0.0</v>
      </c>
      <c r="P2003" s="50">
        <v>0.0</v>
      </c>
      <c r="Q2003" s="50">
        <v>0.0</v>
      </c>
      <c r="R2003" s="50">
        <v>0.0</v>
      </c>
      <c r="S2003" s="50">
        <v>0.0</v>
      </c>
      <c r="T2003" s="50">
        <v>2.8125</v>
      </c>
      <c r="U2003" s="50">
        <v>9.9</v>
      </c>
      <c r="V2003" s="50">
        <v>0.0</v>
      </c>
      <c r="W2003" s="50">
        <v>0.0</v>
      </c>
      <c r="X2003" s="50">
        <v>2.8125</v>
      </c>
      <c r="Y2003" s="50">
        <v>15.525</v>
      </c>
    </row>
    <row r="2004">
      <c r="A2004" s="26">
        <v>1998.0</v>
      </c>
      <c r="B2004" s="65">
        <v>1.0541130806391794</v>
      </c>
      <c r="C2004" s="65">
        <v>-1.4300568054023504</v>
      </c>
      <c r="D2004" s="65">
        <v>-0.04306621440284204</v>
      </c>
      <c r="E2004" s="65">
        <v>-0.1482934963698298</v>
      </c>
      <c r="F2004" s="65">
        <v>1.9276274741160389</v>
      </c>
      <c r="G2004" s="50">
        <v>0.0</v>
      </c>
      <c r="H2004" s="50">
        <v>0.0</v>
      </c>
      <c r="I2004" s="50">
        <v>0.0</v>
      </c>
      <c r="J2004" s="50">
        <v>0.0</v>
      </c>
      <c r="K2004" s="50">
        <v>0.0</v>
      </c>
      <c r="L2004" s="50">
        <v>0.0</v>
      </c>
      <c r="M2004" s="50">
        <v>0.0</v>
      </c>
      <c r="N2004" s="50">
        <v>0.0</v>
      </c>
      <c r="O2004" s="50">
        <v>0.0</v>
      </c>
      <c r="P2004" s="50">
        <v>0.0</v>
      </c>
      <c r="Q2004" s="50">
        <v>0.0</v>
      </c>
      <c r="R2004" s="50">
        <v>0.0</v>
      </c>
      <c r="S2004" s="50">
        <v>0.0</v>
      </c>
      <c r="T2004" s="50">
        <v>2.8125</v>
      </c>
      <c r="U2004" s="50">
        <v>0.0</v>
      </c>
      <c r="V2004" s="50">
        <v>0.0</v>
      </c>
      <c r="W2004" s="50">
        <v>0.0</v>
      </c>
      <c r="X2004" s="50">
        <v>2.8125</v>
      </c>
      <c r="Y2004" s="50">
        <v>5.625</v>
      </c>
    </row>
    <row r="2005">
      <c r="A2005" s="26">
        <v>1999.0</v>
      </c>
      <c r="B2005" s="65">
        <v>0.30349634573742196</v>
      </c>
      <c r="C2005" s="65">
        <v>0.418940842756728</v>
      </c>
      <c r="D2005" s="65">
        <v>-0.9272044979563042</v>
      </c>
      <c r="E2005" s="65">
        <v>-1.425937910279866</v>
      </c>
      <c r="F2005" s="65">
        <v>3.7058412409910266</v>
      </c>
      <c r="G2005" s="50">
        <v>0.0</v>
      </c>
      <c r="H2005" s="50">
        <v>0.0</v>
      </c>
      <c r="I2005" s="50">
        <v>0.0</v>
      </c>
      <c r="J2005" s="50">
        <v>0.0</v>
      </c>
      <c r="K2005" s="50">
        <v>0.0</v>
      </c>
      <c r="L2005" s="50">
        <v>0.0</v>
      </c>
      <c r="M2005" s="50">
        <v>0.0</v>
      </c>
      <c r="N2005" s="50">
        <v>0.0</v>
      </c>
      <c r="O2005" s="50">
        <v>0.0</v>
      </c>
      <c r="P2005" s="50">
        <v>0.0</v>
      </c>
      <c r="Q2005" s="50">
        <v>0.0</v>
      </c>
      <c r="R2005" s="50">
        <v>0.0</v>
      </c>
      <c r="S2005" s="50">
        <v>0.0</v>
      </c>
      <c r="T2005" s="50">
        <v>2.8125</v>
      </c>
      <c r="U2005" s="50">
        <v>0.0</v>
      </c>
      <c r="V2005" s="50">
        <v>0.0</v>
      </c>
      <c r="W2005" s="50">
        <v>0.0</v>
      </c>
      <c r="X2005" s="50">
        <v>2.8125</v>
      </c>
      <c r="Y2005" s="50">
        <v>5.625</v>
      </c>
    </row>
    <row r="2006">
      <c r="A2006" s="26">
        <v>2000.0</v>
      </c>
      <c r="B2006" s="65">
        <v>-2.5748659637716234</v>
      </c>
      <c r="C2006" s="65">
        <v>-0.8327789297624751</v>
      </c>
      <c r="D2006" s="65">
        <v>-2.0303518736724513</v>
      </c>
      <c r="E2006" s="65">
        <v>-0.2522145818905495</v>
      </c>
      <c r="F2006" s="65">
        <v>6.39637049721588</v>
      </c>
      <c r="G2006" s="50">
        <v>0.0</v>
      </c>
      <c r="H2006" s="50">
        <v>0.0</v>
      </c>
      <c r="I2006" s="50">
        <v>0.0</v>
      </c>
      <c r="J2006" s="50">
        <v>0.0</v>
      </c>
      <c r="K2006" s="50">
        <v>0.0</v>
      </c>
      <c r="L2006" s="50">
        <v>0.0</v>
      </c>
      <c r="M2006" s="50">
        <v>0.0</v>
      </c>
      <c r="N2006" s="50">
        <v>0.0</v>
      </c>
      <c r="O2006" s="50">
        <v>0.0</v>
      </c>
      <c r="P2006" s="50">
        <v>0.0</v>
      </c>
      <c r="Q2006" s="50">
        <v>0.0</v>
      </c>
      <c r="R2006" s="50">
        <v>9.9</v>
      </c>
      <c r="S2006" s="50">
        <v>0.0</v>
      </c>
      <c r="T2006" s="50">
        <v>2.8125</v>
      </c>
      <c r="U2006" s="50">
        <v>0.0</v>
      </c>
      <c r="V2006" s="50">
        <v>5.625</v>
      </c>
      <c r="W2006" s="50">
        <v>4.95</v>
      </c>
      <c r="X2006" s="50">
        <v>2.8125</v>
      </c>
      <c r="Y2006" s="50">
        <v>26.099999999999998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7E7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11" width="25.13"/>
  </cols>
  <sheetData>
    <row r="1">
      <c r="A1" s="63" t="s">
        <v>1246</v>
      </c>
      <c r="B1" s="63" t="s">
        <v>10</v>
      </c>
      <c r="C1" s="63" t="s">
        <v>1247</v>
      </c>
      <c r="D1" s="63" t="s">
        <v>1248</v>
      </c>
      <c r="E1" s="63" t="s">
        <v>1249</v>
      </c>
      <c r="F1" s="63" t="s">
        <v>1250</v>
      </c>
      <c r="G1" s="63" t="s">
        <v>1251</v>
      </c>
      <c r="H1" s="63" t="s">
        <v>1252</v>
      </c>
      <c r="I1" s="63" t="s">
        <v>1253</v>
      </c>
      <c r="J1" s="63" t="s">
        <v>1254</v>
      </c>
      <c r="K1" s="63" t="s">
        <v>1255</v>
      </c>
    </row>
    <row r="2">
      <c r="A2" s="12" t="s">
        <v>1256</v>
      </c>
      <c r="B2" s="12" t="s">
        <v>1257</v>
      </c>
      <c r="C2" s="12" t="s">
        <v>1258</v>
      </c>
      <c r="D2" s="12" t="s">
        <v>1259</v>
      </c>
      <c r="E2" s="12" t="s">
        <v>1260</v>
      </c>
      <c r="F2" s="12" t="s">
        <v>1261</v>
      </c>
      <c r="G2" s="66">
        <v>46314.0</v>
      </c>
      <c r="H2" s="12" t="s">
        <v>1262</v>
      </c>
      <c r="I2" s="67">
        <v>38.0</v>
      </c>
      <c r="J2" s="12" t="s">
        <v>1263</v>
      </c>
      <c r="K2" s="12" t="s">
        <v>1264</v>
      </c>
    </row>
    <row r="3">
      <c r="A3" s="12" t="s">
        <v>1265</v>
      </c>
      <c r="B3" s="12" t="s">
        <v>1266</v>
      </c>
      <c r="C3" s="12" t="s">
        <v>1267</v>
      </c>
      <c r="D3" s="12" t="s">
        <v>1268</v>
      </c>
      <c r="E3" s="12" t="s">
        <v>1269</v>
      </c>
      <c r="F3" s="15"/>
      <c r="G3" s="66">
        <v>46314.0</v>
      </c>
      <c r="H3" s="12" t="s">
        <v>1262</v>
      </c>
      <c r="I3" s="67">
        <v>83.0</v>
      </c>
      <c r="J3" s="12" t="s">
        <v>1270</v>
      </c>
      <c r="K3" s="12" t="s">
        <v>1271</v>
      </c>
    </row>
    <row r="4">
      <c r="A4" s="68" t="s">
        <v>1272</v>
      </c>
      <c r="B4" s="12" t="s">
        <v>1273</v>
      </c>
      <c r="C4" s="12" t="s">
        <v>1274</v>
      </c>
      <c r="D4" s="12" t="s">
        <v>1268</v>
      </c>
      <c r="E4" s="12" t="s">
        <v>1275</v>
      </c>
      <c r="F4" s="15"/>
      <c r="G4" s="66">
        <v>46314.0</v>
      </c>
      <c r="H4" s="12" t="s">
        <v>1262</v>
      </c>
      <c r="I4" s="67">
        <v>34.0</v>
      </c>
      <c r="J4" s="12" t="s">
        <v>1276</v>
      </c>
      <c r="K4" s="12" t="s">
        <v>1277</v>
      </c>
    </row>
    <row r="5">
      <c r="A5" s="12" t="s">
        <v>1278</v>
      </c>
      <c r="B5" s="12" t="s">
        <v>1279</v>
      </c>
      <c r="C5" s="12" t="s">
        <v>1280</v>
      </c>
      <c r="D5" s="12" t="s">
        <v>1281</v>
      </c>
      <c r="E5" s="15"/>
      <c r="F5" s="15"/>
      <c r="G5" s="66">
        <v>46314.0</v>
      </c>
      <c r="H5" s="12" t="s">
        <v>1262</v>
      </c>
      <c r="I5" s="67">
        <v>83.0</v>
      </c>
      <c r="J5" s="12" t="s">
        <v>1282</v>
      </c>
      <c r="K5" s="15"/>
    </row>
    <row r="6">
      <c r="A6" s="12" t="s">
        <v>1283</v>
      </c>
      <c r="B6" s="12" t="s">
        <v>1284</v>
      </c>
      <c r="C6" s="15"/>
      <c r="D6" s="12" t="s">
        <v>1285</v>
      </c>
      <c r="E6" s="12" t="s">
        <v>1286</v>
      </c>
      <c r="F6" s="15"/>
      <c r="G6" s="66">
        <v>46314.0</v>
      </c>
      <c r="H6" s="12" t="s">
        <v>1262</v>
      </c>
      <c r="I6" s="67">
        <v>22.0</v>
      </c>
      <c r="J6" s="12" t="s">
        <v>1276</v>
      </c>
      <c r="K6" s="12" t="s">
        <v>1287</v>
      </c>
    </row>
  </sheetData>
  <drawing r:id="rId1"/>
</worksheet>
</file>